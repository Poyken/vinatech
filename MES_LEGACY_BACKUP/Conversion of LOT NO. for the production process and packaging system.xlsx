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G:\Group Sharing\Bac Giang Factory\Trung PL\"/>
    </mc:Choice>
  </mc:AlternateContent>
  <xr:revisionPtr revIDLastSave="0" documentId="13_ncr:1_{3F880A41-938A-476B-AADC-153BE76CDE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huyển công đoạn Aging ,packing" sheetId="2" r:id="rId1"/>
    <sheet name="Chuyển sang 781 ( 19.08) HY" sheetId="3" r:id="rId2"/>
  </sheets>
  <definedNames>
    <definedName name="_xlnm._FilterDatabase" localSheetId="1" hidden="1">'Chuyển sang 781 ( 19.08) HY'!$A$1:$Q$18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3" l="1"/>
  <c r="F19" i="3"/>
  <c r="H5" i="2"/>
  <c r="H4" i="2"/>
  <c r="H3" i="2"/>
  <c r="H2" i="2"/>
  <c r="G4" i="2"/>
  <c r="G3" i="2"/>
  <c r="G2" i="2"/>
  <c r="F3" i="2"/>
  <c r="F2" i="2"/>
  <c r="E4" i="2"/>
  <c r="E3" i="2"/>
  <c r="E2" i="2"/>
  <c r="D4" i="2"/>
  <c r="D3" i="2"/>
  <c r="D2" i="2"/>
  <c r="D5" i="2"/>
  <c r="G5" i="2"/>
  <c r="F5" i="2"/>
  <c r="E5" i="2"/>
  <c r="C3" i="2"/>
  <c r="C2" i="2"/>
  <c r="B2" i="2"/>
  <c r="B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3" authorId="0" shapeId="0" xr:uid="{5B2312C8-200C-4269-92B8-4135503CBE2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Thừa 3 lót</t>
        </r>
      </text>
    </comment>
    <comment ref="B4" authorId="0" shapeId="0" xr:uid="{7BDB3844-D528-4E3E-BFE7-81C1F81330C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Thiếu 10,880 pcs</t>
        </r>
      </text>
    </comment>
    <comment ref="C4" authorId="0" shapeId="0" xr:uid="{9E3EF2D4-D4A7-4E60-A771-D9D6DBB520B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đang thiếu 20 ,800</t>
        </r>
      </text>
    </comment>
    <comment ref="D4" authorId="0" shapeId="0" xr:uid="{21951D2F-E23B-4232-BD44-C82F347EC3D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Thiếu 2k8</t>
        </r>
      </text>
    </comment>
    <comment ref="E4" authorId="0" shapeId="0" xr:uid="{CD52BC64-CB49-4AB2-A629-8C64BC254B9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25,920</t>
        </r>
      </text>
    </comment>
    <comment ref="F4" authorId="0" shapeId="0" xr:uid="{4AB6581D-A3DF-483B-8859-B009DE609135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25,500</t>
        </r>
      </text>
    </comment>
    <comment ref="G4" authorId="0" shapeId="0" xr:uid="{A4B1A88F-B1BE-4B2B-8DFA-73332D18586C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24,960</t>
        </r>
      </text>
    </comment>
    <comment ref="H4" authorId="0" shapeId="0" xr:uid="{69D3128E-0C9C-4501-9E51-905EF5E1D841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Thiếu 4 lót</t>
        </r>
      </text>
    </comment>
    <comment ref="B5" authorId="0" shapeId="0" xr:uid="{E4694358-895F-476B-8C9A-344AC146E6E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không có sl</t>
        </r>
      </text>
    </comment>
    <comment ref="C5" authorId="0" shapeId="0" xr:uid="{203C024D-6889-432D-AC56-3F9848B69E4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Thiếu 20.800 pcs</t>
        </r>
      </text>
    </comment>
    <comment ref="D5" authorId="0" shapeId="0" xr:uid="{FFE4AD54-237C-4B93-B1FE-72CF6B621B3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24k</t>
        </r>
      </text>
    </comment>
    <comment ref="E5" authorId="0" shapeId="0" xr:uid="{9F918818-BBE6-4ABD-8D6E-BE8AE46B81E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25920</t>
        </r>
      </text>
    </comment>
    <comment ref="G5" authorId="0" shapeId="0" xr:uid="{3EA73434-9B86-4125-B97C-932476924653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23k</t>
        </r>
      </text>
    </comment>
  </commentList>
</comments>
</file>

<file path=xl/sharedStrings.xml><?xml version="1.0" encoding="utf-8"?>
<sst xmlns="http://schemas.openxmlformats.org/spreadsheetml/2006/main" count="292" uniqueCount="142">
  <si>
    <r>
      <rPr>
        <sz val="9"/>
        <rFont val="Calibri"/>
      </rPr>
      <t>Số lot no</t>
    </r>
  </si>
  <si>
    <r>
      <rPr>
        <sz val="9"/>
        <rFont val="Calibri"/>
      </rPr>
      <t>Mã nguyên liệu</t>
    </r>
  </si>
  <si>
    <r>
      <rPr>
        <sz val="9"/>
        <rFont val="Calibri"/>
      </rPr>
      <t>Tên sản phẩm</t>
    </r>
  </si>
  <si>
    <r>
      <rPr>
        <sz val="9"/>
        <rFont val="Calibri"/>
      </rPr>
      <t>Ngày làm</t>
    </r>
  </si>
  <si>
    <r>
      <rPr>
        <sz val="9"/>
        <rFont val="Calibri"/>
      </rPr>
      <t>Số lượng</t>
    </r>
  </si>
  <si>
    <r>
      <rPr>
        <sz val="9"/>
        <rFont val="Calibri"/>
      </rPr>
      <t>Đơn giá</t>
    </r>
  </si>
  <si>
    <r>
      <rPr>
        <sz val="9"/>
        <rFont val="Calibri"/>
      </rPr>
      <t>SClass</t>
    </r>
  </si>
  <si>
    <r>
      <rPr>
        <sz val="9"/>
        <rFont val="Calibri"/>
      </rPr>
      <t>AClass</t>
    </r>
  </si>
  <si>
    <r>
      <rPr>
        <sz val="9"/>
        <rFont val="Calibri"/>
      </rPr>
      <t>BClass</t>
    </r>
  </si>
  <si>
    <r>
      <rPr>
        <sz val="9"/>
        <rFont val="Calibri"/>
      </rPr>
      <t>CClass</t>
    </r>
  </si>
  <si>
    <r>
      <rPr>
        <sz val="9"/>
        <rFont val="Calibri"/>
      </rPr>
      <t>DClass</t>
    </r>
  </si>
  <si>
    <r>
      <rPr>
        <sz val="9"/>
        <rFont val="Calibri"/>
      </rPr>
      <t>ElectrodeM Code</t>
    </r>
  </si>
  <si>
    <r>
      <rPr>
        <sz val="9"/>
        <rFont val="Calibri"/>
      </rPr>
      <t>ElectrodeM Name</t>
    </r>
  </si>
  <si>
    <r>
      <rPr>
        <sz val="9"/>
        <rFont val="Calibri"/>
      </rPr>
      <t xml:space="preserve"> ElectrodeP Code</t>
    </r>
  </si>
  <si>
    <r>
      <rPr>
        <sz val="9"/>
        <rFont val="Calibri"/>
      </rPr>
      <t>ElectrodeP Name</t>
    </r>
  </si>
  <si>
    <t/>
  </si>
  <si>
    <t>VVQO153R072711</t>
  </si>
  <si>
    <t>ECVT30-357</t>
  </si>
  <si>
    <t>HY-CAP VEC3R0727QG (35105)</t>
  </si>
  <si>
    <t>VVQO153R072714</t>
  </si>
  <si>
    <t>Coatingroll- HCE 200 (SuperP 6%) (-)</t>
  </si>
  <si>
    <t>VVQO153R072720</t>
  </si>
  <si>
    <t>Coatingroll- HCE 200 (Super'P 6%) (-)</t>
  </si>
  <si>
    <t>Coatingroll-CY 200 (6Batch) (+)</t>
  </si>
  <si>
    <t>VVQO153R072721</t>
  </si>
  <si>
    <t>VVQO153R072726</t>
  </si>
  <si>
    <t>VVQO163R072742</t>
  </si>
  <si>
    <t>VVQO173R072718</t>
  </si>
  <si>
    <t>VVQO173R072731</t>
  </si>
  <si>
    <t>VVQO173R072735</t>
  </si>
  <si>
    <t>VVQO183R072712</t>
  </si>
  <si>
    <t>VVQO183R072715</t>
  </si>
  <si>
    <t>VVQO183R072717</t>
  </si>
  <si>
    <t>VWQN2420001E14</t>
  </si>
  <si>
    <t>VVQO183R072760</t>
  </si>
  <si>
    <t>VVQO183R072770</t>
  </si>
  <si>
    <t>VWQN2220001E13</t>
  </si>
  <si>
    <t>VVQO193R072717</t>
  </si>
  <si>
    <t>VWQN2920001E13</t>
  </si>
  <si>
    <t>VVQO193R072718</t>
  </si>
  <si>
    <t>VVQO193R072725</t>
  </si>
  <si>
    <t>VVQO193R072734</t>
  </si>
  <si>
    <t>VVQO1420001E15</t>
  </si>
  <si>
    <t>VVQO193R072749</t>
  </si>
  <si>
    <t>VVQO193R072767</t>
  </si>
  <si>
    <t>VVQO203R072713</t>
  </si>
  <si>
    <t>Winding</t>
  </si>
  <si>
    <t>Assembly</t>
  </si>
  <si>
    <t>Aging</t>
  </si>
  <si>
    <t>Đóng gói</t>
  </si>
  <si>
    <t>VVQO183R072714</t>
  </si>
  <si>
    <t>VVQO183R072716</t>
  </si>
  <si>
    <t>VVQO183R072718</t>
  </si>
  <si>
    <t>VVQO163R072709</t>
  </si>
  <si>
    <t>VVQO193R072761</t>
  </si>
  <si>
    <t>VVQO193R072713</t>
  </si>
  <si>
    <t>VVQO153R072712</t>
  </si>
  <si>
    <t>VVQO153R072727</t>
  </si>
  <si>
    <t>VVQO173R072751</t>
  </si>
  <si>
    <t>Packing</t>
  </si>
  <si>
    <t>VVQO113R072735</t>
  </si>
  <si>
    <t>VVQO153R072709</t>
  </si>
  <si>
    <t>VVQO153R072710</t>
  </si>
  <si>
    <t>VVQO153R072713</t>
  </si>
  <si>
    <t>VVQO153R072719</t>
  </si>
  <si>
    <t>VVQO193R072708</t>
  </si>
  <si>
    <t>VVQO173R072761</t>
  </si>
  <si>
    <t>VVQO193R072748</t>
  </si>
  <si>
    <t>VVQO193R072768</t>
  </si>
  <si>
    <t>VVQO153R072728</t>
  </si>
  <si>
    <t>VVQN033R072790</t>
  </si>
  <si>
    <t>VVQO203R072758</t>
  </si>
  <si>
    <t>VVQO163R072712</t>
  </si>
  <si>
    <t>VVQO153R072722</t>
  </si>
  <si>
    <t>VVQO153R072724</t>
  </si>
  <si>
    <t>VVQO163R072711</t>
  </si>
  <si>
    <t>VVQO173R072716</t>
  </si>
  <si>
    <t>VVQO173R072719</t>
  </si>
  <si>
    <t>VVQO173R072722</t>
  </si>
  <si>
    <t>VVQO183R072710</t>
  </si>
  <si>
    <t>VVQO183R072713</t>
  </si>
  <si>
    <t>VVQO183R072747</t>
  </si>
  <si>
    <t>VVQO183R072761</t>
  </si>
  <si>
    <t>VVQO193R072710</t>
  </si>
  <si>
    <t>VVQO193R072711</t>
  </si>
  <si>
    <t>VVQO193R072714</t>
  </si>
  <si>
    <t>VVQO193R072715</t>
  </si>
  <si>
    <t>VVQO193R072716</t>
  </si>
  <si>
    <t>VVQO193R072727</t>
  </si>
  <si>
    <t>VVQO173R072705</t>
  </si>
  <si>
    <t>VVQO183R072769</t>
  </si>
  <si>
    <t>VVQO203R072711</t>
  </si>
  <si>
    <t>VVQO193R072766</t>
  </si>
  <si>
    <t>VVQO193R072712</t>
  </si>
  <si>
    <t>VVQO203R072725</t>
  </si>
  <si>
    <t>VVQO183R072711</t>
  </si>
  <si>
    <t>VVQO193R072758</t>
  </si>
  <si>
    <t>VVQO193R072777</t>
  </si>
  <si>
    <t>VVQO203R072743</t>
  </si>
  <si>
    <t>VVQP263R072710</t>
  </si>
  <si>
    <t>VVQP283R072702</t>
  </si>
  <si>
    <t>VVQP263R072709</t>
  </si>
  <si>
    <t>VVQP183R072706</t>
  </si>
  <si>
    <r>
      <rPr>
        <sz val="9"/>
        <rFont val="Calibri"/>
      </rPr>
      <t>Thgian sản xuất</t>
    </r>
  </si>
  <si>
    <t>2026-08-19</t>
  </si>
  <si>
    <t>VWQM2820001E11</t>
  </si>
  <si>
    <t>VJQM2620001E04</t>
  </si>
  <si>
    <t>Coatingroll-CY 200 (2Batch) (+)</t>
  </si>
  <si>
    <t>VVQO1420001E04</t>
  </si>
  <si>
    <t>VWQO1120001E02</t>
  </si>
  <si>
    <t>VVQO173R072737</t>
  </si>
  <si>
    <t>VWQN2320001E16</t>
  </si>
  <si>
    <t>VWQN2620001E10</t>
  </si>
  <si>
    <t>VWQN2720001E09</t>
  </si>
  <si>
    <t>VWQO0820001E08</t>
  </si>
  <si>
    <t>VVQO193R072702</t>
  </si>
  <si>
    <t>VWQN1820001E09</t>
  </si>
  <si>
    <t>VWQO1120001E12</t>
  </si>
  <si>
    <t>VVQO1720001E06</t>
  </si>
  <si>
    <t>VWQO0320001E02</t>
  </si>
  <si>
    <t>VWQO0420001E10</t>
  </si>
  <si>
    <t>VVQO193R072735</t>
  </si>
  <si>
    <t>VWQN3120001E03</t>
  </si>
  <si>
    <t>VVQO193R072745</t>
  </si>
  <si>
    <t>VVQO1120001E13</t>
  </si>
  <si>
    <t>VVQO193R072752</t>
  </si>
  <si>
    <t>VVQO1620001E47</t>
  </si>
  <si>
    <t>VWQO0320001E03</t>
  </si>
  <si>
    <t>VVQO193R072760</t>
  </si>
  <si>
    <t>VVQO193R072762</t>
  </si>
  <si>
    <t>VVQO1520001E42</t>
  </si>
  <si>
    <t>VWQO1220001E02</t>
  </si>
  <si>
    <t>VVQO1620001E09</t>
  </si>
  <si>
    <t>VWQO0920001E11</t>
  </si>
  <si>
    <t>VWQO0420001E15</t>
  </si>
  <si>
    <t>VWQO0220001E03</t>
  </si>
  <si>
    <t>VVQO203R072734</t>
  </si>
  <si>
    <t>VVQO1620001E38</t>
  </si>
  <si>
    <t>VWQO0120001E05</t>
  </si>
  <si>
    <t>VWQO0320001E18</t>
  </si>
  <si>
    <t>VWQN3120001E06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</si>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</sst>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7" formatCode="&quot;n0&quot;"/>
  </numFmts>
  <fonts count="12" x14ac:knownFonts="1">
    <font>
      <sz val="11"/>
      <color theme="1"/>
      <name val="Calibri"/>
      <family val="2"/>
      <scheme val="minor"/>
    </font>
    <font>
      <sz val="9"/>
      <color rgb="FF800000"/>
      <name val="Calibri"/>
      <scheme val="minor"/>
    </font>
    <font>
      <b/>
      <sz val="9"/>
      <color rgb="FF800000"/>
      <name val="Calibri"/>
      <scheme val="minor"/>
    </font>
    <font>
      <sz val="9"/>
      <color rgb="FF000080"/>
      <name val="Calibri"/>
      <scheme val="minor"/>
    </font>
    <font>
      <b/>
      <sz val="11"/>
      <name val="Calibri"/>
      <scheme val="minor"/>
    </font>
    <font>
      <sz val="9"/>
      <name val="Calibri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0" xfId="0" applyNumberFormat="1"/>
    <xf numFmtId="3" fontId="0" fillId="0" borderId="0" xfId="0" applyNumberFormat="1"/>
    <xf numFmtId="0" fontId="0" fillId="0" borderId="2" xfId="0" applyBorder="1"/>
    <xf numFmtId="14" fontId="0" fillId="0" borderId="1" xfId="0" applyNumberFormat="1" applyBorder="1" applyAlignment="1">
      <alignment vertical="center"/>
    </xf>
    <xf numFmtId="167" fontId="4" fillId="0" borderId="1" xfId="0" applyNumberFormat="1" applyFont="1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4" fontId="11" fillId="0" borderId="2" xfId="0" applyNumberFormat="1" applyFont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80A05-847A-49F9-9D03-200EA75A2C63}">
  <sheetPr codeName="Sheet1">
    <tabColor rgb="FFFFC000"/>
  </sheetPr>
  <dimension ref="A1:H49"/>
  <sheetViews>
    <sheetView showGridLines="0" tabSelected="1" topLeftCell="A6" workbookViewId="0">
      <pane xSplit="1" ySplit="1" topLeftCell="B7" activePane="bottomRight" state="frozen"/>
      <selection activeCell="A6" sqref="A6"/>
      <selection pane="topRight" activeCell="B6" sqref="B6"/>
      <selection pane="bottomLeft" activeCell="A7" sqref="A7"/>
      <selection pane="bottomRight" activeCell="J39" sqref="J39"/>
    </sheetView>
  </sheetViews>
  <sheetFormatPr defaultRowHeight="14.4" x14ac:dyDescent="0.3"/>
  <cols>
    <col min="2" max="7" width="19.44140625" customWidth="1"/>
    <col min="8" max="8" width="17.5546875" customWidth="1"/>
  </cols>
  <sheetData>
    <row r="1" spans="1:8" ht="30" hidden="1" customHeight="1" x14ac:dyDescent="0.3">
      <c r="B1" s="9">
        <v>46247</v>
      </c>
      <c r="C1" s="9">
        <v>46248</v>
      </c>
      <c r="D1" s="9">
        <v>46249</v>
      </c>
      <c r="E1" s="9">
        <v>46250</v>
      </c>
      <c r="F1" s="9">
        <v>46251</v>
      </c>
      <c r="G1" s="9">
        <v>46252</v>
      </c>
      <c r="H1" s="9">
        <v>46253</v>
      </c>
    </row>
    <row r="2" spans="1:8" ht="16.2" hidden="1" customHeight="1" x14ac:dyDescent="0.3">
      <c r="A2" t="s">
        <v>46</v>
      </c>
      <c r="B2">
        <f>20704+8476-1074</f>
        <v>28106</v>
      </c>
      <c r="C2">
        <f>18718+7402</f>
        <v>26120</v>
      </c>
      <c r="D2">
        <f>16646+7406</f>
        <v>24052</v>
      </c>
      <c r="E2">
        <f>7428+18692</f>
        <v>26120</v>
      </c>
      <c r="F2">
        <f>19758+7414</f>
        <v>27172</v>
      </c>
      <c r="G2">
        <f>6352+23026</f>
        <v>29378</v>
      </c>
      <c r="H2">
        <f>21788+7426</f>
        <v>29214</v>
      </c>
    </row>
    <row r="3" spans="1:8" ht="16.2" hidden="1" customHeight="1" x14ac:dyDescent="0.3">
      <c r="A3" t="s">
        <v>47</v>
      </c>
      <c r="B3">
        <f>8445+10684</f>
        <v>19129</v>
      </c>
      <c r="C3">
        <f>15650+10691</f>
        <v>26341</v>
      </c>
      <c r="D3">
        <f>11603+11746</f>
        <v>23349</v>
      </c>
      <c r="E3">
        <f>9610+11620</f>
        <v>21230</v>
      </c>
      <c r="F3">
        <f>10537+10654</f>
        <v>21191</v>
      </c>
      <c r="G3">
        <f>12807+14781</f>
        <v>27588</v>
      </c>
      <c r="H3">
        <f>16871+5330</f>
        <v>22201</v>
      </c>
    </row>
    <row r="4" spans="1:8" ht="16.2" hidden="1" customHeight="1" x14ac:dyDescent="0.3">
      <c r="A4" t="s">
        <v>48</v>
      </c>
      <c r="B4">
        <v>10880</v>
      </c>
      <c r="C4" s="10">
        <v>20800</v>
      </c>
      <c r="D4">
        <f>20223</f>
        <v>20223</v>
      </c>
      <c r="E4">
        <f>9617+10672</f>
        <v>20289</v>
      </c>
      <c r="F4">
        <v>9594</v>
      </c>
      <c r="G4">
        <f>17117+1073</f>
        <v>18190</v>
      </c>
      <c r="H4">
        <f>3214+19475</f>
        <v>22689</v>
      </c>
    </row>
    <row r="5" spans="1:8" ht="16.2" hidden="1" customHeight="1" x14ac:dyDescent="0.3">
      <c r="A5" t="s">
        <v>49</v>
      </c>
      <c r="B5" s="10">
        <v>10880</v>
      </c>
      <c r="C5">
        <v>20800</v>
      </c>
      <c r="D5">
        <f>5100+12220</f>
        <v>17320</v>
      </c>
      <c r="E5">
        <f>7140+8160</f>
        <v>15300</v>
      </c>
      <c r="F5">
        <f>10200+14280</f>
        <v>24480</v>
      </c>
      <c r="G5">
        <f>11220+2040</f>
        <v>13260</v>
      </c>
      <c r="H5">
        <f>10200+17340</f>
        <v>27540</v>
      </c>
    </row>
    <row r="6" spans="1:8" ht="30" customHeight="1" x14ac:dyDescent="0.3">
      <c r="A6" s="19" t="s">
        <v>48</v>
      </c>
      <c r="B6" s="18">
        <v>46247</v>
      </c>
      <c r="C6" s="18">
        <v>46248</v>
      </c>
      <c r="D6" s="18">
        <v>46249</v>
      </c>
      <c r="E6" s="18">
        <v>46250</v>
      </c>
      <c r="F6" s="18">
        <v>46251</v>
      </c>
      <c r="G6" s="18">
        <v>46252</v>
      </c>
      <c r="H6" s="18">
        <v>46253</v>
      </c>
    </row>
    <row r="7" spans="1:8" ht="16.2" customHeight="1" x14ac:dyDescent="0.3">
      <c r="A7" s="19"/>
      <c r="B7" s="11" t="s">
        <v>50</v>
      </c>
      <c r="C7" s="11" t="s">
        <v>65</v>
      </c>
      <c r="D7" s="11" t="s">
        <v>65</v>
      </c>
      <c r="E7" s="11" t="s">
        <v>68</v>
      </c>
      <c r="F7" s="11" t="s">
        <v>35</v>
      </c>
      <c r="G7" s="11" t="s">
        <v>92</v>
      </c>
      <c r="H7" s="11" t="s">
        <v>99</v>
      </c>
    </row>
    <row r="8" spans="1:8" ht="16.2" customHeight="1" x14ac:dyDescent="0.3">
      <c r="A8" s="11"/>
      <c r="B8" s="11" t="s">
        <v>53</v>
      </c>
      <c r="C8" s="11" t="s">
        <v>66</v>
      </c>
      <c r="D8" s="11" t="s">
        <v>66</v>
      </c>
      <c r="E8" s="11" t="s">
        <v>64</v>
      </c>
      <c r="F8" s="11" t="s">
        <v>16</v>
      </c>
      <c r="G8" s="11" t="s">
        <v>93</v>
      </c>
      <c r="H8" s="11" t="s">
        <v>100</v>
      </c>
    </row>
    <row r="9" spans="1:8" ht="16.2" customHeight="1" x14ac:dyDescent="0.3">
      <c r="A9" s="11"/>
      <c r="B9" s="11" t="s">
        <v>54</v>
      </c>
      <c r="C9" s="11" t="s">
        <v>67</v>
      </c>
      <c r="D9" s="11" t="s">
        <v>67</v>
      </c>
      <c r="E9" s="11" t="s">
        <v>61</v>
      </c>
      <c r="F9" s="11" t="s">
        <v>21</v>
      </c>
      <c r="G9" s="11" t="s">
        <v>25</v>
      </c>
      <c r="H9" s="11" t="s">
        <v>101</v>
      </c>
    </row>
    <row r="10" spans="1:8" ht="16.2" customHeight="1" x14ac:dyDescent="0.3">
      <c r="A10" s="11"/>
      <c r="B10" s="11" t="s">
        <v>51</v>
      </c>
      <c r="C10" s="11" t="s">
        <v>68</v>
      </c>
      <c r="D10" s="11"/>
      <c r="E10" s="11" t="s">
        <v>69</v>
      </c>
      <c r="F10" s="11" t="s">
        <v>30</v>
      </c>
      <c r="G10" s="11" t="s">
        <v>28</v>
      </c>
      <c r="H10" s="11" t="s">
        <v>102</v>
      </c>
    </row>
    <row r="11" spans="1:8" ht="16.2" customHeight="1" x14ac:dyDescent="0.3">
      <c r="A11" s="11"/>
      <c r="B11" s="11" t="s">
        <v>55</v>
      </c>
      <c r="C11" s="11" t="s">
        <v>64</v>
      </c>
      <c r="D11" s="11"/>
      <c r="E11" s="11" t="s">
        <v>34</v>
      </c>
      <c r="F11" s="11" t="s">
        <v>32</v>
      </c>
      <c r="G11" s="11" t="s">
        <v>26</v>
      </c>
      <c r="H11" s="11"/>
    </row>
    <row r="12" spans="1:8" ht="16.2" customHeight="1" x14ac:dyDescent="0.3">
      <c r="A12" s="11"/>
      <c r="B12" s="11" t="s">
        <v>56</v>
      </c>
      <c r="C12" s="11" t="s">
        <v>61</v>
      </c>
      <c r="D12" s="11"/>
      <c r="E12" s="11"/>
      <c r="F12" s="11" t="s">
        <v>70</v>
      </c>
      <c r="G12" s="11" t="s">
        <v>45</v>
      </c>
      <c r="H12" s="11"/>
    </row>
    <row r="13" spans="1:8" ht="16.2" customHeight="1" x14ac:dyDescent="0.3">
      <c r="A13" s="11"/>
      <c r="B13" s="11" t="s">
        <v>41</v>
      </c>
      <c r="C13" s="11" t="s">
        <v>69</v>
      </c>
      <c r="D13" s="11"/>
      <c r="E13" s="11"/>
      <c r="F13" s="11" t="s">
        <v>27</v>
      </c>
      <c r="G13" s="11"/>
      <c r="H13" s="11"/>
    </row>
    <row r="14" spans="1:8" ht="16.2" customHeight="1" x14ac:dyDescent="0.3">
      <c r="A14" s="11"/>
      <c r="B14" s="11" t="s">
        <v>19</v>
      </c>
      <c r="C14" s="11" t="s">
        <v>34</v>
      </c>
      <c r="D14" s="11"/>
      <c r="E14" s="11"/>
      <c r="F14" s="11" t="s">
        <v>44</v>
      </c>
      <c r="G14" s="11"/>
      <c r="H14" s="11"/>
    </row>
    <row r="15" spans="1:8" ht="16.2" customHeight="1" x14ac:dyDescent="0.3">
      <c r="A15" s="11"/>
      <c r="B15" s="11" t="s">
        <v>57</v>
      </c>
      <c r="C15" s="11" t="s">
        <v>35</v>
      </c>
      <c r="D15" s="11"/>
      <c r="E15" s="11"/>
      <c r="F15" s="11" t="s">
        <v>43</v>
      </c>
      <c r="G15" s="11"/>
      <c r="H15" s="11"/>
    </row>
    <row r="16" spans="1:8" ht="16.2" customHeight="1" x14ac:dyDescent="0.3">
      <c r="A16" s="11"/>
      <c r="B16" s="11" t="s">
        <v>58</v>
      </c>
      <c r="C16" s="11" t="s">
        <v>16</v>
      </c>
      <c r="D16" s="11"/>
      <c r="E16" s="11"/>
      <c r="F16" s="11" t="s">
        <v>71</v>
      </c>
      <c r="G16" s="11"/>
      <c r="H16" s="11"/>
    </row>
    <row r="17" spans="1:8" ht="16.2" customHeight="1" x14ac:dyDescent="0.3">
      <c r="A17" s="11"/>
      <c r="B17" s="11"/>
      <c r="C17" s="11" t="s">
        <v>21</v>
      </c>
      <c r="D17" s="11"/>
      <c r="E17" s="11"/>
      <c r="F17" s="11" t="s">
        <v>72</v>
      </c>
      <c r="G17" s="11"/>
      <c r="H17" s="11"/>
    </row>
    <row r="18" spans="1:8" ht="16.2" customHeight="1" x14ac:dyDescent="0.3">
      <c r="A18" s="11"/>
      <c r="B18" s="11"/>
      <c r="C18" s="11" t="s">
        <v>30</v>
      </c>
      <c r="D18" s="11"/>
      <c r="E18" s="11"/>
      <c r="F18" s="11" t="s">
        <v>40</v>
      </c>
      <c r="G18" s="11"/>
      <c r="H18" s="11"/>
    </row>
    <row r="19" spans="1:8" ht="16.2" customHeight="1" x14ac:dyDescent="0.3">
      <c r="A19" s="11"/>
      <c r="B19" s="11"/>
      <c r="C19" s="11" t="s">
        <v>32</v>
      </c>
      <c r="D19" s="11"/>
      <c r="E19" s="11"/>
      <c r="F19" s="11" t="s">
        <v>89</v>
      </c>
      <c r="G19" s="11"/>
      <c r="H19" s="11"/>
    </row>
    <row r="20" spans="1:8" ht="16.2" customHeight="1" x14ac:dyDescent="0.3">
      <c r="A20" s="11"/>
      <c r="B20" s="11"/>
      <c r="C20" s="11" t="s">
        <v>70</v>
      </c>
      <c r="D20" s="11"/>
      <c r="E20" s="11"/>
      <c r="F20" s="11" t="s">
        <v>90</v>
      </c>
      <c r="G20" s="11"/>
      <c r="H20" s="11"/>
    </row>
    <row r="21" spans="1:8" ht="16.2" customHeight="1" x14ac:dyDescent="0.3">
      <c r="A21" s="11"/>
      <c r="B21" s="11"/>
      <c r="C21" s="11" t="s">
        <v>27</v>
      </c>
      <c r="D21" s="11"/>
      <c r="E21" s="11"/>
      <c r="F21" s="11" t="s">
        <v>91</v>
      </c>
      <c r="G21" s="11"/>
      <c r="H21" s="11"/>
    </row>
    <row r="22" spans="1:8" ht="16.2" customHeight="1" x14ac:dyDescent="0.3">
      <c r="A22" s="11"/>
      <c r="B22" s="11"/>
      <c r="C22" s="11" t="s">
        <v>44</v>
      </c>
      <c r="D22" s="11"/>
      <c r="E22" s="11"/>
      <c r="F22" s="11" t="s">
        <v>29</v>
      </c>
      <c r="G22" s="11"/>
      <c r="H22" s="11"/>
    </row>
    <row r="23" spans="1:8" ht="16.2" customHeight="1" x14ac:dyDescent="0.3">
      <c r="A23" s="11"/>
      <c r="B23" s="11"/>
      <c r="C23" s="11" t="s">
        <v>43</v>
      </c>
      <c r="D23" s="11"/>
      <c r="E23" s="11"/>
      <c r="F23" s="11"/>
      <c r="G23" s="11"/>
      <c r="H23" s="11"/>
    </row>
    <row r="24" spans="1:8" ht="16.2" customHeight="1" x14ac:dyDescent="0.3">
      <c r="A24" s="11"/>
      <c r="B24" s="11"/>
      <c r="C24" s="11" t="s">
        <v>71</v>
      </c>
      <c r="D24" s="11"/>
      <c r="E24" s="11"/>
      <c r="F24" s="11"/>
      <c r="G24" s="11"/>
      <c r="H24" s="11"/>
    </row>
    <row r="25" spans="1:8" ht="16.2" customHeight="1" x14ac:dyDescent="0.3">
      <c r="A25" s="11"/>
      <c r="B25" s="11"/>
      <c r="C25" s="11" t="s">
        <v>72</v>
      </c>
      <c r="D25" s="11"/>
      <c r="E25" s="11"/>
      <c r="F25" s="11"/>
      <c r="G25" s="11"/>
      <c r="H25" s="11"/>
    </row>
    <row r="26" spans="1:8" ht="16.2" customHeight="1" x14ac:dyDescent="0.3">
      <c r="A26" s="11"/>
      <c r="B26" s="11"/>
      <c r="C26" s="11" t="s">
        <v>40</v>
      </c>
      <c r="D26" s="11"/>
      <c r="E26" s="11"/>
      <c r="F26" s="11"/>
      <c r="G26" s="11"/>
      <c r="H26" s="11"/>
    </row>
    <row r="27" spans="1:8" ht="16.2" customHeight="1" x14ac:dyDescent="0.3">
      <c r="A27" s="11"/>
      <c r="B27" s="11"/>
      <c r="C27" s="11" t="s">
        <v>95</v>
      </c>
      <c r="D27" s="11"/>
      <c r="E27" s="11"/>
      <c r="F27" s="11"/>
      <c r="G27" s="11"/>
      <c r="H27" s="11"/>
    </row>
    <row r="28" spans="1:8" ht="16.2" customHeight="1" x14ac:dyDescent="0.3">
      <c r="A28" s="15"/>
      <c r="B28" s="16"/>
      <c r="C28" s="16"/>
      <c r="D28" s="16"/>
      <c r="E28" s="16"/>
      <c r="F28" s="16"/>
      <c r="G28" s="16"/>
      <c r="H28" s="17"/>
    </row>
    <row r="29" spans="1:8" ht="25.8" customHeight="1" x14ac:dyDescent="0.3">
      <c r="A29" s="20" t="s">
        <v>59</v>
      </c>
      <c r="B29" s="18">
        <v>46247</v>
      </c>
      <c r="C29" s="18">
        <v>46248</v>
      </c>
      <c r="D29" s="18">
        <v>46249</v>
      </c>
      <c r="E29" s="18">
        <v>46250</v>
      </c>
      <c r="F29" s="18">
        <v>46251</v>
      </c>
      <c r="G29" s="18">
        <v>46252</v>
      </c>
      <c r="H29" s="18">
        <v>46253</v>
      </c>
    </row>
    <row r="30" spans="1:8" ht="16.2" customHeight="1" x14ac:dyDescent="0.3">
      <c r="A30" s="11"/>
      <c r="B30" s="11" t="s">
        <v>60</v>
      </c>
      <c r="C30" s="11" t="s">
        <v>73</v>
      </c>
      <c r="D30" s="11" t="s">
        <v>51</v>
      </c>
      <c r="E30" s="11" t="s">
        <v>83</v>
      </c>
      <c r="F30" s="11"/>
      <c r="G30" s="11" t="s">
        <v>94</v>
      </c>
      <c r="H30" s="11"/>
    </row>
    <row r="31" spans="1:8" x14ac:dyDescent="0.3">
      <c r="A31" s="11"/>
      <c r="B31" s="11" t="s">
        <v>61</v>
      </c>
      <c r="C31" s="11" t="s">
        <v>74</v>
      </c>
      <c r="D31" s="11" t="s">
        <v>32</v>
      </c>
      <c r="E31" s="11" t="s">
        <v>84</v>
      </c>
      <c r="F31" s="11"/>
      <c r="G31" s="11" t="s">
        <v>88</v>
      </c>
      <c r="H31" s="11"/>
    </row>
    <row r="32" spans="1:8" x14ac:dyDescent="0.3">
      <c r="A32" s="11"/>
      <c r="B32" s="11" t="s">
        <v>62</v>
      </c>
      <c r="C32" s="11" t="s">
        <v>25</v>
      </c>
      <c r="D32" s="11" t="s">
        <v>52</v>
      </c>
      <c r="E32" s="11" t="s">
        <v>55</v>
      </c>
      <c r="F32" s="11"/>
      <c r="G32" s="11" t="s">
        <v>67</v>
      </c>
      <c r="H32" s="11"/>
    </row>
    <row r="33" spans="1:8" x14ac:dyDescent="0.3">
      <c r="A33" s="11"/>
      <c r="B33" s="11" t="s">
        <v>16</v>
      </c>
      <c r="C33" s="11" t="s">
        <v>57</v>
      </c>
      <c r="D33" s="11" t="s">
        <v>81</v>
      </c>
      <c r="E33" s="11" t="s">
        <v>85</v>
      </c>
      <c r="F33" s="11"/>
      <c r="G33" s="11" t="s">
        <v>43</v>
      </c>
      <c r="H33" s="11"/>
    </row>
    <row r="34" spans="1:8" x14ac:dyDescent="0.3">
      <c r="A34" s="11"/>
      <c r="B34" s="11" t="s">
        <v>56</v>
      </c>
      <c r="C34" s="11" t="s">
        <v>69</v>
      </c>
      <c r="D34" s="11" t="s">
        <v>34</v>
      </c>
      <c r="E34" s="11" t="s">
        <v>86</v>
      </c>
      <c r="F34" s="11"/>
      <c r="G34" s="11" t="s">
        <v>96</v>
      </c>
      <c r="H34" s="11"/>
    </row>
    <row r="35" spans="1:8" x14ac:dyDescent="0.3">
      <c r="A35" s="11"/>
      <c r="B35" s="11" t="s">
        <v>63</v>
      </c>
      <c r="C35" s="11" t="s">
        <v>53</v>
      </c>
      <c r="D35" s="11" t="s">
        <v>82</v>
      </c>
      <c r="E35" s="11" t="s">
        <v>87</v>
      </c>
      <c r="F35" s="11"/>
      <c r="G35" s="11" t="s">
        <v>54</v>
      </c>
      <c r="H35" s="11"/>
    </row>
    <row r="36" spans="1:8" x14ac:dyDescent="0.3">
      <c r="A36" s="11"/>
      <c r="B36" s="11" t="s">
        <v>19</v>
      </c>
      <c r="C36" s="11" t="s">
        <v>75</v>
      </c>
      <c r="D36" s="11" t="s">
        <v>35</v>
      </c>
      <c r="E36" s="11" t="s">
        <v>37</v>
      </c>
      <c r="F36" s="11"/>
      <c r="G36" s="11" t="s">
        <v>44</v>
      </c>
      <c r="H36" s="11"/>
    </row>
    <row r="37" spans="1:8" x14ac:dyDescent="0.3">
      <c r="A37" s="11"/>
      <c r="B37" s="11" t="s">
        <v>64</v>
      </c>
      <c r="C37" s="11" t="s">
        <v>26</v>
      </c>
      <c r="D37" s="11"/>
      <c r="E37" s="11" t="s">
        <v>39</v>
      </c>
      <c r="F37" s="11"/>
      <c r="G37" s="11" t="s">
        <v>68</v>
      </c>
      <c r="H37" s="11"/>
    </row>
    <row r="38" spans="1:8" x14ac:dyDescent="0.3">
      <c r="A38" s="11"/>
      <c r="B38" s="11" t="s">
        <v>21</v>
      </c>
      <c r="C38" s="11" t="s">
        <v>76</v>
      </c>
      <c r="D38" s="11"/>
      <c r="E38" s="11" t="s">
        <v>40</v>
      </c>
      <c r="F38" s="11"/>
      <c r="G38" s="11" t="s">
        <v>97</v>
      </c>
      <c r="H38" s="11"/>
    </row>
    <row r="39" spans="1:8" x14ac:dyDescent="0.3">
      <c r="A39" s="11"/>
      <c r="B39" s="11" t="s">
        <v>24</v>
      </c>
      <c r="C39" s="11" t="s">
        <v>27</v>
      </c>
      <c r="D39" s="11"/>
      <c r="E39" s="11" t="s">
        <v>88</v>
      </c>
      <c r="F39" s="11"/>
      <c r="G39" s="11" t="s">
        <v>45</v>
      </c>
      <c r="H39" s="11"/>
    </row>
    <row r="40" spans="1:8" x14ac:dyDescent="0.3">
      <c r="A40" s="11"/>
      <c r="B40" s="11"/>
      <c r="C40" s="11" t="s">
        <v>77</v>
      </c>
      <c r="D40" s="11"/>
      <c r="E40" s="11"/>
      <c r="F40" s="11"/>
      <c r="G40" s="11" t="s">
        <v>98</v>
      </c>
      <c r="H40" s="11"/>
    </row>
    <row r="41" spans="1:8" x14ac:dyDescent="0.3">
      <c r="A41" s="11"/>
      <c r="B41" s="11"/>
      <c r="C41" s="11" t="s">
        <v>78</v>
      </c>
      <c r="D41" s="11"/>
      <c r="E41" s="11"/>
      <c r="F41" s="11"/>
      <c r="G41" s="11"/>
      <c r="H41" s="11"/>
    </row>
    <row r="42" spans="1:8" x14ac:dyDescent="0.3">
      <c r="A42" s="11"/>
      <c r="B42" s="11"/>
      <c r="C42" s="11" t="s">
        <v>28</v>
      </c>
      <c r="D42" s="11"/>
      <c r="E42" s="11"/>
      <c r="F42" s="11"/>
      <c r="G42" s="11"/>
      <c r="H42" s="11"/>
    </row>
    <row r="43" spans="1:8" x14ac:dyDescent="0.3">
      <c r="A43" s="11"/>
      <c r="B43" s="11"/>
      <c r="C43" s="11" t="s">
        <v>29</v>
      </c>
      <c r="D43" s="11"/>
      <c r="E43" s="11"/>
      <c r="F43" s="11"/>
      <c r="G43" s="11"/>
      <c r="H43" s="11"/>
    </row>
    <row r="44" spans="1:8" x14ac:dyDescent="0.3">
      <c r="A44" s="11"/>
      <c r="B44" s="11"/>
      <c r="C44" s="11" t="s">
        <v>58</v>
      </c>
      <c r="D44" s="11"/>
      <c r="E44" s="11"/>
      <c r="F44" s="11"/>
      <c r="G44" s="11"/>
      <c r="H44" s="11"/>
    </row>
    <row r="45" spans="1:8" x14ac:dyDescent="0.3">
      <c r="A45" s="11"/>
      <c r="B45" s="11"/>
      <c r="C45" s="11" t="s">
        <v>66</v>
      </c>
      <c r="D45" s="11"/>
      <c r="E45" s="11"/>
      <c r="F45" s="11"/>
      <c r="G45" s="11"/>
      <c r="H45" s="11"/>
    </row>
    <row r="46" spans="1:8" x14ac:dyDescent="0.3">
      <c r="A46" s="11"/>
      <c r="B46" s="11"/>
      <c r="C46" s="11" t="s">
        <v>79</v>
      </c>
      <c r="D46" s="11"/>
      <c r="E46" s="11"/>
      <c r="F46" s="11"/>
      <c r="G46" s="11"/>
      <c r="H46" s="11"/>
    </row>
    <row r="47" spans="1:8" x14ac:dyDescent="0.3">
      <c r="A47" s="11"/>
      <c r="B47" s="11"/>
      <c r="C47" s="11" t="s">
        <v>30</v>
      </c>
      <c r="D47" s="11"/>
      <c r="E47" s="11"/>
      <c r="F47" s="11"/>
      <c r="G47" s="11"/>
      <c r="H47" s="11"/>
    </row>
    <row r="48" spans="1:8" x14ac:dyDescent="0.3">
      <c r="A48" s="11"/>
      <c r="B48" s="11"/>
      <c r="C48" s="11" t="s">
        <v>80</v>
      </c>
      <c r="D48" s="11"/>
      <c r="E48" s="11"/>
      <c r="F48" s="11"/>
      <c r="G48" s="11"/>
      <c r="H48" s="11"/>
    </row>
    <row r="49" spans="1:8" x14ac:dyDescent="0.3">
      <c r="A49" s="11"/>
      <c r="B49" s="11"/>
      <c r="C49" s="11" t="s">
        <v>31</v>
      </c>
      <c r="D49" s="11"/>
      <c r="E49" s="11"/>
      <c r="F49" s="11"/>
      <c r="G49" s="11"/>
      <c r="H49" s="11"/>
    </row>
  </sheetData>
  <mergeCells count="2">
    <mergeCell ref="A6:A7"/>
    <mergeCell ref="A28:H28"/>
  </mergeCells>
  <phoneticPr fontId="8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6A729-1DED-450A-8307-3895F82D2D5B}">
  <sheetPr codeName="Sheet2">
    <tabColor rgb="FF00B0F0"/>
    <outlinePr summaryBelow="0" summaryRight="0"/>
  </sheetPr>
  <dimension ref="A1:Q19"/>
  <sheetViews>
    <sheetView workbookViewId="0">
      <pane ySplit="1" topLeftCell="A2" activePane="bottomLeft" state="frozen"/>
      <selection pane="bottomLeft" activeCell="G27" sqref="G27"/>
    </sheetView>
  </sheetViews>
  <sheetFormatPr defaultRowHeight="14.4" x14ac:dyDescent="0.3"/>
  <cols>
    <col min="1" max="1" width="11.44140625" style="1" customWidth="1"/>
    <col min="2" max="3" width="17.109375" style="1" customWidth="1"/>
    <col min="4" max="4" width="25.6640625" style="1" customWidth="1"/>
    <col min="5" max="5" width="10.6640625" style="1" customWidth="1"/>
    <col min="6" max="6" width="11.44140625" style="1" customWidth="1"/>
    <col min="7" max="7" width="15" style="1" customWidth="1"/>
    <col min="8" max="8" width="21.44140625" style="12" customWidth="1"/>
    <col min="9" max="9" width="7.44140625" style="1" customWidth="1"/>
    <col min="10" max="10" width="7.5546875" style="1" customWidth="1"/>
    <col min="11" max="12" width="7.44140625" style="1" customWidth="1"/>
    <col min="13" max="13" width="7.5546875" style="1" customWidth="1"/>
    <col min="14" max="14" width="16.109375" style="1" customWidth="1"/>
    <col min="15" max="15" width="31.44140625" style="1" customWidth="1"/>
    <col min="16" max="16" width="16.44140625" style="1" customWidth="1"/>
    <col min="17" max="17" width="27" style="1" customWidth="1"/>
  </cols>
  <sheetData>
    <row r="1" spans="1:17" x14ac:dyDescent="0.3">
      <c r="A1" s="4" t="s">
        <v>141</v>
      </c>
      <c r="B1" s="5" t="s">
        <v>0</v>
      </c>
      <c r="C1" s="5" t="s">
        <v>1</v>
      </c>
      <c r="D1" s="5" t="s">
        <v>2</v>
      </c>
      <c r="E1" s="7" t="s">
        <v>3</v>
      </c>
      <c r="F1" s="5" t="s">
        <v>4</v>
      </c>
      <c r="G1" s="7" t="s">
        <v>5</v>
      </c>
      <c r="H1" s="6" t="s">
        <v>103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6" t="s">
        <v>11</v>
      </c>
      <c r="O1" s="6" t="s">
        <v>12</v>
      </c>
      <c r="P1" s="6" t="s">
        <v>13</v>
      </c>
      <c r="Q1" s="6" t="s">
        <v>14</v>
      </c>
    </row>
    <row r="2" spans="1:17" x14ac:dyDescent="0.3">
      <c r="A2" s="8">
        <v>1</v>
      </c>
      <c r="B2" s="8" t="s">
        <v>70</v>
      </c>
      <c r="C2" s="8" t="s">
        <v>17</v>
      </c>
      <c r="D2" s="8" t="s">
        <v>18</v>
      </c>
      <c r="E2" s="8" t="s">
        <v>104</v>
      </c>
      <c r="F2" s="8">
        <v>1020</v>
      </c>
      <c r="G2" s="8">
        <v>4039.5498600000001</v>
      </c>
      <c r="H2" s="14">
        <v>46253.996748460646</v>
      </c>
      <c r="I2" s="8" t="s">
        <v>15</v>
      </c>
      <c r="J2" s="8" t="s">
        <v>15</v>
      </c>
      <c r="K2" s="8" t="s">
        <v>15</v>
      </c>
      <c r="L2" s="8" t="s">
        <v>15</v>
      </c>
      <c r="M2" s="8" t="s">
        <v>15</v>
      </c>
      <c r="N2" s="8" t="s">
        <v>105</v>
      </c>
      <c r="O2" s="8" t="s">
        <v>22</v>
      </c>
      <c r="P2" s="8" t="s">
        <v>106</v>
      </c>
      <c r="Q2" s="8" t="s">
        <v>107</v>
      </c>
    </row>
    <row r="3" spans="1:17" x14ac:dyDescent="0.3">
      <c r="A3" s="8">
        <v>2</v>
      </c>
      <c r="B3" s="8" t="s">
        <v>89</v>
      </c>
      <c r="C3" s="8" t="s">
        <v>17</v>
      </c>
      <c r="D3" s="8" t="s">
        <v>18</v>
      </c>
      <c r="E3" s="8" t="s">
        <v>104</v>
      </c>
      <c r="F3" s="8">
        <v>1020</v>
      </c>
      <c r="G3" s="8">
        <v>4039.5498600000001</v>
      </c>
      <c r="H3" s="14">
        <v>46253.991783217592</v>
      </c>
      <c r="I3" s="8">
        <v>0</v>
      </c>
      <c r="J3" s="8">
        <v>0</v>
      </c>
      <c r="K3" s="8">
        <v>0</v>
      </c>
      <c r="L3" s="8">
        <v>1020</v>
      </c>
      <c r="M3" s="8">
        <v>0</v>
      </c>
      <c r="N3" s="8" t="s">
        <v>108</v>
      </c>
      <c r="O3" s="8" t="s">
        <v>20</v>
      </c>
      <c r="P3" s="8" t="s">
        <v>109</v>
      </c>
      <c r="Q3" s="8" t="s">
        <v>23</v>
      </c>
    </row>
    <row r="4" spans="1:17" x14ac:dyDescent="0.3">
      <c r="A4" s="8">
        <v>3</v>
      </c>
      <c r="B4" s="8" t="s">
        <v>110</v>
      </c>
      <c r="C4" s="8" t="s">
        <v>17</v>
      </c>
      <c r="D4" s="8" t="s">
        <v>18</v>
      </c>
      <c r="E4" s="8" t="s">
        <v>104</v>
      </c>
      <c r="F4" s="8">
        <v>1020</v>
      </c>
      <c r="G4" s="8">
        <v>4039.5498600000001</v>
      </c>
      <c r="H4" s="14">
        <v>46254.296673842589</v>
      </c>
      <c r="I4" s="8">
        <v>0</v>
      </c>
      <c r="J4" s="8">
        <v>0</v>
      </c>
      <c r="K4" s="8">
        <v>1020</v>
      </c>
      <c r="L4" s="8">
        <v>0</v>
      </c>
      <c r="M4" s="8">
        <v>0</v>
      </c>
      <c r="N4" s="8" t="s">
        <v>111</v>
      </c>
      <c r="O4" s="8" t="s">
        <v>22</v>
      </c>
      <c r="P4" s="8" t="s">
        <v>112</v>
      </c>
      <c r="Q4" s="8" t="s">
        <v>23</v>
      </c>
    </row>
    <row r="5" spans="1:17" x14ac:dyDescent="0.3">
      <c r="A5" s="8">
        <v>4</v>
      </c>
      <c r="B5" s="8" t="s">
        <v>95</v>
      </c>
      <c r="C5" s="8" t="s">
        <v>17</v>
      </c>
      <c r="D5" s="8" t="s">
        <v>18</v>
      </c>
      <c r="E5" s="8" t="s">
        <v>104</v>
      </c>
      <c r="F5" s="8">
        <v>1020</v>
      </c>
      <c r="G5" s="8">
        <v>4039.5498600000001</v>
      </c>
      <c r="H5" s="14">
        <v>46253.339510532409</v>
      </c>
      <c r="I5" s="8">
        <v>0</v>
      </c>
      <c r="J5" s="8">
        <v>0</v>
      </c>
      <c r="K5" s="8">
        <v>0</v>
      </c>
      <c r="L5" s="8">
        <v>1020</v>
      </c>
      <c r="M5" s="8">
        <v>0</v>
      </c>
      <c r="N5" s="8" t="s">
        <v>33</v>
      </c>
      <c r="O5" s="8" t="s">
        <v>22</v>
      </c>
      <c r="P5" s="8" t="s">
        <v>113</v>
      </c>
      <c r="Q5" s="8" t="s">
        <v>23</v>
      </c>
    </row>
    <row r="6" spans="1:17" x14ac:dyDescent="0.3">
      <c r="A6" s="8">
        <v>5</v>
      </c>
      <c r="B6" s="8" t="s">
        <v>90</v>
      </c>
      <c r="C6" s="8" t="s">
        <v>17</v>
      </c>
      <c r="D6" s="8" t="s">
        <v>18</v>
      </c>
      <c r="E6" s="8" t="s">
        <v>104</v>
      </c>
      <c r="F6" s="8">
        <v>1020</v>
      </c>
      <c r="G6" s="8">
        <v>4039.5498600000001</v>
      </c>
      <c r="H6" s="14">
        <v>46254.150281631941</v>
      </c>
      <c r="I6" s="8">
        <v>0</v>
      </c>
      <c r="J6" s="8">
        <v>0</v>
      </c>
      <c r="K6" s="8">
        <v>0</v>
      </c>
      <c r="L6" s="8">
        <v>1020</v>
      </c>
      <c r="M6" s="8">
        <v>0</v>
      </c>
      <c r="N6" s="8" t="s">
        <v>36</v>
      </c>
      <c r="O6" s="8" t="s">
        <v>22</v>
      </c>
      <c r="P6" s="8" t="s">
        <v>114</v>
      </c>
      <c r="Q6" s="8" t="s">
        <v>23</v>
      </c>
    </row>
    <row r="7" spans="1:17" x14ac:dyDescent="0.3">
      <c r="A7" s="8">
        <v>6</v>
      </c>
      <c r="B7" s="8" t="s">
        <v>115</v>
      </c>
      <c r="C7" s="8" t="s">
        <v>17</v>
      </c>
      <c r="D7" s="8" t="s">
        <v>18</v>
      </c>
      <c r="E7" s="8" t="s">
        <v>104</v>
      </c>
      <c r="F7" s="8">
        <v>1020</v>
      </c>
      <c r="G7" s="8">
        <v>4039.5498600000001</v>
      </c>
      <c r="H7" s="14">
        <v>46253.438686539354</v>
      </c>
      <c r="I7" s="8">
        <v>0</v>
      </c>
      <c r="J7" s="8">
        <v>0</v>
      </c>
      <c r="K7" s="8">
        <v>0</v>
      </c>
      <c r="L7" s="8">
        <v>1020</v>
      </c>
      <c r="M7" s="8">
        <v>0</v>
      </c>
      <c r="N7" s="8" t="s">
        <v>116</v>
      </c>
      <c r="O7" s="8" t="s">
        <v>22</v>
      </c>
      <c r="P7" s="8" t="s">
        <v>117</v>
      </c>
      <c r="Q7" s="8" t="s">
        <v>23</v>
      </c>
    </row>
    <row r="8" spans="1:17" x14ac:dyDescent="0.3">
      <c r="A8" s="8">
        <v>7</v>
      </c>
      <c r="B8" s="8" t="s">
        <v>65</v>
      </c>
      <c r="C8" s="8" t="s">
        <v>17</v>
      </c>
      <c r="D8" s="8" t="s">
        <v>18</v>
      </c>
      <c r="E8" s="8" t="s">
        <v>104</v>
      </c>
      <c r="F8" s="8">
        <v>1020</v>
      </c>
      <c r="G8" s="8">
        <v>4039.5498600000001</v>
      </c>
      <c r="H8" s="14">
        <v>46253.898147222222</v>
      </c>
      <c r="I8" s="8">
        <v>0</v>
      </c>
      <c r="J8" s="8">
        <v>0</v>
      </c>
      <c r="K8" s="8">
        <v>0</v>
      </c>
      <c r="L8" s="8">
        <v>1020</v>
      </c>
      <c r="M8" s="8">
        <v>0</v>
      </c>
      <c r="N8" s="8" t="s">
        <v>118</v>
      </c>
      <c r="O8" s="8" t="s">
        <v>20</v>
      </c>
      <c r="P8" s="8" t="s">
        <v>119</v>
      </c>
      <c r="Q8" s="8" t="s">
        <v>23</v>
      </c>
    </row>
    <row r="9" spans="1:17" x14ac:dyDescent="0.3">
      <c r="A9" s="8">
        <v>8</v>
      </c>
      <c r="B9" s="8" t="s">
        <v>93</v>
      </c>
      <c r="C9" s="8" t="s">
        <v>17</v>
      </c>
      <c r="D9" s="8" t="s">
        <v>18</v>
      </c>
      <c r="E9" s="8" t="s">
        <v>104</v>
      </c>
      <c r="F9" s="8">
        <v>1020</v>
      </c>
      <c r="G9" s="8">
        <v>4039.5498600000001</v>
      </c>
      <c r="H9" s="14">
        <v>46253.578923067129</v>
      </c>
      <c r="I9" s="8">
        <v>0</v>
      </c>
      <c r="J9" s="8">
        <v>0</v>
      </c>
      <c r="K9" s="8">
        <v>0</v>
      </c>
      <c r="L9" s="8">
        <v>1020</v>
      </c>
      <c r="M9" s="8">
        <v>0</v>
      </c>
      <c r="N9" s="8" t="s">
        <v>38</v>
      </c>
      <c r="O9" s="8" t="s">
        <v>22</v>
      </c>
      <c r="P9" s="8" t="s">
        <v>120</v>
      </c>
      <c r="Q9" s="8" t="s">
        <v>23</v>
      </c>
    </row>
    <row r="10" spans="1:17" x14ac:dyDescent="0.3">
      <c r="A10" s="8">
        <v>9</v>
      </c>
      <c r="B10" s="8" t="s">
        <v>121</v>
      </c>
      <c r="C10" s="8" t="s">
        <v>17</v>
      </c>
      <c r="D10" s="8" t="s">
        <v>18</v>
      </c>
      <c r="E10" s="8" t="s">
        <v>104</v>
      </c>
      <c r="F10" s="8">
        <v>1020</v>
      </c>
      <c r="G10" s="8">
        <v>4039.5498600000001</v>
      </c>
      <c r="H10" s="14">
        <v>46253.435084988421</v>
      </c>
      <c r="I10" s="8">
        <v>0</v>
      </c>
      <c r="J10" s="8">
        <v>0</v>
      </c>
      <c r="K10" s="8">
        <v>0</v>
      </c>
      <c r="L10" s="8">
        <v>1020</v>
      </c>
      <c r="M10" s="8">
        <v>0</v>
      </c>
      <c r="N10" s="8" t="s">
        <v>42</v>
      </c>
      <c r="O10" s="8" t="s">
        <v>20</v>
      </c>
      <c r="P10" s="8" t="s">
        <v>122</v>
      </c>
      <c r="Q10" s="8" t="s">
        <v>23</v>
      </c>
    </row>
    <row r="11" spans="1:17" x14ac:dyDescent="0.3">
      <c r="A11" s="8">
        <v>10</v>
      </c>
      <c r="B11" s="8" t="s">
        <v>123</v>
      </c>
      <c r="C11" s="8" t="s">
        <v>17</v>
      </c>
      <c r="D11" s="8" t="s">
        <v>18</v>
      </c>
      <c r="E11" s="8" t="s">
        <v>104</v>
      </c>
      <c r="F11" s="8">
        <v>1020</v>
      </c>
      <c r="G11" s="8">
        <v>4039.5498600000001</v>
      </c>
      <c r="H11" s="14">
        <v>46253.607216898148</v>
      </c>
      <c r="I11" s="8">
        <v>0</v>
      </c>
      <c r="J11" s="8">
        <v>0</v>
      </c>
      <c r="K11" s="8">
        <v>1020</v>
      </c>
      <c r="L11" s="8">
        <v>0</v>
      </c>
      <c r="M11" s="8">
        <v>0</v>
      </c>
      <c r="N11" s="8" t="s">
        <v>124</v>
      </c>
      <c r="O11" s="8" t="s">
        <v>20</v>
      </c>
      <c r="P11" s="8" t="s">
        <v>119</v>
      </c>
      <c r="Q11" s="8" t="s">
        <v>23</v>
      </c>
    </row>
    <row r="12" spans="1:17" x14ac:dyDescent="0.3">
      <c r="A12" s="8">
        <v>11</v>
      </c>
      <c r="B12" s="8" t="s">
        <v>125</v>
      </c>
      <c r="C12" s="8" t="s">
        <v>17</v>
      </c>
      <c r="D12" s="8" t="s">
        <v>18</v>
      </c>
      <c r="E12" s="8" t="s">
        <v>104</v>
      </c>
      <c r="F12" s="8">
        <v>1020</v>
      </c>
      <c r="G12" s="8">
        <v>4039.5498600000001</v>
      </c>
      <c r="H12" s="14">
        <v>46253.665826157405</v>
      </c>
      <c r="I12" s="8">
        <v>0</v>
      </c>
      <c r="J12" s="8">
        <v>0</v>
      </c>
      <c r="K12" s="8">
        <v>1020</v>
      </c>
      <c r="L12" s="8">
        <v>0</v>
      </c>
      <c r="M12" s="8">
        <v>0</v>
      </c>
      <c r="N12" s="8" t="s">
        <v>126</v>
      </c>
      <c r="O12" s="8" t="s">
        <v>20</v>
      </c>
      <c r="P12" s="8" t="s">
        <v>127</v>
      </c>
      <c r="Q12" s="8" t="s">
        <v>23</v>
      </c>
    </row>
    <row r="13" spans="1:17" x14ac:dyDescent="0.3">
      <c r="A13" s="8">
        <v>12</v>
      </c>
      <c r="B13" s="8" t="s">
        <v>128</v>
      </c>
      <c r="C13" s="8" t="s">
        <v>17</v>
      </c>
      <c r="D13" s="8" t="s">
        <v>18</v>
      </c>
      <c r="E13" s="8" t="s">
        <v>104</v>
      </c>
      <c r="F13" s="8">
        <v>1020</v>
      </c>
      <c r="G13" s="8">
        <v>4039.5498600000001</v>
      </c>
      <c r="H13" s="14">
        <v>46253.558230787035</v>
      </c>
      <c r="I13" s="8">
        <v>0</v>
      </c>
      <c r="J13" s="8">
        <v>0</v>
      </c>
      <c r="K13" s="8">
        <v>0</v>
      </c>
      <c r="L13" s="8">
        <v>1020</v>
      </c>
      <c r="M13" s="8">
        <v>0</v>
      </c>
      <c r="N13" s="8" t="s">
        <v>15</v>
      </c>
      <c r="O13" s="8" t="s">
        <v>15</v>
      </c>
      <c r="P13" s="8" t="s">
        <v>15</v>
      </c>
      <c r="Q13" s="8" t="s">
        <v>15</v>
      </c>
    </row>
    <row r="14" spans="1:17" x14ac:dyDescent="0.3">
      <c r="A14" s="8">
        <v>13</v>
      </c>
      <c r="B14" s="8" t="s">
        <v>129</v>
      </c>
      <c r="C14" s="8" t="s">
        <v>17</v>
      </c>
      <c r="D14" s="8" t="s">
        <v>18</v>
      </c>
      <c r="E14" s="8" t="s">
        <v>104</v>
      </c>
      <c r="F14" s="8">
        <v>1020</v>
      </c>
      <c r="G14" s="8">
        <v>4039.5498600000001</v>
      </c>
      <c r="H14" s="14">
        <v>46254.262701388885</v>
      </c>
      <c r="I14" s="8">
        <v>0</v>
      </c>
      <c r="J14" s="8">
        <v>0</v>
      </c>
      <c r="K14" s="8">
        <v>1020</v>
      </c>
      <c r="L14" s="8">
        <v>0</v>
      </c>
      <c r="M14" s="8">
        <v>0</v>
      </c>
      <c r="N14" s="8" t="s">
        <v>130</v>
      </c>
      <c r="O14" s="8" t="s">
        <v>20</v>
      </c>
      <c r="P14" s="8" t="s">
        <v>131</v>
      </c>
      <c r="Q14" s="8" t="s">
        <v>23</v>
      </c>
    </row>
    <row r="15" spans="1:17" x14ac:dyDescent="0.3">
      <c r="A15" s="8">
        <v>14</v>
      </c>
      <c r="B15" s="8" t="s">
        <v>92</v>
      </c>
      <c r="C15" s="8" t="s">
        <v>17</v>
      </c>
      <c r="D15" s="8" t="s">
        <v>18</v>
      </c>
      <c r="E15" s="8" t="s">
        <v>104</v>
      </c>
      <c r="F15" s="8">
        <v>1020</v>
      </c>
      <c r="G15" s="8">
        <v>4039.5498600000001</v>
      </c>
      <c r="H15" s="14">
        <v>46253.89591663194</v>
      </c>
      <c r="I15" s="8" t="s">
        <v>15</v>
      </c>
      <c r="J15" s="8" t="s">
        <v>15</v>
      </c>
      <c r="K15" s="8" t="s">
        <v>15</v>
      </c>
      <c r="L15" s="8" t="s">
        <v>15</v>
      </c>
      <c r="M15" s="8" t="s">
        <v>15</v>
      </c>
      <c r="N15" s="8" t="s">
        <v>132</v>
      </c>
      <c r="O15" s="8" t="s">
        <v>20</v>
      </c>
      <c r="P15" s="8" t="s">
        <v>133</v>
      </c>
      <c r="Q15" s="8" t="s">
        <v>23</v>
      </c>
    </row>
    <row r="16" spans="1:17" x14ac:dyDescent="0.3">
      <c r="A16" s="8">
        <v>15</v>
      </c>
      <c r="B16" s="8" t="s">
        <v>91</v>
      </c>
      <c r="C16" s="8" t="s">
        <v>17</v>
      </c>
      <c r="D16" s="8" t="s">
        <v>18</v>
      </c>
      <c r="E16" s="8" t="s">
        <v>104</v>
      </c>
      <c r="F16" s="8">
        <v>1020</v>
      </c>
      <c r="G16" s="8">
        <v>4039.5498600000001</v>
      </c>
      <c r="H16" s="14">
        <v>46254.303579016203</v>
      </c>
      <c r="I16" s="8">
        <v>0</v>
      </c>
      <c r="J16" s="8">
        <v>0</v>
      </c>
      <c r="K16" s="8">
        <v>0</v>
      </c>
      <c r="L16" s="8">
        <v>1020</v>
      </c>
      <c r="M16" s="8">
        <v>0</v>
      </c>
      <c r="N16" s="8" t="s">
        <v>134</v>
      </c>
      <c r="O16" s="8" t="s">
        <v>22</v>
      </c>
      <c r="P16" s="8" t="s">
        <v>135</v>
      </c>
      <c r="Q16" s="8" t="s">
        <v>23</v>
      </c>
    </row>
    <row r="17" spans="1:17" x14ac:dyDescent="0.3">
      <c r="A17" s="8">
        <v>16</v>
      </c>
      <c r="B17" s="8" t="s">
        <v>136</v>
      </c>
      <c r="C17" s="8" t="s">
        <v>17</v>
      </c>
      <c r="D17" s="8" t="s">
        <v>18</v>
      </c>
      <c r="E17" s="8" t="s">
        <v>104</v>
      </c>
      <c r="F17" s="8">
        <v>1020</v>
      </c>
      <c r="G17" s="8">
        <v>4039.5498600000001</v>
      </c>
      <c r="H17" s="14">
        <v>46253.579515127312</v>
      </c>
      <c r="I17" s="8">
        <v>0</v>
      </c>
      <c r="J17" s="8">
        <v>0</v>
      </c>
      <c r="K17" s="8">
        <v>1020</v>
      </c>
      <c r="L17" s="8">
        <v>0</v>
      </c>
      <c r="M17" s="8">
        <v>0</v>
      </c>
      <c r="N17" s="8" t="s">
        <v>137</v>
      </c>
      <c r="O17" s="8" t="s">
        <v>20</v>
      </c>
      <c r="P17" s="8" t="s">
        <v>138</v>
      </c>
      <c r="Q17" s="8" t="s">
        <v>23</v>
      </c>
    </row>
    <row r="18" spans="1:17" x14ac:dyDescent="0.3">
      <c r="A18" s="8">
        <v>17</v>
      </c>
      <c r="B18" s="8" t="s">
        <v>71</v>
      </c>
      <c r="C18" s="8" t="s">
        <v>17</v>
      </c>
      <c r="D18" s="8" t="s">
        <v>18</v>
      </c>
      <c r="E18" s="8" t="s">
        <v>104</v>
      </c>
      <c r="F18" s="8">
        <v>1020</v>
      </c>
      <c r="G18" s="8">
        <v>4039.5498600000001</v>
      </c>
      <c r="H18" s="14">
        <v>46253.436312499995</v>
      </c>
      <c r="I18" s="8">
        <v>0</v>
      </c>
      <c r="J18" s="8">
        <v>0</v>
      </c>
      <c r="K18" s="8">
        <v>0</v>
      </c>
      <c r="L18" s="8">
        <v>1020</v>
      </c>
      <c r="M18" s="8">
        <v>0</v>
      </c>
      <c r="N18" s="8" t="s">
        <v>139</v>
      </c>
      <c r="O18" s="8" t="s">
        <v>22</v>
      </c>
      <c r="P18" s="8" t="s">
        <v>140</v>
      </c>
      <c r="Q18" s="8" t="s">
        <v>23</v>
      </c>
    </row>
    <row r="19" spans="1:17" x14ac:dyDescent="0.3">
      <c r="A19" s="2"/>
      <c r="B19" s="2"/>
      <c r="C19" s="2"/>
      <c r="D19" s="2"/>
      <c r="E19" s="2"/>
      <c r="F19" s="3" t="str">
        <f>CONCATENATE("SUM=",IF(SUBTOTAL(9,F2:F18)=TRUNC(SUBTOTAL(9,F2:F18)),TEXT(SUBTOTAL(9,F2:F18), "0"),TEXT(SUBTOTAL(9,F2:F18), "0.##")),"")</f>
        <v>SUM=17340</v>
      </c>
      <c r="G19" s="3" t="str">
        <f>CONCATENATE("SUM=",IF(SUBTOTAL(9,G2:G18)=TRUNC(SUBTOTAL(9,G2:G18)),TEXT(SUBTOTAL(9,G2:G18), "0"),TEXT(SUBTOTAL(9,G2:G18), "0.##")),"")</f>
        <v>SUM=68672.35</v>
      </c>
      <c r="H19" s="13"/>
      <c r="I19" s="2"/>
      <c r="J19" s="2"/>
      <c r="K19" s="2"/>
      <c r="L19" s="2"/>
      <c r="M19" s="2"/>
      <c r="N19" s="2"/>
      <c r="O19" s="2"/>
      <c r="P19" s="2"/>
      <c r="Q19" s="2"/>
    </row>
  </sheetData>
  <autoFilter ref="A1:Q18" xr:uid="{00000000-0009-0000-0000-000000000000}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Chuyển công đoạn Aging ,packing</vt:lpstr>
      <vt:lpstr>Chuyển sang 781 ( 19.08) 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2026-08-19T06:54:24Z</dcterms:created>
  <dcterms:modified xsi:type="dcterms:W3CDTF">2026-08-20T03:23:13Z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19.2.3.0</vt:lpwstr>
  </property>
</Properties>
</file>