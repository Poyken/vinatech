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roup Sharing\EA team\Hải Triều\"/>
    </mc:Choice>
  </mc:AlternateContent>
  <xr:revisionPtr revIDLastSave="0" documentId="13_ncr:1_{8610C6D1-2A93-4C3A-AEF9-2C9CFCFE2069}" xr6:coauthVersionLast="47" xr6:coauthVersionMax="47" xr10:uidLastSave="{00000000-0000-0000-0000-000000000000}"/>
  <bookViews>
    <workbookView xWindow="28680" yWindow="-120" windowWidth="29040" windowHeight="15840" xr2:uid="{C1BDED4F-3EC1-4343-9BFC-5558A6A458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E14" i="1"/>
  <c r="E15" i="1"/>
  <c r="E16" i="1"/>
  <c r="E17" i="1"/>
  <c r="E18" i="1"/>
  <c r="E13" i="1"/>
  <c r="E12" i="1"/>
  <c r="E11" i="1"/>
  <c r="E10" i="1"/>
  <c r="E9" i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F3" i="1"/>
  <c r="F4" i="1" s="1"/>
</calcChain>
</file>

<file path=xl/sharedStrings.xml><?xml version="1.0" encoding="utf-8"?>
<sst xmlns="http://schemas.openxmlformats.org/spreadsheetml/2006/main" count="33" uniqueCount="24">
  <si>
    <t>Project Leader</t>
  </si>
  <si>
    <t>Project Start</t>
  </si>
  <si>
    <t>Current Date</t>
  </si>
  <si>
    <t>Weeks in Progress</t>
  </si>
  <si>
    <t>Task</t>
  </si>
  <si>
    <t>Person</t>
  </si>
  <si>
    <t>Start Date</t>
  </si>
  <si>
    <t>End Date</t>
  </si>
  <si>
    <t>Days</t>
  </si>
  <si>
    <t>Progress</t>
  </si>
  <si>
    <t>Mr.Triều</t>
  </si>
  <si>
    <t>Routing Information(B240)</t>
  </si>
  <si>
    <t>Process information(B220)</t>
  </si>
  <si>
    <t>Process structure information in the Line(B230)</t>
  </si>
  <si>
    <t>Cell Line Information(B210)</t>
  </si>
  <si>
    <t>Account permissions(Z210)</t>
  </si>
  <si>
    <t>Warehouse and location information(A130)</t>
  </si>
  <si>
    <t>Employee Information(B260)</t>
  </si>
  <si>
    <t>Login Account with worker Hưng Yên</t>
  </si>
  <si>
    <t>Information on production equipment(B270)</t>
  </si>
  <si>
    <t>Device information(B250)</t>
  </si>
  <si>
    <t>1.1 General configuration for the MES system</t>
  </si>
  <si>
    <t>IMPLEMENTING THE MES SYSTEM AT THE HUNG YEN FACTORY</t>
  </si>
  <si>
    <t>Mr.Kevin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</si>
</sst>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"/>
    <numFmt numFmtId="165" formatCode="\W\k\ #"/>
    <numFmt numFmtId="166" formatCode="[$-409]d\-mmm;@"/>
    <numFmt numFmtId="167" formatCode="dd/mm/yyyy"/>
  </numFmts>
  <fonts count="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24"/>
      <color theme="4" tint="0.3999755851924192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i/>
      <sz val="24"/>
      <color theme="4" tint="0.3999755851924192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6" fontId="1" fillId="3" borderId="0" xfId="0" applyNumberFormat="1" applyFont="1" applyFill="1"/>
    <xf numFmtId="165" fontId="1" fillId="3" borderId="0" xfId="0" applyNumberFormat="1" applyFont="1" applyFill="1"/>
    <xf numFmtId="167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0" fontId="1" fillId="3" borderId="0" xfId="0" applyFont="1" applyFill="1" applyAlignment="1">
      <alignment horizontal="center" vertical="center"/>
    </xf>
    <xf numFmtId="164" fontId="5" fillId="2" borderId="0" xfId="0" applyNumberFormat="1" applyFont="1" applyFill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7" fontId="1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525780</xdr:colOff>
      <xdr:row>0</xdr:row>
      <xdr:rowOff>140970</xdr:rowOff>
    </xdr:from>
    <xdr:to>
      <xdr:col>0</xdr:col>
      <xdr:colOff>2345309</xdr:colOff>
      <xdr:row>2</xdr:row>
      <xdr:rowOff>243924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84235-D93E-DB40-643D-328567D82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5780" y="140970"/>
          <a:ext cx="1823339" cy="61349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A295-60C0-4677-AF7D-69AB3BAB3526}">
  <dimension ref="A1:V33"/>
  <sheetViews>
    <sheetView tabSelected="1" workbookViewId="0">
      <pane xSplit="1" topLeftCell="B1" activePane="topRight" state="frozen"/>
      <selection pane="topRight" activeCell="N13" sqref="N13"/>
    </sheetView>
  </sheetViews>
  <sheetFormatPr defaultRowHeight="14.4" x14ac:dyDescent="0.3"/>
  <cols>
    <col min="1" max="1" width="43.77734375" customWidth="1"/>
    <col min="2" max="2" width="12" customWidth="1"/>
    <col min="3" max="3" width="18.6640625" style="14" customWidth="1"/>
    <col min="4" max="4" width="16.44140625" style="14" customWidth="1"/>
    <col min="5" max="5" width="18.44140625" customWidth="1"/>
    <col min="6" max="6" width="19.88671875" customWidth="1"/>
  </cols>
  <sheetData>
    <row r="1" spans="1:22" ht="20.399999999999999" customHeight="1" x14ac:dyDescent="0.3">
      <c r="A1" s="18"/>
      <c r="C1" s="12"/>
      <c r="E1" s="4" t="s">
        <v>0</v>
      </c>
      <c r="F1" s="3" t="s">
        <v>23</v>
      </c>
      <c r="G1" s="17" t="s">
        <v>22</v>
      </c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spans="1:22" ht="20.399999999999999" customHeight="1" x14ac:dyDescent="0.3">
      <c r="A2" s="18"/>
      <c r="C2" s="12"/>
      <c r="E2" s="4" t="s">
        <v>1</v>
      </c>
      <c r="F2" s="6">
        <v>46174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</row>
    <row r="3" spans="1:22" ht="20.399999999999999" customHeight="1" x14ac:dyDescent="0.3">
      <c r="A3" s="18"/>
      <c r="C3" s="12"/>
      <c r="E3" s="4" t="s">
        <v>2</v>
      </c>
      <c r="F3" s="6">
        <f ca="1">TODAY()</f>
        <v>46183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</row>
    <row r="4" spans="1:22" ht="20.399999999999999" customHeight="1" x14ac:dyDescent="0.3">
      <c r="A4" s="18"/>
      <c r="C4" s="12"/>
      <c r="E4" s="4" t="s">
        <v>3</v>
      </c>
      <c r="F4" s="8">
        <f ca="1">ROUNDUP((F3-F2)/7,0)</f>
        <v>2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</row>
    <row r="5" spans="1:22" ht="18" customHeight="1" x14ac:dyDescent="0.3">
      <c r="A5" s="1"/>
      <c r="B5" s="1"/>
      <c r="C5" s="12"/>
      <c r="E5" s="4"/>
      <c r="F5" s="3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 spans="1:22" ht="20.399999999999999" customHeight="1" x14ac:dyDescent="0.3">
      <c r="A6" s="15" t="s">
        <v>4</v>
      </c>
      <c r="B6" s="15" t="s">
        <v>5</v>
      </c>
      <c r="C6" s="19" t="s">
        <v>6</v>
      </c>
      <c r="D6" s="19" t="s">
        <v>7</v>
      </c>
      <c r="E6" s="15" t="s">
        <v>8</v>
      </c>
      <c r="F6" s="15" t="s">
        <v>9</v>
      </c>
      <c r="G6" s="10">
        <f>F2</f>
        <v>46174</v>
      </c>
      <c r="H6" s="10">
        <f>G6+7</f>
        <v>46181</v>
      </c>
      <c r="I6" s="10">
        <f t="shared" ref="I6:V6" si="0">H6+7</f>
        <v>46188</v>
      </c>
      <c r="J6" s="10">
        <f t="shared" si="0"/>
        <v>46195</v>
      </c>
      <c r="K6" s="10">
        <f t="shared" si="0"/>
        <v>46202</v>
      </c>
      <c r="L6" s="10">
        <f t="shared" si="0"/>
        <v>46209</v>
      </c>
      <c r="M6" s="10">
        <f t="shared" si="0"/>
        <v>46216</v>
      </c>
      <c r="N6" s="10">
        <f t="shared" si="0"/>
        <v>46223</v>
      </c>
      <c r="O6" s="10">
        <f t="shared" si="0"/>
        <v>46230</v>
      </c>
      <c r="P6" s="10">
        <f t="shared" si="0"/>
        <v>46237</v>
      </c>
      <c r="Q6" s="10">
        <f t="shared" si="0"/>
        <v>46244</v>
      </c>
      <c r="R6" s="10">
        <f t="shared" si="0"/>
        <v>46251</v>
      </c>
      <c r="S6" s="10">
        <f t="shared" si="0"/>
        <v>46258</v>
      </c>
      <c r="T6" s="10">
        <f t="shared" si="0"/>
        <v>46265</v>
      </c>
      <c r="U6" s="10">
        <f t="shared" si="0"/>
        <v>46272</v>
      </c>
      <c r="V6" s="10">
        <f t="shared" si="0"/>
        <v>46279</v>
      </c>
    </row>
    <row r="7" spans="1:22" ht="26.4" customHeight="1" x14ac:dyDescent="0.3">
      <c r="A7" s="15"/>
      <c r="B7" s="15"/>
      <c r="C7" s="19"/>
      <c r="D7" s="19"/>
      <c r="E7" s="15"/>
      <c r="F7" s="15"/>
      <c r="G7" s="11">
        <v>1</v>
      </c>
      <c r="H7" s="11">
        <v>2</v>
      </c>
      <c r="I7" s="11">
        <v>3</v>
      </c>
      <c r="J7" s="11">
        <v>4</v>
      </c>
      <c r="K7" s="11">
        <v>5</v>
      </c>
      <c r="L7" s="11">
        <v>6</v>
      </c>
      <c r="M7" s="11">
        <v>7</v>
      </c>
      <c r="N7" s="11">
        <v>8</v>
      </c>
      <c r="O7" s="11">
        <v>9</v>
      </c>
      <c r="P7" s="11">
        <v>10</v>
      </c>
      <c r="Q7" s="11">
        <v>11</v>
      </c>
      <c r="R7" s="11">
        <v>12</v>
      </c>
      <c r="S7" s="11">
        <v>13</v>
      </c>
      <c r="T7" s="11">
        <v>14</v>
      </c>
      <c r="U7" s="11">
        <v>15</v>
      </c>
      <c r="V7" s="11">
        <v>16</v>
      </c>
    </row>
    <row r="8" spans="1:22" ht="33" customHeight="1" x14ac:dyDescent="0.3">
      <c r="A8" s="16" t="s">
        <v>21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s="2" customFormat="1" ht="38.4" customHeight="1" x14ac:dyDescent="0.3">
      <c r="A9" s="2" t="s">
        <v>13</v>
      </c>
      <c r="B9" s="2" t="s">
        <v>10</v>
      </c>
      <c r="C9" s="13">
        <v>46174</v>
      </c>
      <c r="D9" s="13">
        <v>46174</v>
      </c>
      <c r="E9" s="2">
        <f>D9-C9</f>
        <v>0</v>
      </c>
      <c r="F9" s="9">
        <v>1</v>
      </c>
      <c r="G9" s="2" t="b">
        <f>AND(G$6&gt;=$C9,G$6&lt;=$D9+($E9*$F9)-1)</f>
        <v>0</v>
      </c>
      <c r="H9" s="2" t="b">
        <f t="shared" ref="H9:V9" si="1">AND(H$6&gt;=$C9,H$6&lt;=$D9+($E9*$F9)-1)</f>
        <v>0</v>
      </c>
      <c r="I9" s="2" t="b">
        <f t="shared" si="1"/>
        <v>0</v>
      </c>
      <c r="J9" s="2" t="b">
        <f t="shared" si="1"/>
        <v>0</v>
      </c>
      <c r="K9" s="2" t="b">
        <f t="shared" si="1"/>
        <v>0</v>
      </c>
      <c r="L9" s="2" t="b">
        <f t="shared" si="1"/>
        <v>0</v>
      </c>
      <c r="M9" s="2" t="b">
        <f t="shared" si="1"/>
        <v>0</v>
      </c>
      <c r="N9" s="2" t="b">
        <f t="shared" si="1"/>
        <v>0</v>
      </c>
      <c r="O9" s="2" t="b">
        <f t="shared" si="1"/>
        <v>0</v>
      </c>
      <c r="P9" s="2" t="b">
        <f t="shared" si="1"/>
        <v>0</v>
      </c>
      <c r="Q9" s="2" t="b">
        <f t="shared" si="1"/>
        <v>0</v>
      </c>
      <c r="R9" s="2" t="b">
        <f t="shared" si="1"/>
        <v>0</v>
      </c>
      <c r="S9" s="2" t="b">
        <f t="shared" si="1"/>
        <v>0</v>
      </c>
      <c r="T9" s="2" t="b">
        <f t="shared" si="1"/>
        <v>0</v>
      </c>
      <c r="U9" s="2" t="b">
        <f t="shared" si="1"/>
        <v>0</v>
      </c>
      <c r="V9" s="2" t="b">
        <f t="shared" si="1"/>
        <v>0</v>
      </c>
    </row>
    <row r="10" spans="1:22" ht="38.4" customHeight="1" x14ac:dyDescent="0.3">
      <c r="A10" s="2" t="s">
        <v>12</v>
      </c>
      <c r="B10" s="2" t="s">
        <v>10</v>
      </c>
      <c r="C10" s="13">
        <v>46174</v>
      </c>
      <c r="D10" s="13">
        <v>46175</v>
      </c>
      <c r="E10" s="2">
        <f>D10-C10</f>
        <v>1</v>
      </c>
      <c r="F10" s="9">
        <v>1</v>
      </c>
    </row>
    <row r="11" spans="1:22" ht="38.4" customHeight="1" x14ac:dyDescent="0.3">
      <c r="A11" s="2" t="s">
        <v>14</v>
      </c>
      <c r="B11" s="2" t="s">
        <v>10</v>
      </c>
      <c r="C11" s="13">
        <v>46174</v>
      </c>
      <c r="D11" s="13">
        <v>46176</v>
      </c>
      <c r="E11" s="2">
        <f>D11-C11</f>
        <v>2</v>
      </c>
      <c r="F11" s="9">
        <v>1</v>
      </c>
    </row>
    <row r="12" spans="1:22" ht="38.4" customHeight="1" x14ac:dyDescent="0.3">
      <c r="A12" s="2" t="s">
        <v>11</v>
      </c>
      <c r="B12" s="2" t="s">
        <v>10</v>
      </c>
      <c r="C12" s="13">
        <v>46174</v>
      </c>
      <c r="D12" s="13">
        <v>46176</v>
      </c>
      <c r="E12" s="2">
        <f>D12-C12</f>
        <v>2</v>
      </c>
      <c r="F12" s="9">
        <v>1</v>
      </c>
    </row>
    <row r="13" spans="1:22" ht="38.4" customHeight="1" x14ac:dyDescent="0.3">
      <c r="A13" s="2" t="s">
        <v>15</v>
      </c>
      <c r="B13" s="2" t="s">
        <v>10</v>
      </c>
      <c r="C13" s="13">
        <v>46174</v>
      </c>
      <c r="D13" s="13">
        <v>46177</v>
      </c>
      <c r="E13" s="2">
        <f>D13-C13</f>
        <v>3</v>
      </c>
      <c r="F13" s="9">
        <v>1</v>
      </c>
    </row>
    <row r="14" spans="1:22" ht="38.4" customHeight="1" x14ac:dyDescent="0.3">
      <c r="A14" s="5" t="s">
        <v>16</v>
      </c>
      <c r="B14" s="2" t="s">
        <v>10</v>
      </c>
      <c r="C14" s="13">
        <v>46174</v>
      </c>
      <c r="D14" s="13">
        <v>46177</v>
      </c>
      <c r="E14" s="2">
        <f t="shared" ref="E14:E18" si="2">D14-C14</f>
        <v>3</v>
      </c>
      <c r="F14" s="9">
        <v>1</v>
      </c>
    </row>
    <row r="15" spans="1:22" ht="38.4" customHeight="1" x14ac:dyDescent="0.3">
      <c r="A15" s="2" t="s">
        <v>17</v>
      </c>
      <c r="B15" s="2" t="s">
        <v>10</v>
      </c>
      <c r="C15" s="13">
        <v>46174</v>
      </c>
      <c r="D15" s="13">
        <v>46177</v>
      </c>
      <c r="E15" s="2">
        <f t="shared" si="2"/>
        <v>3</v>
      </c>
      <c r="F15" s="9">
        <v>1</v>
      </c>
    </row>
    <row r="16" spans="1:22" ht="38.4" customHeight="1" x14ac:dyDescent="0.3">
      <c r="A16" s="2" t="s">
        <v>18</v>
      </c>
      <c r="B16" s="2" t="s">
        <v>10</v>
      </c>
      <c r="C16" s="13">
        <v>46174</v>
      </c>
      <c r="D16" s="13">
        <v>46177</v>
      </c>
      <c r="E16" s="2">
        <f t="shared" si="2"/>
        <v>3</v>
      </c>
      <c r="F16" s="9">
        <v>1</v>
      </c>
    </row>
    <row r="17" spans="1:6" ht="38.4" customHeight="1" x14ac:dyDescent="0.3">
      <c r="A17" s="2" t="s">
        <v>19</v>
      </c>
      <c r="B17" s="2" t="s">
        <v>10</v>
      </c>
      <c r="C17" s="13">
        <v>46174</v>
      </c>
      <c r="D17" s="13">
        <v>46181</v>
      </c>
      <c r="E17" s="2">
        <f t="shared" si="2"/>
        <v>7</v>
      </c>
      <c r="F17" s="9">
        <v>1</v>
      </c>
    </row>
    <row r="18" spans="1:6" ht="38.4" customHeight="1" x14ac:dyDescent="0.3">
      <c r="A18" s="2" t="s">
        <v>20</v>
      </c>
      <c r="B18" s="2" t="s">
        <v>10</v>
      </c>
      <c r="C18" s="13">
        <v>46174</v>
      </c>
      <c r="D18" s="13">
        <v>46181</v>
      </c>
      <c r="E18" s="2">
        <f t="shared" si="2"/>
        <v>7</v>
      </c>
      <c r="F18" s="9">
        <v>1</v>
      </c>
    </row>
    <row r="19" spans="1:6" ht="38.4" customHeight="1" x14ac:dyDescent="0.3">
      <c r="A19" s="2"/>
    </row>
    <row r="20" spans="1:6" ht="38.4" customHeight="1" x14ac:dyDescent="0.3">
      <c r="A20" s="2"/>
    </row>
    <row r="21" spans="1:6" ht="38.4" customHeight="1" x14ac:dyDescent="0.3"/>
    <row r="22" spans="1:6" ht="38.4" customHeight="1" x14ac:dyDescent="0.3"/>
    <row r="23" spans="1:6" ht="38.4" customHeight="1" x14ac:dyDescent="0.3"/>
    <row r="24" spans="1:6" ht="38.4" customHeight="1" x14ac:dyDescent="0.3"/>
    <row r="25" spans="1:6" ht="38.4" customHeight="1" x14ac:dyDescent="0.3"/>
    <row r="26" spans="1:6" ht="38.4" customHeight="1" x14ac:dyDescent="0.3"/>
    <row r="27" spans="1:6" ht="38.4" customHeight="1" x14ac:dyDescent="0.3"/>
    <row r="28" spans="1:6" ht="38.4" customHeight="1" x14ac:dyDescent="0.3"/>
    <row r="29" spans="1:6" ht="38.4" customHeight="1" x14ac:dyDescent="0.3"/>
    <row r="30" spans="1:6" ht="38.4" customHeight="1" x14ac:dyDescent="0.3"/>
    <row r="31" spans="1:6" ht="38.4" customHeight="1" x14ac:dyDescent="0.3"/>
    <row r="32" spans="1:6" ht="38.4" customHeight="1" x14ac:dyDescent="0.3"/>
    <row r="33" ht="38.4" customHeight="1" x14ac:dyDescent="0.3"/>
  </sheetData>
  <mergeCells count="9">
    <mergeCell ref="F6:F7"/>
    <mergeCell ref="A8:V8"/>
    <mergeCell ref="G1:V4"/>
    <mergeCell ref="A1:A4"/>
    <mergeCell ref="A6:A7"/>
    <mergeCell ref="B6:B7"/>
    <mergeCell ref="C6:C7"/>
    <mergeCell ref="D6:D7"/>
    <mergeCell ref="E6:E7"/>
  </mergeCells>
  <conditionalFormatting sqref="F1:F1048576">
    <cfRule type="colorScale" priority="3">
      <colorScale>
        <cfvo type="num" val="0"/>
        <cfvo type="num" val="1"/>
        <color rgb="FFFF7128"/>
        <color rgb="FFFFEF9C"/>
      </colorScale>
    </cfRule>
  </conditionalFormatting>
  <conditionalFormatting sqref="F9:F33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{3FC1A840-D220-4832-BA03-616046F49B52}</x14:id>
        </ext>
      </extLst>
    </cfRule>
  </conditionalFormatting>
  <conditionalFormatting sqref="F9:F311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{F261ED59-C6D9-4BFC-BB69-C04426487BFE}</x14:id>
        </ext>
      </extLst>
    </cfRule>
  </conditionalFormatting>
  <conditionalFormatting sqref="G9:V18">
    <cfRule type="expression" dxfId="0" priority="1">
      <formula>AND(G$6&gt;=$C9,G$6&lt;=$D9)</formula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FC1A840-D220-4832-BA03-616046F49B52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F9:F33</xm:sqref>
        </x14:conditionalFormatting>
        <x14:conditionalFormatting xmlns:xm="http://schemas.microsoft.com/office/excel/2006/main">
          <x14:cfRule type="dataBar" id="{F261ED59-C6D9-4BFC-BB69-C04426487B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F9:F311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Tech11 Vina</dc:creator>
  <cp:lastModifiedBy>Tech11 Vina</cp:lastModifiedBy>
  <dcterms:created xsi:type="dcterms:W3CDTF">2026-06-10T09:40:57Z</dcterms:created>
  <dcterms:modified xsi:type="dcterms:W3CDTF">2026-06-10T10:50:23Z</dcterms:modified>
</cp:coreProperties>
</file>