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H:\Project\EA Team Project\GROUPWARE_DOCUMENT\Accounting-EA\"/>
    </mc:Choice>
  </mc:AlternateContent>
  <xr:revisionPtr revIDLastSave="0" documentId="13_ncr:1_{54FCAC73-E106-4DA1-8212-86D825FBA9B3}" xr6:coauthVersionLast="47" xr6:coauthVersionMax="47" xr10:uidLastSave="{00000000-0000-0000-0000-000000000000}"/>
  <bookViews>
    <workbookView xWindow="-28920" yWindow="-1155" windowWidth="29040" windowHeight="15840" tabRatio="594" firstSheet="1" activeTab="1" xr2:uid="{BEEA006F-2E3F-46E2-9FE5-53EEF2AED2F2}"/>
  </bookViews>
  <sheets>
    <sheet name="Fixed Asset-211" sheetId="1" state="hidden" r:id="rId1"/>
    <sheet name="Fixed Asset-211." sheetId="14" r:id="rId2"/>
    <sheet name="Payment schedule" sheetId="24" r:id="rId3"/>
    <sheet name="Asset depreciation" sheetId="23" r:id="rId4"/>
    <sheet name="2412" sheetId="22" state="hidden" r:id="rId5"/>
  </sheets>
  <definedNames>
    <definedName name="_xlnm._FilterDatabase" localSheetId="0" hidden="1">'Fixed Asset-211'!$A$8:$BQ$686</definedName>
    <definedName name="_xlnm._FilterDatabase" localSheetId="1" hidden="1">'Fixed Asset-211.'!$A$7:$BP$752</definedName>
    <definedName name="_xlnm.Print_Area" localSheetId="0">'Fixed Asset-211'!$G$7:$V$434</definedName>
    <definedName name="_xlnm.Print_Area" localSheetId="1">'Fixed Asset-211.'!$G$7:$V$415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50" i="14" l="1"/>
  <c r="D750" i="14"/>
  <c r="D736" i="14" l="1"/>
  <c r="D737" i="14"/>
  <c r="D738" i="14"/>
  <c r="D739" i="14"/>
  <c r="D740" i="14"/>
  <c r="D741" i="14"/>
  <c r="D742" i="14"/>
  <c r="D743" i="14"/>
  <c r="D744" i="14"/>
  <c r="D745" i="14"/>
  <c r="D746" i="14"/>
  <c r="D747" i="14"/>
  <c r="D748" i="14"/>
  <c r="D749" i="14"/>
  <c r="AG751" i="14"/>
  <c r="AG752" i="14"/>
  <c r="AZ737" i="14" l="1"/>
  <c r="AZ738" i="14"/>
  <c r="Q737" i="14"/>
  <c r="Q738" i="14"/>
  <c r="C737" i="14" l="1"/>
  <c r="C738" i="14"/>
  <c r="C736" i="14"/>
  <c r="BG702" i="14" l="1"/>
  <c r="BG703" i="14"/>
  <c r="BG704" i="14"/>
  <c r="BG705" i="14"/>
  <c r="BG706" i="14"/>
  <c r="BG707" i="14"/>
  <c r="BG708" i="14"/>
  <c r="BG709" i="14"/>
  <c r="BG710" i="14"/>
  <c r="BG711" i="14"/>
  <c r="BG712" i="14"/>
  <c r="BG713" i="14"/>
  <c r="BG714" i="14"/>
  <c r="BG715" i="14"/>
  <c r="BG716" i="14"/>
  <c r="BG717" i="14"/>
  <c r="BG718" i="14"/>
  <c r="BG719" i="14"/>
  <c r="BG720" i="14"/>
  <c r="BG721" i="14"/>
  <c r="BG722" i="14"/>
  <c r="BG723" i="14"/>
  <c r="BG724" i="14"/>
  <c r="BG725" i="14"/>
  <c r="BG726" i="14"/>
  <c r="BG727" i="14"/>
  <c r="BG728" i="14"/>
  <c r="BG729" i="14"/>
  <c r="BG730" i="14"/>
  <c r="AZ702" i="14"/>
  <c r="AZ703" i="14"/>
  <c r="AZ704" i="14"/>
  <c r="AZ705" i="14"/>
  <c r="AZ706" i="14"/>
  <c r="AZ707" i="14"/>
  <c r="AZ708" i="14"/>
  <c r="AZ709" i="14"/>
  <c r="AZ710" i="14"/>
  <c r="AZ711" i="14"/>
  <c r="AZ712" i="14"/>
  <c r="AZ713" i="14"/>
  <c r="AZ714" i="14"/>
  <c r="AZ715" i="14"/>
  <c r="AZ716" i="14"/>
  <c r="AZ717" i="14"/>
  <c r="AZ718" i="14"/>
  <c r="AZ719" i="14"/>
  <c r="AZ720" i="14"/>
  <c r="AZ721" i="14"/>
  <c r="AZ722" i="14"/>
  <c r="AZ723" i="14"/>
  <c r="AZ724" i="14"/>
  <c r="AZ725" i="14"/>
  <c r="AZ726" i="14"/>
  <c r="AZ727" i="14"/>
  <c r="AZ728" i="14"/>
  <c r="AZ729" i="14"/>
  <c r="AZ730" i="14"/>
  <c r="AZ731" i="14"/>
  <c r="AZ732" i="14"/>
  <c r="AZ733" i="14"/>
  <c r="AZ734" i="14"/>
  <c r="AZ735" i="14"/>
  <c r="AZ736" i="14"/>
  <c r="AZ739" i="14"/>
  <c r="AZ740" i="14"/>
  <c r="AZ741" i="14"/>
  <c r="AZ742" i="14"/>
  <c r="AZ743" i="14"/>
  <c r="AZ744" i="14"/>
  <c r="AZ745" i="14"/>
  <c r="AZ746" i="14"/>
  <c r="AZ747" i="14"/>
  <c r="AZ748" i="14"/>
  <c r="AZ749" i="14"/>
  <c r="AZ750" i="14"/>
  <c r="D703" i="14"/>
  <c r="D704" i="14"/>
  <c r="D705" i="14"/>
  <c r="D706" i="14"/>
  <c r="D707" i="14"/>
  <c r="D708" i="14"/>
  <c r="D709" i="14"/>
  <c r="D710" i="14"/>
  <c r="D711" i="14"/>
  <c r="D712" i="14"/>
  <c r="C703" i="14"/>
  <c r="C704" i="14"/>
  <c r="C705" i="14"/>
  <c r="C706" i="14"/>
  <c r="C707" i="14"/>
  <c r="C708" i="14"/>
  <c r="C709" i="14"/>
  <c r="C710" i="14"/>
  <c r="C711" i="14"/>
  <c r="C712" i="14"/>
  <c r="D702" i="14"/>
  <c r="D713" i="14"/>
  <c r="D714" i="14"/>
  <c r="D715" i="14"/>
  <c r="D716" i="14"/>
  <c r="D717" i="14"/>
  <c r="D718" i="14"/>
  <c r="D719" i="14"/>
  <c r="D720" i="14"/>
  <c r="D721" i="14"/>
  <c r="D722" i="14"/>
  <c r="D723" i="14"/>
  <c r="D724" i="14"/>
  <c r="D725" i="14"/>
  <c r="D726" i="14"/>
  <c r="D727" i="14"/>
  <c r="D728" i="14"/>
  <c r="D729" i="14"/>
  <c r="D730" i="14"/>
  <c r="C702" i="14"/>
  <c r="C713" i="14"/>
  <c r="C714" i="14"/>
  <c r="C715" i="14"/>
  <c r="C716" i="14"/>
  <c r="C717" i="14"/>
  <c r="C718" i="14"/>
  <c r="C719" i="14"/>
  <c r="C720" i="14"/>
  <c r="C721" i="14"/>
  <c r="C722" i="14"/>
  <c r="C723" i="14"/>
  <c r="C724" i="14"/>
  <c r="C725" i="14"/>
  <c r="C726" i="14"/>
  <c r="C727" i="14"/>
  <c r="C728" i="14"/>
  <c r="C729" i="14"/>
  <c r="C730" i="14"/>
  <c r="BE106" i="14" l="1"/>
  <c r="D697" i="14" l="1"/>
  <c r="D698" i="14"/>
  <c r="D699" i="14"/>
  <c r="D700" i="14"/>
  <c r="D701" i="14"/>
  <c r="D731" i="14"/>
  <c r="D732" i="14"/>
  <c r="D733" i="14"/>
  <c r="D734" i="14"/>
  <c r="D735" i="14"/>
  <c r="C696" i="14"/>
  <c r="C697" i="14"/>
  <c r="C698" i="14"/>
  <c r="C699" i="14"/>
  <c r="C700" i="14"/>
  <c r="C701" i="14"/>
  <c r="C731" i="14"/>
  <c r="C732" i="14"/>
  <c r="C733" i="14"/>
  <c r="C734" i="14"/>
  <c r="C735" i="14"/>
  <c r="C739" i="14"/>
  <c r="C740" i="14"/>
  <c r="C741" i="14"/>
  <c r="C742" i="14"/>
  <c r="C743" i="14"/>
  <c r="C744" i="14"/>
  <c r="C745" i="14"/>
  <c r="C746" i="14"/>
  <c r="C747" i="14"/>
  <c r="C748" i="14"/>
  <c r="C749" i="14"/>
  <c r="D696" i="14"/>
  <c r="C695" i="14"/>
  <c r="D695" i="14"/>
  <c r="Q696" i="14" l="1"/>
  <c r="Q697" i="14"/>
  <c r="Q695" i="14"/>
  <c r="D694" i="14" l="1"/>
  <c r="D693" i="14"/>
  <c r="C694" i="14"/>
  <c r="C693" i="14"/>
  <c r="D692" i="14" l="1"/>
  <c r="BE95" i="14"/>
  <c r="BE76" i="14"/>
  <c r="D691" i="14" l="1"/>
  <c r="Q691" i="14"/>
  <c r="AZ691" i="14"/>
  <c r="Q699" i="14" l="1"/>
  <c r="Q700" i="14"/>
  <c r="Q701" i="14"/>
  <c r="Q736" i="14"/>
  <c r="Q739" i="14"/>
  <c r="Q740" i="14"/>
  <c r="Q741" i="14"/>
  <c r="Q742" i="14"/>
  <c r="Q743" i="14"/>
  <c r="Q744" i="14"/>
  <c r="Q745" i="14"/>
  <c r="Q746" i="14"/>
  <c r="Q747" i="14"/>
  <c r="Q748" i="14"/>
  <c r="Q749" i="14"/>
  <c r="Q751" i="14"/>
  <c r="AC751" i="14" s="1"/>
  <c r="Q752" i="14"/>
  <c r="AC752" i="14" s="1"/>
  <c r="AZ693" i="14"/>
  <c r="AZ694" i="14"/>
  <c r="AZ695" i="14"/>
  <c r="AZ696" i="14"/>
  <c r="AZ697" i="14"/>
  <c r="AZ698" i="14"/>
  <c r="AZ699" i="14"/>
  <c r="AZ700" i="14"/>
  <c r="AZ701" i="14"/>
  <c r="AZ751" i="14"/>
  <c r="AZ752" i="14"/>
  <c r="AZ682" i="14"/>
  <c r="AZ683" i="14"/>
  <c r="AZ684" i="14"/>
  <c r="AZ685" i="14"/>
  <c r="AZ686" i="14"/>
  <c r="AZ687" i="14"/>
  <c r="AZ688" i="14"/>
  <c r="AZ689" i="14"/>
  <c r="AZ690" i="14"/>
  <c r="AZ692" i="14"/>
  <c r="AH752" i="14" l="1"/>
  <c r="AH751" i="14"/>
  <c r="D689" i="14"/>
  <c r="D690" i="14"/>
  <c r="C682" i="14"/>
  <c r="D682" i="14"/>
  <c r="C683" i="14"/>
  <c r="D683" i="14"/>
  <c r="C684" i="14"/>
  <c r="D684" i="14"/>
  <c r="C685" i="14"/>
  <c r="D685" i="14"/>
  <c r="C686" i="14"/>
  <c r="D686" i="14"/>
  <c r="C687" i="14"/>
  <c r="D687" i="14"/>
  <c r="C688" i="14"/>
  <c r="D688" i="14"/>
  <c r="Q690" i="14"/>
  <c r="Q689" i="14"/>
  <c r="Q682" i="14"/>
  <c r="Q683" i="14"/>
  <c r="Q684" i="14"/>
  <c r="Q685" i="14"/>
  <c r="Q686" i="14"/>
  <c r="Q687" i="14"/>
  <c r="Q688" i="14"/>
  <c r="AZ679" i="14" l="1"/>
  <c r="AZ680" i="14"/>
  <c r="AZ681" i="14"/>
  <c r="Q668" i="14"/>
  <c r="Q669" i="14"/>
  <c r="Q670" i="14"/>
  <c r="Q671" i="14"/>
  <c r="Q672" i="14"/>
  <c r="Q673" i="14"/>
  <c r="Q674" i="14"/>
  <c r="Q675" i="14"/>
  <c r="Q676" i="14"/>
  <c r="Q677" i="14"/>
  <c r="Q678" i="14"/>
  <c r="Q681" i="14"/>
  <c r="Q667" i="14"/>
  <c r="AK137" i="14" l="1"/>
  <c r="AK136" i="14"/>
  <c r="Q137" i="14"/>
  <c r="Q136" i="14"/>
  <c r="D137" i="14"/>
  <c r="C137" i="14"/>
  <c r="D136" i="14"/>
  <c r="C136" i="14"/>
  <c r="AK128" i="14"/>
  <c r="AK127" i="14"/>
  <c r="T127" i="14"/>
  <c r="Q128" i="14"/>
  <c r="Q127" i="14"/>
  <c r="D128" i="14"/>
  <c r="C128" i="14"/>
  <c r="D127" i="14"/>
  <c r="C127" i="14"/>
  <c r="AK124" i="14"/>
  <c r="AK123" i="14"/>
  <c r="AK122" i="14"/>
  <c r="AK121" i="14"/>
  <c r="Q122" i="14"/>
  <c r="Q124" i="14"/>
  <c r="Q123" i="14"/>
  <c r="Q121" i="14"/>
  <c r="D124" i="14"/>
  <c r="C124" i="14"/>
  <c r="D123" i="14"/>
  <c r="C123" i="14"/>
  <c r="D122" i="14"/>
  <c r="C122" i="14"/>
  <c r="D121" i="14"/>
  <c r="C121" i="14"/>
  <c r="AK104" i="14"/>
  <c r="AK103" i="14"/>
  <c r="AK102" i="14"/>
  <c r="AK101" i="14"/>
  <c r="AK100" i="14"/>
  <c r="AK99" i="14"/>
  <c r="Q100" i="14"/>
  <c r="Q99" i="14"/>
  <c r="Q103" i="14"/>
  <c r="Q102" i="14"/>
  <c r="Q101" i="14"/>
  <c r="Q104" i="14"/>
  <c r="D104" i="14"/>
  <c r="C104" i="14"/>
  <c r="D103" i="14"/>
  <c r="C103" i="14"/>
  <c r="D102" i="14"/>
  <c r="C102" i="14"/>
  <c r="D101" i="14"/>
  <c r="C101" i="14"/>
  <c r="D100" i="14"/>
  <c r="C100" i="14"/>
  <c r="D99" i="14"/>
  <c r="C99" i="14"/>
  <c r="AK70" i="14"/>
  <c r="AK71" i="14"/>
  <c r="AK72" i="14"/>
  <c r="Q72" i="14"/>
  <c r="Q71" i="14"/>
  <c r="Q70" i="14"/>
  <c r="D72" i="14"/>
  <c r="C72" i="14"/>
  <c r="D71" i="14"/>
  <c r="C71" i="14"/>
  <c r="D70" i="14"/>
  <c r="C70" i="14"/>
  <c r="C62" i="14"/>
  <c r="T61" i="14" l="1"/>
  <c r="T62" i="14"/>
  <c r="Q61" i="14"/>
  <c r="Q62" i="14"/>
  <c r="D62" i="14"/>
  <c r="D61" i="14"/>
  <c r="C61" i="14"/>
  <c r="T59" i="14"/>
  <c r="T60" i="14"/>
  <c r="R59" i="14"/>
  <c r="R60" i="14"/>
  <c r="Q59" i="14"/>
  <c r="Q60" i="14"/>
  <c r="D60" i="14"/>
  <c r="C60" i="14"/>
  <c r="D59" i="14"/>
  <c r="C59" i="14"/>
  <c r="D38" i="14"/>
  <c r="C38" i="14"/>
  <c r="D37" i="14"/>
  <c r="C37" i="14"/>
  <c r="Q37" i="14"/>
  <c r="Q38" i="14"/>
  <c r="D681" i="14"/>
  <c r="C681" i="14"/>
  <c r="D680" i="14"/>
  <c r="C680" i="14"/>
  <c r="D679" i="14"/>
  <c r="C679" i="14"/>
  <c r="AZ678" i="14"/>
  <c r="D678" i="14"/>
  <c r="C678" i="14"/>
  <c r="AZ677" i="14"/>
  <c r="D677" i="14"/>
  <c r="C677" i="14"/>
  <c r="AZ676" i="14"/>
  <c r="D676" i="14"/>
  <c r="C676" i="14"/>
  <c r="AZ675" i="14"/>
  <c r="D675" i="14"/>
  <c r="C675" i="14"/>
  <c r="AZ674" i="14"/>
  <c r="D674" i="14"/>
  <c r="C674" i="14"/>
  <c r="AZ673" i="14"/>
  <c r="D673" i="14"/>
  <c r="C673" i="14"/>
  <c r="AZ672" i="14"/>
  <c r="D672" i="14"/>
  <c r="C672" i="14"/>
  <c r="AZ671" i="14"/>
  <c r="D671" i="14"/>
  <c r="C671" i="14"/>
  <c r="AZ670" i="14"/>
  <c r="D670" i="14"/>
  <c r="C670" i="14"/>
  <c r="AZ669" i="14"/>
  <c r="D669" i="14"/>
  <c r="C669" i="14"/>
  <c r="AZ668" i="14"/>
  <c r="D668" i="14"/>
  <c r="C668" i="14"/>
  <c r="AZ667" i="14"/>
  <c r="D667" i="14"/>
  <c r="C667" i="14"/>
  <c r="AZ666" i="14"/>
  <c r="D666" i="14"/>
  <c r="C666" i="14"/>
  <c r="AZ665" i="14"/>
  <c r="D665" i="14"/>
  <c r="C665" i="14"/>
  <c r="AZ664" i="14"/>
  <c r="D664" i="14"/>
  <c r="C664" i="14"/>
  <c r="AZ663" i="14"/>
  <c r="Q663" i="14"/>
  <c r="D663" i="14"/>
  <c r="C663" i="14"/>
  <c r="AZ662" i="14"/>
  <c r="D662" i="14"/>
  <c r="C662" i="14"/>
  <c r="AZ661" i="14"/>
  <c r="Q661" i="14"/>
  <c r="D661" i="14"/>
  <c r="C661" i="14"/>
  <c r="AZ660" i="14"/>
  <c r="D660" i="14"/>
  <c r="C660" i="14"/>
  <c r="AZ659" i="14"/>
  <c r="D659" i="14"/>
  <c r="C659" i="14"/>
  <c r="AZ658" i="14"/>
  <c r="Q658" i="14"/>
  <c r="D658" i="14"/>
  <c r="C658" i="14"/>
  <c r="AZ657" i="14"/>
  <c r="D657" i="14"/>
  <c r="C657" i="14"/>
  <c r="AZ656" i="14"/>
  <c r="D656" i="14"/>
  <c r="C656" i="14"/>
  <c r="AZ655" i="14"/>
  <c r="Q655" i="14"/>
  <c r="D655" i="14"/>
  <c r="C655" i="14"/>
  <c r="AZ654" i="14"/>
  <c r="D654" i="14"/>
  <c r="C654" i="14"/>
  <c r="AZ653" i="14"/>
  <c r="D653" i="14"/>
  <c r="C653" i="14"/>
  <c r="AZ652" i="14"/>
  <c r="D652" i="14"/>
  <c r="C652" i="14"/>
  <c r="AZ651" i="14"/>
  <c r="Q651" i="14"/>
  <c r="D651" i="14"/>
  <c r="C651" i="14"/>
  <c r="AZ650" i="14"/>
  <c r="Q650" i="14"/>
  <c r="D650" i="14"/>
  <c r="C650" i="14"/>
  <c r="AZ649" i="14"/>
  <c r="Q649" i="14"/>
  <c r="D649" i="14"/>
  <c r="C649" i="14"/>
  <c r="AZ648" i="14"/>
  <c r="Q648" i="14"/>
  <c r="D648" i="14"/>
  <c r="C648" i="14"/>
  <c r="AZ647" i="14"/>
  <c r="Q647" i="14"/>
  <c r="D647" i="14"/>
  <c r="C647" i="14"/>
  <c r="AZ646" i="14"/>
  <c r="Q646" i="14"/>
  <c r="D646" i="14"/>
  <c r="C646" i="14"/>
  <c r="AZ645" i="14"/>
  <c r="Q645" i="14"/>
  <c r="D645" i="14"/>
  <c r="C645" i="14"/>
  <c r="AZ644" i="14"/>
  <c r="Q644" i="14"/>
  <c r="D644" i="14"/>
  <c r="C644" i="14"/>
  <c r="AZ643" i="14"/>
  <c r="Q643" i="14"/>
  <c r="D643" i="14"/>
  <c r="C643" i="14"/>
  <c r="AZ642" i="14"/>
  <c r="Q642" i="14"/>
  <c r="D642" i="14"/>
  <c r="C642" i="14"/>
  <c r="AZ641" i="14"/>
  <c r="Q641" i="14"/>
  <c r="D641" i="14"/>
  <c r="C641" i="14"/>
  <c r="AZ640" i="14"/>
  <c r="Q640" i="14"/>
  <c r="D640" i="14"/>
  <c r="C640" i="14"/>
  <c r="AZ639" i="14"/>
  <c r="Q639" i="14"/>
  <c r="D639" i="14"/>
  <c r="C639" i="14"/>
  <c r="AZ638" i="14"/>
  <c r="Q638" i="14"/>
  <c r="D638" i="14"/>
  <c r="C638" i="14"/>
  <c r="AZ637" i="14"/>
  <c r="Q637" i="14"/>
  <c r="D637" i="14"/>
  <c r="C637" i="14"/>
  <c r="AZ636" i="14"/>
  <c r="Q636" i="14"/>
  <c r="D636" i="14"/>
  <c r="C636" i="14"/>
  <c r="AZ635" i="14"/>
  <c r="Q635" i="14"/>
  <c r="D635" i="14"/>
  <c r="C635" i="14"/>
  <c r="AZ634" i="14"/>
  <c r="Q634" i="14"/>
  <c r="D634" i="14"/>
  <c r="C634" i="14"/>
  <c r="AZ633" i="14"/>
  <c r="Q633" i="14"/>
  <c r="D633" i="14"/>
  <c r="C633" i="14"/>
  <c r="AZ632" i="14"/>
  <c r="Q632" i="14"/>
  <c r="D632" i="14"/>
  <c r="C632" i="14"/>
  <c r="AZ631" i="14"/>
  <c r="Q631" i="14"/>
  <c r="D631" i="14"/>
  <c r="C631" i="14"/>
  <c r="AZ630" i="14"/>
  <c r="Q630" i="14"/>
  <c r="D630" i="14"/>
  <c r="C630" i="14"/>
  <c r="AZ629" i="14"/>
  <c r="Q629" i="14"/>
  <c r="D629" i="14"/>
  <c r="C629" i="14"/>
  <c r="AZ628" i="14"/>
  <c r="Q628" i="14"/>
  <c r="D628" i="14"/>
  <c r="C628" i="14"/>
  <c r="AZ627" i="14"/>
  <c r="Q627" i="14"/>
  <c r="D627" i="14"/>
  <c r="C627" i="14"/>
  <c r="AZ626" i="14"/>
  <c r="Q626" i="14"/>
  <c r="D626" i="14"/>
  <c r="C626" i="14"/>
  <c r="AZ625" i="14"/>
  <c r="Q625" i="14"/>
  <c r="D625" i="14"/>
  <c r="C625" i="14"/>
  <c r="AZ624" i="14"/>
  <c r="Q624" i="14"/>
  <c r="D624" i="14"/>
  <c r="C624" i="14"/>
  <c r="BI623" i="14"/>
  <c r="AZ623" i="14"/>
  <c r="D623" i="14"/>
  <c r="C623" i="14"/>
  <c r="BI622" i="14"/>
  <c r="AZ622" i="14"/>
  <c r="D622" i="14"/>
  <c r="C622" i="14"/>
  <c r="BI621" i="14"/>
  <c r="AZ621" i="14"/>
  <c r="D621" i="14"/>
  <c r="C621" i="14"/>
  <c r="BI620" i="14"/>
  <c r="AZ620" i="14"/>
  <c r="T620" i="14"/>
  <c r="Q620" i="14"/>
  <c r="D620" i="14"/>
  <c r="C620" i="14"/>
  <c r="BI619" i="14"/>
  <c r="AZ619" i="14"/>
  <c r="Q619" i="14"/>
  <c r="D619" i="14"/>
  <c r="C619" i="14"/>
  <c r="BI618" i="14"/>
  <c r="AZ618" i="14"/>
  <c r="Q618" i="14"/>
  <c r="D618" i="14"/>
  <c r="C618" i="14"/>
  <c r="BI617" i="14"/>
  <c r="AZ617" i="14"/>
  <c r="Q617" i="14"/>
  <c r="D617" i="14"/>
  <c r="C617" i="14"/>
  <c r="BI616" i="14"/>
  <c r="AZ616" i="14"/>
  <c r="Q616" i="14"/>
  <c r="D616" i="14"/>
  <c r="C616" i="14"/>
  <c r="BI615" i="14"/>
  <c r="AZ615" i="14"/>
  <c r="Q615" i="14"/>
  <c r="D615" i="14"/>
  <c r="C615" i="14"/>
  <c r="BI614" i="14"/>
  <c r="AZ614" i="14"/>
  <c r="Q614" i="14"/>
  <c r="D614" i="14"/>
  <c r="C614" i="14"/>
  <c r="BI613" i="14"/>
  <c r="AZ613" i="14"/>
  <c r="Q613" i="14"/>
  <c r="D613" i="14"/>
  <c r="C613" i="14"/>
  <c r="BI612" i="14"/>
  <c r="AZ612" i="14"/>
  <c r="Q612" i="14"/>
  <c r="D612" i="14"/>
  <c r="C612" i="14"/>
  <c r="BI611" i="14"/>
  <c r="AZ611" i="14"/>
  <c r="Q611" i="14"/>
  <c r="D611" i="14"/>
  <c r="C611" i="14"/>
  <c r="BI610" i="14"/>
  <c r="AZ610" i="14"/>
  <c r="Q610" i="14"/>
  <c r="D610" i="14"/>
  <c r="C610" i="14"/>
  <c r="BI609" i="14"/>
  <c r="AZ609" i="14"/>
  <c r="Q609" i="14"/>
  <c r="D609" i="14"/>
  <c r="C609" i="14"/>
  <c r="BI608" i="14"/>
  <c r="AZ608" i="14"/>
  <c r="Q608" i="14"/>
  <c r="D608" i="14"/>
  <c r="C608" i="14"/>
  <c r="BI607" i="14"/>
  <c r="AZ607" i="14"/>
  <c r="Q607" i="14"/>
  <c r="D607" i="14"/>
  <c r="C607" i="14"/>
  <c r="BI606" i="14"/>
  <c r="AZ606" i="14"/>
  <c r="Q606" i="14"/>
  <c r="D606" i="14"/>
  <c r="C606" i="14"/>
  <c r="BI605" i="14"/>
  <c r="AZ605" i="14"/>
  <c r="Q605" i="14"/>
  <c r="D605" i="14"/>
  <c r="C605" i="14"/>
  <c r="BI604" i="14"/>
  <c r="AZ604" i="14"/>
  <c r="Q604" i="14"/>
  <c r="D604" i="14"/>
  <c r="C604" i="14"/>
  <c r="BI603" i="14"/>
  <c r="AZ603" i="14"/>
  <c r="Q603" i="14"/>
  <c r="D603" i="14"/>
  <c r="C603" i="14"/>
  <c r="BI602" i="14"/>
  <c r="AZ602" i="14"/>
  <c r="Q602" i="14"/>
  <c r="D602" i="14"/>
  <c r="C602" i="14"/>
  <c r="BI601" i="14"/>
  <c r="AZ601" i="14"/>
  <c r="D601" i="14"/>
  <c r="C601" i="14"/>
  <c r="BI600" i="14"/>
  <c r="AZ600" i="14"/>
  <c r="D600" i="14"/>
  <c r="C600" i="14"/>
  <c r="Q599" i="14"/>
  <c r="D599" i="14"/>
  <c r="C599" i="14"/>
  <c r="Q598" i="14"/>
  <c r="D598" i="14"/>
  <c r="C598" i="14"/>
  <c r="D597" i="14"/>
  <c r="C597" i="14"/>
  <c r="T596" i="14"/>
  <c r="R596" i="14"/>
  <c r="Q596" i="14"/>
  <c r="D596" i="14"/>
  <c r="C596" i="14"/>
  <c r="Q595" i="14"/>
  <c r="D595" i="14"/>
  <c r="C595" i="14"/>
  <c r="D594" i="14"/>
  <c r="C594" i="14"/>
  <c r="T593" i="14"/>
  <c r="R593" i="14"/>
  <c r="Q593" i="14"/>
  <c r="D593" i="14"/>
  <c r="C593" i="14"/>
  <c r="Q592" i="14"/>
  <c r="D592" i="14"/>
  <c r="C592" i="14"/>
  <c r="D591" i="14"/>
  <c r="C591" i="14"/>
  <c r="T590" i="14"/>
  <c r="R590" i="14"/>
  <c r="Q590" i="14"/>
  <c r="D590" i="14"/>
  <c r="C590" i="14"/>
  <c r="Q589" i="14"/>
  <c r="D589" i="14"/>
  <c r="C589" i="14"/>
  <c r="D588" i="14"/>
  <c r="C588" i="14"/>
  <c r="T587" i="14"/>
  <c r="R587" i="14"/>
  <c r="Q587" i="14"/>
  <c r="D587" i="14"/>
  <c r="C587" i="14"/>
  <c r="Q586" i="14"/>
  <c r="D586" i="14"/>
  <c r="C586" i="14"/>
  <c r="D585" i="14"/>
  <c r="C585" i="14"/>
  <c r="T584" i="14"/>
  <c r="R584" i="14"/>
  <c r="Q584" i="14"/>
  <c r="D584" i="14"/>
  <c r="C584" i="14"/>
  <c r="D583" i="14"/>
  <c r="C583" i="14"/>
  <c r="D582" i="14"/>
  <c r="C582" i="14"/>
  <c r="D581" i="14"/>
  <c r="C581" i="14"/>
  <c r="D580" i="14"/>
  <c r="C580" i="14"/>
  <c r="D579" i="14"/>
  <c r="C579" i="14"/>
  <c r="D578" i="14"/>
  <c r="C578" i="14"/>
  <c r="D577" i="14"/>
  <c r="C577" i="14"/>
  <c r="D576" i="14"/>
  <c r="C576" i="14"/>
  <c r="D575" i="14"/>
  <c r="C575" i="14"/>
  <c r="D574" i="14"/>
  <c r="C574" i="14"/>
  <c r="D573" i="14"/>
  <c r="C573" i="14"/>
  <c r="D572" i="14"/>
  <c r="C572" i="14"/>
  <c r="D571" i="14"/>
  <c r="C571" i="14"/>
  <c r="D570" i="14"/>
  <c r="C570" i="14"/>
  <c r="D569" i="14"/>
  <c r="C569" i="14"/>
  <c r="D568" i="14"/>
  <c r="C568" i="14"/>
  <c r="D567" i="14"/>
  <c r="C567" i="14"/>
  <c r="D566" i="14"/>
  <c r="C566" i="14"/>
  <c r="D565" i="14"/>
  <c r="C565" i="14"/>
  <c r="D564" i="14"/>
  <c r="C564" i="14"/>
  <c r="D563" i="14"/>
  <c r="C563" i="14"/>
  <c r="Q562" i="14"/>
  <c r="D562" i="14"/>
  <c r="C562" i="14"/>
  <c r="D561" i="14"/>
  <c r="C561" i="14"/>
  <c r="Q560" i="14"/>
  <c r="D560" i="14"/>
  <c r="C560" i="14"/>
  <c r="R559" i="14"/>
  <c r="Q559" i="14"/>
  <c r="D559" i="14"/>
  <c r="C559" i="14"/>
  <c r="R558" i="14"/>
  <c r="Q558" i="14"/>
  <c r="D558" i="14"/>
  <c r="C558" i="14"/>
  <c r="R557" i="14"/>
  <c r="Q557" i="14"/>
  <c r="D557" i="14"/>
  <c r="C557" i="14"/>
  <c r="R556" i="14"/>
  <c r="Q556" i="14"/>
  <c r="D556" i="14"/>
  <c r="C556" i="14"/>
  <c r="R555" i="14"/>
  <c r="Q555" i="14"/>
  <c r="D555" i="14"/>
  <c r="C555" i="14"/>
  <c r="R554" i="14"/>
  <c r="Q554" i="14"/>
  <c r="D554" i="14"/>
  <c r="C554" i="14"/>
  <c r="R553" i="14"/>
  <c r="Q553" i="14"/>
  <c r="D553" i="14"/>
  <c r="C553" i="14"/>
  <c r="R552" i="14"/>
  <c r="Q552" i="14"/>
  <c r="D552" i="14"/>
  <c r="C552" i="14"/>
  <c r="D551" i="14"/>
  <c r="C551" i="14"/>
  <c r="D550" i="14"/>
  <c r="C550" i="14"/>
  <c r="D549" i="14"/>
  <c r="C549" i="14"/>
  <c r="Q548" i="14"/>
  <c r="D548" i="14"/>
  <c r="C548" i="14"/>
  <c r="Q547" i="14"/>
  <c r="D547" i="14"/>
  <c r="C547" i="14"/>
  <c r="Q546" i="14"/>
  <c r="D546" i="14"/>
  <c r="C546" i="14"/>
  <c r="D545" i="14"/>
  <c r="C545" i="14"/>
  <c r="D544" i="14"/>
  <c r="C544" i="14"/>
  <c r="D543" i="14"/>
  <c r="C543" i="14"/>
  <c r="D542" i="14"/>
  <c r="C542" i="14"/>
  <c r="D541" i="14"/>
  <c r="C541" i="14"/>
  <c r="D540" i="14"/>
  <c r="C540" i="14"/>
  <c r="D539" i="14"/>
  <c r="C539" i="14"/>
  <c r="D538" i="14"/>
  <c r="C538" i="14"/>
  <c r="D537" i="14"/>
  <c r="C537" i="14"/>
  <c r="D536" i="14"/>
  <c r="C536" i="14"/>
  <c r="D535" i="14"/>
  <c r="C535" i="14"/>
  <c r="D534" i="14"/>
  <c r="C534" i="14"/>
  <c r="D533" i="14"/>
  <c r="C533" i="14"/>
  <c r="D532" i="14"/>
  <c r="C532" i="14"/>
  <c r="D531" i="14"/>
  <c r="C531" i="14"/>
  <c r="D530" i="14"/>
  <c r="C530" i="14"/>
  <c r="D529" i="14"/>
  <c r="C529" i="14"/>
  <c r="D528" i="14"/>
  <c r="C528" i="14"/>
  <c r="D527" i="14"/>
  <c r="C527" i="14"/>
  <c r="D526" i="14"/>
  <c r="C526" i="14"/>
  <c r="D525" i="14"/>
  <c r="C525" i="14"/>
  <c r="D524" i="14"/>
  <c r="C524" i="14"/>
  <c r="D523" i="14"/>
  <c r="C523" i="14"/>
  <c r="D522" i="14"/>
  <c r="C522" i="14"/>
  <c r="D521" i="14"/>
  <c r="C521" i="14"/>
  <c r="D520" i="14"/>
  <c r="C520" i="14"/>
  <c r="D519" i="14"/>
  <c r="C519" i="14"/>
  <c r="D518" i="14"/>
  <c r="C518" i="14"/>
  <c r="D517" i="14"/>
  <c r="C517" i="14"/>
  <c r="D516" i="14"/>
  <c r="C516" i="14"/>
  <c r="D515" i="14"/>
  <c r="C515" i="14"/>
  <c r="D514" i="14"/>
  <c r="C514" i="14"/>
  <c r="D513" i="14"/>
  <c r="C513" i="14"/>
  <c r="D512" i="14"/>
  <c r="C512" i="14"/>
  <c r="D511" i="14"/>
  <c r="C511" i="14"/>
  <c r="D510" i="14"/>
  <c r="C510" i="14"/>
  <c r="D509" i="14"/>
  <c r="C509" i="14"/>
  <c r="D508" i="14"/>
  <c r="C508" i="14"/>
  <c r="D507" i="14"/>
  <c r="C507" i="14"/>
  <c r="D506" i="14"/>
  <c r="C506" i="14"/>
  <c r="D505" i="14"/>
  <c r="C505" i="14"/>
  <c r="D504" i="14"/>
  <c r="C504" i="14"/>
  <c r="D503" i="14"/>
  <c r="C503" i="14"/>
  <c r="D502" i="14"/>
  <c r="C502" i="14"/>
  <c r="D501" i="14"/>
  <c r="C501" i="14"/>
  <c r="D500" i="14"/>
  <c r="C500" i="14"/>
  <c r="D499" i="14"/>
  <c r="C499" i="14"/>
  <c r="D498" i="14"/>
  <c r="C498" i="14"/>
  <c r="D497" i="14"/>
  <c r="C497" i="14"/>
  <c r="D496" i="14"/>
  <c r="C496" i="14"/>
  <c r="D495" i="14"/>
  <c r="C495" i="14"/>
  <c r="D494" i="14"/>
  <c r="C494" i="14"/>
  <c r="D493" i="14"/>
  <c r="C493" i="14"/>
  <c r="D492" i="14"/>
  <c r="C492" i="14"/>
  <c r="D491" i="14"/>
  <c r="C491" i="14"/>
  <c r="D490" i="14"/>
  <c r="C490" i="14"/>
  <c r="D489" i="14"/>
  <c r="C489" i="14"/>
  <c r="D488" i="14"/>
  <c r="C488" i="14"/>
  <c r="D487" i="14"/>
  <c r="C487" i="14"/>
  <c r="D486" i="14"/>
  <c r="C486" i="14"/>
  <c r="D485" i="14"/>
  <c r="C485" i="14"/>
  <c r="D484" i="14"/>
  <c r="C484" i="14"/>
  <c r="D483" i="14"/>
  <c r="C483" i="14"/>
  <c r="D482" i="14"/>
  <c r="C482" i="14"/>
  <c r="D481" i="14"/>
  <c r="C481" i="14"/>
  <c r="D480" i="14"/>
  <c r="C480" i="14"/>
  <c r="D479" i="14"/>
  <c r="C479" i="14"/>
  <c r="D478" i="14"/>
  <c r="C478" i="14"/>
  <c r="D477" i="14"/>
  <c r="C477" i="14"/>
  <c r="D476" i="14"/>
  <c r="C476" i="14"/>
  <c r="D475" i="14"/>
  <c r="C475" i="14"/>
  <c r="D474" i="14"/>
  <c r="C474" i="14"/>
  <c r="D473" i="14"/>
  <c r="C473" i="14"/>
  <c r="D472" i="14"/>
  <c r="C472" i="14"/>
  <c r="D471" i="14"/>
  <c r="C471" i="14"/>
  <c r="D470" i="14"/>
  <c r="C470" i="14"/>
  <c r="D469" i="14"/>
  <c r="C469" i="14"/>
  <c r="D468" i="14"/>
  <c r="C468" i="14"/>
  <c r="D467" i="14"/>
  <c r="C467" i="14"/>
  <c r="D466" i="14"/>
  <c r="C466" i="14"/>
  <c r="D465" i="14"/>
  <c r="C465" i="14"/>
  <c r="D464" i="14"/>
  <c r="C464" i="14"/>
  <c r="D463" i="14"/>
  <c r="C463" i="14"/>
  <c r="D462" i="14"/>
  <c r="C462" i="14"/>
  <c r="D461" i="14"/>
  <c r="C461" i="14"/>
  <c r="D460" i="14"/>
  <c r="C460" i="14"/>
  <c r="D459" i="14"/>
  <c r="C459" i="14"/>
  <c r="D458" i="14"/>
  <c r="C458" i="14"/>
  <c r="D457" i="14"/>
  <c r="C457" i="14"/>
  <c r="D456" i="14"/>
  <c r="C456" i="14"/>
  <c r="D455" i="14"/>
  <c r="C455" i="14"/>
  <c r="D454" i="14"/>
  <c r="C454" i="14"/>
  <c r="D453" i="14"/>
  <c r="C453" i="14"/>
  <c r="D452" i="14"/>
  <c r="C452" i="14"/>
  <c r="D451" i="14"/>
  <c r="C451" i="14"/>
  <c r="D450" i="14"/>
  <c r="C450" i="14"/>
  <c r="D449" i="14"/>
  <c r="C449" i="14"/>
  <c r="D448" i="14"/>
  <c r="C448" i="14"/>
  <c r="D447" i="14"/>
  <c r="C447" i="14"/>
  <c r="D446" i="14"/>
  <c r="C446" i="14"/>
  <c r="D445" i="14"/>
  <c r="C445" i="14"/>
  <c r="D444" i="14"/>
  <c r="C444" i="14"/>
  <c r="D443" i="14"/>
  <c r="C443" i="14"/>
  <c r="D442" i="14"/>
  <c r="C442" i="14"/>
  <c r="D441" i="14"/>
  <c r="C441" i="14"/>
  <c r="D440" i="14"/>
  <c r="C440" i="14"/>
  <c r="D439" i="14"/>
  <c r="C439" i="14"/>
  <c r="D438" i="14"/>
  <c r="C438" i="14"/>
  <c r="D437" i="14"/>
  <c r="C437" i="14"/>
  <c r="D436" i="14"/>
  <c r="C436" i="14"/>
  <c r="D435" i="14"/>
  <c r="C435" i="14"/>
  <c r="D434" i="14"/>
  <c r="C434" i="14"/>
  <c r="D433" i="14"/>
  <c r="C433" i="14"/>
  <c r="D432" i="14"/>
  <c r="C432" i="14"/>
  <c r="D431" i="14"/>
  <c r="C431" i="14"/>
  <c r="D430" i="14"/>
  <c r="C430" i="14"/>
  <c r="D429" i="14"/>
  <c r="C429" i="14"/>
  <c r="D428" i="14"/>
  <c r="C428" i="14"/>
  <c r="D427" i="14"/>
  <c r="C427" i="14"/>
  <c r="D426" i="14"/>
  <c r="C426" i="14"/>
  <c r="D425" i="14"/>
  <c r="C425" i="14"/>
  <c r="D424" i="14"/>
  <c r="C424" i="14"/>
  <c r="D423" i="14"/>
  <c r="C423" i="14"/>
  <c r="D422" i="14"/>
  <c r="C422" i="14"/>
  <c r="D421" i="14"/>
  <c r="C421" i="14"/>
  <c r="D420" i="14"/>
  <c r="C420" i="14"/>
  <c r="D419" i="14"/>
  <c r="C419" i="14"/>
  <c r="D418" i="14"/>
  <c r="C418" i="14"/>
  <c r="D417" i="14"/>
  <c r="C417" i="14"/>
  <c r="D416" i="14"/>
  <c r="C416" i="14"/>
  <c r="D415" i="14"/>
  <c r="C415" i="14"/>
  <c r="D414" i="14"/>
  <c r="C414" i="14"/>
  <c r="D413" i="14"/>
  <c r="C413" i="14"/>
  <c r="D412" i="14"/>
  <c r="C412" i="14"/>
  <c r="D411" i="14"/>
  <c r="C411" i="14"/>
  <c r="D410" i="14"/>
  <c r="C410" i="14"/>
  <c r="D409" i="14"/>
  <c r="C409" i="14"/>
  <c r="D408" i="14"/>
  <c r="C408" i="14"/>
  <c r="D407" i="14"/>
  <c r="C407" i="14"/>
  <c r="D406" i="14"/>
  <c r="C406" i="14"/>
  <c r="D405" i="14"/>
  <c r="C405" i="14"/>
  <c r="D404" i="14"/>
  <c r="C404" i="14"/>
  <c r="D403" i="14"/>
  <c r="C403" i="14"/>
  <c r="D402" i="14"/>
  <c r="C402" i="14"/>
  <c r="D401" i="14"/>
  <c r="C401" i="14"/>
  <c r="D400" i="14"/>
  <c r="C400" i="14"/>
  <c r="D399" i="14"/>
  <c r="C399" i="14"/>
  <c r="D398" i="14"/>
  <c r="C398" i="14"/>
  <c r="D397" i="14"/>
  <c r="C397" i="14"/>
  <c r="D396" i="14"/>
  <c r="C396" i="14"/>
  <c r="D395" i="14"/>
  <c r="C395" i="14"/>
  <c r="D394" i="14"/>
  <c r="C394" i="14"/>
  <c r="D393" i="14"/>
  <c r="C393" i="14"/>
  <c r="D392" i="14"/>
  <c r="C392" i="14"/>
  <c r="D391" i="14"/>
  <c r="C391" i="14"/>
  <c r="D390" i="14"/>
  <c r="C390" i="14"/>
  <c r="D389" i="14"/>
  <c r="C389" i="14"/>
  <c r="D388" i="14"/>
  <c r="C388" i="14"/>
  <c r="D387" i="14"/>
  <c r="C387" i="14"/>
  <c r="D386" i="14"/>
  <c r="C386" i="14"/>
  <c r="D385" i="14"/>
  <c r="C385" i="14"/>
  <c r="D384" i="14"/>
  <c r="C384" i="14"/>
  <c r="D383" i="14"/>
  <c r="C383" i="14"/>
  <c r="D382" i="14"/>
  <c r="C382" i="14"/>
  <c r="D381" i="14"/>
  <c r="C381" i="14"/>
  <c r="D380" i="14"/>
  <c r="C380" i="14"/>
  <c r="D379" i="14"/>
  <c r="C379" i="14"/>
  <c r="D378" i="14"/>
  <c r="C378" i="14"/>
  <c r="D377" i="14"/>
  <c r="C377" i="14"/>
  <c r="D376" i="14"/>
  <c r="C376" i="14"/>
  <c r="D375" i="14"/>
  <c r="C375" i="14"/>
  <c r="D374" i="14"/>
  <c r="C374" i="14"/>
  <c r="D373" i="14"/>
  <c r="C373" i="14"/>
  <c r="D372" i="14"/>
  <c r="C372" i="14"/>
  <c r="D371" i="14"/>
  <c r="C371" i="14"/>
  <c r="D370" i="14"/>
  <c r="C370" i="14"/>
  <c r="D369" i="14"/>
  <c r="C369" i="14"/>
  <c r="D368" i="14"/>
  <c r="C368" i="14"/>
  <c r="D367" i="14"/>
  <c r="C367" i="14"/>
  <c r="D366" i="14"/>
  <c r="C366" i="14"/>
  <c r="D365" i="14"/>
  <c r="C365" i="14"/>
  <c r="D364" i="14"/>
  <c r="C364" i="14"/>
  <c r="D363" i="14"/>
  <c r="C363" i="14"/>
  <c r="D362" i="14"/>
  <c r="C362" i="14"/>
  <c r="D361" i="14"/>
  <c r="C361" i="14"/>
  <c r="D360" i="14"/>
  <c r="C360" i="14"/>
  <c r="D359" i="14"/>
  <c r="C359" i="14"/>
  <c r="D358" i="14"/>
  <c r="C358" i="14"/>
  <c r="D357" i="14"/>
  <c r="C357" i="14"/>
  <c r="D356" i="14"/>
  <c r="C356" i="14"/>
  <c r="D355" i="14"/>
  <c r="C355" i="14"/>
  <c r="D354" i="14"/>
  <c r="C354" i="14"/>
  <c r="D353" i="14"/>
  <c r="C353" i="14"/>
  <c r="D352" i="14"/>
  <c r="C352" i="14"/>
  <c r="D351" i="14"/>
  <c r="C351" i="14"/>
  <c r="D350" i="14"/>
  <c r="C350" i="14"/>
  <c r="D349" i="14"/>
  <c r="C349" i="14"/>
  <c r="D348" i="14"/>
  <c r="C348" i="14"/>
  <c r="D347" i="14"/>
  <c r="C347" i="14"/>
  <c r="D346" i="14"/>
  <c r="C346" i="14"/>
  <c r="D345" i="14"/>
  <c r="C345" i="14"/>
  <c r="D344" i="14"/>
  <c r="C344" i="14"/>
  <c r="D343" i="14"/>
  <c r="C343" i="14"/>
  <c r="D342" i="14"/>
  <c r="C342" i="14"/>
  <c r="D341" i="14"/>
  <c r="C341" i="14"/>
  <c r="D340" i="14"/>
  <c r="C340" i="14"/>
  <c r="D339" i="14"/>
  <c r="C339" i="14"/>
  <c r="D338" i="14"/>
  <c r="C338" i="14"/>
  <c r="D337" i="14"/>
  <c r="C337" i="14"/>
  <c r="D336" i="14"/>
  <c r="C336" i="14"/>
  <c r="D335" i="14"/>
  <c r="C335" i="14"/>
  <c r="D334" i="14"/>
  <c r="C334" i="14"/>
  <c r="D333" i="14"/>
  <c r="C333" i="14"/>
  <c r="D332" i="14"/>
  <c r="C332" i="14"/>
  <c r="D331" i="14"/>
  <c r="C331" i="14"/>
  <c r="D330" i="14"/>
  <c r="C330" i="14"/>
  <c r="D329" i="14"/>
  <c r="C329" i="14"/>
  <c r="D328" i="14"/>
  <c r="C328" i="14"/>
  <c r="D327" i="14"/>
  <c r="C327" i="14"/>
  <c r="D326" i="14"/>
  <c r="C326" i="14"/>
  <c r="D325" i="14"/>
  <c r="C325" i="14"/>
  <c r="D324" i="14"/>
  <c r="C324" i="14"/>
  <c r="D323" i="14"/>
  <c r="C323" i="14"/>
  <c r="D322" i="14"/>
  <c r="C322" i="14"/>
  <c r="D321" i="14"/>
  <c r="C321" i="14"/>
  <c r="D320" i="14"/>
  <c r="C320" i="14"/>
  <c r="D319" i="14"/>
  <c r="C319" i="14"/>
  <c r="D318" i="14"/>
  <c r="C318" i="14"/>
  <c r="D317" i="14"/>
  <c r="C317" i="14"/>
  <c r="D316" i="14"/>
  <c r="C316" i="14"/>
  <c r="D315" i="14"/>
  <c r="C315" i="14"/>
  <c r="D314" i="14"/>
  <c r="C314" i="14"/>
  <c r="D313" i="14"/>
  <c r="C313" i="14"/>
  <c r="D312" i="14"/>
  <c r="C312" i="14"/>
  <c r="D311" i="14"/>
  <c r="C311" i="14"/>
  <c r="D310" i="14"/>
  <c r="C310" i="14"/>
  <c r="D309" i="14"/>
  <c r="C309" i="14"/>
  <c r="D308" i="14"/>
  <c r="C308" i="14"/>
  <c r="D307" i="14"/>
  <c r="C307" i="14"/>
  <c r="D306" i="14"/>
  <c r="C306" i="14"/>
  <c r="D305" i="14"/>
  <c r="C305" i="14"/>
  <c r="D304" i="14"/>
  <c r="C304" i="14"/>
  <c r="D303" i="14"/>
  <c r="C303" i="14"/>
  <c r="D302" i="14"/>
  <c r="C302" i="14"/>
  <c r="D301" i="14"/>
  <c r="C301" i="14"/>
  <c r="D300" i="14"/>
  <c r="C300" i="14"/>
  <c r="D299" i="14"/>
  <c r="C299" i="14"/>
  <c r="D298" i="14"/>
  <c r="C298" i="14"/>
  <c r="D297" i="14"/>
  <c r="C297" i="14"/>
  <c r="D296" i="14"/>
  <c r="C296" i="14"/>
  <c r="D295" i="14"/>
  <c r="C295" i="14"/>
  <c r="D294" i="14"/>
  <c r="C294" i="14"/>
  <c r="D293" i="14"/>
  <c r="C293" i="14"/>
  <c r="D292" i="14"/>
  <c r="C292" i="14"/>
  <c r="D291" i="14"/>
  <c r="C291" i="14"/>
  <c r="D290" i="14"/>
  <c r="C290" i="14"/>
  <c r="D289" i="14"/>
  <c r="C289" i="14"/>
  <c r="D288" i="14"/>
  <c r="C288" i="14"/>
  <c r="D287" i="14"/>
  <c r="C287" i="14"/>
  <c r="D286" i="14"/>
  <c r="C286" i="14"/>
  <c r="D285" i="14"/>
  <c r="C285" i="14"/>
  <c r="D284" i="14"/>
  <c r="C284" i="14"/>
  <c r="D283" i="14"/>
  <c r="C283" i="14"/>
  <c r="D282" i="14"/>
  <c r="C282" i="14"/>
  <c r="D281" i="14"/>
  <c r="C281" i="14"/>
  <c r="D280" i="14"/>
  <c r="C280" i="14"/>
  <c r="D279" i="14"/>
  <c r="C279" i="14"/>
  <c r="D278" i="14"/>
  <c r="C278" i="14"/>
  <c r="D277" i="14"/>
  <c r="C277" i="14"/>
  <c r="D276" i="14"/>
  <c r="C276" i="14"/>
  <c r="D275" i="14"/>
  <c r="C275" i="14"/>
  <c r="D274" i="14"/>
  <c r="C274" i="14"/>
  <c r="D273" i="14"/>
  <c r="C273" i="14"/>
  <c r="D272" i="14"/>
  <c r="C272" i="14"/>
  <c r="D271" i="14"/>
  <c r="C271" i="14"/>
  <c r="D270" i="14"/>
  <c r="C270" i="14"/>
  <c r="D269" i="14"/>
  <c r="C269" i="14"/>
  <c r="D268" i="14"/>
  <c r="C268" i="14"/>
  <c r="D267" i="14"/>
  <c r="C267" i="14"/>
  <c r="D266" i="14"/>
  <c r="C266" i="14"/>
  <c r="D265" i="14"/>
  <c r="C265" i="14"/>
  <c r="D264" i="14"/>
  <c r="C264" i="14"/>
  <c r="D263" i="14"/>
  <c r="C263" i="14"/>
  <c r="D262" i="14"/>
  <c r="C262" i="14"/>
  <c r="D261" i="14"/>
  <c r="C261" i="14"/>
  <c r="D260" i="14"/>
  <c r="C260" i="14"/>
  <c r="D259" i="14"/>
  <c r="C259" i="14"/>
  <c r="D258" i="14"/>
  <c r="C258" i="14"/>
  <c r="D257" i="14"/>
  <c r="C257" i="14"/>
  <c r="D256" i="14"/>
  <c r="C256" i="14"/>
  <c r="D255" i="14"/>
  <c r="C255" i="14"/>
  <c r="D254" i="14"/>
  <c r="C254" i="14"/>
  <c r="D253" i="14"/>
  <c r="C253" i="14"/>
  <c r="D252" i="14"/>
  <c r="C252" i="14"/>
  <c r="D251" i="14"/>
  <c r="C251" i="14"/>
  <c r="D250" i="14"/>
  <c r="C250" i="14"/>
  <c r="D249" i="14"/>
  <c r="C249" i="14"/>
  <c r="D248" i="14"/>
  <c r="C248" i="14"/>
  <c r="D247" i="14"/>
  <c r="C247" i="14"/>
  <c r="D246" i="14"/>
  <c r="C246" i="14"/>
  <c r="D245" i="14"/>
  <c r="C245" i="14"/>
  <c r="D244" i="14"/>
  <c r="C244" i="14"/>
  <c r="D243" i="14"/>
  <c r="C243" i="14"/>
  <c r="D242" i="14"/>
  <c r="C242" i="14"/>
  <c r="D241" i="14"/>
  <c r="C241" i="14"/>
  <c r="D240" i="14"/>
  <c r="C240" i="14"/>
  <c r="D239" i="14"/>
  <c r="C239" i="14"/>
  <c r="D238" i="14"/>
  <c r="C238" i="14"/>
  <c r="D237" i="14"/>
  <c r="C237" i="14"/>
  <c r="D236" i="14"/>
  <c r="C236" i="14"/>
  <c r="D235" i="14"/>
  <c r="C235" i="14"/>
  <c r="D234" i="14"/>
  <c r="C234" i="14"/>
  <c r="D233" i="14"/>
  <c r="C233" i="14"/>
  <c r="D232" i="14"/>
  <c r="C232" i="14"/>
  <c r="D231" i="14"/>
  <c r="C231" i="14"/>
  <c r="D230" i="14"/>
  <c r="C230" i="14"/>
  <c r="D229" i="14"/>
  <c r="C229" i="14"/>
  <c r="D228" i="14"/>
  <c r="C228" i="14"/>
  <c r="D227" i="14"/>
  <c r="C227" i="14"/>
  <c r="D226" i="14"/>
  <c r="C226" i="14"/>
  <c r="D225" i="14"/>
  <c r="C225" i="14"/>
  <c r="D224" i="14"/>
  <c r="C224" i="14"/>
  <c r="D223" i="14"/>
  <c r="C223" i="14"/>
  <c r="D222" i="14"/>
  <c r="C222" i="14"/>
  <c r="D221" i="14"/>
  <c r="C221" i="14"/>
  <c r="D220" i="14"/>
  <c r="C220" i="14"/>
  <c r="D219" i="14"/>
  <c r="C219" i="14"/>
  <c r="D218" i="14"/>
  <c r="C218" i="14"/>
  <c r="D217" i="14"/>
  <c r="C217" i="14"/>
  <c r="D216" i="14"/>
  <c r="C216" i="14"/>
  <c r="D215" i="14"/>
  <c r="C215" i="14"/>
  <c r="D214" i="14"/>
  <c r="C214" i="14"/>
  <c r="D213" i="14"/>
  <c r="C213" i="14"/>
  <c r="D212" i="14"/>
  <c r="C212" i="14"/>
  <c r="D211" i="14"/>
  <c r="C211" i="14"/>
  <c r="D210" i="14"/>
  <c r="C210" i="14"/>
  <c r="D209" i="14"/>
  <c r="C209" i="14"/>
  <c r="D208" i="14"/>
  <c r="C208" i="14"/>
  <c r="D207" i="14"/>
  <c r="C207" i="14"/>
  <c r="D206" i="14"/>
  <c r="C206" i="14"/>
  <c r="D205" i="14"/>
  <c r="C205" i="14"/>
  <c r="D204" i="14"/>
  <c r="C204" i="14"/>
  <c r="D203" i="14"/>
  <c r="C203" i="14"/>
  <c r="D202" i="14"/>
  <c r="C202" i="14"/>
  <c r="D201" i="14"/>
  <c r="C201" i="14"/>
  <c r="D200" i="14"/>
  <c r="C200" i="14"/>
  <c r="D199" i="14"/>
  <c r="C199" i="14"/>
  <c r="D198" i="14"/>
  <c r="C198" i="14"/>
  <c r="D197" i="14"/>
  <c r="C197" i="14"/>
  <c r="D196" i="14"/>
  <c r="C196" i="14"/>
  <c r="D195" i="14"/>
  <c r="C195" i="14"/>
  <c r="D194" i="14"/>
  <c r="C194" i="14"/>
  <c r="D193" i="14"/>
  <c r="C193" i="14"/>
  <c r="D192" i="14"/>
  <c r="C192" i="14"/>
  <c r="D191" i="14"/>
  <c r="C191" i="14"/>
  <c r="D190" i="14"/>
  <c r="C190" i="14"/>
  <c r="D189" i="14"/>
  <c r="C189" i="14"/>
  <c r="D188" i="14"/>
  <c r="C188" i="14"/>
  <c r="D187" i="14"/>
  <c r="C187" i="14"/>
  <c r="D186" i="14"/>
  <c r="C186" i="14"/>
  <c r="D185" i="14"/>
  <c r="C185" i="14"/>
  <c r="D184" i="14"/>
  <c r="C184" i="14"/>
  <c r="D183" i="14"/>
  <c r="C183" i="14"/>
  <c r="D182" i="14"/>
  <c r="C182" i="14"/>
  <c r="D181" i="14"/>
  <c r="C181" i="14"/>
  <c r="D180" i="14"/>
  <c r="C180" i="14"/>
  <c r="D179" i="14"/>
  <c r="C179" i="14"/>
  <c r="D178" i="14"/>
  <c r="C178" i="14"/>
  <c r="D177" i="14"/>
  <c r="C177" i="14"/>
  <c r="D176" i="14"/>
  <c r="C176" i="14"/>
  <c r="D175" i="14"/>
  <c r="C175" i="14"/>
  <c r="D174" i="14"/>
  <c r="C174" i="14"/>
  <c r="D173" i="14"/>
  <c r="C173" i="14"/>
  <c r="D172" i="14"/>
  <c r="C172" i="14"/>
  <c r="D171" i="14"/>
  <c r="C171" i="14"/>
  <c r="D170" i="14"/>
  <c r="C170" i="14"/>
  <c r="D169" i="14"/>
  <c r="C169" i="14"/>
  <c r="D168" i="14"/>
  <c r="C168" i="14"/>
  <c r="D167" i="14"/>
  <c r="C167" i="14"/>
  <c r="D166" i="14"/>
  <c r="C166" i="14"/>
  <c r="D165" i="14"/>
  <c r="C165" i="14"/>
  <c r="D164" i="14"/>
  <c r="C164" i="14"/>
  <c r="D163" i="14"/>
  <c r="C163" i="14"/>
  <c r="D162" i="14"/>
  <c r="C162" i="14"/>
  <c r="D161" i="14"/>
  <c r="C161" i="14"/>
  <c r="D160" i="14"/>
  <c r="C160" i="14"/>
  <c r="D159" i="14"/>
  <c r="C159" i="14"/>
  <c r="D158" i="14"/>
  <c r="C158" i="14"/>
  <c r="D157" i="14"/>
  <c r="C157" i="14"/>
  <c r="D156" i="14"/>
  <c r="C156" i="14"/>
  <c r="D155" i="14"/>
  <c r="C155" i="14"/>
  <c r="D154" i="14"/>
  <c r="C154" i="14"/>
  <c r="D153" i="14"/>
  <c r="C153" i="14"/>
  <c r="D152" i="14"/>
  <c r="C152" i="14"/>
  <c r="D151" i="14"/>
  <c r="C151" i="14"/>
  <c r="D150" i="14"/>
  <c r="C150" i="14"/>
  <c r="D149" i="14"/>
  <c r="C149" i="14"/>
  <c r="D148" i="14"/>
  <c r="C148" i="14"/>
  <c r="D147" i="14"/>
  <c r="C147" i="14"/>
  <c r="D146" i="14"/>
  <c r="C146" i="14"/>
  <c r="D145" i="14"/>
  <c r="C145" i="14"/>
  <c r="D144" i="14"/>
  <c r="C144" i="14"/>
  <c r="D143" i="14"/>
  <c r="C143" i="14"/>
  <c r="D142" i="14"/>
  <c r="C142" i="14"/>
  <c r="D141" i="14"/>
  <c r="C141" i="14"/>
  <c r="D140" i="14"/>
  <c r="C140" i="14"/>
  <c r="D139" i="14"/>
  <c r="C139" i="14"/>
  <c r="D138" i="14"/>
  <c r="C138" i="14"/>
  <c r="D135" i="14"/>
  <c r="C135" i="14"/>
  <c r="D134" i="14"/>
  <c r="C134" i="14"/>
  <c r="D133" i="14"/>
  <c r="C133" i="14"/>
  <c r="D132" i="14"/>
  <c r="C132" i="14"/>
  <c r="D131" i="14"/>
  <c r="C131" i="14"/>
  <c r="D130" i="14"/>
  <c r="C130" i="14"/>
  <c r="D129" i="14"/>
  <c r="C129" i="14"/>
  <c r="D126" i="14"/>
  <c r="C126" i="14"/>
  <c r="D125" i="14"/>
  <c r="C125" i="14"/>
  <c r="D120" i="14"/>
  <c r="C120" i="14"/>
  <c r="D119" i="14"/>
  <c r="C119" i="14"/>
  <c r="D118" i="14"/>
  <c r="C118" i="14"/>
  <c r="D117" i="14"/>
  <c r="C117" i="14"/>
  <c r="D116" i="14"/>
  <c r="C116" i="14"/>
  <c r="D115" i="14"/>
  <c r="C115" i="14"/>
  <c r="D114" i="14"/>
  <c r="C114" i="14"/>
  <c r="D113" i="14"/>
  <c r="C113" i="14"/>
  <c r="D112" i="14"/>
  <c r="C112" i="14"/>
  <c r="D111" i="14"/>
  <c r="C111" i="14"/>
  <c r="D110" i="14"/>
  <c r="C110" i="14"/>
  <c r="D109" i="14"/>
  <c r="C109" i="14"/>
  <c r="D108" i="14"/>
  <c r="C108" i="14"/>
  <c r="D107" i="14"/>
  <c r="C107" i="14"/>
  <c r="D106" i="14"/>
  <c r="C106" i="14"/>
  <c r="D105" i="14"/>
  <c r="C105" i="14"/>
  <c r="D98" i="14"/>
  <c r="C98" i="14"/>
  <c r="D97" i="14"/>
  <c r="C97" i="14"/>
  <c r="D96" i="14"/>
  <c r="C96" i="14"/>
  <c r="D95" i="14"/>
  <c r="C95" i="14"/>
  <c r="D94" i="14"/>
  <c r="C94" i="14"/>
  <c r="D93" i="14"/>
  <c r="C93" i="14"/>
  <c r="D92" i="14"/>
  <c r="C92" i="14"/>
  <c r="AZ91" i="14"/>
  <c r="AK91" i="14"/>
  <c r="Q91" i="14"/>
  <c r="D91" i="14"/>
  <c r="C91" i="14"/>
  <c r="AZ90" i="14"/>
  <c r="AK90" i="14"/>
  <c r="Q90" i="14"/>
  <c r="D90" i="14"/>
  <c r="C90" i="14"/>
  <c r="AZ89" i="14"/>
  <c r="AK89" i="14"/>
  <c r="Q89" i="14"/>
  <c r="D89" i="14"/>
  <c r="C89" i="14"/>
  <c r="AZ88" i="14"/>
  <c r="AK88" i="14"/>
  <c r="Q88" i="14"/>
  <c r="D88" i="14"/>
  <c r="C88" i="14"/>
  <c r="D87" i="14"/>
  <c r="C87" i="14"/>
  <c r="D86" i="14"/>
  <c r="C86" i="14"/>
  <c r="D85" i="14"/>
  <c r="C85" i="14"/>
  <c r="D84" i="14"/>
  <c r="C84" i="14"/>
  <c r="D83" i="14"/>
  <c r="C83" i="14"/>
  <c r="D82" i="14"/>
  <c r="C82" i="14"/>
  <c r="D81" i="14"/>
  <c r="C81" i="14"/>
  <c r="D80" i="14"/>
  <c r="C80" i="14"/>
  <c r="D79" i="14"/>
  <c r="C79" i="14"/>
  <c r="D78" i="14"/>
  <c r="C78" i="14"/>
  <c r="D77" i="14"/>
  <c r="C77" i="14"/>
  <c r="D76" i="14"/>
  <c r="C76" i="14"/>
  <c r="AZ75" i="14"/>
  <c r="Q75" i="14"/>
  <c r="D75" i="14"/>
  <c r="C75" i="14"/>
  <c r="AZ74" i="14"/>
  <c r="Q74" i="14"/>
  <c r="D74" i="14"/>
  <c r="C74" i="14"/>
  <c r="AZ73" i="14"/>
  <c r="Q73" i="14"/>
  <c r="D73" i="14"/>
  <c r="C73" i="14"/>
  <c r="D69" i="14"/>
  <c r="C69" i="14"/>
  <c r="D68" i="14"/>
  <c r="C68" i="14"/>
  <c r="D67" i="14"/>
  <c r="C67" i="14"/>
  <c r="D66" i="14"/>
  <c r="C66" i="14"/>
  <c r="D65" i="14"/>
  <c r="C65" i="14"/>
  <c r="D64" i="14"/>
  <c r="C64" i="14"/>
  <c r="D63" i="14"/>
  <c r="C63" i="14"/>
  <c r="D58" i="14"/>
  <c r="C58" i="14"/>
  <c r="D57" i="14"/>
  <c r="C57" i="14"/>
  <c r="D56" i="14"/>
  <c r="C56" i="14"/>
  <c r="D55" i="14"/>
  <c r="C55" i="14"/>
  <c r="D54" i="14"/>
  <c r="C54" i="14"/>
  <c r="D53" i="14"/>
  <c r="C53" i="14"/>
  <c r="D52" i="14"/>
  <c r="C52" i="14"/>
  <c r="D51" i="14"/>
  <c r="C51" i="14"/>
  <c r="D50" i="14"/>
  <c r="C50" i="14"/>
  <c r="D49" i="14"/>
  <c r="C49" i="14"/>
  <c r="D48" i="14"/>
  <c r="C48" i="14"/>
  <c r="D47" i="14"/>
  <c r="C47" i="14"/>
  <c r="D46" i="14"/>
  <c r="C46" i="14"/>
  <c r="D45" i="14"/>
  <c r="C45" i="14"/>
  <c r="D44" i="14"/>
  <c r="C44" i="14"/>
  <c r="D43" i="14"/>
  <c r="C43" i="14"/>
  <c r="D42" i="14"/>
  <c r="C42" i="14"/>
  <c r="D41" i="14"/>
  <c r="C41" i="14"/>
  <c r="D40" i="14"/>
  <c r="C40" i="14"/>
  <c r="D39" i="14"/>
  <c r="C39" i="14"/>
  <c r="D36" i="14"/>
  <c r="C36" i="14"/>
  <c r="D35" i="14"/>
  <c r="C35" i="14"/>
  <c r="D34" i="14"/>
  <c r="C34" i="14"/>
  <c r="D33" i="14"/>
  <c r="C33" i="14"/>
  <c r="D32" i="14"/>
  <c r="C32" i="14"/>
  <c r="D31" i="14"/>
  <c r="C31" i="14"/>
  <c r="D30" i="14"/>
  <c r="C30" i="14"/>
  <c r="D29" i="14"/>
  <c r="C29" i="14"/>
  <c r="D28" i="14"/>
  <c r="C28" i="14"/>
  <c r="D27" i="14"/>
  <c r="C27" i="14"/>
  <c r="D26" i="14"/>
  <c r="C26" i="14"/>
  <c r="D25" i="14"/>
  <c r="C25" i="14"/>
  <c r="D24" i="14"/>
  <c r="C24" i="14"/>
  <c r="D23" i="14"/>
  <c r="C23" i="14"/>
  <c r="D22" i="14"/>
  <c r="C22" i="14"/>
  <c r="D21" i="14"/>
  <c r="C21" i="14"/>
  <c r="D20" i="14"/>
  <c r="C20" i="14"/>
  <c r="D19" i="14"/>
  <c r="C19" i="14"/>
  <c r="D18" i="14"/>
  <c r="C18" i="14"/>
  <c r="D17" i="14"/>
  <c r="C17" i="14"/>
  <c r="D16" i="14"/>
  <c r="C16" i="14"/>
  <c r="D15" i="14"/>
  <c r="C15" i="14"/>
  <c r="D14" i="14"/>
  <c r="C14" i="14"/>
  <c r="D13" i="14"/>
  <c r="C13" i="14"/>
  <c r="D12" i="14"/>
  <c r="C12" i="14"/>
  <c r="D11" i="14"/>
  <c r="C11" i="14"/>
  <c r="D10" i="14"/>
  <c r="C10" i="14"/>
  <c r="D9" i="14"/>
  <c r="C9" i="14"/>
  <c r="AV6" i="14"/>
  <c r="AV4" i="14" s="1"/>
  <c r="AU6" i="14"/>
  <c r="AU4" i="14" s="1"/>
  <c r="AS6" i="14"/>
  <c r="AS4" i="14" s="1"/>
  <c r="AJ6" i="14"/>
  <c r="U6" i="14"/>
  <c r="AV3" i="14"/>
  <c r="AU3" i="14"/>
  <c r="AT3" i="14"/>
  <c r="AS3" i="14"/>
  <c r="AR3" i="14"/>
  <c r="AQ3" i="14"/>
  <c r="AP3" i="14"/>
  <c r="AO3" i="14"/>
  <c r="AN3" i="14"/>
  <c r="AM3" i="14"/>
  <c r="AL3" i="14"/>
  <c r="AK3" i="14"/>
  <c r="V3" i="14"/>
  <c r="BG37" i="1"/>
  <c r="BF37" i="1"/>
  <c r="BE37" i="1"/>
  <c r="AG686" i="1"/>
  <c r="V686" i="1"/>
  <c r="X686" i="1" s="1"/>
  <c r="AC686" i="1" s="1"/>
  <c r="AG685" i="1"/>
  <c r="AG684" i="1"/>
  <c r="D701" i="1"/>
  <c r="C701" i="1"/>
  <c r="D700" i="1"/>
  <c r="C700" i="1"/>
  <c r="D699" i="1"/>
  <c r="C699" i="1"/>
  <c r="D698" i="1"/>
  <c r="C698" i="1"/>
  <c r="D697" i="1"/>
  <c r="C697" i="1"/>
  <c r="D696" i="1"/>
  <c r="C696" i="1"/>
  <c r="D695" i="1"/>
  <c r="C695" i="1"/>
  <c r="D694" i="1"/>
  <c r="C694" i="1"/>
  <c r="D693" i="1"/>
  <c r="C693" i="1"/>
  <c r="D692" i="1"/>
  <c r="C692" i="1"/>
  <c r="D691" i="1"/>
  <c r="C691" i="1"/>
  <c r="D690" i="1"/>
  <c r="C690" i="1"/>
  <c r="D689" i="1"/>
  <c r="C689" i="1"/>
  <c r="D688" i="1"/>
  <c r="C688" i="1"/>
  <c r="D687" i="1"/>
  <c r="C687" i="1"/>
  <c r="D686" i="1"/>
  <c r="C686" i="1"/>
  <c r="D685" i="1"/>
  <c r="C685" i="1"/>
  <c r="D684" i="1"/>
  <c r="C684" i="1"/>
  <c r="D683" i="1"/>
  <c r="C683" i="1"/>
  <c r="D682" i="1"/>
  <c r="C682" i="1"/>
  <c r="AG683" i="1"/>
  <c r="Q683" i="1"/>
  <c r="AG682" i="1"/>
  <c r="AG681" i="1"/>
  <c r="AC702" i="1"/>
  <c r="AC701" i="1"/>
  <c r="AC700" i="1"/>
  <c r="AC699" i="1"/>
  <c r="AC698" i="1"/>
  <c r="AC697" i="1"/>
  <c r="AC696" i="1"/>
  <c r="AC691" i="1"/>
  <c r="X695" i="1"/>
  <c r="AC695" i="1" s="1"/>
  <c r="X694" i="1"/>
  <c r="AC694" i="1" s="1"/>
  <c r="X693" i="1"/>
  <c r="AC693" i="1" s="1"/>
  <c r="X692" i="1"/>
  <c r="AC692" i="1" s="1"/>
  <c r="X691" i="1"/>
  <c r="X690" i="1"/>
  <c r="AC690" i="1" s="1"/>
  <c r="X689" i="1"/>
  <c r="AC689" i="1" s="1"/>
  <c r="X688" i="1"/>
  <c r="AC688" i="1" s="1"/>
  <c r="X687" i="1"/>
  <c r="AC687" i="1" s="1"/>
  <c r="Q681" i="1"/>
  <c r="V681" i="1" s="1"/>
  <c r="X681" i="1" s="1"/>
  <c r="AC681" i="1" s="1"/>
  <c r="BG693" i="1"/>
  <c r="BF693" i="1"/>
  <c r="BE693" i="1"/>
  <c r="BG692" i="1"/>
  <c r="BF692" i="1"/>
  <c r="BE692" i="1"/>
  <c r="BG691" i="1"/>
  <c r="BF691" i="1"/>
  <c r="BE691" i="1"/>
  <c r="BG690" i="1"/>
  <c r="BF690" i="1"/>
  <c r="BE690" i="1"/>
  <c r="BG689" i="1"/>
  <c r="BF689" i="1"/>
  <c r="BE689" i="1"/>
  <c r="BG688" i="1"/>
  <c r="BF688" i="1"/>
  <c r="BE688" i="1"/>
  <c r="BG687" i="1"/>
  <c r="BF687" i="1"/>
  <c r="BE687" i="1"/>
  <c r="AZ701" i="1"/>
  <c r="AZ700" i="1"/>
  <c r="AZ699" i="1"/>
  <c r="AZ698" i="1"/>
  <c r="AZ697" i="1"/>
  <c r="AZ696" i="1"/>
  <c r="AZ695" i="1"/>
  <c r="AZ694" i="1"/>
  <c r="AZ693" i="1"/>
  <c r="AZ692" i="1"/>
  <c r="AZ691" i="1"/>
  <c r="AZ690" i="1"/>
  <c r="AZ689" i="1"/>
  <c r="AZ688" i="1"/>
  <c r="AZ687" i="1"/>
  <c r="AZ686" i="1"/>
  <c r="AZ685" i="1"/>
  <c r="AZ684" i="1"/>
  <c r="AZ683" i="1"/>
  <c r="AZ682" i="1"/>
  <c r="AZ681" i="1"/>
  <c r="AW693" i="1"/>
  <c r="AY693" i="1" s="1"/>
  <c r="AW692" i="1"/>
  <c r="AW691" i="1"/>
  <c r="AY691" i="1" s="1"/>
  <c r="AW690" i="1"/>
  <c r="AY690" i="1" s="1"/>
  <c r="AW689" i="1"/>
  <c r="AW688" i="1"/>
  <c r="AY688" i="1" s="1"/>
  <c r="AW687" i="1"/>
  <c r="AY687" i="1" s="1"/>
  <c r="AG680" i="1"/>
  <c r="V685" i="1"/>
  <c r="X685" i="1" s="1"/>
  <c r="AC685" i="1" s="1"/>
  <c r="V684" i="1"/>
  <c r="X684" i="1" s="1"/>
  <c r="AC684" i="1" s="1"/>
  <c r="V682" i="1"/>
  <c r="X682" i="1" s="1"/>
  <c r="AC682" i="1" s="1"/>
  <c r="V680" i="1"/>
  <c r="X680" i="1" s="1"/>
  <c r="AZ680" i="1"/>
  <c r="AR99" i="14" l="1"/>
  <c r="AR128" i="14"/>
  <c r="AR72" i="14"/>
  <c r="AR122" i="14"/>
  <c r="AR70" i="14"/>
  <c r="AR62" i="14"/>
  <c r="AR121" i="14"/>
  <c r="AR136" i="14"/>
  <c r="AO738" i="14"/>
  <c r="AO737" i="14"/>
  <c r="AP737" i="14" s="1"/>
  <c r="BG737" i="14" s="1"/>
  <c r="AR101" i="14"/>
  <c r="AP128" i="14"/>
  <c r="BE128" i="14" s="1"/>
  <c r="AR100" i="14"/>
  <c r="AR10" i="14"/>
  <c r="AR22" i="14"/>
  <c r="AR30" i="14"/>
  <c r="AR48" i="14"/>
  <c r="AR54" i="14"/>
  <c r="AR80" i="14"/>
  <c r="AR107" i="14"/>
  <c r="AR135" i="14"/>
  <c r="AR189" i="14"/>
  <c r="AR197" i="14"/>
  <c r="AR204" i="14"/>
  <c r="AR212" i="14"/>
  <c r="AR220" i="14"/>
  <c r="AR228" i="14"/>
  <c r="AR236" i="14"/>
  <c r="AR242" i="14"/>
  <c r="AR250" i="14"/>
  <c r="AR258" i="14"/>
  <c r="AR266" i="14"/>
  <c r="AR274" i="14"/>
  <c r="AR282" i="14"/>
  <c r="AR290" i="14"/>
  <c r="AR298" i="14"/>
  <c r="AR306" i="14"/>
  <c r="AR738" i="14"/>
  <c r="AR737" i="14"/>
  <c r="AR724" i="14"/>
  <c r="AR709" i="14"/>
  <c r="AR716" i="14"/>
  <c r="AR712" i="14"/>
  <c r="AR728" i="14"/>
  <c r="AR729" i="14"/>
  <c r="AR708" i="14"/>
  <c r="AR723" i="14"/>
  <c r="AR726" i="14"/>
  <c r="AR706" i="14"/>
  <c r="AR720" i="14"/>
  <c r="AR702" i="14"/>
  <c r="AR721" i="14"/>
  <c r="AR715" i="14"/>
  <c r="AR718" i="14"/>
  <c r="AR707" i="14"/>
  <c r="AR703" i="14"/>
  <c r="AR705" i="14"/>
  <c r="AR714" i="14"/>
  <c r="AR719" i="14"/>
  <c r="AR730" i="14"/>
  <c r="AR711" i="14"/>
  <c r="AR713" i="14"/>
  <c r="AR722" i="14"/>
  <c r="AR727" i="14"/>
  <c r="AR725" i="14"/>
  <c r="AR717" i="14"/>
  <c r="AR704" i="14"/>
  <c r="AR710" i="14"/>
  <c r="AR698" i="14"/>
  <c r="AR692" i="14"/>
  <c r="AR691" i="14"/>
  <c r="AR696" i="14"/>
  <c r="AR736" i="14"/>
  <c r="AR695" i="14"/>
  <c r="AR693" i="14"/>
  <c r="AR732" i="14"/>
  <c r="AR731" i="14"/>
  <c r="AR694" i="14"/>
  <c r="AR733" i="14"/>
  <c r="AR699" i="14"/>
  <c r="AR701" i="14"/>
  <c r="AR697" i="14"/>
  <c r="AR734" i="14"/>
  <c r="AR735" i="14"/>
  <c r="AR700" i="14"/>
  <c r="AR690" i="14"/>
  <c r="AR683" i="14"/>
  <c r="AR689" i="14"/>
  <c r="AR684" i="14"/>
  <c r="AR682" i="14"/>
  <c r="AR685" i="14"/>
  <c r="AR686" i="14"/>
  <c r="AR687" i="14"/>
  <c r="AR688" i="14"/>
  <c r="AR124" i="14"/>
  <c r="AR127" i="14"/>
  <c r="AR137" i="14"/>
  <c r="AR71" i="14"/>
  <c r="AR104" i="14"/>
  <c r="AR103" i="14"/>
  <c r="AR123" i="14"/>
  <c r="AR102" i="14"/>
  <c r="AR9" i="14"/>
  <c r="AR21" i="14"/>
  <c r="AR29" i="14"/>
  <c r="AR34" i="14"/>
  <c r="AR47" i="14"/>
  <c r="AR53" i="14"/>
  <c r="AR79" i="14"/>
  <c r="AR87" i="14"/>
  <c r="AR114" i="14"/>
  <c r="AR134" i="14"/>
  <c r="AR188" i="14"/>
  <c r="AR196" i="14"/>
  <c r="AR203" i="14"/>
  <c r="AR211" i="14"/>
  <c r="AR219" i="14"/>
  <c r="AR227" i="14"/>
  <c r="AR235" i="14"/>
  <c r="AR241" i="14"/>
  <c r="AR249" i="14"/>
  <c r="AR257" i="14"/>
  <c r="AR265" i="14"/>
  <c r="AR273" i="14"/>
  <c r="AR281" i="14"/>
  <c r="AR289" i="14"/>
  <c r="AR16" i="14"/>
  <c r="AR23" i="14"/>
  <c r="AR31" i="14"/>
  <c r="AR35" i="14"/>
  <c r="AR49" i="14"/>
  <c r="AR81" i="14"/>
  <c r="AR108" i="14"/>
  <c r="AR116" i="14"/>
  <c r="AR190" i="14"/>
  <c r="AR198" i="14"/>
  <c r="AR205" i="14"/>
  <c r="AR213" i="14"/>
  <c r="AR221" i="14"/>
  <c r="AR229" i="14"/>
  <c r="AR237" i="14"/>
  <c r="AR243" i="14"/>
  <c r="AR251" i="14"/>
  <c r="AR259" i="14"/>
  <c r="AR267" i="14"/>
  <c r="AR275" i="14"/>
  <c r="AR283" i="14"/>
  <c r="AR291" i="14"/>
  <c r="AR11" i="14"/>
  <c r="AR20" i="14"/>
  <c r="AR28" i="14"/>
  <c r="AR46" i="14"/>
  <c r="AR58" i="14"/>
  <c r="AR78" i="14"/>
  <c r="AR86" i="14"/>
  <c r="AR90" i="14"/>
  <c r="AR105" i="14"/>
  <c r="AR113" i="14"/>
  <c r="AR120" i="14"/>
  <c r="AR133" i="14"/>
  <c r="AR187" i="14"/>
  <c r="AR195" i="14"/>
  <c r="AR202" i="14"/>
  <c r="AR210" i="14"/>
  <c r="AR218" i="14"/>
  <c r="AR226" i="14"/>
  <c r="AR234" i="14"/>
  <c r="AR240" i="14"/>
  <c r="AR248" i="14"/>
  <c r="AR256" i="14"/>
  <c r="AR264" i="14"/>
  <c r="AR272" i="14"/>
  <c r="AR280" i="14"/>
  <c r="AR288" i="14"/>
  <c r="AR296" i="14"/>
  <c r="AR304" i="14"/>
  <c r="AR312" i="14"/>
  <c r="AR318" i="14"/>
  <c r="AR324" i="14"/>
  <c r="AR332" i="14"/>
  <c r="AR338" i="14"/>
  <c r="AR344" i="14"/>
  <c r="AR352" i="14"/>
  <c r="AR360" i="14"/>
  <c r="AR368" i="14"/>
  <c r="AR33" i="14"/>
  <c r="AR424" i="14"/>
  <c r="AR432" i="14"/>
  <c r="AR440" i="14"/>
  <c r="AR448" i="14"/>
  <c r="AR456" i="14"/>
  <c r="AR464" i="14"/>
  <c r="AR472" i="14"/>
  <c r="AR480" i="14"/>
  <c r="AR417" i="14"/>
  <c r="AR425" i="14"/>
  <c r="AR433" i="14"/>
  <c r="AR441" i="14"/>
  <c r="AR488" i="14"/>
  <c r="AR496" i="14"/>
  <c r="AR504" i="14"/>
  <c r="AR449" i="14"/>
  <c r="AR457" i="14"/>
  <c r="AR465" i="14"/>
  <c r="AR473" i="14"/>
  <c r="AR418" i="14"/>
  <c r="AR426" i="14"/>
  <c r="AR434" i="14"/>
  <c r="AR442" i="14"/>
  <c r="AR450" i="14"/>
  <c r="AR75" i="14"/>
  <c r="AR314" i="14"/>
  <c r="AR326" i="14"/>
  <c r="AR458" i="14"/>
  <c r="AR466" i="14"/>
  <c r="AR474" i="14"/>
  <c r="AR482" i="14"/>
  <c r="AR12" i="14"/>
  <c r="AR17" i="14"/>
  <c r="AR24" i="14"/>
  <c r="AR55" i="14"/>
  <c r="AR82" i="14"/>
  <c r="AR109" i="14"/>
  <c r="AR117" i="14"/>
  <c r="AR183" i="14"/>
  <c r="AR191" i="14"/>
  <c r="AR206" i="14"/>
  <c r="AR214" i="14"/>
  <c r="AR222" i="14"/>
  <c r="AR230" i="14"/>
  <c r="AR423" i="14"/>
  <c r="AR431" i="14"/>
  <c r="AR439" i="14"/>
  <c r="AR447" i="14"/>
  <c r="AR455" i="14"/>
  <c r="AR463" i="14"/>
  <c r="AR471" i="14"/>
  <c r="AR334" i="14"/>
  <c r="AR19" i="14"/>
  <c r="AR27" i="14"/>
  <c r="AR32" i="14"/>
  <c r="AR77" i="14"/>
  <c r="AR112" i="14"/>
  <c r="AR119" i="14"/>
  <c r="AR132" i="14"/>
  <c r="AR186" i="14"/>
  <c r="AR194" i="14"/>
  <c r="AR201" i="14"/>
  <c r="AR209" i="14"/>
  <c r="AR217" i="14"/>
  <c r="AR225" i="14"/>
  <c r="AR233" i="14"/>
  <c r="AR239" i="14"/>
  <c r="AR247" i="14"/>
  <c r="AR255" i="14"/>
  <c r="AR263" i="14"/>
  <c r="AR271" i="14"/>
  <c r="AR279" i="14"/>
  <c r="AR287" i="14"/>
  <c r="AR295" i="14"/>
  <c r="AR303" i="14"/>
  <c r="AR311" i="14"/>
  <c r="AR317" i="14"/>
  <c r="AR323" i="14"/>
  <c r="AR331" i="14"/>
  <c r="AR337" i="14"/>
  <c r="AR343" i="14"/>
  <c r="AR351" i="14"/>
  <c r="AR359" i="14"/>
  <c r="AR367" i="14"/>
  <c r="AR375" i="14"/>
  <c r="AR479" i="14"/>
  <c r="AR340" i="14"/>
  <c r="AR481" i="14"/>
  <c r="AR490" i="14"/>
  <c r="AR498" i="14"/>
  <c r="AR506" i="14"/>
  <c r="AR26" i="14"/>
  <c r="AR57" i="14"/>
  <c r="AR74" i="14"/>
  <c r="AR111" i="14"/>
  <c r="AR487" i="14"/>
  <c r="AR495" i="14"/>
  <c r="AR297" i="14"/>
  <c r="AR512" i="14"/>
  <c r="AR346" i="14"/>
  <c r="AR299" i="14"/>
  <c r="AR514" i="14"/>
  <c r="AR244" i="14"/>
  <c r="AR420" i="14"/>
  <c r="AR428" i="14"/>
  <c r="AR436" i="14"/>
  <c r="AR444" i="14"/>
  <c r="AR452" i="14"/>
  <c r="AR460" i="14"/>
  <c r="AR468" i="14"/>
  <c r="AR476" i="14"/>
  <c r="AR484" i="14"/>
  <c r="AR492" i="14"/>
  <c r="AR500" i="14"/>
  <c r="AR508" i="14"/>
  <c r="AR516" i="14"/>
  <c r="AR524" i="14"/>
  <c r="AR532" i="14"/>
  <c r="AR540" i="14"/>
  <c r="AR84" i="14"/>
  <c r="AR118" i="14"/>
  <c r="AR131" i="14"/>
  <c r="AR185" i="14"/>
  <c r="AR193" i="14"/>
  <c r="AR200" i="14"/>
  <c r="AR208" i="14"/>
  <c r="AR216" i="14"/>
  <c r="AR224" i="14"/>
  <c r="AR232" i="14"/>
  <c r="AR238" i="14"/>
  <c r="AR246" i="14"/>
  <c r="AR254" i="14"/>
  <c r="AR262" i="14"/>
  <c r="AR270" i="14"/>
  <c r="AR278" i="14"/>
  <c r="AR286" i="14"/>
  <c r="AR294" i="14"/>
  <c r="AR302" i="14"/>
  <c r="AR310" i="14"/>
  <c r="AR421" i="14"/>
  <c r="AR429" i="14"/>
  <c r="AR437" i="14"/>
  <c r="AR445" i="14"/>
  <c r="AR453" i="14"/>
  <c r="AR461" i="14"/>
  <c r="AR469" i="14"/>
  <c r="AR477" i="14"/>
  <c r="AR503" i="14"/>
  <c r="AR511" i="14"/>
  <c r="AR305" i="14"/>
  <c r="AR313" i="14"/>
  <c r="AR325" i="14"/>
  <c r="AR333" i="14"/>
  <c r="AR520" i="14"/>
  <c r="AR489" i="14"/>
  <c r="AR497" i="14"/>
  <c r="AR505" i="14"/>
  <c r="AR513" i="14"/>
  <c r="AR307" i="14"/>
  <c r="AR522" i="14"/>
  <c r="AR530" i="14"/>
  <c r="AR252" i="14"/>
  <c r="AR260" i="14"/>
  <c r="AR268" i="14"/>
  <c r="AR276" i="14"/>
  <c r="AR284" i="14"/>
  <c r="AR292" i="14"/>
  <c r="AR300" i="14"/>
  <c r="AR308" i="14"/>
  <c r="AR316" i="14"/>
  <c r="AR320" i="14"/>
  <c r="AR328" i="14"/>
  <c r="AR322" i="14"/>
  <c r="AR330" i="14"/>
  <c r="AR336" i="14"/>
  <c r="AR342" i="14"/>
  <c r="AR350" i="14"/>
  <c r="AR358" i="14"/>
  <c r="AR366" i="14"/>
  <c r="AR374" i="14"/>
  <c r="AR383" i="14"/>
  <c r="AR391" i="14"/>
  <c r="AR399" i="14"/>
  <c r="AR407" i="14"/>
  <c r="AR415" i="14"/>
  <c r="AR519" i="14"/>
  <c r="AR339" i="14"/>
  <c r="AR354" i="14"/>
  <c r="AR362" i="14"/>
  <c r="AR315" i="14"/>
  <c r="AR319" i="14"/>
  <c r="AR327" i="14"/>
  <c r="AR341" i="14"/>
  <c r="AR347" i="14"/>
  <c r="AR355" i="14"/>
  <c r="AR363" i="14"/>
  <c r="AR138" i="14"/>
  <c r="AR144" i="14"/>
  <c r="AR152" i="14"/>
  <c r="AR160" i="14"/>
  <c r="AR168" i="14"/>
  <c r="AR176" i="14"/>
  <c r="AR538" i="14"/>
  <c r="AR348" i="14"/>
  <c r="AR356" i="14"/>
  <c r="AR364" i="14"/>
  <c r="AR372" i="14"/>
  <c r="AR380" i="14"/>
  <c r="AR388" i="14"/>
  <c r="AR396" i="14"/>
  <c r="AR404" i="14"/>
  <c r="AR412" i="14"/>
  <c r="AR570" i="14"/>
  <c r="AR145" i="14"/>
  <c r="AR507" i="14"/>
  <c r="AR669" i="14"/>
  <c r="AR73" i="14"/>
  <c r="AR91" i="14"/>
  <c r="AR371" i="14"/>
  <c r="AR379" i="14"/>
  <c r="AR387" i="14"/>
  <c r="AR395" i="14"/>
  <c r="AR403" i="14"/>
  <c r="AR411" i="14"/>
  <c r="AR564" i="14"/>
  <c r="AR161" i="14"/>
  <c r="AR435" i="14"/>
  <c r="AR546" i="14"/>
  <c r="AR419" i="14"/>
  <c r="AR467" i="14"/>
  <c r="AR531" i="14"/>
  <c r="AR18" i="14"/>
  <c r="AR25" i="14"/>
  <c r="AR36" i="14"/>
  <c r="AR50" i="14"/>
  <c r="AR56" i="14"/>
  <c r="AR83" i="14"/>
  <c r="AR89" i="14"/>
  <c r="AR110" i="14"/>
  <c r="AR130" i="14"/>
  <c r="AR184" i="14"/>
  <c r="AR192" i="14"/>
  <c r="AR199" i="14"/>
  <c r="AR207" i="14"/>
  <c r="AR215" i="14"/>
  <c r="AR223" i="14"/>
  <c r="AR231" i="14"/>
  <c r="AR245" i="14"/>
  <c r="AR253" i="14"/>
  <c r="AR261" i="14"/>
  <c r="AR269" i="14"/>
  <c r="AR277" i="14"/>
  <c r="AR285" i="14"/>
  <c r="AR293" i="14"/>
  <c r="AR301" i="14"/>
  <c r="AR309" i="14"/>
  <c r="AR321" i="14"/>
  <c r="AR329" i="14"/>
  <c r="AR335" i="14"/>
  <c r="AR349" i="14"/>
  <c r="AR357" i="14"/>
  <c r="AR365" i="14"/>
  <c r="AR373" i="14"/>
  <c r="AR381" i="14"/>
  <c r="AR389" i="14"/>
  <c r="AR397" i="14"/>
  <c r="AR405" i="14"/>
  <c r="AR413" i="14"/>
  <c r="AR547" i="14"/>
  <c r="AR97" i="14"/>
  <c r="AR140" i="14"/>
  <c r="AR146" i="14"/>
  <c r="AR154" i="14"/>
  <c r="AR162" i="14"/>
  <c r="AR170" i="14"/>
  <c r="AR178" i="14"/>
  <c r="AR153" i="14"/>
  <c r="AR443" i="14"/>
  <c r="AR515" i="14"/>
  <c r="AR382" i="14"/>
  <c r="AR390" i="14"/>
  <c r="AR398" i="14"/>
  <c r="AR406" i="14"/>
  <c r="AR414" i="14"/>
  <c r="AR561" i="14"/>
  <c r="AR66" i="14"/>
  <c r="AR98" i="14"/>
  <c r="AR147" i="14"/>
  <c r="AR155" i="14"/>
  <c r="AR163" i="14"/>
  <c r="AR171" i="14"/>
  <c r="AR179" i="14"/>
  <c r="AR485" i="14"/>
  <c r="AR493" i="14"/>
  <c r="AR501" i="14"/>
  <c r="AR509" i="14"/>
  <c r="AR517" i="14"/>
  <c r="AR525" i="14"/>
  <c r="AR533" i="14"/>
  <c r="AR541" i="14"/>
  <c r="AR548" i="14"/>
  <c r="AR670" i="14"/>
  <c r="AR169" i="14"/>
  <c r="AR491" i="14"/>
  <c r="AR177" i="14"/>
  <c r="AR67" i="14"/>
  <c r="AR92" i="14"/>
  <c r="AR148" i="14"/>
  <c r="AR156" i="14"/>
  <c r="AR164" i="14"/>
  <c r="AR172" i="14"/>
  <c r="AR180" i="14"/>
  <c r="AR422" i="14"/>
  <c r="AR430" i="14"/>
  <c r="AR438" i="14"/>
  <c r="AR446" i="14"/>
  <c r="AR454" i="14"/>
  <c r="AR462" i="14"/>
  <c r="AR470" i="14"/>
  <c r="AR478" i="14"/>
  <c r="AR486" i="14"/>
  <c r="AR494" i="14"/>
  <c r="AR502" i="14"/>
  <c r="AR510" i="14"/>
  <c r="AR518" i="14"/>
  <c r="AR526" i="14"/>
  <c r="AR534" i="14"/>
  <c r="AR542" i="14"/>
  <c r="AR562" i="14"/>
  <c r="AR61" i="14"/>
  <c r="AR96" i="14"/>
  <c r="AR483" i="14"/>
  <c r="AR673" i="14"/>
  <c r="AR376" i="14"/>
  <c r="AR384" i="14"/>
  <c r="AR392" i="14"/>
  <c r="AR400" i="14"/>
  <c r="AR408" i="14"/>
  <c r="AR416" i="14"/>
  <c r="AR451" i="14"/>
  <c r="AR523" i="14"/>
  <c r="AR560" i="14"/>
  <c r="AR68" i="14"/>
  <c r="AR93" i="14"/>
  <c r="AR141" i="14"/>
  <c r="AR157" i="14"/>
  <c r="AR165" i="14"/>
  <c r="AR173" i="14"/>
  <c r="AR181" i="14"/>
  <c r="AR527" i="14"/>
  <c r="AR535" i="14"/>
  <c r="AR543" i="14"/>
  <c r="AR667" i="14"/>
  <c r="AR671" i="14"/>
  <c r="AR139" i="14"/>
  <c r="AR427" i="14"/>
  <c r="AR499" i="14"/>
  <c r="AR345" i="14"/>
  <c r="AR353" i="14"/>
  <c r="AR361" i="14"/>
  <c r="AR369" i="14"/>
  <c r="AR377" i="14"/>
  <c r="AR385" i="14"/>
  <c r="AR393" i="14"/>
  <c r="AR401" i="14"/>
  <c r="AR409" i="14"/>
  <c r="AR459" i="14"/>
  <c r="AR539" i="14"/>
  <c r="AR69" i="14"/>
  <c r="AR94" i="14"/>
  <c r="AR142" i="14"/>
  <c r="AR150" i="14"/>
  <c r="AR158" i="14"/>
  <c r="AR166" i="14"/>
  <c r="AR174" i="14"/>
  <c r="AR182" i="14"/>
  <c r="AR528" i="14"/>
  <c r="AR536" i="14"/>
  <c r="AR544" i="14"/>
  <c r="AR88" i="14"/>
  <c r="AR370" i="14"/>
  <c r="AR378" i="14"/>
  <c r="AR386" i="14"/>
  <c r="AR394" i="14"/>
  <c r="AR402" i="14"/>
  <c r="AR410" i="14"/>
  <c r="AR475" i="14"/>
  <c r="AR126" i="14"/>
  <c r="AR143" i="14"/>
  <c r="AR151" i="14"/>
  <c r="AR159" i="14"/>
  <c r="AR167" i="14"/>
  <c r="AR175" i="14"/>
  <c r="AR521" i="14"/>
  <c r="AR529" i="14"/>
  <c r="AR537" i="14"/>
  <c r="AR545" i="14"/>
  <c r="AR569" i="14"/>
  <c r="AR668" i="14"/>
  <c r="AR672" i="14"/>
  <c r="AQ72" i="14"/>
  <c r="AQ720" i="14"/>
  <c r="AQ713" i="14"/>
  <c r="AQ707" i="14"/>
  <c r="AQ719" i="14"/>
  <c r="AQ712" i="14"/>
  <c r="AQ705" i="14"/>
  <c r="AQ727" i="14"/>
  <c r="AQ703" i="14"/>
  <c r="AQ728" i="14"/>
  <c r="AQ726" i="14"/>
  <c r="AQ704" i="14"/>
  <c r="AQ706" i="14"/>
  <c r="AQ717" i="14"/>
  <c r="AQ718" i="14"/>
  <c r="AQ722" i="14"/>
  <c r="AQ724" i="14"/>
  <c r="AQ714" i="14"/>
  <c r="AQ709" i="14"/>
  <c r="AQ711" i="14"/>
  <c r="AQ729" i="14"/>
  <c r="AQ716" i="14"/>
  <c r="AQ730" i="14"/>
  <c r="AQ723" i="14"/>
  <c r="AQ708" i="14"/>
  <c r="AQ715" i="14"/>
  <c r="AQ710" i="14"/>
  <c r="AQ725" i="14"/>
  <c r="AQ721" i="14"/>
  <c r="AQ702" i="14"/>
  <c r="AQ733" i="14"/>
  <c r="AQ734" i="14"/>
  <c r="AQ732" i="14"/>
  <c r="AQ735" i="14"/>
  <c r="AQ731" i="14"/>
  <c r="AP99" i="14"/>
  <c r="AQ123" i="14"/>
  <c r="AO695" i="14"/>
  <c r="AO742" i="14"/>
  <c r="AO747" i="14"/>
  <c r="AP747" i="14" s="1"/>
  <c r="BG747" i="14" s="1"/>
  <c r="AO734" i="14"/>
  <c r="AP734" i="14" s="1"/>
  <c r="BG734" i="14" s="1"/>
  <c r="AO736" i="14"/>
  <c r="AO751" i="14"/>
  <c r="AO696" i="14"/>
  <c r="AO743" i="14"/>
  <c r="AO697" i="14"/>
  <c r="AO744" i="14"/>
  <c r="AO698" i="14"/>
  <c r="AO745" i="14"/>
  <c r="AO699" i="14"/>
  <c r="AO746" i="14"/>
  <c r="AO700" i="14"/>
  <c r="AO741" i="14"/>
  <c r="AO701" i="14"/>
  <c r="AO748" i="14"/>
  <c r="AP748" i="14" s="1"/>
  <c r="BG748" i="14" s="1"/>
  <c r="AO740" i="14"/>
  <c r="AO731" i="14"/>
  <c r="AO749" i="14"/>
  <c r="AO733" i="14"/>
  <c r="AP733" i="14" s="1"/>
  <c r="BG733" i="14" s="1"/>
  <c r="AO735" i="14"/>
  <c r="AO739" i="14"/>
  <c r="AO752" i="14"/>
  <c r="AO732" i="14"/>
  <c r="AO750" i="14"/>
  <c r="AO694" i="14"/>
  <c r="AO693" i="14"/>
  <c r="AQ128" i="14"/>
  <c r="AP691" i="14"/>
  <c r="BE691" i="14" s="1"/>
  <c r="AP692" i="14"/>
  <c r="BE692" i="14" s="1"/>
  <c r="AP694" i="14"/>
  <c r="BE694" i="14" s="1"/>
  <c r="AP696" i="14"/>
  <c r="AP695" i="14"/>
  <c r="AP697" i="14"/>
  <c r="AP693" i="14"/>
  <c r="BE693" i="14" s="1"/>
  <c r="AP690" i="14"/>
  <c r="BE690" i="14" s="1"/>
  <c r="AP684" i="14"/>
  <c r="BE684" i="14" s="1"/>
  <c r="AP682" i="14"/>
  <c r="BE682" i="14" s="1"/>
  <c r="AP687" i="14"/>
  <c r="BE687" i="14" s="1"/>
  <c r="AP685" i="14"/>
  <c r="BE685" i="14" s="1"/>
  <c r="AP686" i="14"/>
  <c r="BE686" i="14" s="1"/>
  <c r="AP683" i="14"/>
  <c r="BE683" i="14" s="1"/>
  <c r="AP689" i="14"/>
  <c r="BE689" i="14" s="1"/>
  <c r="AP688" i="14"/>
  <c r="BE688" i="14" s="1"/>
  <c r="AP124" i="14"/>
  <c r="BE124" i="14" s="1"/>
  <c r="AQ698" i="14"/>
  <c r="AQ692" i="14"/>
  <c r="AQ691" i="14"/>
  <c r="AQ700" i="14"/>
  <c r="AQ697" i="14"/>
  <c r="AQ699" i="14"/>
  <c r="AQ695" i="14"/>
  <c r="AQ694" i="14"/>
  <c r="AQ693" i="14"/>
  <c r="AQ696" i="14"/>
  <c r="AQ701" i="14"/>
  <c r="AQ688" i="14"/>
  <c r="AQ682" i="14"/>
  <c r="AQ685" i="14"/>
  <c r="AQ689" i="14"/>
  <c r="AQ683" i="14"/>
  <c r="AQ690" i="14"/>
  <c r="AQ684" i="14"/>
  <c r="AQ687" i="14"/>
  <c r="AQ686" i="14"/>
  <c r="AP123" i="14"/>
  <c r="BE123" i="14" s="1"/>
  <c r="AQ122" i="14"/>
  <c r="AP72" i="14"/>
  <c r="AQ127" i="14"/>
  <c r="AQ425" i="14"/>
  <c r="AQ433" i="14"/>
  <c r="AP100" i="14"/>
  <c r="AQ104" i="14"/>
  <c r="AQ11" i="14"/>
  <c r="AQ16" i="14"/>
  <c r="AQ23" i="14"/>
  <c r="AQ31" i="14"/>
  <c r="AQ35" i="14"/>
  <c r="AP103" i="14"/>
  <c r="AQ136" i="14"/>
  <c r="AP137" i="14"/>
  <c r="BE137" i="14" s="1"/>
  <c r="AQ101" i="14"/>
  <c r="AQ12" i="14"/>
  <c r="AQ17" i="14"/>
  <c r="AP102" i="14"/>
  <c r="AQ137" i="14"/>
  <c r="AP71" i="14"/>
  <c r="AQ70" i="14"/>
  <c r="AQ18" i="14"/>
  <c r="AQ25" i="14"/>
  <c r="AQ50" i="14"/>
  <c r="AQ56" i="14"/>
  <c r="AQ83" i="14"/>
  <c r="AQ110" i="14"/>
  <c r="AQ130" i="14"/>
  <c r="AQ184" i="14"/>
  <c r="AQ192" i="14"/>
  <c r="AQ199" i="14"/>
  <c r="AQ207" i="14"/>
  <c r="AQ253" i="14"/>
  <c r="AP104" i="14"/>
  <c r="AQ121" i="14"/>
  <c r="AP127" i="14"/>
  <c r="BE127" i="14" s="1"/>
  <c r="AP122" i="14"/>
  <c r="BE122" i="14" s="1"/>
  <c r="AQ102" i="14"/>
  <c r="AP121" i="14"/>
  <c r="BE121" i="14" s="1"/>
  <c r="AQ99" i="14"/>
  <c r="AQ100" i="14"/>
  <c r="AP70" i="14"/>
  <c r="AQ71" i="14"/>
  <c r="AP136" i="14"/>
  <c r="BE136" i="14" s="1"/>
  <c r="AQ124" i="14"/>
  <c r="AQ103" i="14"/>
  <c r="AP101" i="14"/>
  <c r="AQ49" i="14"/>
  <c r="AQ441" i="14"/>
  <c r="AQ449" i="14"/>
  <c r="AQ55" i="14"/>
  <c r="AQ10" i="14"/>
  <c r="AQ22" i="14"/>
  <c r="AQ30" i="14"/>
  <c r="AQ48" i="14"/>
  <c r="AQ54" i="14"/>
  <c r="AQ80" i="14"/>
  <c r="AQ88" i="14"/>
  <c r="AQ107" i="14"/>
  <c r="AQ135" i="14"/>
  <c r="AQ189" i="14"/>
  <c r="AQ197" i="14"/>
  <c r="AQ204" i="14"/>
  <c r="AQ212" i="14"/>
  <c r="AQ220" i="14"/>
  <c r="AQ228" i="14"/>
  <c r="AQ236" i="14"/>
  <c r="AQ242" i="14"/>
  <c r="AQ250" i="14"/>
  <c r="AQ258" i="14"/>
  <c r="AQ266" i="14"/>
  <c r="AQ274" i="14"/>
  <c r="AQ282" i="14"/>
  <c r="AQ290" i="14"/>
  <c r="AQ298" i="14"/>
  <c r="AQ306" i="14"/>
  <c r="AQ314" i="14"/>
  <c r="AQ326" i="14"/>
  <c r="AQ334" i="14"/>
  <c r="AQ340" i="14"/>
  <c r="AQ346" i="14"/>
  <c r="AQ354" i="14"/>
  <c r="AQ457" i="14"/>
  <c r="AQ73" i="14"/>
  <c r="AQ81" i="14"/>
  <c r="AQ91" i="14"/>
  <c r="AQ108" i="14"/>
  <c r="AQ116" i="14"/>
  <c r="AQ190" i="14"/>
  <c r="AQ198" i="14"/>
  <c r="AQ205" i="14"/>
  <c r="AQ213" i="14"/>
  <c r="AQ221" i="14"/>
  <c r="AQ229" i="14"/>
  <c r="AQ237" i="14"/>
  <c r="AQ243" i="14"/>
  <c r="AQ251" i="14"/>
  <c r="AQ259" i="14"/>
  <c r="AQ267" i="14"/>
  <c r="AQ275" i="14"/>
  <c r="AQ283" i="14"/>
  <c r="AQ418" i="14"/>
  <c r="AQ426" i="14"/>
  <c r="AQ434" i="14"/>
  <c r="AQ442" i="14"/>
  <c r="AQ450" i="14"/>
  <c r="AQ458" i="14"/>
  <c r="AQ36" i="14"/>
  <c r="AQ215" i="14"/>
  <c r="AQ223" i="14"/>
  <c r="AQ231" i="14"/>
  <c r="AQ245" i="14"/>
  <c r="AQ291" i="14"/>
  <c r="AQ299" i="14"/>
  <c r="AQ307" i="14"/>
  <c r="AQ315" i="14"/>
  <c r="AQ319" i="14"/>
  <c r="AQ327" i="14"/>
  <c r="AQ466" i="14"/>
  <c r="AQ82" i="14"/>
  <c r="AQ109" i="14"/>
  <c r="AQ117" i="14"/>
  <c r="AQ183" i="14"/>
  <c r="AQ191" i="14"/>
  <c r="AQ19" i="14"/>
  <c r="AQ27" i="14"/>
  <c r="AQ32" i="14"/>
  <c r="AQ77" i="14"/>
  <c r="AQ112" i="14"/>
  <c r="AQ247" i="14"/>
  <c r="AQ255" i="14"/>
  <c r="AQ263" i="14"/>
  <c r="AQ271" i="14"/>
  <c r="AQ279" i="14"/>
  <c r="AQ287" i="14"/>
  <c r="AQ295" i="14"/>
  <c r="AQ20" i="14"/>
  <c r="AQ28" i="14"/>
  <c r="AQ33" i="14"/>
  <c r="AQ46" i="14"/>
  <c r="AQ58" i="14"/>
  <c r="AQ78" i="14"/>
  <c r="AQ86" i="14"/>
  <c r="AQ90" i="14"/>
  <c r="AQ105" i="14"/>
  <c r="AQ113" i="14"/>
  <c r="AQ120" i="14"/>
  <c r="AQ133" i="14"/>
  <c r="AQ187" i="14"/>
  <c r="AQ195" i="14"/>
  <c r="AQ202" i="14"/>
  <c r="AQ210" i="14"/>
  <c r="AQ218" i="14"/>
  <c r="AQ226" i="14"/>
  <c r="AQ234" i="14"/>
  <c r="AQ240" i="14"/>
  <c r="AQ248" i="14"/>
  <c r="AQ256" i="14"/>
  <c r="AQ264" i="14"/>
  <c r="AQ272" i="14"/>
  <c r="AQ280" i="14"/>
  <c r="AQ288" i="14"/>
  <c r="AQ296" i="14"/>
  <c r="AQ21" i="14"/>
  <c r="AQ29" i="14"/>
  <c r="AQ34" i="14"/>
  <c r="AQ47" i="14"/>
  <c r="AQ53" i="14"/>
  <c r="AQ75" i="14"/>
  <c r="AQ79" i="14"/>
  <c r="AQ87" i="14"/>
  <c r="AQ114" i="14"/>
  <c r="AQ134" i="14"/>
  <c r="AQ188" i="14"/>
  <c r="AQ196" i="14"/>
  <c r="AQ203" i="14"/>
  <c r="AQ211" i="14"/>
  <c r="AQ219" i="14"/>
  <c r="AQ227" i="14"/>
  <c r="AQ235" i="14"/>
  <c r="AQ241" i="14"/>
  <c r="AQ249" i="14"/>
  <c r="AQ257" i="14"/>
  <c r="AQ265" i="14"/>
  <c r="AQ273" i="14"/>
  <c r="AQ281" i="14"/>
  <c r="AQ289" i="14"/>
  <c r="AQ297" i="14"/>
  <c r="AQ305" i="14"/>
  <c r="AQ313" i="14"/>
  <c r="AQ325" i="14"/>
  <c r="AQ333" i="14"/>
  <c r="AQ339" i="14"/>
  <c r="AQ345" i="14"/>
  <c r="AQ353" i="14"/>
  <c r="AQ361" i="14"/>
  <c r="AQ369" i="14"/>
  <c r="AQ377" i="14"/>
  <c r="AQ385" i="14"/>
  <c r="AQ393" i="14"/>
  <c r="AQ362" i="14"/>
  <c r="AQ370" i="14"/>
  <c r="AQ378" i="14"/>
  <c r="AQ386" i="14"/>
  <c r="AQ394" i="14"/>
  <c r="AQ402" i="14"/>
  <c r="AQ410" i="14"/>
  <c r="AQ474" i="14"/>
  <c r="AQ482" i="14"/>
  <c r="AQ490" i="14"/>
  <c r="AQ498" i="14"/>
  <c r="AQ24" i="14"/>
  <c r="AQ89" i="14"/>
  <c r="AQ401" i="14"/>
  <c r="AQ506" i="14"/>
  <c r="AQ514" i="14"/>
  <c r="AQ206" i="14"/>
  <c r="AQ214" i="14"/>
  <c r="AQ222" i="14"/>
  <c r="AQ230" i="14"/>
  <c r="AQ244" i="14"/>
  <c r="AQ252" i="14"/>
  <c r="AQ260" i="14"/>
  <c r="AQ268" i="14"/>
  <c r="AQ276" i="14"/>
  <c r="AQ284" i="14"/>
  <c r="AQ292" i="14"/>
  <c r="AQ300" i="14"/>
  <c r="AQ308" i="14"/>
  <c r="AQ316" i="14"/>
  <c r="AQ320" i="14"/>
  <c r="AQ261" i="14"/>
  <c r="AQ269" i="14"/>
  <c r="AQ277" i="14"/>
  <c r="AQ66" i="14"/>
  <c r="AQ98" i="14"/>
  <c r="AQ147" i="14"/>
  <c r="AQ155" i="14"/>
  <c r="AQ163" i="14"/>
  <c r="AQ421" i="14"/>
  <c r="AQ429" i="14"/>
  <c r="AQ437" i="14"/>
  <c r="AQ445" i="14"/>
  <c r="AQ453" i="14"/>
  <c r="AQ422" i="14"/>
  <c r="AQ430" i="14"/>
  <c r="AQ438" i="14"/>
  <c r="AQ446" i="14"/>
  <c r="AQ454" i="14"/>
  <c r="AQ462" i="14"/>
  <c r="AQ470" i="14"/>
  <c r="AQ417" i="14"/>
  <c r="AQ341" i="14"/>
  <c r="AQ347" i="14"/>
  <c r="AQ522" i="14"/>
  <c r="AQ328" i="14"/>
  <c r="AQ348" i="14"/>
  <c r="AQ356" i="14"/>
  <c r="AQ570" i="14"/>
  <c r="AQ420" i="14"/>
  <c r="AQ428" i="14"/>
  <c r="AQ436" i="14"/>
  <c r="AQ444" i="14"/>
  <c r="AQ452" i="14"/>
  <c r="AQ460" i="14"/>
  <c r="AQ468" i="14"/>
  <c r="AQ476" i="14"/>
  <c r="AQ484" i="14"/>
  <c r="AQ492" i="14"/>
  <c r="AQ500" i="14"/>
  <c r="AQ508" i="14"/>
  <c r="AQ516" i="14"/>
  <c r="AQ524" i="14"/>
  <c r="AQ532" i="14"/>
  <c r="AQ540" i="14"/>
  <c r="AQ171" i="14"/>
  <c r="AQ179" i="14"/>
  <c r="AQ461" i="14"/>
  <c r="AQ303" i="14"/>
  <c r="AQ148" i="14"/>
  <c r="AQ156" i="14"/>
  <c r="AQ164" i="14"/>
  <c r="AQ172" i="14"/>
  <c r="AQ180" i="14"/>
  <c r="AQ478" i="14"/>
  <c r="AQ486" i="14"/>
  <c r="AQ494" i="14"/>
  <c r="AQ502" i="14"/>
  <c r="AQ510" i="14"/>
  <c r="AQ518" i="14"/>
  <c r="AQ526" i="14"/>
  <c r="AQ534" i="14"/>
  <c r="AQ542" i="14"/>
  <c r="AQ562" i="14"/>
  <c r="AQ304" i="14"/>
  <c r="AQ312" i="14"/>
  <c r="AQ318" i="14"/>
  <c r="AQ324" i="14"/>
  <c r="AQ332" i="14"/>
  <c r="AQ409" i="14"/>
  <c r="AQ355" i="14"/>
  <c r="AQ363" i="14"/>
  <c r="AQ371" i="14"/>
  <c r="AQ364" i="14"/>
  <c r="AQ372" i="14"/>
  <c r="AQ380" i="14"/>
  <c r="AQ388" i="14"/>
  <c r="AQ396" i="14"/>
  <c r="AQ404" i="14"/>
  <c r="AQ412" i="14"/>
  <c r="AQ96" i="14"/>
  <c r="AQ139" i="14"/>
  <c r="AQ145" i="14"/>
  <c r="AQ153" i="14"/>
  <c r="AQ161" i="14"/>
  <c r="AQ169" i="14"/>
  <c r="AQ177" i="14"/>
  <c r="AQ419" i="14"/>
  <c r="AQ427" i="14"/>
  <c r="AQ435" i="14"/>
  <c r="AQ443" i="14"/>
  <c r="AQ451" i="14"/>
  <c r="AQ459" i="14"/>
  <c r="AQ467" i="14"/>
  <c r="AQ475" i="14"/>
  <c r="AQ483" i="14"/>
  <c r="AQ491" i="14"/>
  <c r="AQ499" i="14"/>
  <c r="AQ507" i="14"/>
  <c r="AQ515" i="14"/>
  <c r="AQ523" i="14"/>
  <c r="AQ531" i="14"/>
  <c r="AQ539" i="14"/>
  <c r="AQ560" i="14"/>
  <c r="AQ669" i="14"/>
  <c r="AQ673" i="14"/>
  <c r="AQ285" i="14"/>
  <c r="AQ293" i="14"/>
  <c r="AQ301" i="14"/>
  <c r="AQ309" i="14"/>
  <c r="AQ321" i="14"/>
  <c r="AQ329" i="14"/>
  <c r="AQ335" i="14"/>
  <c r="AQ349" i="14"/>
  <c r="AQ357" i="14"/>
  <c r="AQ365" i="14"/>
  <c r="AQ373" i="14"/>
  <c r="AQ381" i="14"/>
  <c r="AQ389" i="14"/>
  <c r="AQ397" i="14"/>
  <c r="AQ405" i="14"/>
  <c r="AQ413" i="14"/>
  <c r="AQ547" i="14"/>
  <c r="AQ97" i="14"/>
  <c r="AQ140" i="14"/>
  <c r="AQ146" i="14"/>
  <c r="AQ154" i="14"/>
  <c r="AQ162" i="14"/>
  <c r="AQ170" i="14"/>
  <c r="AQ178" i="14"/>
  <c r="AQ26" i="14"/>
  <c r="AQ57" i="14"/>
  <c r="AQ74" i="14"/>
  <c r="AQ84" i="14"/>
  <c r="AQ111" i="14"/>
  <c r="AQ118" i="14"/>
  <c r="AQ131" i="14"/>
  <c r="AQ185" i="14"/>
  <c r="AQ193" i="14"/>
  <c r="AQ200" i="14"/>
  <c r="AQ208" i="14"/>
  <c r="AQ216" i="14"/>
  <c r="AQ224" i="14"/>
  <c r="AQ232" i="14"/>
  <c r="AQ238" i="14"/>
  <c r="AQ246" i="14"/>
  <c r="AQ254" i="14"/>
  <c r="AQ262" i="14"/>
  <c r="AQ270" i="14"/>
  <c r="AQ278" i="14"/>
  <c r="AQ286" i="14"/>
  <c r="AQ294" i="14"/>
  <c r="AQ302" i="14"/>
  <c r="AQ310" i="14"/>
  <c r="AQ322" i="14"/>
  <c r="AQ330" i="14"/>
  <c r="AQ336" i="14"/>
  <c r="AQ342" i="14"/>
  <c r="AQ350" i="14"/>
  <c r="AQ358" i="14"/>
  <c r="AQ366" i="14"/>
  <c r="AQ374" i="14"/>
  <c r="AQ382" i="14"/>
  <c r="AQ390" i="14"/>
  <c r="AQ398" i="14"/>
  <c r="AQ406" i="14"/>
  <c r="AQ414" i="14"/>
  <c r="AQ561" i="14"/>
  <c r="AQ469" i="14"/>
  <c r="AQ477" i="14"/>
  <c r="AQ485" i="14"/>
  <c r="AQ493" i="14"/>
  <c r="AQ501" i="14"/>
  <c r="AQ509" i="14"/>
  <c r="AQ517" i="14"/>
  <c r="AQ525" i="14"/>
  <c r="AQ533" i="14"/>
  <c r="AQ541" i="14"/>
  <c r="AQ548" i="14"/>
  <c r="AQ670" i="14"/>
  <c r="AQ119" i="14"/>
  <c r="AQ132" i="14"/>
  <c r="AQ186" i="14"/>
  <c r="AQ194" i="14"/>
  <c r="AQ201" i="14"/>
  <c r="AQ209" i="14"/>
  <c r="AQ217" i="14"/>
  <c r="AQ225" i="14"/>
  <c r="AQ233" i="14"/>
  <c r="AQ239" i="14"/>
  <c r="AQ311" i="14"/>
  <c r="AQ317" i="14"/>
  <c r="AQ323" i="14"/>
  <c r="AQ331" i="14"/>
  <c r="AQ337" i="14"/>
  <c r="AQ343" i="14"/>
  <c r="AQ351" i="14"/>
  <c r="AQ359" i="14"/>
  <c r="AQ367" i="14"/>
  <c r="AQ375" i="14"/>
  <c r="AQ383" i="14"/>
  <c r="AQ391" i="14"/>
  <c r="AQ399" i="14"/>
  <c r="AQ407" i="14"/>
  <c r="AQ415" i="14"/>
  <c r="AQ67" i="14"/>
  <c r="AQ92" i="14"/>
  <c r="AQ61" i="14"/>
  <c r="AQ338" i="14"/>
  <c r="AQ344" i="14"/>
  <c r="AQ352" i="14"/>
  <c r="AQ360" i="14"/>
  <c r="AQ368" i="14"/>
  <c r="AQ376" i="14"/>
  <c r="AQ384" i="14"/>
  <c r="AQ392" i="14"/>
  <c r="AQ400" i="14"/>
  <c r="AQ408" i="14"/>
  <c r="AQ416" i="14"/>
  <c r="AP62" i="14"/>
  <c r="AQ62" i="14"/>
  <c r="AQ68" i="14"/>
  <c r="AQ93" i="14"/>
  <c r="AQ141" i="14"/>
  <c r="AQ149" i="14"/>
  <c r="AQ157" i="14"/>
  <c r="AQ165" i="14"/>
  <c r="AQ173" i="14"/>
  <c r="AQ181" i="14"/>
  <c r="AQ423" i="14"/>
  <c r="AQ431" i="14"/>
  <c r="AQ439" i="14"/>
  <c r="AQ447" i="14"/>
  <c r="AQ455" i="14"/>
  <c r="AQ463" i="14"/>
  <c r="AQ471" i="14"/>
  <c r="AQ479" i="14"/>
  <c r="AQ487" i="14"/>
  <c r="AQ495" i="14"/>
  <c r="AQ503" i="14"/>
  <c r="AQ511" i="14"/>
  <c r="AQ519" i="14"/>
  <c r="AQ527" i="14"/>
  <c r="AQ535" i="14"/>
  <c r="AQ543" i="14"/>
  <c r="AQ667" i="14"/>
  <c r="AQ671" i="14"/>
  <c r="AQ9" i="14"/>
  <c r="AK9" i="14"/>
  <c r="AQ69" i="14"/>
  <c r="AQ94" i="14"/>
  <c r="AQ125" i="14"/>
  <c r="AQ142" i="14"/>
  <c r="AQ150" i="14"/>
  <c r="AQ158" i="14"/>
  <c r="AQ166" i="14"/>
  <c r="AQ174" i="14"/>
  <c r="AQ182" i="14"/>
  <c r="AQ424" i="14"/>
  <c r="AQ432" i="14"/>
  <c r="AQ440" i="14"/>
  <c r="AQ448" i="14"/>
  <c r="AQ456" i="14"/>
  <c r="AQ464" i="14"/>
  <c r="AQ472" i="14"/>
  <c r="AQ480" i="14"/>
  <c r="AQ488" i="14"/>
  <c r="AQ496" i="14"/>
  <c r="AQ504" i="14"/>
  <c r="AQ512" i="14"/>
  <c r="AQ520" i="14"/>
  <c r="AQ528" i="14"/>
  <c r="AQ536" i="14"/>
  <c r="AQ544" i="14"/>
  <c r="AQ126" i="14"/>
  <c r="AQ143" i="14"/>
  <c r="AQ151" i="14"/>
  <c r="AQ159" i="14"/>
  <c r="AQ167" i="14"/>
  <c r="AQ175" i="14"/>
  <c r="AQ465" i="14"/>
  <c r="AQ473" i="14"/>
  <c r="AQ481" i="14"/>
  <c r="AQ489" i="14"/>
  <c r="AQ497" i="14"/>
  <c r="AQ505" i="14"/>
  <c r="AQ513" i="14"/>
  <c r="AQ521" i="14"/>
  <c r="AQ529" i="14"/>
  <c r="AQ537" i="14"/>
  <c r="AQ545" i="14"/>
  <c r="AQ569" i="14"/>
  <c r="AQ668" i="14"/>
  <c r="AQ672" i="14"/>
  <c r="AQ379" i="14"/>
  <c r="AQ387" i="14"/>
  <c r="AQ395" i="14"/>
  <c r="AQ403" i="14"/>
  <c r="AQ411" i="14"/>
  <c r="AQ564" i="14"/>
  <c r="AQ138" i="14"/>
  <c r="AQ144" i="14"/>
  <c r="AQ152" i="14"/>
  <c r="AQ160" i="14"/>
  <c r="AQ168" i="14"/>
  <c r="AQ176" i="14"/>
  <c r="AQ530" i="14"/>
  <c r="AQ538" i="14"/>
  <c r="AQ546" i="14"/>
  <c r="AP55" i="14"/>
  <c r="AP244" i="14"/>
  <c r="BE244" i="14" s="1"/>
  <c r="AP48" i="14"/>
  <c r="AP80" i="14"/>
  <c r="AP197" i="14"/>
  <c r="BE197" i="14" s="1"/>
  <c r="AP236" i="14"/>
  <c r="BE236" i="14" s="1"/>
  <c r="AP274" i="14"/>
  <c r="BE274" i="14" s="1"/>
  <c r="AP314" i="14"/>
  <c r="BE314" i="14" s="1"/>
  <c r="AP109" i="14"/>
  <c r="BE109" i="14" s="1"/>
  <c r="AP191" i="14"/>
  <c r="BE191" i="14" s="1"/>
  <c r="AP220" i="14"/>
  <c r="BE220" i="14" s="1"/>
  <c r="AP230" i="14"/>
  <c r="BE230" i="14" s="1"/>
  <c r="AP258" i="14"/>
  <c r="BE258" i="14" s="1"/>
  <c r="AP268" i="14"/>
  <c r="BE268" i="14" s="1"/>
  <c r="AP298" i="14"/>
  <c r="BE298" i="14" s="1"/>
  <c r="AP334" i="14"/>
  <c r="BE334" i="14" s="1"/>
  <c r="AP370" i="14"/>
  <c r="BE370" i="14" s="1"/>
  <c r="AP12" i="14"/>
  <c r="AP29" i="14"/>
  <c r="AP22" i="14"/>
  <c r="AP204" i="14"/>
  <c r="BE204" i="14" s="1"/>
  <c r="AP214" i="14"/>
  <c r="BE214" i="14" s="1"/>
  <c r="AP242" i="14"/>
  <c r="BE242" i="14" s="1"/>
  <c r="AP252" i="14"/>
  <c r="BE252" i="14" s="1"/>
  <c r="AP282" i="14"/>
  <c r="BE282" i="14" s="1"/>
  <c r="AP10" i="14"/>
  <c r="AP82" i="14"/>
  <c r="AP107" i="14"/>
  <c r="BE107" i="14" s="1"/>
  <c r="AP189" i="14"/>
  <c r="BE189" i="14" s="1"/>
  <c r="AP276" i="14"/>
  <c r="BE276" i="14" s="1"/>
  <c r="AP306" i="14"/>
  <c r="BE306" i="14" s="1"/>
  <c r="AP340" i="14"/>
  <c r="BE340" i="14" s="1"/>
  <c r="AP34" i="14"/>
  <c r="AP228" i="14"/>
  <c r="BE228" i="14" s="1"/>
  <c r="AP17" i="14"/>
  <c r="AP117" i="14"/>
  <c r="BE117" i="14" s="1"/>
  <c r="AP266" i="14"/>
  <c r="BE266" i="14" s="1"/>
  <c r="AP9" i="14"/>
  <c r="AP250" i="14"/>
  <c r="BE250" i="14" s="1"/>
  <c r="AP290" i="14"/>
  <c r="BE290" i="14" s="1"/>
  <c r="AP21" i="14"/>
  <c r="AP54" i="14"/>
  <c r="AP183" i="14"/>
  <c r="BE183" i="14" s="1"/>
  <c r="AP362" i="14"/>
  <c r="BE362" i="14" s="1"/>
  <c r="AP30" i="14"/>
  <c r="AP135" i="14"/>
  <c r="BE135" i="14" s="1"/>
  <c r="AP222" i="14"/>
  <c r="BE222" i="14" s="1"/>
  <c r="AP260" i="14"/>
  <c r="BE260" i="14" s="1"/>
  <c r="AP326" i="14"/>
  <c r="BE326" i="14" s="1"/>
  <c r="AP212" i="14"/>
  <c r="BE212" i="14" s="1"/>
  <c r="AP346" i="14"/>
  <c r="BE346" i="14" s="1"/>
  <c r="AP354" i="14"/>
  <c r="BE354" i="14" s="1"/>
  <c r="AP284" i="14"/>
  <c r="BE284" i="14" s="1"/>
  <c r="AP24" i="14"/>
  <c r="AP46" i="14"/>
  <c r="AP78" i="14"/>
  <c r="AP105" i="14"/>
  <c r="AP113" i="14"/>
  <c r="BE113" i="14" s="1"/>
  <c r="AP120" i="14"/>
  <c r="BE120" i="14" s="1"/>
  <c r="AP133" i="14"/>
  <c r="BE133" i="14" s="1"/>
  <c r="AP28" i="14"/>
  <c r="AP58" i="14"/>
  <c r="AP423" i="14"/>
  <c r="BE423" i="14" s="1"/>
  <c r="AP20" i="14"/>
  <c r="AP86" i="14"/>
  <c r="AP33" i="14"/>
  <c r="AP431" i="14"/>
  <c r="BE431" i="14" s="1"/>
  <c r="AP422" i="14"/>
  <c r="BE422" i="14" s="1"/>
  <c r="AP430" i="14"/>
  <c r="BE430" i="14" s="1"/>
  <c r="AP438" i="14"/>
  <c r="BE438" i="14" s="1"/>
  <c r="AP446" i="14"/>
  <c r="BE446" i="14" s="1"/>
  <c r="AP454" i="14"/>
  <c r="BE454" i="14" s="1"/>
  <c r="AP462" i="14"/>
  <c r="BE462" i="14" s="1"/>
  <c r="AP470" i="14"/>
  <c r="BE470" i="14" s="1"/>
  <c r="AP478" i="14"/>
  <c r="BE478" i="14" s="1"/>
  <c r="AP439" i="14"/>
  <c r="BE439" i="14" s="1"/>
  <c r="AP53" i="14"/>
  <c r="AP469" i="14"/>
  <c r="BE469" i="14" s="1"/>
  <c r="AP187" i="14"/>
  <c r="BE187" i="14" s="1"/>
  <c r="AP195" i="14"/>
  <c r="BE195" i="14" s="1"/>
  <c r="AP202" i="14"/>
  <c r="BE202" i="14" s="1"/>
  <c r="AP437" i="14"/>
  <c r="BE437" i="14" s="1"/>
  <c r="AP447" i="14"/>
  <c r="BE447" i="14" s="1"/>
  <c r="AP429" i="14"/>
  <c r="BE429" i="14" s="1"/>
  <c r="AP453" i="14"/>
  <c r="BE453" i="14" s="1"/>
  <c r="AP493" i="14"/>
  <c r="BE493" i="14" s="1"/>
  <c r="AP445" i="14"/>
  <c r="BE445" i="14" s="1"/>
  <c r="AP421" i="14"/>
  <c r="BE421" i="14" s="1"/>
  <c r="AP485" i="14"/>
  <c r="BE485" i="14" s="1"/>
  <c r="AP477" i="14"/>
  <c r="BE477" i="14" s="1"/>
  <c r="AP461" i="14"/>
  <c r="BE461" i="14" s="1"/>
  <c r="AP420" i="14"/>
  <c r="BE420" i="14" s="1"/>
  <c r="AP428" i="14"/>
  <c r="BE428" i="14" s="1"/>
  <c r="AP436" i="14"/>
  <c r="BE436" i="14" s="1"/>
  <c r="AP444" i="14"/>
  <c r="BE444" i="14" s="1"/>
  <c r="AP452" i="14"/>
  <c r="BE452" i="14" s="1"/>
  <c r="AP460" i="14"/>
  <c r="BE460" i="14" s="1"/>
  <c r="AP468" i="14"/>
  <c r="BE468" i="14" s="1"/>
  <c r="AP476" i="14"/>
  <c r="BE476" i="14" s="1"/>
  <c r="AP484" i="14"/>
  <c r="BE484" i="14" s="1"/>
  <c r="AP492" i="14"/>
  <c r="BE492" i="14" s="1"/>
  <c r="AP500" i="14"/>
  <c r="BE500" i="14" s="1"/>
  <c r="AP508" i="14"/>
  <c r="BE508" i="14" s="1"/>
  <c r="AP516" i="14"/>
  <c r="BE516" i="14" s="1"/>
  <c r="AP524" i="14"/>
  <c r="BE524" i="14" s="1"/>
  <c r="AP532" i="14"/>
  <c r="BE532" i="14" s="1"/>
  <c r="AP19" i="14"/>
  <c r="AP27" i="14"/>
  <c r="AP77" i="14"/>
  <c r="AP112" i="14"/>
  <c r="BE112" i="14" s="1"/>
  <c r="AP186" i="14"/>
  <c r="BE186" i="14" s="1"/>
  <c r="AP194" i="14"/>
  <c r="BE194" i="14" s="1"/>
  <c r="AP218" i="14"/>
  <c r="BE218" i="14" s="1"/>
  <c r="AP79" i="14"/>
  <c r="AP87" i="14"/>
  <c r="AP114" i="14"/>
  <c r="BE114" i="14" s="1"/>
  <c r="AP134" i="14"/>
  <c r="BE134" i="14" s="1"/>
  <c r="AP188" i="14"/>
  <c r="BE188" i="14" s="1"/>
  <c r="AP196" i="14"/>
  <c r="BE196" i="14" s="1"/>
  <c r="AP203" i="14"/>
  <c r="BE203" i="14" s="1"/>
  <c r="AP211" i="14"/>
  <c r="BE211" i="14" s="1"/>
  <c r="AP219" i="14"/>
  <c r="BE219" i="14" s="1"/>
  <c r="AP241" i="14"/>
  <c r="BE241" i="14" s="1"/>
  <c r="AP249" i="14"/>
  <c r="BE249" i="14" s="1"/>
  <c r="AP47" i="14"/>
  <c r="AP292" i="14"/>
  <c r="BE292" i="14" s="1"/>
  <c r="AP501" i="14"/>
  <c r="BE501" i="14" s="1"/>
  <c r="AP509" i="14"/>
  <c r="BE509" i="14" s="1"/>
  <c r="AP670" i="14"/>
  <c r="BE670" i="14" s="1"/>
  <c r="AP226" i="14"/>
  <c r="BE226" i="14" s="1"/>
  <c r="AP455" i="14"/>
  <c r="BE455" i="14" s="1"/>
  <c r="AP463" i="14"/>
  <c r="BE463" i="14" s="1"/>
  <c r="AP471" i="14"/>
  <c r="BE471" i="14" s="1"/>
  <c r="AP479" i="14"/>
  <c r="BE479" i="14" s="1"/>
  <c r="AP227" i="14"/>
  <c r="BE227" i="14" s="1"/>
  <c r="AP235" i="14"/>
  <c r="BE235" i="14" s="1"/>
  <c r="AP378" i="14"/>
  <c r="BE378" i="14" s="1"/>
  <c r="AP394" i="14"/>
  <c r="BE394" i="14" s="1"/>
  <c r="AP402" i="14"/>
  <c r="BE402" i="14" s="1"/>
  <c r="AP410" i="14"/>
  <c r="BE410" i="14" s="1"/>
  <c r="AP300" i="14"/>
  <c r="BE300" i="14" s="1"/>
  <c r="AP308" i="14"/>
  <c r="BE308" i="14" s="1"/>
  <c r="AP316" i="14"/>
  <c r="BE316" i="14" s="1"/>
  <c r="AP320" i="14"/>
  <c r="BE320" i="14" s="1"/>
  <c r="AP328" i="14"/>
  <c r="BE328" i="14" s="1"/>
  <c r="AP348" i="14"/>
  <c r="BE348" i="14" s="1"/>
  <c r="AP356" i="14"/>
  <c r="BE356" i="14" s="1"/>
  <c r="AP364" i="14"/>
  <c r="BE364" i="14" s="1"/>
  <c r="AP372" i="14"/>
  <c r="BE372" i="14" s="1"/>
  <c r="AP380" i="14"/>
  <c r="BE380" i="14" s="1"/>
  <c r="AP388" i="14"/>
  <c r="BE388" i="14" s="1"/>
  <c r="AP396" i="14"/>
  <c r="BE396" i="14" s="1"/>
  <c r="AP404" i="14"/>
  <c r="BE404" i="14" s="1"/>
  <c r="AP412" i="14"/>
  <c r="BE412" i="14" s="1"/>
  <c r="AP18" i="14"/>
  <c r="AP25" i="14"/>
  <c r="AP36" i="14"/>
  <c r="AP50" i="14"/>
  <c r="AP83" i="14"/>
  <c r="AP110" i="14"/>
  <c r="BE110" i="14" s="1"/>
  <c r="AP130" i="14"/>
  <c r="BE130" i="14" s="1"/>
  <c r="AP184" i="14"/>
  <c r="BE184" i="14" s="1"/>
  <c r="AP192" i="14"/>
  <c r="BE192" i="14" s="1"/>
  <c r="AP199" i="14"/>
  <c r="BE199" i="14" s="1"/>
  <c r="AP207" i="14"/>
  <c r="BE207" i="14" s="1"/>
  <c r="AP215" i="14"/>
  <c r="BE215" i="14" s="1"/>
  <c r="AP223" i="14"/>
  <c r="BE223" i="14" s="1"/>
  <c r="AP231" i="14"/>
  <c r="BE231" i="14" s="1"/>
  <c r="AP245" i="14"/>
  <c r="BE245" i="14" s="1"/>
  <c r="AP253" i="14"/>
  <c r="BE253" i="14" s="1"/>
  <c r="AP261" i="14"/>
  <c r="BE261" i="14" s="1"/>
  <c r="AP269" i="14"/>
  <c r="BE269" i="14" s="1"/>
  <c r="AP277" i="14"/>
  <c r="BE277" i="14" s="1"/>
  <c r="AP285" i="14"/>
  <c r="BE285" i="14" s="1"/>
  <c r="AP293" i="14"/>
  <c r="BE293" i="14" s="1"/>
  <c r="AP301" i="14"/>
  <c r="BE301" i="14" s="1"/>
  <c r="AP309" i="14"/>
  <c r="BE309" i="14" s="1"/>
  <c r="AP321" i="14"/>
  <c r="BE321" i="14" s="1"/>
  <c r="AP329" i="14"/>
  <c r="BE329" i="14" s="1"/>
  <c r="AP349" i="14"/>
  <c r="BE349" i="14" s="1"/>
  <c r="AP357" i="14"/>
  <c r="BE357" i="14" s="1"/>
  <c r="AP365" i="14"/>
  <c r="BE365" i="14" s="1"/>
  <c r="AP373" i="14"/>
  <c r="BE373" i="14" s="1"/>
  <c r="AP381" i="14"/>
  <c r="BE381" i="14" s="1"/>
  <c r="AP389" i="14"/>
  <c r="BE389" i="14" s="1"/>
  <c r="AP397" i="14"/>
  <c r="BE397" i="14" s="1"/>
  <c r="AP238" i="14"/>
  <c r="BE238" i="14" s="1"/>
  <c r="AP246" i="14"/>
  <c r="BE246" i="14" s="1"/>
  <c r="AP262" i="14"/>
  <c r="BE262" i="14" s="1"/>
  <c r="AP270" i="14"/>
  <c r="BE270" i="14" s="1"/>
  <c r="AP278" i="14"/>
  <c r="BE278" i="14" s="1"/>
  <c r="AP286" i="14"/>
  <c r="BE286" i="14" s="1"/>
  <c r="AP517" i="14"/>
  <c r="BE517" i="14" s="1"/>
  <c r="AP201" i="14"/>
  <c r="BE201" i="14" s="1"/>
  <c r="AP209" i="14"/>
  <c r="BE209" i="14" s="1"/>
  <c r="AP217" i="14"/>
  <c r="BE217" i="14" s="1"/>
  <c r="AP225" i="14"/>
  <c r="BE225" i="14" s="1"/>
  <c r="AP233" i="14"/>
  <c r="BE233" i="14" s="1"/>
  <c r="AP234" i="14"/>
  <c r="BE234" i="14" s="1"/>
  <c r="AP240" i="14"/>
  <c r="BE240" i="14" s="1"/>
  <c r="AP248" i="14"/>
  <c r="BE248" i="14" s="1"/>
  <c r="AP256" i="14"/>
  <c r="BE256" i="14" s="1"/>
  <c r="AP487" i="14"/>
  <c r="BE487" i="14" s="1"/>
  <c r="AP257" i="14"/>
  <c r="BE257" i="14" s="1"/>
  <c r="AP265" i="14"/>
  <c r="BE265" i="14" s="1"/>
  <c r="AP273" i="14"/>
  <c r="BE273" i="14" s="1"/>
  <c r="AP281" i="14"/>
  <c r="BE281" i="14" s="1"/>
  <c r="AP289" i="14"/>
  <c r="BE289" i="14" s="1"/>
  <c r="AP56" i="14"/>
  <c r="AP254" i="14"/>
  <c r="BE254" i="14" s="1"/>
  <c r="AP32" i="14"/>
  <c r="AP210" i="14"/>
  <c r="BE210" i="14" s="1"/>
  <c r="AP88" i="14"/>
  <c r="AP140" i="14"/>
  <c r="BE140" i="14" s="1"/>
  <c r="AP540" i="14"/>
  <c r="BE540" i="14" s="1"/>
  <c r="AP185" i="14"/>
  <c r="BE185" i="14" s="1"/>
  <c r="AP193" i="14"/>
  <c r="BE193" i="14" s="1"/>
  <c r="AP200" i="14"/>
  <c r="BE200" i="14" s="1"/>
  <c r="AP208" i="14"/>
  <c r="BE208" i="14" s="1"/>
  <c r="AP216" i="14"/>
  <c r="BE216" i="14" s="1"/>
  <c r="AP294" i="14"/>
  <c r="BE294" i="14" s="1"/>
  <c r="AP302" i="14"/>
  <c r="BE302" i="14" s="1"/>
  <c r="AP310" i="14"/>
  <c r="BE310" i="14" s="1"/>
  <c r="AP525" i="14"/>
  <c r="BE525" i="14" s="1"/>
  <c r="AP541" i="14"/>
  <c r="BE541" i="14" s="1"/>
  <c r="AP239" i="14"/>
  <c r="BE239" i="14" s="1"/>
  <c r="AP247" i="14"/>
  <c r="BE247" i="14" s="1"/>
  <c r="AP255" i="14"/>
  <c r="BE255" i="14" s="1"/>
  <c r="AP263" i="14"/>
  <c r="BE263" i="14" s="1"/>
  <c r="AP271" i="14"/>
  <c r="BE271" i="14" s="1"/>
  <c r="AP303" i="14"/>
  <c r="BE303" i="14" s="1"/>
  <c r="AP311" i="14"/>
  <c r="BE311" i="14" s="1"/>
  <c r="AP323" i="14"/>
  <c r="BE323" i="14" s="1"/>
  <c r="AP331" i="14"/>
  <c r="BE331" i="14" s="1"/>
  <c r="AP337" i="14"/>
  <c r="BE337" i="14" s="1"/>
  <c r="AP343" i="14"/>
  <c r="BE343" i="14" s="1"/>
  <c r="AP351" i="14"/>
  <c r="BE351" i="14" s="1"/>
  <c r="AP359" i="14"/>
  <c r="BE359" i="14" s="1"/>
  <c r="AP367" i="14"/>
  <c r="BE367" i="14" s="1"/>
  <c r="AP486" i="14"/>
  <c r="BE486" i="14" s="1"/>
  <c r="AP502" i="14"/>
  <c r="BE502" i="14" s="1"/>
  <c r="AP510" i="14"/>
  <c r="BE510" i="14" s="1"/>
  <c r="AP518" i="14"/>
  <c r="BE518" i="14" s="1"/>
  <c r="AP526" i="14"/>
  <c r="BE526" i="14" s="1"/>
  <c r="AP534" i="14"/>
  <c r="BE534" i="14" s="1"/>
  <c r="AP542" i="14"/>
  <c r="BE542" i="14" s="1"/>
  <c r="AP264" i="14"/>
  <c r="BE264" i="14" s="1"/>
  <c r="AP272" i="14"/>
  <c r="BE272" i="14" s="1"/>
  <c r="AP280" i="14"/>
  <c r="BE280" i="14" s="1"/>
  <c r="AP288" i="14"/>
  <c r="BE288" i="14" s="1"/>
  <c r="AP296" i="14"/>
  <c r="BE296" i="14" s="1"/>
  <c r="AP304" i="14"/>
  <c r="BE304" i="14" s="1"/>
  <c r="AP318" i="14"/>
  <c r="BE318" i="14" s="1"/>
  <c r="AP324" i="14"/>
  <c r="BE324" i="14" s="1"/>
  <c r="AP495" i="14"/>
  <c r="BE495" i="14" s="1"/>
  <c r="AP503" i="14"/>
  <c r="BE503" i="14" s="1"/>
  <c r="AP511" i="14"/>
  <c r="BE511" i="14" s="1"/>
  <c r="AP519" i="14"/>
  <c r="BE519" i="14" s="1"/>
  <c r="AP527" i="14"/>
  <c r="BE527" i="14" s="1"/>
  <c r="AP535" i="14"/>
  <c r="BE535" i="14" s="1"/>
  <c r="AP75" i="14"/>
  <c r="AP297" i="14"/>
  <c r="BE297" i="14" s="1"/>
  <c r="AP305" i="14"/>
  <c r="BE305" i="14" s="1"/>
  <c r="AP313" i="14"/>
  <c r="BE313" i="14" s="1"/>
  <c r="AP325" i="14"/>
  <c r="BE325" i="14" s="1"/>
  <c r="AP333" i="14"/>
  <c r="BE333" i="14" s="1"/>
  <c r="AP339" i="14"/>
  <c r="BE339" i="14" s="1"/>
  <c r="AP345" i="14"/>
  <c r="BE345" i="14" s="1"/>
  <c r="AP353" i="14"/>
  <c r="BE353" i="14" s="1"/>
  <c r="AP361" i="14"/>
  <c r="BE361" i="14" s="1"/>
  <c r="AP369" i="14"/>
  <c r="BE369" i="14" s="1"/>
  <c r="AP377" i="14"/>
  <c r="BE377" i="14" s="1"/>
  <c r="AP385" i="14"/>
  <c r="BE385" i="14" s="1"/>
  <c r="AP401" i="14"/>
  <c r="BE401" i="14" s="1"/>
  <c r="AP409" i="14"/>
  <c r="BE409" i="14" s="1"/>
  <c r="AP386" i="14"/>
  <c r="BE386" i="14" s="1"/>
  <c r="AP11" i="14"/>
  <c r="AP16" i="14"/>
  <c r="AP23" i="14"/>
  <c r="AP31" i="14"/>
  <c r="AP35" i="14"/>
  <c r="AP49" i="14"/>
  <c r="AP73" i="14"/>
  <c r="AP81" i="14"/>
  <c r="AP91" i="14"/>
  <c r="AP108" i="14"/>
  <c r="BE108" i="14" s="1"/>
  <c r="AP116" i="14"/>
  <c r="BE116" i="14" s="1"/>
  <c r="AP190" i="14"/>
  <c r="BE190" i="14" s="1"/>
  <c r="AP198" i="14"/>
  <c r="BE198" i="14" s="1"/>
  <c r="AP205" i="14"/>
  <c r="BE205" i="14" s="1"/>
  <c r="AP213" i="14"/>
  <c r="BE213" i="14" s="1"/>
  <c r="AP221" i="14"/>
  <c r="BE221" i="14" s="1"/>
  <c r="AP229" i="14"/>
  <c r="BE229" i="14" s="1"/>
  <c r="AP237" i="14"/>
  <c r="BE237" i="14" s="1"/>
  <c r="AP243" i="14"/>
  <c r="BE243" i="14" s="1"/>
  <c r="AP251" i="14"/>
  <c r="BE251" i="14" s="1"/>
  <c r="AP259" i="14"/>
  <c r="BE259" i="14" s="1"/>
  <c r="AP267" i="14"/>
  <c r="BE267" i="14" s="1"/>
  <c r="AP275" i="14"/>
  <c r="BE275" i="14" s="1"/>
  <c r="AP283" i="14"/>
  <c r="BE283" i="14" s="1"/>
  <c r="AP291" i="14"/>
  <c r="BE291" i="14" s="1"/>
  <c r="AP299" i="14"/>
  <c r="BE299" i="14" s="1"/>
  <c r="AP307" i="14"/>
  <c r="BE307" i="14" s="1"/>
  <c r="AP315" i="14"/>
  <c r="BE315" i="14" s="1"/>
  <c r="AP319" i="14"/>
  <c r="BE319" i="14" s="1"/>
  <c r="AP327" i="14"/>
  <c r="BE327" i="14" s="1"/>
  <c r="AP341" i="14"/>
  <c r="BE341" i="14" s="1"/>
  <c r="AP347" i="14"/>
  <c r="BE347" i="14" s="1"/>
  <c r="AP355" i="14"/>
  <c r="BE355" i="14" s="1"/>
  <c r="AP363" i="14"/>
  <c r="BE363" i="14" s="1"/>
  <c r="AP371" i="14"/>
  <c r="BE371" i="14" s="1"/>
  <c r="AP379" i="14"/>
  <c r="BE379" i="14" s="1"/>
  <c r="AP387" i="14"/>
  <c r="BE387" i="14" s="1"/>
  <c r="AP395" i="14"/>
  <c r="BE395" i="14" s="1"/>
  <c r="AP403" i="14"/>
  <c r="BE403" i="14" s="1"/>
  <c r="AP411" i="14"/>
  <c r="BE411" i="14" s="1"/>
  <c r="AP564" i="14"/>
  <c r="BE564" i="14" s="1"/>
  <c r="AP206" i="14"/>
  <c r="BE206" i="14" s="1"/>
  <c r="AP570" i="14"/>
  <c r="BE570" i="14" s="1"/>
  <c r="AP669" i="14"/>
  <c r="BE669" i="14" s="1"/>
  <c r="AP673" i="14"/>
  <c r="BE673" i="14" s="1"/>
  <c r="AP335" i="14"/>
  <c r="BE335" i="14" s="1"/>
  <c r="AP97" i="14"/>
  <c r="AP146" i="14"/>
  <c r="BE146" i="14" s="1"/>
  <c r="AP131" i="14"/>
  <c r="BE131" i="14" s="1"/>
  <c r="AP224" i="14"/>
  <c r="BE224" i="14" s="1"/>
  <c r="AP232" i="14"/>
  <c r="BE232" i="14" s="1"/>
  <c r="AP533" i="14"/>
  <c r="BE533" i="14" s="1"/>
  <c r="AP279" i="14"/>
  <c r="BE279" i="14" s="1"/>
  <c r="AP287" i="14"/>
  <c r="BE287" i="14" s="1"/>
  <c r="AP295" i="14"/>
  <c r="BE295" i="14" s="1"/>
  <c r="AP317" i="14"/>
  <c r="BE317" i="14" s="1"/>
  <c r="AP494" i="14"/>
  <c r="BE494" i="14" s="1"/>
  <c r="AP562" i="14"/>
  <c r="BE562" i="14" s="1"/>
  <c r="AP90" i="14"/>
  <c r="AP312" i="14"/>
  <c r="BE312" i="14" s="1"/>
  <c r="AP543" i="14"/>
  <c r="BE543" i="14" s="1"/>
  <c r="AP393" i="14"/>
  <c r="BE393" i="14" s="1"/>
  <c r="AP69" i="14"/>
  <c r="AP94" i="14"/>
  <c r="AP125" i="14"/>
  <c r="BE125" i="14" s="1"/>
  <c r="AP142" i="14"/>
  <c r="BE142" i="14" s="1"/>
  <c r="AP150" i="14"/>
  <c r="BE150" i="14" s="1"/>
  <c r="AP158" i="14"/>
  <c r="BE158" i="14" s="1"/>
  <c r="AP166" i="14"/>
  <c r="BE166" i="14" s="1"/>
  <c r="AP174" i="14"/>
  <c r="BE174" i="14" s="1"/>
  <c r="AP182" i="14"/>
  <c r="BE182" i="14" s="1"/>
  <c r="AP424" i="14"/>
  <c r="BE424" i="14" s="1"/>
  <c r="AP432" i="14"/>
  <c r="BE432" i="14" s="1"/>
  <c r="AP440" i="14"/>
  <c r="BE440" i="14" s="1"/>
  <c r="AP448" i="14"/>
  <c r="BE448" i="14" s="1"/>
  <c r="AP456" i="14"/>
  <c r="BE456" i="14" s="1"/>
  <c r="AP464" i="14"/>
  <c r="BE464" i="14" s="1"/>
  <c r="AP472" i="14"/>
  <c r="BE472" i="14" s="1"/>
  <c r="AP480" i="14"/>
  <c r="BE480" i="14" s="1"/>
  <c r="AP488" i="14"/>
  <c r="BE488" i="14" s="1"/>
  <c r="AP496" i="14"/>
  <c r="BE496" i="14" s="1"/>
  <c r="AP504" i="14"/>
  <c r="BE504" i="14" s="1"/>
  <c r="AP512" i="14"/>
  <c r="BE512" i="14" s="1"/>
  <c r="AP520" i="14"/>
  <c r="BE520" i="14" s="1"/>
  <c r="AP528" i="14"/>
  <c r="BE528" i="14" s="1"/>
  <c r="AP536" i="14"/>
  <c r="BE536" i="14" s="1"/>
  <c r="AP544" i="14"/>
  <c r="BE544" i="14" s="1"/>
  <c r="AP126" i="14"/>
  <c r="BE126" i="14" s="1"/>
  <c r="AP143" i="14"/>
  <c r="BE143" i="14" s="1"/>
  <c r="AP151" i="14"/>
  <c r="BE151" i="14" s="1"/>
  <c r="AP159" i="14"/>
  <c r="BE159" i="14" s="1"/>
  <c r="AP167" i="14"/>
  <c r="BE167" i="14" s="1"/>
  <c r="AP175" i="14"/>
  <c r="BE175" i="14" s="1"/>
  <c r="AP417" i="14"/>
  <c r="BE417" i="14" s="1"/>
  <c r="AP425" i="14"/>
  <c r="BE425" i="14" s="1"/>
  <c r="AP433" i="14"/>
  <c r="BE433" i="14" s="1"/>
  <c r="AP441" i="14"/>
  <c r="BE441" i="14" s="1"/>
  <c r="AP449" i="14"/>
  <c r="BE449" i="14" s="1"/>
  <c r="AP457" i="14"/>
  <c r="BE457" i="14" s="1"/>
  <c r="AP465" i="14"/>
  <c r="BE465" i="14" s="1"/>
  <c r="AP473" i="14"/>
  <c r="BE473" i="14" s="1"/>
  <c r="AP481" i="14"/>
  <c r="BE481" i="14" s="1"/>
  <c r="AP489" i="14"/>
  <c r="BE489" i="14" s="1"/>
  <c r="AP497" i="14"/>
  <c r="BE497" i="14" s="1"/>
  <c r="AP505" i="14"/>
  <c r="BE505" i="14" s="1"/>
  <c r="AP513" i="14"/>
  <c r="BE513" i="14" s="1"/>
  <c r="AP521" i="14"/>
  <c r="BE521" i="14" s="1"/>
  <c r="AP529" i="14"/>
  <c r="BE529" i="14" s="1"/>
  <c r="AP537" i="14"/>
  <c r="BE537" i="14" s="1"/>
  <c r="AP545" i="14"/>
  <c r="BE545" i="14" s="1"/>
  <c r="AP569" i="14"/>
  <c r="BE569" i="14" s="1"/>
  <c r="AP668" i="14"/>
  <c r="BE668" i="14" s="1"/>
  <c r="AP672" i="14"/>
  <c r="BE672" i="14" s="1"/>
  <c r="AP138" i="14"/>
  <c r="BE138" i="14" s="1"/>
  <c r="AP144" i="14"/>
  <c r="BE144" i="14" s="1"/>
  <c r="AP152" i="14"/>
  <c r="BE152" i="14" s="1"/>
  <c r="AP160" i="14"/>
  <c r="BE160" i="14" s="1"/>
  <c r="AP168" i="14"/>
  <c r="BE168" i="14" s="1"/>
  <c r="AP176" i="14"/>
  <c r="BE176" i="14" s="1"/>
  <c r="AP418" i="14"/>
  <c r="BE418" i="14" s="1"/>
  <c r="AP426" i="14"/>
  <c r="BE426" i="14" s="1"/>
  <c r="AP434" i="14"/>
  <c r="BE434" i="14" s="1"/>
  <c r="AP442" i="14"/>
  <c r="BE442" i="14" s="1"/>
  <c r="AP450" i="14"/>
  <c r="BE450" i="14" s="1"/>
  <c r="AP458" i="14"/>
  <c r="BE458" i="14" s="1"/>
  <c r="AP466" i="14"/>
  <c r="BE466" i="14" s="1"/>
  <c r="AP474" i="14"/>
  <c r="BE474" i="14" s="1"/>
  <c r="AP482" i="14"/>
  <c r="BE482" i="14" s="1"/>
  <c r="AP490" i="14"/>
  <c r="BE490" i="14" s="1"/>
  <c r="AP498" i="14"/>
  <c r="BE498" i="14" s="1"/>
  <c r="AP506" i="14"/>
  <c r="BE506" i="14" s="1"/>
  <c r="AP514" i="14"/>
  <c r="BE514" i="14" s="1"/>
  <c r="AP522" i="14"/>
  <c r="BE522" i="14" s="1"/>
  <c r="AP530" i="14"/>
  <c r="BE530" i="14" s="1"/>
  <c r="AP538" i="14"/>
  <c r="BE538" i="14" s="1"/>
  <c r="AP546" i="14"/>
  <c r="BE546" i="14" s="1"/>
  <c r="AP96" i="14"/>
  <c r="AP139" i="14"/>
  <c r="BE139" i="14" s="1"/>
  <c r="AP145" i="14"/>
  <c r="BE145" i="14" s="1"/>
  <c r="AP153" i="14"/>
  <c r="BE153" i="14" s="1"/>
  <c r="AP161" i="14"/>
  <c r="BE161" i="14" s="1"/>
  <c r="AP169" i="14"/>
  <c r="BE169" i="14" s="1"/>
  <c r="AP177" i="14"/>
  <c r="BE177" i="14" s="1"/>
  <c r="AP419" i="14"/>
  <c r="BE419" i="14" s="1"/>
  <c r="AP427" i="14"/>
  <c r="BE427" i="14" s="1"/>
  <c r="AP435" i="14"/>
  <c r="BE435" i="14" s="1"/>
  <c r="AP443" i="14"/>
  <c r="BE443" i="14" s="1"/>
  <c r="AP451" i="14"/>
  <c r="BE451" i="14" s="1"/>
  <c r="AP459" i="14"/>
  <c r="BE459" i="14" s="1"/>
  <c r="AP467" i="14"/>
  <c r="BE467" i="14" s="1"/>
  <c r="AP475" i="14"/>
  <c r="BE475" i="14" s="1"/>
  <c r="AP483" i="14"/>
  <c r="BE483" i="14" s="1"/>
  <c r="AP491" i="14"/>
  <c r="BE491" i="14" s="1"/>
  <c r="AP499" i="14"/>
  <c r="BE499" i="14" s="1"/>
  <c r="AP507" i="14"/>
  <c r="BE507" i="14" s="1"/>
  <c r="AP515" i="14"/>
  <c r="BE515" i="14" s="1"/>
  <c r="AP523" i="14"/>
  <c r="BE523" i="14" s="1"/>
  <c r="AP531" i="14"/>
  <c r="BE531" i="14" s="1"/>
  <c r="AP539" i="14"/>
  <c r="BE539" i="14" s="1"/>
  <c r="AP560" i="14"/>
  <c r="BE560" i="14" s="1"/>
  <c r="AP89" i="14"/>
  <c r="AP405" i="14"/>
  <c r="BE405" i="14" s="1"/>
  <c r="AP413" i="14"/>
  <c r="BE413" i="14" s="1"/>
  <c r="AP547" i="14"/>
  <c r="BE547" i="14" s="1"/>
  <c r="AP154" i="14"/>
  <c r="BE154" i="14" s="1"/>
  <c r="AP162" i="14"/>
  <c r="BE162" i="14" s="1"/>
  <c r="AP170" i="14"/>
  <c r="BE170" i="14" s="1"/>
  <c r="AP178" i="14"/>
  <c r="BE178" i="14" s="1"/>
  <c r="AP26" i="14"/>
  <c r="AP57" i="14"/>
  <c r="AP74" i="14"/>
  <c r="AP84" i="14"/>
  <c r="AP111" i="14"/>
  <c r="BE111" i="14" s="1"/>
  <c r="AP118" i="14"/>
  <c r="BE118" i="14" s="1"/>
  <c r="AP322" i="14"/>
  <c r="BE322" i="14" s="1"/>
  <c r="AP330" i="14"/>
  <c r="BE330" i="14" s="1"/>
  <c r="AP336" i="14"/>
  <c r="BE336" i="14" s="1"/>
  <c r="AP342" i="14"/>
  <c r="BE342" i="14" s="1"/>
  <c r="AP350" i="14"/>
  <c r="BE350" i="14" s="1"/>
  <c r="AP358" i="14"/>
  <c r="BE358" i="14" s="1"/>
  <c r="AP366" i="14"/>
  <c r="BE366" i="14" s="1"/>
  <c r="AP374" i="14"/>
  <c r="BE374" i="14" s="1"/>
  <c r="AP382" i="14"/>
  <c r="BE382" i="14" s="1"/>
  <c r="AP390" i="14"/>
  <c r="BE390" i="14" s="1"/>
  <c r="AP398" i="14"/>
  <c r="BE398" i="14" s="1"/>
  <c r="AP406" i="14"/>
  <c r="BE406" i="14" s="1"/>
  <c r="AP414" i="14"/>
  <c r="BE414" i="14" s="1"/>
  <c r="AP561" i="14"/>
  <c r="BE561" i="14" s="1"/>
  <c r="AP66" i="14"/>
  <c r="AP98" i="14"/>
  <c r="AP147" i="14"/>
  <c r="BE147" i="14" s="1"/>
  <c r="AP155" i="14"/>
  <c r="BE155" i="14" s="1"/>
  <c r="AP163" i="14"/>
  <c r="BE163" i="14" s="1"/>
  <c r="AP171" i="14"/>
  <c r="BE171" i="14" s="1"/>
  <c r="AP179" i="14"/>
  <c r="BE179" i="14" s="1"/>
  <c r="AP548" i="14"/>
  <c r="BE548" i="14" s="1"/>
  <c r="AP119" i="14"/>
  <c r="BE119" i="14" s="1"/>
  <c r="AP132" i="14"/>
  <c r="BE132" i="14" s="1"/>
  <c r="AP375" i="14"/>
  <c r="BE375" i="14" s="1"/>
  <c r="AP383" i="14"/>
  <c r="BE383" i="14" s="1"/>
  <c r="AP391" i="14"/>
  <c r="BE391" i="14" s="1"/>
  <c r="AP399" i="14"/>
  <c r="BE399" i="14" s="1"/>
  <c r="AP407" i="14"/>
  <c r="BE407" i="14" s="1"/>
  <c r="AP415" i="14"/>
  <c r="BE415" i="14" s="1"/>
  <c r="AP67" i="14"/>
  <c r="AP92" i="14"/>
  <c r="AP148" i="14"/>
  <c r="BE148" i="14" s="1"/>
  <c r="AP156" i="14"/>
  <c r="BE156" i="14" s="1"/>
  <c r="AP164" i="14"/>
  <c r="BE164" i="14" s="1"/>
  <c r="AP172" i="14"/>
  <c r="BE172" i="14" s="1"/>
  <c r="AP180" i="14"/>
  <c r="BE180" i="14" s="1"/>
  <c r="AP61" i="14"/>
  <c r="AP332" i="14"/>
  <c r="BE332" i="14" s="1"/>
  <c r="AP338" i="14"/>
  <c r="BE338" i="14" s="1"/>
  <c r="AP344" i="14"/>
  <c r="BE344" i="14" s="1"/>
  <c r="AP352" i="14"/>
  <c r="BE352" i="14" s="1"/>
  <c r="AP360" i="14"/>
  <c r="BE360" i="14" s="1"/>
  <c r="AP368" i="14"/>
  <c r="BE368" i="14" s="1"/>
  <c r="AP376" i="14"/>
  <c r="BE376" i="14" s="1"/>
  <c r="AP384" i="14"/>
  <c r="BE384" i="14" s="1"/>
  <c r="AP392" i="14"/>
  <c r="BE392" i="14" s="1"/>
  <c r="AP400" i="14"/>
  <c r="BE400" i="14" s="1"/>
  <c r="AP408" i="14"/>
  <c r="BE408" i="14" s="1"/>
  <c r="AP416" i="14"/>
  <c r="BE416" i="14" s="1"/>
  <c r="AP68" i="14"/>
  <c r="AP93" i="14"/>
  <c r="AP141" i="14"/>
  <c r="BE141" i="14" s="1"/>
  <c r="AP149" i="14"/>
  <c r="BE149" i="14" s="1"/>
  <c r="AP157" i="14"/>
  <c r="BE157" i="14" s="1"/>
  <c r="AP165" i="14"/>
  <c r="BE165" i="14" s="1"/>
  <c r="AP173" i="14"/>
  <c r="BE173" i="14" s="1"/>
  <c r="AP181" i="14"/>
  <c r="BE181" i="14" s="1"/>
  <c r="AP667" i="14"/>
  <c r="BE667" i="14" s="1"/>
  <c r="AP671" i="14"/>
  <c r="BE671" i="14" s="1"/>
  <c r="AN101" i="14"/>
  <c r="AO136" i="14"/>
  <c r="AL691" i="14"/>
  <c r="AL692" i="14"/>
  <c r="AL690" i="14"/>
  <c r="AL684" i="14"/>
  <c r="AL689" i="14"/>
  <c r="AL683" i="14"/>
  <c r="AL686" i="14"/>
  <c r="AL685" i="14"/>
  <c r="AL687" i="14"/>
  <c r="AL682" i="14"/>
  <c r="AL688" i="14"/>
  <c r="AN71" i="14"/>
  <c r="AN137" i="14"/>
  <c r="AO71" i="14"/>
  <c r="AO137" i="14"/>
  <c r="AN124" i="14"/>
  <c r="AO127" i="14"/>
  <c r="AO124" i="14"/>
  <c r="AN127" i="14"/>
  <c r="AN99" i="14"/>
  <c r="AN121" i="14"/>
  <c r="AO99" i="14"/>
  <c r="AO121" i="14"/>
  <c r="AO70" i="14"/>
  <c r="AN102" i="14"/>
  <c r="AN70" i="14"/>
  <c r="AO102" i="14"/>
  <c r="AN123" i="14"/>
  <c r="AN103" i="14"/>
  <c r="AO123" i="14"/>
  <c r="AO103" i="14"/>
  <c r="AM102" i="14"/>
  <c r="BF102" i="14" s="1"/>
  <c r="AN128" i="14"/>
  <c r="AN136" i="14"/>
  <c r="AO128" i="14"/>
  <c r="AO691" i="14"/>
  <c r="AO687" i="14"/>
  <c r="AO682" i="14"/>
  <c r="AN104" i="14"/>
  <c r="AO104" i="14"/>
  <c r="AO101" i="14"/>
  <c r="AN100" i="14"/>
  <c r="AN122" i="14"/>
  <c r="AN72" i="14"/>
  <c r="AO100" i="14"/>
  <c r="AO122" i="14"/>
  <c r="AO72" i="14"/>
  <c r="AN81" i="14"/>
  <c r="AO81" i="14"/>
  <c r="AO237" i="14"/>
  <c r="AN237" i="14"/>
  <c r="AO275" i="14"/>
  <c r="AN275" i="14"/>
  <c r="AO379" i="14"/>
  <c r="AN379" i="14"/>
  <c r="AO395" i="14"/>
  <c r="AN395" i="14"/>
  <c r="AO411" i="14"/>
  <c r="AN411" i="14"/>
  <c r="AN138" i="14"/>
  <c r="AO138" i="14"/>
  <c r="AO144" i="14"/>
  <c r="AN144" i="14"/>
  <c r="AN152" i="14"/>
  <c r="AO152" i="14"/>
  <c r="AO160" i="14"/>
  <c r="AN160" i="14"/>
  <c r="AN168" i="14"/>
  <c r="AO168" i="14"/>
  <c r="AO176" i="14"/>
  <c r="AN176" i="14"/>
  <c r="AO418" i="14"/>
  <c r="AN418" i="14"/>
  <c r="AO426" i="14"/>
  <c r="AN426" i="14"/>
  <c r="AO434" i="14"/>
  <c r="AN434" i="14"/>
  <c r="AO442" i="14"/>
  <c r="AN442" i="14"/>
  <c r="AO450" i="14"/>
  <c r="AN450" i="14"/>
  <c r="AO458" i="14"/>
  <c r="AN458" i="14"/>
  <c r="AO466" i="14"/>
  <c r="AN466" i="14"/>
  <c r="AO474" i="14"/>
  <c r="AN474" i="14"/>
  <c r="AO482" i="14"/>
  <c r="AN482" i="14"/>
  <c r="AO490" i="14"/>
  <c r="AN490" i="14"/>
  <c r="AO498" i="14"/>
  <c r="AN498" i="14"/>
  <c r="AO506" i="14"/>
  <c r="AN506" i="14"/>
  <c r="AO514" i="14"/>
  <c r="AN514" i="14"/>
  <c r="AO522" i="14"/>
  <c r="AN522" i="14"/>
  <c r="AO530" i="14"/>
  <c r="AN530" i="14"/>
  <c r="AO538" i="14"/>
  <c r="AN538" i="14"/>
  <c r="AO546" i="14"/>
  <c r="AN546" i="14"/>
  <c r="AO671" i="14"/>
  <c r="AN671" i="14"/>
  <c r="AO213" i="14"/>
  <c r="AN213" i="14"/>
  <c r="AO267" i="14"/>
  <c r="AN267" i="14"/>
  <c r="AO315" i="14"/>
  <c r="AN315" i="14"/>
  <c r="AO371" i="14"/>
  <c r="AN371" i="14"/>
  <c r="AO403" i="14"/>
  <c r="AN403" i="14"/>
  <c r="AO12" i="14"/>
  <c r="AN12" i="14"/>
  <c r="AO17" i="14"/>
  <c r="AN17" i="14"/>
  <c r="AO24" i="14"/>
  <c r="AN24" i="14"/>
  <c r="AN55" i="14"/>
  <c r="AO55" i="14"/>
  <c r="AN82" i="14"/>
  <c r="AO82" i="14"/>
  <c r="AO109" i="14"/>
  <c r="AN109" i="14"/>
  <c r="AO117" i="14"/>
  <c r="AN117" i="14"/>
  <c r="AN183" i="14"/>
  <c r="AO183" i="14"/>
  <c r="AO191" i="14"/>
  <c r="AN191" i="14"/>
  <c r="AO206" i="14"/>
  <c r="AN206" i="14"/>
  <c r="AN214" i="14"/>
  <c r="AO214" i="14"/>
  <c r="AO222" i="14"/>
  <c r="AN222" i="14"/>
  <c r="AN230" i="14"/>
  <c r="AO230" i="14"/>
  <c r="AN244" i="14"/>
  <c r="AO244" i="14"/>
  <c r="AO252" i="14"/>
  <c r="AN252" i="14"/>
  <c r="AN260" i="14"/>
  <c r="AO260" i="14"/>
  <c r="AO268" i="14"/>
  <c r="AN268" i="14"/>
  <c r="AN276" i="14"/>
  <c r="AO276" i="14"/>
  <c r="AO284" i="14"/>
  <c r="AN284" i="14"/>
  <c r="AN292" i="14"/>
  <c r="AO292" i="14"/>
  <c r="AO300" i="14"/>
  <c r="AN300" i="14"/>
  <c r="AN308" i="14"/>
  <c r="AO308" i="14"/>
  <c r="AO316" i="14"/>
  <c r="AN316" i="14"/>
  <c r="AN320" i="14"/>
  <c r="AO320" i="14"/>
  <c r="AO328" i="14"/>
  <c r="AN328" i="14"/>
  <c r="AN348" i="14"/>
  <c r="AO348" i="14"/>
  <c r="AO356" i="14"/>
  <c r="AN356" i="14"/>
  <c r="AN364" i="14"/>
  <c r="AO364" i="14"/>
  <c r="AO372" i="14"/>
  <c r="AN372" i="14"/>
  <c r="AN380" i="14"/>
  <c r="AO380" i="14"/>
  <c r="AO388" i="14"/>
  <c r="AN388" i="14"/>
  <c r="AN396" i="14"/>
  <c r="AO396" i="14"/>
  <c r="AO404" i="14"/>
  <c r="AN404" i="14"/>
  <c r="AN412" i="14"/>
  <c r="AO412" i="14"/>
  <c r="AO570" i="14"/>
  <c r="AN570" i="14"/>
  <c r="AO668" i="14"/>
  <c r="AN668" i="14"/>
  <c r="AO61" i="14"/>
  <c r="AN61" i="14"/>
  <c r="AO16" i="14"/>
  <c r="AN16" i="14"/>
  <c r="AO198" i="14"/>
  <c r="AN198" i="14"/>
  <c r="AO259" i="14"/>
  <c r="AN259" i="14"/>
  <c r="AO299" i="14"/>
  <c r="AN299" i="14"/>
  <c r="AO363" i="14"/>
  <c r="AN363" i="14"/>
  <c r="AO387" i="14"/>
  <c r="AN387" i="14"/>
  <c r="AN564" i="14"/>
  <c r="AO564" i="14"/>
  <c r="AN96" i="14"/>
  <c r="AO96" i="14"/>
  <c r="AN139" i="14"/>
  <c r="AO139" i="14"/>
  <c r="AO145" i="14"/>
  <c r="AN145" i="14"/>
  <c r="AN153" i="14"/>
  <c r="AO153" i="14"/>
  <c r="AO161" i="14"/>
  <c r="AN161" i="14"/>
  <c r="AN169" i="14"/>
  <c r="AO169" i="14"/>
  <c r="AO177" i="14"/>
  <c r="AN177" i="14"/>
  <c r="AO419" i="14"/>
  <c r="AN419" i="14"/>
  <c r="AN427" i="14"/>
  <c r="AO427" i="14"/>
  <c r="AO435" i="14"/>
  <c r="AN435" i="14"/>
  <c r="AN443" i="14"/>
  <c r="AO443" i="14"/>
  <c r="AO451" i="14"/>
  <c r="AN451" i="14"/>
  <c r="AN459" i="14"/>
  <c r="AO459" i="14"/>
  <c r="AO467" i="14"/>
  <c r="AN467" i="14"/>
  <c r="AN475" i="14"/>
  <c r="AO475" i="14"/>
  <c r="AO483" i="14"/>
  <c r="AN483" i="14"/>
  <c r="AN491" i="14"/>
  <c r="AO491" i="14"/>
  <c r="AO499" i="14"/>
  <c r="AN499" i="14"/>
  <c r="AN507" i="14"/>
  <c r="AO507" i="14"/>
  <c r="AO515" i="14"/>
  <c r="AN515" i="14"/>
  <c r="AN523" i="14"/>
  <c r="AO523" i="14"/>
  <c r="AO531" i="14"/>
  <c r="AN531" i="14"/>
  <c r="AN539" i="14"/>
  <c r="AO539" i="14"/>
  <c r="AO560" i="14"/>
  <c r="AN560" i="14"/>
  <c r="AO62" i="14"/>
  <c r="AN62" i="14"/>
  <c r="AO221" i="14"/>
  <c r="AN221" i="14"/>
  <c r="AO341" i="14"/>
  <c r="AN341" i="14"/>
  <c r="AO36" i="14"/>
  <c r="AN36" i="14"/>
  <c r="AN215" i="14"/>
  <c r="AO215" i="14"/>
  <c r="AN277" i="14"/>
  <c r="AO277" i="14"/>
  <c r="AN335" i="14"/>
  <c r="AO335" i="14"/>
  <c r="AN413" i="14"/>
  <c r="AO413" i="14"/>
  <c r="AN97" i="14"/>
  <c r="AO97" i="14"/>
  <c r="AN140" i="14"/>
  <c r="AO140" i="14"/>
  <c r="AN146" i="14"/>
  <c r="AO146" i="14"/>
  <c r="AN154" i="14"/>
  <c r="AO154" i="14"/>
  <c r="AN162" i="14"/>
  <c r="AO162" i="14"/>
  <c r="AN170" i="14"/>
  <c r="AO170" i="14"/>
  <c r="AN178" i="14"/>
  <c r="AO178" i="14"/>
  <c r="AO420" i="14"/>
  <c r="AN420" i="14"/>
  <c r="AN428" i="14"/>
  <c r="AO428" i="14"/>
  <c r="AO436" i="14"/>
  <c r="AN436" i="14"/>
  <c r="AN444" i="14"/>
  <c r="AO444" i="14"/>
  <c r="AO452" i="14"/>
  <c r="AN452" i="14"/>
  <c r="AN460" i="14"/>
  <c r="AO460" i="14"/>
  <c r="AO468" i="14"/>
  <c r="AN468" i="14"/>
  <c r="AN476" i="14"/>
  <c r="AO476" i="14"/>
  <c r="AN484" i="14"/>
  <c r="AO484" i="14"/>
  <c r="AN492" i="14"/>
  <c r="AO492" i="14"/>
  <c r="AN500" i="14"/>
  <c r="AO500" i="14"/>
  <c r="AN508" i="14"/>
  <c r="AO508" i="14"/>
  <c r="AN516" i="14"/>
  <c r="AO516" i="14"/>
  <c r="AN524" i="14"/>
  <c r="AO524" i="14"/>
  <c r="AO532" i="14"/>
  <c r="AN532" i="14"/>
  <c r="AN540" i="14"/>
  <c r="AO540" i="14"/>
  <c r="AO35" i="14"/>
  <c r="AN35" i="14"/>
  <c r="AO243" i="14"/>
  <c r="AN243" i="14"/>
  <c r="AO327" i="14"/>
  <c r="AN327" i="14"/>
  <c r="AN56" i="14"/>
  <c r="AO56" i="14"/>
  <c r="AO130" i="14"/>
  <c r="AN130" i="14"/>
  <c r="AN199" i="14"/>
  <c r="AO199" i="14"/>
  <c r="AN261" i="14"/>
  <c r="AO261" i="14"/>
  <c r="AO329" i="14"/>
  <c r="AN329" i="14"/>
  <c r="AN397" i="14"/>
  <c r="AO397" i="14"/>
  <c r="AO26" i="14"/>
  <c r="AN26" i="14"/>
  <c r="AN57" i="14"/>
  <c r="AO57" i="14"/>
  <c r="AO74" i="14"/>
  <c r="AN74" i="14"/>
  <c r="AN84" i="14"/>
  <c r="AO84" i="14"/>
  <c r="AN111" i="14"/>
  <c r="AO111" i="14"/>
  <c r="AO118" i="14"/>
  <c r="AN118" i="14"/>
  <c r="AO131" i="14"/>
  <c r="AN131" i="14"/>
  <c r="AN185" i="14"/>
  <c r="AO185" i="14"/>
  <c r="AN193" i="14"/>
  <c r="AO193" i="14"/>
  <c r="AN200" i="14"/>
  <c r="AO200" i="14"/>
  <c r="AN208" i="14"/>
  <c r="AO208" i="14"/>
  <c r="AN216" i="14"/>
  <c r="AO216" i="14"/>
  <c r="AN224" i="14"/>
  <c r="AO224" i="14"/>
  <c r="AN232" i="14"/>
  <c r="AO232" i="14"/>
  <c r="AN238" i="14"/>
  <c r="AO238" i="14"/>
  <c r="AN246" i="14"/>
  <c r="AO246" i="14"/>
  <c r="AN254" i="14"/>
  <c r="AO254" i="14"/>
  <c r="AN262" i="14"/>
  <c r="AO262" i="14"/>
  <c r="AN270" i="14"/>
  <c r="AO270" i="14"/>
  <c r="AN278" i="14"/>
  <c r="AO278" i="14"/>
  <c r="AN286" i="14"/>
  <c r="AO286" i="14"/>
  <c r="AN294" i="14"/>
  <c r="AO294" i="14"/>
  <c r="AN302" i="14"/>
  <c r="AO302" i="14"/>
  <c r="AN310" i="14"/>
  <c r="AO310" i="14"/>
  <c r="AN322" i="14"/>
  <c r="AO322" i="14"/>
  <c r="AN330" i="14"/>
  <c r="AO330" i="14"/>
  <c r="AN336" i="14"/>
  <c r="AO336" i="14"/>
  <c r="AN342" i="14"/>
  <c r="AO342" i="14"/>
  <c r="AN350" i="14"/>
  <c r="AO350" i="14"/>
  <c r="AN358" i="14"/>
  <c r="AO358" i="14"/>
  <c r="AN366" i="14"/>
  <c r="AO366" i="14"/>
  <c r="AN374" i="14"/>
  <c r="AO374" i="14"/>
  <c r="AN382" i="14"/>
  <c r="AO382" i="14"/>
  <c r="AN390" i="14"/>
  <c r="AO390" i="14"/>
  <c r="AN398" i="14"/>
  <c r="AO398" i="14"/>
  <c r="AN406" i="14"/>
  <c r="AO406" i="14"/>
  <c r="AN414" i="14"/>
  <c r="AO414" i="14"/>
  <c r="AO561" i="14"/>
  <c r="AN561" i="14"/>
  <c r="AO672" i="14"/>
  <c r="AN672" i="14"/>
  <c r="AO66" i="14"/>
  <c r="AN66" i="14"/>
  <c r="AN98" i="14"/>
  <c r="AO98" i="14"/>
  <c r="AO147" i="14"/>
  <c r="AN147" i="14"/>
  <c r="AN155" i="14"/>
  <c r="AO155" i="14"/>
  <c r="AO163" i="14"/>
  <c r="AN163" i="14"/>
  <c r="AN171" i="14"/>
  <c r="AO171" i="14"/>
  <c r="AO179" i="14"/>
  <c r="AN179" i="14"/>
  <c r="AN421" i="14"/>
  <c r="AO421" i="14"/>
  <c r="AN429" i="14"/>
  <c r="AO429" i="14"/>
  <c r="AN437" i="14"/>
  <c r="AO437" i="14"/>
  <c r="AN445" i="14"/>
  <c r="AO445" i="14"/>
  <c r="AN453" i="14"/>
  <c r="AO453" i="14"/>
  <c r="AN461" i="14"/>
  <c r="AO461" i="14"/>
  <c r="AN469" i="14"/>
  <c r="AO469" i="14"/>
  <c r="AN477" i="14"/>
  <c r="AO477" i="14"/>
  <c r="AN485" i="14"/>
  <c r="AO485" i="14"/>
  <c r="AO493" i="14"/>
  <c r="AN493" i="14"/>
  <c r="AN501" i="14"/>
  <c r="AO501" i="14"/>
  <c r="AN509" i="14"/>
  <c r="AO509" i="14"/>
  <c r="AO517" i="14"/>
  <c r="AN517" i="14"/>
  <c r="AN525" i="14"/>
  <c r="AO525" i="14"/>
  <c r="AO533" i="14"/>
  <c r="AN533" i="14"/>
  <c r="AN541" i="14"/>
  <c r="AO541" i="14"/>
  <c r="AO548" i="14"/>
  <c r="AN548" i="14"/>
  <c r="AO669" i="14"/>
  <c r="AN669" i="14"/>
  <c r="AO11" i="14"/>
  <c r="AN11" i="14"/>
  <c r="AN91" i="14"/>
  <c r="AO91" i="14"/>
  <c r="AO190" i="14"/>
  <c r="AN190" i="14"/>
  <c r="AO283" i="14"/>
  <c r="AN283" i="14"/>
  <c r="AN18" i="14"/>
  <c r="AO18" i="14"/>
  <c r="AO89" i="14"/>
  <c r="AN89" i="14"/>
  <c r="AN231" i="14"/>
  <c r="AO231" i="14"/>
  <c r="AO301" i="14"/>
  <c r="AN301" i="14"/>
  <c r="AN373" i="14"/>
  <c r="AO373" i="14"/>
  <c r="AN19" i="14"/>
  <c r="AO19" i="14"/>
  <c r="AN27" i="14"/>
  <c r="AO27" i="14"/>
  <c r="AN32" i="14"/>
  <c r="AO32" i="14"/>
  <c r="AO77" i="14"/>
  <c r="AN77" i="14"/>
  <c r="AO85" i="14"/>
  <c r="AN85" i="14"/>
  <c r="AN112" i="14"/>
  <c r="AO112" i="14"/>
  <c r="AN119" i="14"/>
  <c r="AO119" i="14"/>
  <c r="AO132" i="14"/>
  <c r="AN132" i="14"/>
  <c r="AN186" i="14"/>
  <c r="AO186" i="14"/>
  <c r="AO194" i="14"/>
  <c r="AN194" i="14"/>
  <c r="AN201" i="14"/>
  <c r="AO201" i="14"/>
  <c r="AO209" i="14"/>
  <c r="AN209" i="14"/>
  <c r="AN217" i="14"/>
  <c r="AO217" i="14"/>
  <c r="AO225" i="14"/>
  <c r="AN225" i="14"/>
  <c r="AN233" i="14"/>
  <c r="AO233" i="14"/>
  <c r="AO239" i="14"/>
  <c r="AN239" i="14"/>
  <c r="AN247" i="14"/>
  <c r="AO247" i="14"/>
  <c r="AO255" i="14"/>
  <c r="AN255" i="14"/>
  <c r="AN263" i="14"/>
  <c r="AO263" i="14"/>
  <c r="AO271" i="14"/>
  <c r="AN271" i="14"/>
  <c r="AN279" i="14"/>
  <c r="AO279" i="14"/>
  <c r="AO287" i="14"/>
  <c r="AN287" i="14"/>
  <c r="AN295" i="14"/>
  <c r="AO295" i="14"/>
  <c r="AO303" i="14"/>
  <c r="AN303" i="14"/>
  <c r="AN311" i="14"/>
  <c r="AO311" i="14"/>
  <c r="AO317" i="14"/>
  <c r="AN317" i="14"/>
  <c r="AN323" i="14"/>
  <c r="AO323" i="14"/>
  <c r="AO331" i="14"/>
  <c r="AN331" i="14"/>
  <c r="AN337" i="14"/>
  <c r="AO337" i="14"/>
  <c r="AO343" i="14"/>
  <c r="AN343" i="14"/>
  <c r="AN351" i="14"/>
  <c r="AO351" i="14"/>
  <c r="AO359" i="14"/>
  <c r="AN359" i="14"/>
  <c r="AN367" i="14"/>
  <c r="AO367" i="14"/>
  <c r="AO375" i="14"/>
  <c r="AN375" i="14"/>
  <c r="AN383" i="14"/>
  <c r="AO383" i="14"/>
  <c r="AO391" i="14"/>
  <c r="AN391" i="14"/>
  <c r="AN399" i="14"/>
  <c r="AO399" i="14"/>
  <c r="AO407" i="14"/>
  <c r="AN407" i="14"/>
  <c r="AN415" i="14"/>
  <c r="AO415" i="14"/>
  <c r="AO148" i="14"/>
  <c r="AN148" i="14"/>
  <c r="AO156" i="14"/>
  <c r="AN156" i="14"/>
  <c r="AO164" i="14"/>
  <c r="AN164" i="14"/>
  <c r="AO172" i="14"/>
  <c r="AN172" i="14"/>
  <c r="AO180" i="14"/>
  <c r="AN180" i="14"/>
  <c r="AO422" i="14"/>
  <c r="AN422" i="14"/>
  <c r="AN430" i="14"/>
  <c r="AO430" i="14"/>
  <c r="AO438" i="14"/>
  <c r="AN438" i="14"/>
  <c r="AN446" i="14"/>
  <c r="AO446" i="14"/>
  <c r="AO454" i="14"/>
  <c r="AN454" i="14"/>
  <c r="AN462" i="14"/>
  <c r="AO462" i="14"/>
  <c r="AO470" i="14"/>
  <c r="AN470" i="14"/>
  <c r="AN478" i="14"/>
  <c r="AO478" i="14"/>
  <c r="AO486" i="14"/>
  <c r="AN486" i="14"/>
  <c r="AN494" i="14"/>
  <c r="AO494" i="14"/>
  <c r="AO502" i="14"/>
  <c r="AN502" i="14"/>
  <c r="AN510" i="14"/>
  <c r="AO510" i="14"/>
  <c r="AO518" i="14"/>
  <c r="AN518" i="14"/>
  <c r="AN526" i="14"/>
  <c r="AO526" i="14"/>
  <c r="AO534" i="14"/>
  <c r="AN534" i="14"/>
  <c r="AN542" i="14"/>
  <c r="AO542" i="14"/>
  <c r="AO562" i="14"/>
  <c r="AN562" i="14"/>
  <c r="AO23" i="14"/>
  <c r="AN23" i="14"/>
  <c r="AN83" i="14"/>
  <c r="AO83" i="14"/>
  <c r="AO223" i="14"/>
  <c r="AN223" i="14"/>
  <c r="AN293" i="14"/>
  <c r="AO293" i="14"/>
  <c r="AO357" i="14"/>
  <c r="AN357" i="14"/>
  <c r="AO92" i="14"/>
  <c r="AN92" i="14"/>
  <c r="AN20" i="14"/>
  <c r="AO20" i="14"/>
  <c r="AN28" i="14"/>
  <c r="AO28" i="14"/>
  <c r="AN33" i="14"/>
  <c r="AO33" i="14"/>
  <c r="AO46" i="14"/>
  <c r="AN46" i="14"/>
  <c r="AO58" i="14"/>
  <c r="AN58" i="14"/>
  <c r="AO78" i="14"/>
  <c r="AN78" i="14"/>
  <c r="AO86" i="14"/>
  <c r="AN86" i="14"/>
  <c r="AO90" i="14"/>
  <c r="AN90" i="14"/>
  <c r="AO105" i="14"/>
  <c r="AN105" i="14"/>
  <c r="AN113" i="14"/>
  <c r="AO113" i="14"/>
  <c r="AO120" i="14"/>
  <c r="AN120" i="14"/>
  <c r="AN133" i="14"/>
  <c r="AO133" i="14"/>
  <c r="AO187" i="14"/>
  <c r="AN187" i="14"/>
  <c r="AO195" i="14"/>
  <c r="AN195" i="14"/>
  <c r="AO202" i="14"/>
  <c r="AN202" i="14"/>
  <c r="AO210" i="14"/>
  <c r="AN210" i="14"/>
  <c r="AO218" i="14"/>
  <c r="AN218" i="14"/>
  <c r="AO226" i="14"/>
  <c r="AN226" i="14"/>
  <c r="AO234" i="14"/>
  <c r="AN234" i="14"/>
  <c r="AO240" i="14"/>
  <c r="AN240" i="14"/>
  <c r="AO248" i="14"/>
  <c r="AN248" i="14"/>
  <c r="AO256" i="14"/>
  <c r="AN256" i="14"/>
  <c r="AO264" i="14"/>
  <c r="AN264" i="14"/>
  <c r="AO272" i="14"/>
  <c r="AN272" i="14"/>
  <c r="AO280" i="14"/>
  <c r="AN280" i="14"/>
  <c r="AO288" i="14"/>
  <c r="AN288" i="14"/>
  <c r="AO296" i="14"/>
  <c r="AN296" i="14"/>
  <c r="AO304" i="14"/>
  <c r="AN304" i="14"/>
  <c r="AO312" i="14"/>
  <c r="AN312" i="14"/>
  <c r="AO318" i="14"/>
  <c r="AN318" i="14"/>
  <c r="AO324" i="14"/>
  <c r="AN324" i="14"/>
  <c r="AO332" i="14"/>
  <c r="AN332" i="14"/>
  <c r="AO338" i="14"/>
  <c r="AN338" i="14"/>
  <c r="AO344" i="14"/>
  <c r="AN344" i="14"/>
  <c r="AO352" i="14"/>
  <c r="AN352" i="14"/>
  <c r="AO360" i="14"/>
  <c r="AN360" i="14"/>
  <c r="AO368" i="14"/>
  <c r="AN368" i="14"/>
  <c r="AO376" i="14"/>
  <c r="AN376" i="14"/>
  <c r="AO384" i="14"/>
  <c r="AN384" i="14"/>
  <c r="AO392" i="14"/>
  <c r="AN392" i="14"/>
  <c r="AO400" i="14"/>
  <c r="AN400" i="14"/>
  <c r="AO408" i="14"/>
  <c r="AN408" i="14"/>
  <c r="AO416" i="14"/>
  <c r="AN416" i="14"/>
  <c r="AO116" i="14"/>
  <c r="AN116" i="14"/>
  <c r="AO355" i="14"/>
  <c r="AN355" i="14"/>
  <c r="AN110" i="14"/>
  <c r="AO110" i="14"/>
  <c r="AO192" i="14"/>
  <c r="AN192" i="14"/>
  <c r="AO269" i="14"/>
  <c r="AN269" i="14"/>
  <c r="AN67" i="14"/>
  <c r="AO67" i="14"/>
  <c r="AN68" i="14"/>
  <c r="AO68" i="14"/>
  <c r="AO93" i="14"/>
  <c r="AN93" i="14"/>
  <c r="AO141" i="14"/>
  <c r="AN141" i="14"/>
  <c r="AO149" i="14"/>
  <c r="AN149" i="14"/>
  <c r="AO157" i="14"/>
  <c r="AN157" i="14"/>
  <c r="AO165" i="14"/>
  <c r="AN165" i="14"/>
  <c r="AO173" i="14"/>
  <c r="AN173" i="14"/>
  <c r="AO181" i="14"/>
  <c r="AN181" i="14"/>
  <c r="AO423" i="14"/>
  <c r="AN423" i="14"/>
  <c r="AO431" i="14"/>
  <c r="AN431" i="14"/>
  <c r="AO439" i="14"/>
  <c r="AN439" i="14"/>
  <c r="AO447" i="14"/>
  <c r="AN447" i="14"/>
  <c r="AO455" i="14"/>
  <c r="AN455" i="14"/>
  <c r="AO463" i="14"/>
  <c r="AN463" i="14"/>
  <c r="AO471" i="14"/>
  <c r="AN471" i="14"/>
  <c r="AO479" i="14"/>
  <c r="AN479" i="14"/>
  <c r="AO487" i="14"/>
  <c r="AN487" i="14"/>
  <c r="AO495" i="14"/>
  <c r="AN495" i="14"/>
  <c r="AO503" i="14"/>
  <c r="AN503" i="14"/>
  <c r="AO511" i="14"/>
  <c r="AN511" i="14"/>
  <c r="AO519" i="14"/>
  <c r="AN519" i="14"/>
  <c r="AO527" i="14"/>
  <c r="AN527" i="14"/>
  <c r="AO535" i="14"/>
  <c r="AN535" i="14"/>
  <c r="AO543" i="14"/>
  <c r="AN543" i="14"/>
  <c r="AO673" i="14"/>
  <c r="AN673" i="14"/>
  <c r="AO49" i="14"/>
  <c r="AN49" i="14"/>
  <c r="AO229" i="14"/>
  <c r="AN229" i="14"/>
  <c r="AO347" i="14"/>
  <c r="AN347" i="14"/>
  <c r="AO207" i="14"/>
  <c r="AN207" i="14"/>
  <c r="AO285" i="14"/>
  <c r="AN285" i="14"/>
  <c r="AN349" i="14"/>
  <c r="AO349" i="14"/>
  <c r="AO405" i="14"/>
  <c r="AN405" i="14"/>
  <c r="AO547" i="14"/>
  <c r="AN547" i="14"/>
  <c r="AO9" i="14"/>
  <c r="AN9" i="14"/>
  <c r="AN21" i="14"/>
  <c r="AO21" i="14"/>
  <c r="AO29" i="14"/>
  <c r="AN29" i="14"/>
  <c r="AN34" i="14"/>
  <c r="AO34" i="14"/>
  <c r="AO47" i="14"/>
  <c r="AN47" i="14"/>
  <c r="AO53" i="14"/>
  <c r="AN53" i="14"/>
  <c r="AO75" i="14"/>
  <c r="AN75" i="14"/>
  <c r="AO79" i="14"/>
  <c r="AN79" i="14"/>
  <c r="AO87" i="14"/>
  <c r="AN87" i="14"/>
  <c r="AN106" i="14"/>
  <c r="AO114" i="14"/>
  <c r="AN114" i="14"/>
  <c r="AO134" i="14"/>
  <c r="AN134" i="14"/>
  <c r="AO188" i="14"/>
  <c r="AN188" i="14"/>
  <c r="AO196" i="14"/>
  <c r="AN196" i="14"/>
  <c r="AO203" i="14"/>
  <c r="AN203" i="14"/>
  <c r="AO211" i="14"/>
  <c r="AN211" i="14"/>
  <c r="AO219" i="14"/>
  <c r="AN219" i="14"/>
  <c r="AO227" i="14"/>
  <c r="AN227" i="14"/>
  <c r="AO235" i="14"/>
  <c r="AN235" i="14"/>
  <c r="AO241" i="14"/>
  <c r="AN241" i="14"/>
  <c r="AO249" i="14"/>
  <c r="AN249" i="14"/>
  <c r="AO257" i="14"/>
  <c r="AN257" i="14"/>
  <c r="AO265" i="14"/>
  <c r="AN265" i="14"/>
  <c r="AO273" i="14"/>
  <c r="AN273" i="14"/>
  <c r="AO281" i="14"/>
  <c r="AN281" i="14"/>
  <c r="AO289" i="14"/>
  <c r="AN289" i="14"/>
  <c r="AO297" i="14"/>
  <c r="AN297" i="14"/>
  <c r="AO305" i="14"/>
  <c r="AN305" i="14"/>
  <c r="AO313" i="14"/>
  <c r="AN313" i="14"/>
  <c r="AO325" i="14"/>
  <c r="AN325" i="14"/>
  <c r="AO333" i="14"/>
  <c r="AN333" i="14"/>
  <c r="AO339" i="14"/>
  <c r="AN339" i="14"/>
  <c r="AO345" i="14"/>
  <c r="AN345" i="14"/>
  <c r="AO353" i="14"/>
  <c r="AN353" i="14"/>
  <c r="AO361" i="14"/>
  <c r="AN361" i="14"/>
  <c r="AO369" i="14"/>
  <c r="AN369" i="14"/>
  <c r="AO377" i="14"/>
  <c r="AN377" i="14"/>
  <c r="AO385" i="14"/>
  <c r="AN385" i="14"/>
  <c r="AO393" i="14"/>
  <c r="AN393" i="14"/>
  <c r="AO401" i="14"/>
  <c r="AN401" i="14"/>
  <c r="AO409" i="14"/>
  <c r="AN409" i="14"/>
  <c r="AO667" i="14"/>
  <c r="AN667" i="14"/>
  <c r="AO670" i="14"/>
  <c r="AN670" i="14"/>
  <c r="AO73" i="14"/>
  <c r="AN73" i="14"/>
  <c r="AO291" i="14"/>
  <c r="AN291" i="14"/>
  <c r="AO25" i="14"/>
  <c r="AN25" i="14"/>
  <c r="AN245" i="14"/>
  <c r="AO245" i="14"/>
  <c r="AN309" i="14"/>
  <c r="AO309" i="14"/>
  <c r="AN365" i="14"/>
  <c r="AO365" i="14"/>
  <c r="AN69" i="14"/>
  <c r="AO69" i="14"/>
  <c r="AO94" i="14"/>
  <c r="AN94" i="14"/>
  <c r="AN125" i="14"/>
  <c r="AO125" i="14"/>
  <c r="AO142" i="14"/>
  <c r="AN142" i="14"/>
  <c r="AO150" i="14"/>
  <c r="AN150" i="14"/>
  <c r="AO158" i="14"/>
  <c r="AN158" i="14"/>
  <c r="AO166" i="14"/>
  <c r="AN166" i="14"/>
  <c r="AO174" i="14"/>
  <c r="AN174" i="14"/>
  <c r="AO182" i="14"/>
  <c r="AN182" i="14"/>
  <c r="AO424" i="14"/>
  <c r="AN424" i="14"/>
  <c r="AO432" i="14"/>
  <c r="AN432" i="14"/>
  <c r="AO440" i="14"/>
  <c r="AN440" i="14"/>
  <c r="AO448" i="14"/>
  <c r="AN448" i="14"/>
  <c r="AO456" i="14"/>
  <c r="AN456" i="14"/>
  <c r="AO464" i="14"/>
  <c r="AN464" i="14"/>
  <c r="AO472" i="14"/>
  <c r="AN472" i="14"/>
  <c r="AO480" i="14"/>
  <c r="AN480" i="14"/>
  <c r="AO488" i="14"/>
  <c r="AN488" i="14"/>
  <c r="AO496" i="14"/>
  <c r="AN496" i="14"/>
  <c r="AO504" i="14"/>
  <c r="AN504" i="14"/>
  <c r="AO512" i="14"/>
  <c r="AN512" i="14"/>
  <c r="AO520" i="14"/>
  <c r="AN520" i="14"/>
  <c r="AO528" i="14"/>
  <c r="AN528" i="14"/>
  <c r="AO536" i="14"/>
  <c r="AN536" i="14"/>
  <c r="AO544" i="14"/>
  <c r="AN544" i="14"/>
  <c r="AO31" i="14"/>
  <c r="AN31" i="14"/>
  <c r="AO251" i="14"/>
  <c r="AN251" i="14"/>
  <c r="AO319" i="14"/>
  <c r="AN319" i="14"/>
  <c r="AN50" i="14"/>
  <c r="AO50" i="14"/>
  <c r="AN184" i="14"/>
  <c r="AO184" i="14"/>
  <c r="AO253" i="14"/>
  <c r="AN253" i="14"/>
  <c r="AN321" i="14"/>
  <c r="AO321" i="14"/>
  <c r="AN381" i="14"/>
  <c r="AO381" i="14"/>
  <c r="AN30" i="14"/>
  <c r="AO30" i="14"/>
  <c r="AO54" i="14"/>
  <c r="AN54" i="14"/>
  <c r="AO80" i="14"/>
  <c r="AN80" i="14"/>
  <c r="AO88" i="14"/>
  <c r="AN88" i="14"/>
  <c r="AO107" i="14"/>
  <c r="AN107" i="14"/>
  <c r="AO115" i="14"/>
  <c r="AN115" i="14"/>
  <c r="AO135" i="14"/>
  <c r="AN135" i="14"/>
  <c r="AO189" i="14"/>
  <c r="AN189" i="14"/>
  <c r="AO197" i="14"/>
  <c r="AN197" i="14"/>
  <c r="AO204" i="14"/>
  <c r="AN204" i="14"/>
  <c r="AO212" i="14"/>
  <c r="AN212" i="14"/>
  <c r="AO220" i="14"/>
  <c r="AN220" i="14"/>
  <c r="AO228" i="14"/>
  <c r="AN228" i="14"/>
  <c r="AO236" i="14"/>
  <c r="AN236" i="14"/>
  <c r="AO242" i="14"/>
  <c r="AN242" i="14"/>
  <c r="AO250" i="14"/>
  <c r="AN250" i="14"/>
  <c r="AO258" i="14"/>
  <c r="AN258" i="14"/>
  <c r="AO266" i="14"/>
  <c r="AN266" i="14"/>
  <c r="AO274" i="14"/>
  <c r="AN274" i="14"/>
  <c r="AO282" i="14"/>
  <c r="AN282" i="14"/>
  <c r="AO290" i="14"/>
  <c r="AN290" i="14"/>
  <c r="AO298" i="14"/>
  <c r="AN298" i="14"/>
  <c r="AO306" i="14"/>
  <c r="AN306" i="14"/>
  <c r="AO314" i="14"/>
  <c r="AN314" i="14"/>
  <c r="AO326" i="14"/>
  <c r="AN326" i="14"/>
  <c r="AO334" i="14"/>
  <c r="AN334" i="14"/>
  <c r="AO340" i="14"/>
  <c r="AN340" i="14"/>
  <c r="AO346" i="14"/>
  <c r="AN346" i="14"/>
  <c r="AO354" i="14"/>
  <c r="AN354" i="14"/>
  <c r="AO362" i="14"/>
  <c r="AN362" i="14"/>
  <c r="AO370" i="14"/>
  <c r="AN370" i="14"/>
  <c r="AO378" i="14"/>
  <c r="AN378" i="14"/>
  <c r="AO386" i="14"/>
  <c r="AN386" i="14"/>
  <c r="AO394" i="14"/>
  <c r="AN394" i="14"/>
  <c r="AO402" i="14"/>
  <c r="AN402" i="14"/>
  <c r="AO410" i="14"/>
  <c r="AN410" i="14"/>
  <c r="AO108" i="14"/>
  <c r="AN108" i="14"/>
  <c r="AO205" i="14"/>
  <c r="AN205" i="14"/>
  <c r="AO307" i="14"/>
  <c r="AN307" i="14"/>
  <c r="AN389" i="14"/>
  <c r="AO389" i="14"/>
  <c r="AO10" i="14"/>
  <c r="AN10" i="14"/>
  <c r="AO22" i="14"/>
  <c r="AN22" i="14"/>
  <c r="AO48" i="14"/>
  <c r="AN48" i="14"/>
  <c r="AN126" i="14"/>
  <c r="AO126" i="14"/>
  <c r="AO143" i="14"/>
  <c r="AN143" i="14"/>
  <c r="AO151" i="14"/>
  <c r="AN151" i="14"/>
  <c r="AO159" i="14"/>
  <c r="AN159" i="14"/>
  <c r="AO167" i="14"/>
  <c r="AN167" i="14"/>
  <c r="AO175" i="14"/>
  <c r="AN175" i="14"/>
  <c r="AO417" i="14"/>
  <c r="AN417" i="14"/>
  <c r="AO425" i="14"/>
  <c r="AN425" i="14"/>
  <c r="AO433" i="14"/>
  <c r="AN433" i="14"/>
  <c r="AO441" i="14"/>
  <c r="AN441" i="14"/>
  <c r="AO449" i="14"/>
  <c r="AN449" i="14"/>
  <c r="AO457" i="14"/>
  <c r="AN457" i="14"/>
  <c r="AO465" i="14"/>
  <c r="AN465" i="14"/>
  <c r="AO473" i="14"/>
  <c r="AN473" i="14"/>
  <c r="AO481" i="14"/>
  <c r="AN481" i="14"/>
  <c r="AO489" i="14"/>
  <c r="AN489" i="14"/>
  <c r="AO497" i="14"/>
  <c r="AN497" i="14"/>
  <c r="AO505" i="14"/>
  <c r="AN505" i="14"/>
  <c r="AO513" i="14"/>
  <c r="AN513" i="14"/>
  <c r="AO521" i="14"/>
  <c r="AN521" i="14"/>
  <c r="AO529" i="14"/>
  <c r="AN529" i="14"/>
  <c r="AO537" i="14"/>
  <c r="AN537" i="14"/>
  <c r="AO545" i="14"/>
  <c r="AN545" i="14"/>
  <c r="AO569" i="14"/>
  <c r="AN569" i="14"/>
  <c r="AO681" i="14"/>
  <c r="AM71" i="14"/>
  <c r="BE71" i="14" s="1"/>
  <c r="AM99" i="14"/>
  <c r="AM124" i="14"/>
  <c r="AL137" i="14"/>
  <c r="BG137" i="14" s="1"/>
  <c r="AL678" i="14"/>
  <c r="AL679" i="14"/>
  <c r="AL680" i="14"/>
  <c r="AL667" i="14"/>
  <c r="AL676" i="14"/>
  <c r="AL681" i="14"/>
  <c r="AL668" i="14"/>
  <c r="AL674" i="14"/>
  <c r="AL669" i="14"/>
  <c r="AL670" i="14"/>
  <c r="AL672" i="14"/>
  <c r="AL677" i="14"/>
  <c r="AL671" i="14"/>
  <c r="AL673" i="14"/>
  <c r="AL675" i="14"/>
  <c r="AM123" i="14"/>
  <c r="AM101" i="14"/>
  <c r="BF101" i="14" s="1"/>
  <c r="AM70" i="14"/>
  <c r="BE70" i="14" s="1"/>
  <c r="AM104" i="14"/>
  <c r="AM72" i="14"/>
  <c r="AM103" i="14"/>
  <c r="BF103" i="14" s="1"/>
  <c r="AM62" i="14"/>
  <c r="BE62" i="14" s="1"/>
  <c r="AM136" i="14"/>
  <c r="AM423" i="14"/>
  <c r="AM431" i="14"/>
  <c r="BF431" i="14" s="1"/>
  <c r="AM439" i="14"/>
  <c r="AM447" i="14"/>
  <c r="BF447" i="14" s="1"/>
  <c r="AM455" i="14"/>
  <c r="BF455" i="14" s="1"/>
  <c r="AM463" i="14"/>
  <c r="BF463" i="14" s="1"/>
  <c r="AM471" i="14"/>
  <c r="BF471" i="14" s="1"/>
  <c r="AM479" i="14"/>
  <c r="AM127" i="14"/>
  <c r="AM100" i="14"/>
  <c r="AM122" i="14"/>
  <c r="BF122" i="14" s="1"/>
  <c r="AM128" i="14"/>
  <c r="AM121" i="14"/>
  <c r="AM137" i="14"/>
  <c r="AM22" i="14"/>
  <c r="BF22" i="14" s="1"/>
  <c r="AM30" i="14"/>
  <c r="BE30" i="14" s="1"/>
  <c r="AM48" i="14"/>
  <c r="BF48" i="14" s="1"/>
  <c r="AM54" i="14"/>
  <c r="BE54" i="14" s="1"/>
  <c r="AM80" i="14"/>
  <c r="BF80" i="14" s="1"/>
  <c r="AM107" i="14"/>
  <c r="AM115" i="14"/>
  <c r="AM135" i="14"/>
  <c r="AM189" i="14"/>
  <c r="BF189" i="14" s="1"/>
  <c r="AM197" i="14"/>
  <c r="AM204" i="14"/>
  <c r="BF204" i="14" s="1"/>
  <c r="AM212" i="14"/>
  <c r="AM220" i="14"/>
  <c r="BF220" i="14" s="1"/>
  <c r="AM228" i="14"/>
  <c r="AM236" i="14"/>
  <c r="BF236" i="14" s="1"/>
  <c r="AM242" i="14"/>
  <c r="AM250" i="14"/>
  <c r="BF250" i="14" s="1"/>
  <c r="AM258" i="14"/>
  <c r="BF258" i="14" s="1"/>
  <c r="AM266" i="14"/>
  <c r="BF266" i="14" s="1"/>
  <c r="AM274" i="14"/>
  <c r="AM282" i="14"/>
  <c r="BF282" i="14" s="1"/>
  <c r="AM290" i="14"/>
  <c r="AM298" i="14"/>
  <c r="BF298" i="14" s="1"/>
  <c r="AM306" i="14"/>
  <c r="AM314" i="14"/>
  <c r="BF314" i="14" s="1"/>
  <c r="AM326" i="14"/>
  <c r="BF326" i="14" s="1"/>
  <c r="AM334" i="14"/>
  <c r="BF334" i="14" s="1"/>
  <c r="AM340" i="14"/>
  <c r="BF340" i="14" s="1"/>
  <c r="AM10" i="14"/>
  <c r="BE10" i="14" s="1"/>
  <c r="AM487" i="14"/>
  <c r="AM495" i="14"/>
  <c r="AM503" i="14"/>
  <c r="AM511" i="14"/>
  <c r="AM519" i="14"/>
  <c r="AM527" i="14"/>
  <c r="BF527" i="14" s="1"/>
  <c r="AM417" i="14"/>
  <c r="BF417" i="14" s="1"/>
  <c r="AM425" i="14"/>
  <c r="AM433" i="14"/>
  <c r="BF433" i="14" s="1"/>
  <c r="AM441" i="14"/>
  <c r="AM449" i="14"/>
  <c r="BF449" i="14" s="1"/>
  <c r="AM457" i="14"/>
  <c r="AM465" i="14"/>
  <c r="BF465" i="14" s="1"/>
  <c r="AM473" i="14"/>
  <c r="AM481" i="14"/>
  <c r="BF481" i="14" s="1"/>
  <c r="AM489" i="14"/>
  <c r="AM497" i="14"/>
  <c r="AM505" i="14"/>
  <c r="AM513" i="14"/>
  <c r="BF513" i="14" s="1"/>
  <c r="AM521" i="14"/>
  <c r="BF521" i="14" s="1"/>
  <c r="AM529" i="14"/>
  <c r="AM537" i="14"/>
  <c r="AM545" i="14"/>
  <c r="BF545" i="14" s="1"/>
  <c r="AP675" i="14"/>
  <c r="BE675" i="14" s="1"/>
  <c r="AP679" i="14"/>
  <c r="BE679" i="14" s="1"/>
  <c r="AP678" i="14"/>
  <c r="BE678" i="14" s="1"/>
  <c r="AM346" i="14"/>
  <c r="AM354" i="14"/>
  <c r="AM362" i="14"/>
  <c r="AP680" i="14"/>
  <c r="BE680" i="14" s="1"/>
  <c r="AP676" i="14"/>
  <c r="BE676" i="14" s="1"/>
  <c r="AP677" i="14"/>
  <c r="BE677" i="14" s="1"/>
  <c r="AM97" i="14"/>
  <c r="BF97" i="14" s="1"/>
  <c r="AM140" i="14"/>
  <c r="BF140" i="14" s="1"/>
  <c r="AM162" i="14"/>
  <c r="AM170" i="14"/>
  <c r="BF170" i="14" s="1"/>
  <c r="AM420" i="14"/>
  <c r="AM428" i="14"/>
  <c r="BF428" i="14" s="1"/>
  <c r="AM436" i="14"/>
  <c r="BF436" i="14" s="1"/>
  <c r="AM444" i="14"/>
  <c r="BF444" i="14" s="1"/>
  <c r="AM452" i="14"/>
  <c r="AM460" i="14"/>
  <c r="AM468" i="14"/>
  <c r="AM476" i="14"/>
  <c r="AM484" i="14"/>
  <c r="AM492" i="14"/>
  <c r="BF492" i="14" s="1"/>
  <c r="AM500" i="14"/>
  <c r="AM508" i="14"/>
  <c r="AM516" i="14"/>
  <c r="AM524" i="14"/>
  <c r="AM532" i="14"/>
  <c r="AM68" i="14"/>
  <c r="BF68" i="14" s="1"/>
  <c r="AM141" i="14"/>
  <c r="AM149" i="14"/>
  <c r="BF149" i="14" s="1"/>
  <c r="AM157" i="14"/>
  <c r="AM165" i="14"/>
  <c r="AM173" i="14"/>
  <c r="AM181" i="14"/>
  <c r="AM424" i="14"/>
  <c r="AM432" i="14"/>
  <c r="AM440" i="14"/>
  <c r="AM448" i="14"/>
  <c r="BF448" i="14" s="1"/>
  <c r="AM456" i="14"/>
  <c r="AM464" i="14"/>
  <c r="AM472" i="14"/>
  <c r="AM480" i="14"/>
  <c r="AM488" i="14"/>
  <c r="AM96" i="14"/>
  <c r="AM139" i="14"/>
  <c r="AM145" i="14"/>
  <c r="AM153" i="14"/>
  <c r="BF153" i="14" s="1"/>
  <c r="AM161" i="14"/>
  <c r="AM169" i="14"/>
  <c r="AM177" i="14"/>
  <c r="AM419" i="14"/>
  <c r="BF419" i="14" s="1"/>
  <c r="AM427" i="14"/>
  <c r="AM435" i="14"/>
  <c r="BF435" i="14" s="1"/>
  <c r="AM443" i="14"/>
  <c r="AM451" i="14"/>
  <c r="BF451" i="14" s="1"/>
  <c r="AM459" i="14"/>
  <c r="AM467" i="14"/>
  <c r="AM475" i="14"/>
  <c r="AM483" i="14"/>
  <c r="BF483" i="14" s="1"/>
  <c r="AM491" i="14"/>
  <c r="BF491" i="14" s="1"/>
  <c r="AM499" i="14"/>
  <c r="AM507" i="14"/>
  <c r="AM515" i="14"/>
  <c r="BF515" i="14" s="1"/>
  <c r="AM523" i="14"/>
  <c r="AM531" i="14"/>
  <c r="BF531" i="14" s="1"/>
  <c r="AM539" i="14"/>
  <c r="AM560" i="14"/>
  <c r="BF560" i="14" s="1"/>
  <c r="AM232" i="14"/>
  <c r="BF232" i="14" s="1"/>
  <c r="AM246" i="14"/>
  <c r="AM111" i="14"/>
  <c r="AM185" i="14"/>
  <c r="BF185" i="14" s="1"/>
  <c r="AM270" i="14"/>
  <c r="BF270" i="14" s="1"/>
  <c r="AM286" i="14"/>
  <c r="BF286" i="14" s="1"/>
  <c r="AM57" i="14"/>
  <c r="BF57" i="14" s="1"/>
  <c r="AM208" i="14"/>
  <c r="BF208" i="14" s="1"/>
  <c r="AM93" i="14"/>
  <c r="BF93" i="14" s="1"/>
  <c r="AM26" i="14"/>
  <c r="BF26" i="14" s="1"/>
  <c r="AM118" i="14"/>
  <c r="AM224" i="14"/>
  <c r="AM193" i="14"/>
  <c r="AM254" i="14"/>
  <c r="AM147" i="14"/>
  <c r="BF147" i="14" s="1"/>
  <c r="AM84" i="14"/>
  <c r="AM262" i="14"/>
  <c r="BF262" i="14" s="1"/>
  <c r="AM238" i="14"/>
  <c r="AM216" i="14"/>
  <c r="BF216" i="14" s="1"/>
  <c r="AM200" i="14"/>
  <c r="BF200" i="14" s="1"/>
  <c r="AM278" i="14"/>
  <c r="BF278" i="14" s="1"/>
  <c r="AM112" i="14"/>
  <c r="AM271" i="14"/>
  <c r="BF271" i="14" s="1"/>
  <c r="AM337" i="14"/>
  <c r="BF337" i="14" s="1"/>
  <c r="AM494" i="14"/>
  <c r="AM20" i="14"/>
  <c r="BF20" i="14" s="1"/>
  <c r="AM28" i="14"/>
  <c r="BE28" i="14" s="1"/>
  <c r="AM33" i="14"/>
  <c r="BE33" i="14" s="1"/>
  <c r="AM46" i="14"/>
  <c r="BE46" i="14" s="1"/>
  <c r="AM78" i="14"/>
  <c r="BF78" i="14" s="1"/>
  <c r="AM86" i="14"/>
  <c r="BF86" i="14" s="1"/>
  <c r="AM90" i="14"/>
  <c r="AM105" i="14"/>
  <c r="BF105" i="14" s="1"/>
  <c r="AM113" i="14"/>
  <c r="AM120" i="14"/>
  <c r="BF120" i="14" s="1"/>
  <c r="AM133" i="14"/>
  <c r="AM187" i="14"/>
  <c r="AM195" i="14"/>
  <c r="AM202" i="14"/>
  <c r="AM210" i="14"/>
  <c r="AM218" i="14"/>
  <c r="BF218" i="14" s="1"/>
  <c r="AM226" i="14"/>
  <c r="AM234" i="14"/>
  <c r="AM240" i="14"/>
  <c r="AM248" i="14"/>
  <c r="AM256" i="14"/>
  <c r="AM264" i="14"/>
  <c r="AM272" i="14"/>
  <c r="AM280" i="14"/>
  <c r="BF280" i="14" s="1"/>
  <c r="AM288" i="14"/>
  <c r="AM296" i="14"/>
  <c r="AM304" i="14"/>
  <c r="AM312" i="14"/>
  <c r="AM318" i="14"/>
  <c r="AM324" i="14"/>
  <c r="AM332" i="14"/>
  <c r="AM338" i="14"/>
  <c r="BF338" i="14" s="1"/>
  <c r="AM344" i="14"/>
  <c r="AM352" i="14"/>
  <c r="AM360" i="14"/>
  <c r="AM217" i="14"/>
  <c r="AM311" i="14"/>
  <c r="AM526" i="14"/>
  <c r="AM119" i="14"/>
  <c r="AM247" i="14"/>
  <c r="BF247" i="14" s="1"/>
  <c r="AM375" i="14"/>
  <c r="BF375" i="14" s="1"/>
  <c r="AM454" i="14"/>
  <c r="AM29" i="14"/>
  <c r="BE29" i="14" s="1"/>
  <c r="AM34" i="14"/>
  <c r="BF34" i="14" s="1"/>
  <c r="AM47" i="14"/>
  <c r="BF47" i="14" s="1"/>
  <c r="AM53" i="14"/>
  <c r="BF53" i="14" s="1"/>
  <c r="AM79" i="14"/>
  <c r="BF79" i="14" s="1"/>
  <c r="AM87" i="14"/>
  <c r="AM106" i="14"/>
  <c r="AM114" i="14"/>
  <c r="BF114" i="14" s="1"/>
  <c r="AM134" i="14"/>
  <c r="AM188" i="14"/>
  <c r="AM196" i="14"/>
  <c r="AM203" i="14"/>
  <c r="BF203" i="14" s="1"/>
  <c r="AM211" i="14"/>
  <c r="AM219" i="14"/>
  <c r="BF219" i="14" s="1"/>
  <c r="AM227" i="14"/>
  <c r="AM235" i="14"/>
  <c r="AM241" i="14"/>
  <c r="AM249" i="14"/>
  <c r="AM257" i="14"/>
  <c r="AM265" i="14"/>
  <c r="AM273" i="14"/>
  <c r="AM281" i="14"/>
  <c r="BF281" i="14" s="1"/>
  <c r="AM289" i="14"/>
  <c r="AM297" i="14"/>
  <c r="AM305" i="14"/>
  <c r="AM313" i="14"/>
  <c r="BF313" i="14" s="1"/>
  <c r="AM325" i="14"/>
  <c r="BF325" i="14" s="1"/>
  <c r="AM333" i="14"/>
  <c r="AM339" i="14"/>
  <c r="BF339" i="14" s="1"/>
  <c r="AM345" i="14"/>
  <c r="BF345" i="14" s="1"/>
  <c r="AM353" i="14"/>
  <c r="AM361" i="14"/>
  <c r="AM369" i="14"/>
  <c r="AM377" i="14"/>
  <c r="AM385" i="14"/>
  <c r="AM393" i="14"/>
  <c r="AM279" i="14"/>
  <c r="AM359" i="14"/>
  <c r="AM446" i="14"/>
  <c r="AM542" i="14"/>
  <c r="AM9" i="14"/>
  <c r="BE9" i="14" s="1"/>
  <c r="AM21" i="14"/>
  <c r="BE21" i="14" s="1"/>
  <c r="AM496" i="14"/>
  <c r="AM504" i="14"/>
  <c r="AM512" i="14"/>
  <c r="AM520" i="14"/>
  <c r="AM528" i="14"/>
  <c r="AM536" i="14"/>
  <c r="AM544" i="14"/>
  <c r="BF544" i="14" s="1"/>
  <c r="AM27" i="14"/>
  <c r="BE27" i="14" s="1"/>
  <c r="AM201" i="14"/>
  <c r="BF201" i="14" s="1"/>
  <c r="AM343" i="14"/>
  <c r="AM438" i="14"/>
  <c r="BF438" i="14" s="1"/>
  <c r="AM534" i="14"/>
  <c r="AM370" i="14"/>
  <c r="BF370" i="14" s="1"/>
  <c r="AM378" i="14"/>
  <c r="AM386" i="14"/>
  <c r="BF386" i="14" s="1"/>
  <c r="AM394" i="14"/>
  <c r="AM402" i="14"/>
  <c r="BF402" i="14" s="1"/>
  <c r="AM410" i="14"/>
  <c r="AM32" i="14"/>
  <c r="BE32" i="14" s="1"/>
  <c r="AM132" i="14"/>
  <c r="AM255" i="14"/>
  <c r="AM367" i="14"/>
  <c r="AM422" i="14"/>
  <c r="AM502" i="14"/>
  <c r="AM95" i="14"/>
  <c r="AM126" i="14"/>
  <c r="BF126" i="14" s="1"/>
  <c r="AM143" i="14"/>
  <c r="BF143" i="14" s="1"/>
  <c r="AM151" i="14"/>
  <c r="AM159" i="14"/>
  <c r="AM167" i="14"/>
  <c r="AM175" i="14"/>
  <c r="BF175" i="14" s="1"/>
  <c r="AM569" i="14"/>
  <c r="AM239" i="14"/>
  <c r="AM331" i="14"/>
  <c r="BF331" i="14" s="1"/>
  <c r="AM510" i="14"/>
  <c r="AM225" i="14"/>
  <c r="AM303" i="14"/>
  <c r="BF303" i="14" s="1"/>
  <c r="AM430" i="14"/>
  <c r="AM518" i="14"/>
  <c r="AM85" i="14"/>
  <c r="AM194" i="14"/>
  <c r="AM295" i="14"/>
  <c r="AM391" i="14"/>
  <c r="BF391" i="14" s="1"/>
  <c r="AM478" i="14"/>
  <c r="AM19" i="14"/>
  <c r="BF19" i="14" s="1"/>
  <c r="AM209" i="14"/>
  <c r="BF209" i="14" s="1"/>
  <c r="AM317" i="14"/>
  <c r="BF317" i="14" s="1"/>
  <c r="AM77" i="14"/>
  <c r="BF77" i="14" s="1"/>
  <c r="AM186" i="14"/>
  <c r="AM287" i="14"/>
  <c r="BF287" i="14" s="1"/>
  <c r="AM399" i="14"/>
  <c r="AM486" i="14"/>
  <c r="AM233" i="14"/>
  <c r="AM323" i="14"/>
  <c r="AM462" i="14"/>
  <c r="AM178" i="14"/>
  <c r="BF178" i="14" s="1"/>
  <c r="AM540" i="14"/>
  <c r="AM263" i="14"/>
  <c r="AM351" i="14"/>
  <c r="BF351" i="14" s="1"/>
  <c r="AM470" i="14"/>
  <c r="AM562" i="14"/>
  <c r="AM74" i="14"/>
  <c r="BF74" i="14" s="1"/>
  <c r="AM294" i="14"/>
  <c r="BF294" i="14" s="1"/>
  <c r="AM302" i="14"/>
  <c r="AM310" i="14"/>
  <c r="BF310" i="14" s="1"/>
  <c r="AM322" i="14"/>
  <c r="AM330" i="14"/>
  <c r="AM336" i="14"/>
  <c r="AM342" i="14"/>
  <c r="BF342" i="14" s="1"/>
  <c r="AM350" i="14"/>
  <c r="AM358" i="14"/>
  <c r="AM366" i="14"/>
  <c r="BF366" i="14" s="1"/>
  <c r="AM374" i="14"/>
  <c r="AM382" i="14"/>
  <c r="BF382" i="14" s="1"/>
  <c r="AM390" i="14"/>
  <c r="AM398" i="14"/>
  <c r="BF398" i="14" s="1"/>
  <c r="AM406" i="14"/>
  <c r="BF406" i="14" s="1"/>
  <c r="AM561" i="14"/>
  <c r="BF561" i="14" s="1"/>
  <c r="AM31" i="14"/>
  <c r="AM205" i="14"/>
  <c r="AM275" i="14"/>
  <c r="AM403" i="14"/>
  <c r="AM176" i="14"/>
  <c r="AM466" i="14"/>
  <c r="AM522" i="14"/>
  <c r="AM546" i="14"/>
  <c r="AM12" i="14"/>
  <c r="AM17" i="14"/>
  <c r="AM24" i="14"/>
  <c r="AM55" i="14"/>
  <c r="AM82" i="14"/>
  <c r="AM109" i="14"/>
  <c r="AM117" i="14"/>
  <c r="AM183" i="14"/>
  <c r="AM191" i="14"/>
  <c r="AM206" i="14"/>
  <c r="AM214" i="14"/>
  <c r="AM222" i="14"/>
  <c r="AM230" i="14"/>
  <c r="AM244" i="14"/>
  <c r="AM252" i="14"/>
  <c r="AM260" i="14"/>
  <c r="AM268" i="14"/>
  <c r="AM276" i="14"/>
  <c r="AM284" i="14"/>
  <c r="AM292" i="14"/>
  <c r="AM300" i="14"/>
  <c r="AM308" i="14"/>
  <c r="AM316" i="14"/>
  <c r="AM320" i="14"/>
  <c r="AM328" i="14"/>
  <c r="AM348" i="14"/>
  <c r="AM356" i="14"/>
  <c r="AM364" i="14"/>
  <c r="AM372" i="14"/>
  <c r="AM380" i="14"/>
  <c r="AM388" i="14"/>
  <c r="AM396" i="14"/>
  <c r="AM404" i="14"/>
  <c r="AM412" i="14"/>
  <c r="AM570" i="14"/>
  <c r="AM61" i="14"/>
  <c r="AM16" i="14"/>
  <c r="AM81" i="14"/>
  <c r="AM251" i="14"/>
  <c r="AM307" i="14"/>
  <c r="AM387" i="14"/>
  <c r="AM434" i="14"/>
  <c r="AM490" i="14"/>
  <c r="AM538" i="14"/>
  <c r="AM18" i="14"/>
  <c r="AM25" i="14"/>
  <c r="AM36" i="14"/>
  <c r="AM50" i="14"/>
  <c r="AM56" i="14"/>
  <c r="AM83" i="14"/>
  <c r="AM89" i="14"/>
  <c r="AM110" i="14"/>
  <c r="AM130" i="14"/>
  <c r="AM184" i="14"/>
  <c r="AM192" i="14"/>
  <c r="AM199" i="14"/>
  <c r="AM207" i="14"/>
  <c r="AM215" i="14"/>
  <c r="AM223" i="14"/>
  <c r="AM231" i="14"/>
  <c r="AM245" i="14"/>
  <c r="AM253" i="14"/>
  <c r="AM261" i="14"/>
  <c r="AM269" i="14"/>
  <c r="AM277" i="14"/>
  <c r="AM285" i="14"/>
  <c r="AM293" i="14"/>
  <c r="AM301" i="14"/>
  <c r="AM309" i="14"/>
  <c r="AM321" i="14"/>
  <c r="AM329" i="14"/>
  <c r="AM335" i="14"/>
  <c r="AM349" i="14"/>
  <c r="AM357" i="14"/>
  <c r="AM365" i="14"/>
  <c r="AM373" i="14"/>
  <c r="AM381" i="14"/>
  <c r="AM389" i="14"/>
  <c r="AM397" i="14"/>
  <c r="AM405" i="14"/>
  <c r="AM413" i="14"/>
  <c r="AM547" i="14"/>
  <c r="AM35" i="14"/>
  <c r="AM91" i="14"/>
  <c r="AM229" i="14"/>
  <c r="AM327" i="14"/>
  <c r="AM138" i="14"/>
  <c r="AM450" i="14"/>
  <c r="AM506" i="14"/>
  <c r="AM146" i="14"/>
  <c r="AM154" i="14"/>
  <c r="AM49" i="14"/>
  <c r="AM108" i="14"/>
  <c r="AM190" i="14"/>
  <c r="AM267" i="14"/>
  <c r="AM347" i="14"/>
  <c r="AM411" i="14"/>
  <c r="AM564" i="14"/>
  <c r="AM426" i="14"/>
  <c r="AM131" i="14"/>
  <c r="AM414" i="14"/>
  <c r="AM221" i="14"/>
  <c r="AM341" i="14"/>
  <c r="AM152" i="14"/>
  <c r="AM66" i="14"/>
  <c r="AM98" i="14"/>
  <c r="AM155" i="14"/>
  <c r="AM163" i="14"/>
  <c r="AM171" i="14"/>
  <c r="AM179" i="14"/>
  <c r="AM421" i="14"/>
  <c r="AM429" i="14"/>
  <c r="AM437" i="14"/>
  <c r="AM445" i="14"/>
  <c r="AM453" i="14"/>
  <c r="AM461" i="14"/>
  <c r="AM469" i="14"/>
  <c r="AM477" i="14"/>
  <c r="AM485" i="14"/>
  <c r="AM493" i="14"/>
  <c r="AM501" i="14"/>
  <c r="AM509" i="14"/>
  <c r="AM517" i="14"/>
  <c r="AM525" i="14"/>
  <c r="AM533" i="14"/>
  <c r="AM541" i="14"/>
  <c r="AM548" i="14"/>
  <c r="AM383" i="14"/>
  <c r="AM407" i="14"/>
  <c r="AM415" i="14"/>
  <c r="AM23" i="14"/>
  <c r="AM116" i="14"/>
  <c r="AM213" i="14"/>
  <c r="AM291" i="14"/>
  <c r="AM371" i="14"/>
  <c r="AM160" i="14"/>
  <c r="AM67" i="14"/>
  <c r="AM92" i="14"/>
  <c r="AM148" i="14"/>
  <c r="AM156" i="14"/>
  <c r="AM164" i="14"/>
  <c r="AM172" i="14"/>
  <c r="AM180" i="14"/>
  <c r="AM198" i="14"/>
  <c r="AM283" i="14"/>
  <c r="AM355" i="14"/>
  <c r="AM168" i="14"/>
  <c r="AM482" i="14"/>
  <c r="AM58" i="14"/>
  <c r="AM368" i="14"/>
  <c r="AM376" i="14"/>
  <c r="AM384" i="14"/>
  <c r="AM392" i="14"/>
  <c r="AM400" i="14"/>
  <c r="AM408" i="14"/>
  <c r="AM416" i="14"/>
  <c r="AM11" i="14"/>
  <c r="AM73" i="14"/>
  <c r="AM243" i="14"/>
  <c r="AM315" i="14"/>
  <c r="AM379" i="14"/>
  <c r="AM418" i="14"/>
  <c r="AM474" i="14"/>
  <c r="AM530" i="14"/>
  <c r="AM535" i="14"/>
  <c r="AM543" i="14"/>
  <c r="AM401" i="14"/>
  <c r="AM409" i="14"/>
  <c r="AM237" i="14"/>
  <c r="AM299" i="14"/>
  <c r="AM363" i="14"/>
  <c r="AM144" i="14"/>
  <c r="AM442" i="14"/>
  <c r="AM498" i="14"/>
  <c r="AM69" i="14"/>
  <c r="AM94" i="14"/>
  <c r="AM125" i="14"/>
  <c r="AM142" i="14"/>
  <c r="AM150" i="14"/>
  <c r="AM158" i="14"/>
  <c r="AM166" i="14"/>
  <c r="AM174" i="14"/>
  <c r="AM182" i="14"/>
  <c r="AM259" i="14"/>
  <c r="AM319" i="14"/>
  <c r="AM395" i="14"/>
  <c r="AM458" i="14"/>
  <c r="AM514" i="14"/>
  <c r="AM75" i="14"/>
  <c r="AM88" i="14"/>
  <c r="AL136" i="14"/>
  <c r="Y6" i="14"/>
  <c r="AL128" i="14"/>
  <c r="AL127" i="14"/>
  <c r="AL124" i="14"/>
  <c r="AL123" i="14"/>
  <c r="AL122" i="14"/>
  <c r="AL121" i="14"/>
  <c r="AL70" i="14"/>
  <c r="BG70" i="14" s="1"/>
  <c r="AL101" i="14"/>
  <c r="AL100" i="14"/>
  <c r="AL99" i="14"/>
  <c r="AL103" i="14"/>
  <c r="AL102" i="14"/>
  <c r="AL104" i="14"/>
  <c r="AL71" i="14"/>
  <c r="AL72" i="14"/>
  <c r="AL61" i="14"/>
  <c r="AL62" i="14"/>
  <c r="AK38" i="14"/>
  <c r="AL38" i="14"/>
  <c r="AK59" i="14"/>
  <c r="AK60" i="14"/>
  <c r="AK559" i="14"/>
  <c r="AK646" i="14"/>
  <c r="AK571" i="14"/>
  <c r="AK654" i="14"/>
  <c r="AK655" i="14"/>
  <c r="AK37" i="14"/>
  <c r="AL555" i="14"/>
  <c r="AL37" i="14"/>
  <c r="AK658" i="14"/>
  <c r="AK653" i="14"/>
  <c r="AK596" i="14"/>
  <c r="AL16" i="14"/>
  <c r="BG16" i="14" s="1"/>
  <c r="AL591" i="14"/>
  <c r="AL17" i="14"/>
  <c r="BG17" i="14" s="1"/>
  <c r="AK604" i="14"/>
  <c r="AK656" i="14"/>
  <c r="AK624" i="14"/>
  <c r="AL598" i="14"/>
  <c r="AK622" i="14"/>
  <c r="AL588" i="14"/>
  <c r="AK630" i="14"/>
  <c r="AK640" i="14"/>
  <c r="AK557" i="14"/>
  <c r="AK19" i="14"/>
  <c r="AK618" i="14"/>
  <c r="AK620" i="14"/>
  <c r="AL150" i="14"/>
  <c r="BG150" i="14" s="1"/>
  <c r="AL11" i="14"/>
  <c r="AK554" i="14"/>
  <c r="AK563" i="14"/>
  <c r="AK552" i="14"/>
  <c r="AK558" i="14"/>
  <c r="AK611" i="14"/>
  <c r="AL587" i="14"/>
  <c r="AL553" i="14"/>
  <c r="AK556" i="14"/>
  <c r="AL664" i="14"/>
  <c r="AK241" i="14"/>
  <c r="AL36" i="14"/>
  <c r="AK152" i="14"/>
  <c r="AK10" i="14"/>
  <c r="AL87" i="14"/>
  <c r="AK570" i="14"/>
  <c r="AK562" i="14"/>
  <c r="AK535" i="14"/>
  <c r="AK519" i="14"/>
  <c r="AK503" i="14"/>
  <c r="AK487" i="14"/>
  <c r="AK532" i="14"/>
  <c r="AK516" i="14"/>
  <c r="AK500" i="14"/>
  <c r="AK484" i="14"/>
  <c r="AK564" i="14"/>
  <c r="AK548" i="14"/>
  <c r="AK547" i="14"/>
  <c r="AK546" i="14"/>
  <c r="AK545" i="14"/>
  <c r="AK529" i="14"/>
  <c r="AK513" i="14"/>
  <c r="AK497" i="14"/>
  <c r="AK481" i="14"/>
  <c r="AK542" i="14"/>
  <c r="AK526" i="14"/>
  <c r="AK510" i="14"/>
  <c r="AK494" i="14"/>
  <c r="AK478" i="14"/>
  <c r="AK539" i="14"/>
  <c r="AK523" i="14"/>
  <c r="AK507" i="14"/>
  <c r="AK491" i="14"/>
  <c r="AK475" i="14"/>
  <c r="AK459" i="14"/>
  <c r="AK536" i="14"/>
  <c r="AK520" i="14"/>
  <c r="AK504" i="14"/>
  <c r="AK533" i="14"/>
  <c r="AK517" i="14"/>
  <c r="AK501" i="14"/>
  <c r="AK485" i="14"/>
  <c r="AK469" i="14"/>
  <c r="AK530" i="14"/>
  <c r="AK514" i="14"/>
  <c r="AK498" i="14"/>
  <c r="AK482" i="14"/>
  <c r="AK543" i="14"/>
  <c r="AK527" i="14"/>
  <c r="AK511" i="14"/>
  <c r="AK495" i="14"/>
  <c r="AK479" i="14"/>
  <c r="AK463" i="14"/>
  <c r="AK540" i="14"/>
  <c r="AK524" i="14"/>
  <c r="AK537" i="14"/>
  <c r="AK521" i="14"/>
  <c r="AK534" i="14"/>
  <c r="AK518" i="14"/>
  <c r="AK502" i="14"/>
  <c r="AK531" i="14"/>
  <c r="AK515" i="14"/>
  <c r="AK499" i="14"/>
  <c r="AK483" i="14"/>
  <c r="AK467" i="14"/>
  <c r="AK473" i="14"/>
  <c r="AK462" i="14"/>
  <c r="AK439" i="14"/>
  <c r="AK423" i="14"/>
  <c r="AK408" i="14"/>
  <c r="AK392" i="14"/>
  <c r="AK569" i="14"/>
  <c r="AK490" i="14"/>
  <c r="AK460" i="14"/>
  <c r="AK436" i="14"/>
  <c r="AK420" i="14"/>
  <c r="AK405" i="14"/>
  <c r="AK389" i="14"/>
  <c r="AK492" i="14"/>
  <c r="AK471" i="14"/>
  <c r="AK452" i="14"/>
  <c r="AK449" i="14"/>
  <c r="AK433" i="14"/>
  <c r="AK417" i="14"/>
  <c r="AK402" i="14"/>
  <c r="AK386" i="14"/>
  <c r="AK480" i="14"/>
  <c r="AK455" i="14"/>
  <c r="AK446" i="14"/>
  <c r="AK430" i="14"/>
  <c r="AK415" i="14"/>
  <c r="AK399" i="14"/>
  <c r="AK383" i="14"/>
  <c r="AK538" i="14"/>
  <c r="AK443" i="14"/>
  <c r="AK427" i="14"/>
  <c r="AK412" i="14"/>
  <c r="AK396" i="14"/>
  <c r="AK380" i="14"/>
  <c r="AK364" i="14"/>
  <c r="AK541" i="14"/>
  <c r="AK477" i="14"/>
  <c r="AK458" i="14"/>
  <c r="AK440" i="14"/>
  <c r="AK424" i="14"/>
  <c r="AK409" i="14"/>
  <c r="AK393" i="14"/>
  <c r="AK377" i="14"/>
  <c r="AK361" i="14"/>
  <c r="AK509" i="14"/>
  <c r="AK465" i="14"/>
  <c r="AK437" i="14"/>
  <c r="AK421" i="14"/>
  <c r="AK406" i="14"/>
  <c r="AK390" i="14"/>
  <c r="AK374" i="14"/>
  <c r="AK358" i="14"/>
  <c r="AK561" i="14"/>
  <c r="AK544" i="14"/>
  <c r="AK512" i="14"/>
  <c r="AK489" i="14"/>
  <c r="AK453" i="14"/>
  <c r="AK450" i="14"/>
  <c r="AK434" i="14"/>
  <c r="AK418" i="14"/>
  <c r="AK403" i="14"/>
  <c r="AK387" i="14"/>
  <c r="AK371" i="14"/>
  <c r="AK506" i="14"/>
  <c r="AK472" i="14"/>
  <c r="AK456" i="14"/>
  <c r="AK447" i="14"/>
  <c r="AK431" i="14"/>
  <c r="AK416" i="14"/>
  <c r="AK400" i="14"/>
  <c r="AK384" i="14"/>
  <c r="AK470" i="14"/>
  <c r="AK461" i="14"/>
  <c r="AK444" i="14"/>
  <c r="AK428" i="14"/>
  <c r="AK413" i="14"/>
  <c r="AK397" i="14"/>
  <c r="AK508" i="14"/>
  <c r="AK476" i="14"/>
  <c r="AK474" i="14"/>
  <c r="AK441" i="14"/>
  <c r="AK425" i="14"/>
  <c r="AK410" i="14"/>
  <c r="AK468" i="14"/>
  <c r="AK438" i="14"/>
  <c r="AK422" i="14"/>
  <c r="AK407" i="14"/>
  <c r="AK391" i="14"/>
  <c r="AK375" i="14"/>
  <c r="AK522" i="14"/>
  <c r="AK466" i="14"/>
  <c r="AK435" i="14"/>
  <c r="AK419" i="14"/>
  <c r="AK404" i="14"/>
  <c r="AK388" i="14"/>
  <c r="AK372" i="14"/>
  <c r="AK356" i="14"/>
  <c r="AK560" i="14"/>
  <c r="AK525" i="14"/>
  <c r="AK505" i="14"/>
  <c r="AK488" i="14"/>
  <c r="AK486" i="14"/>
  <c r="AK454" i="14"/>
  <c r="AK451" i="14"/>
  <c r="AK448" i="14"/>
  <c r="AK432" i="14"/>
  <c r="AK401" i="14"/>
  <c r="AK385" i="14"/>
  <c r="AK395" i="14"/>
  <c r="AK382" i="14"/>
  <c r="AK355" i="14"/>
  <c r="AK343" i="14"/>
  <c r="AK331" i="14"/>
  <c r="AK317" i="14"/>
  <c r="AK303" i="14"/>
  <c r="AK287" i="14"/>
  <c r="AK271" i="14"/>
  <c r="AK255" i="14"/>
  <c r="AK528" i="14"/>
  <c r="AK445" i="14"/>
  <c r="AK429" i="14"/>
  <c r="AK379" i="14"/>
  <c r="AK370" i="14"/>
  <c r="AK366" i="14"/>
  <c r="AK328" i="14"/>
  <c r="AK316" i="14"/>
  <c r="AK300" i="14"/>
  <c r="AK284" i="14"/>
  <c r="AK268" i="14"/>
  <c r="AK252" i="14"/>
  <c r="AK414" i="14"/>
  <c r="AK398" i="14"/>
  <c r="AK362" i="14"/>
  <c r="AK339" i="14"/>
  <c r="AK325" i="14"/>
  <c r="AK313" i="14"/>
  <c r="AK297" i="14"/>
  <c r="AK281" i="14"/>
  <c r="AK350" i="14"/>
  <c r="AK336" i="14"/>
  <c r="AK322" i="14"/>
  <c r="AK310" i="14"/>
  <c r="AK294" i="14"/>
  <c r="AK278" i="14"/>
  <c r="AK262" i="14"/>
  <c r="AK493" i="14"/>
  <c r="AK457" i="14"/>
  <c r="AK394" i="14"/>
  <c r="AK381" i="14"/>
  <c r="AK353" i="14"/>
  <c r="AK347" i="14"/>
  <c r="AK319" i="14"/>
  <c r="AK307" i="14"/>
  <c r="AK291" i="14"/>
  <c r="AK275" i="14"/>
  <c r="AK360" i="14"/>
  <c r="AK344" i="14"/>
  <c r="AK332" i="14"/>
  <c r="AK318" i="14"/>
  <c r="AK304" i="14"/>
  <c r="AK288" i="14"/>
  <c r="AK272" i="14"/>
  <c r="AK256" i="14"/>
  <c r="AK378" i="14"/>
  <c r="AK376" i="14"/>
  <c r="AK329" i="14"/>
  <c r="AK301" i="14"/>
  <c r="AK285" i="14"/>
  <c r="AK340" i="14"/>
  <c r="AK326" i="14"/>
  <c r="AK314" i="14"/>
  <c r="AK298" i="14"/>
  <c r="AK282" i="14"/>
  <c r="AK266" i="14"/>
  <c r="AK250" i="14"/>
  <c r="AK236" i="14"/>
  <c r="AK369" i="14"/>
  <c r="AK365" i="14"/>
  <c r="AK337" i="14"/>
  <c r="AK323" i="14"/>
  <c r="AK311" i="14"/>
  <c r="AK295" i="14"/>
  <c r="AK279" i="14"/>
  <c r="AK263" i="14"/>
  <c r="AK247" i="14"/>
  <c r="AK464" i="14"/>
  <c r="AK367" i="14"/>
  <c r="AK351" i="14"/>
  <c r="AK348" i="14"/>
  <c r="AK320" i="14"/>
  <c r="AK308" i="14"/>
  <c r="AK292" i="14"/>
  <c r="AK276" i="14"/>
  <c r="AK260" i="14"/>
  <c r="AK244" i="14"/>
  <c r="AK496" i="14"/>
  <c r="AK354" i="14"/>
  <c r="AK345" i="14"/>
  <c r="AK333" i="14"/>
  <c r="AK305" i="14"/>
  <c r="AK289" i="14"/>
  <c r="AK273" i="14"/>
  <c r="AK257" i="14"/>
  <c r="AK363" i="14"/>
  <c r="AK342" i="14"/>
  <c r="AK330" i="14"/>
  <c r="AK302" i="14"/>
  <c r="AK286" i="14"/>
  <c r="AK373" i="14"/>
  <c r="AK359" i="14"/>
  <c r="AK341" i="14"/>
  <c r="AK327" i="14"/>
  <c r="AK315" i="14"/>
  <c r="AK299" i="14"/>
  <c r="AK283" i="14"/>
  <c r="AK267" i="14"/>
  <c r="AK338" i="14"/>
  <c r="AK324" i="14"/>
  <c r="AK312" i="14"/>
  <c r="AK296" i="14"/>
  <c r="AK280" i="14"/>
  <c r="AK264" i="14"/>
  <c r="AK248" i="14"/>
  <c r="AK442" i="14"/>
  <c r="AK426" i="14"/>
  <c r="AK357" i="14"/>
  <c r="AK349" i="14"/>
  <c r="AK253" i="14"/>
  <c r="AK251" i="14"/>
  <c r="AK230" i="14"/>
  <c r="AK214" i="14"/>
  <c r="AK183" i="14"/>
  <c r="AK181" i="14"/>
  <c r="AK334" i="14"/>
  <c r="AK306" i="14"/>
  <c r="AK290" i="14"/>
  <c r="AK274" i="14"/>
  <c r="AK249" i="14"/>
  <c r="AK227" i="14"/>
  <c r="AK211" i="14"/>
  <c r="AK196" i="14"/>
  <c r="AK178" i="14"/>
  <c r="AK162" i="14"/>
  <c r="AK146" i="14"/>
  <c r="AK131" i="14"/>
  <c r="AK239" i="14"/>
  <c r="AK224" i="14"/>
  <c r="AK208" i="14"/>
  <c r="AK193" i="14"/>
  <c r="AK175" i="14"/>
  <c r="AK159" i="14"/>
  <c r="AK346" i="14"/>
  <c r="AK265" i="14"/>
  <c r="AK221" i="14"/>
  <c r="AK205" i="14"/>
  <c r="AK190" i="14"/>
  <c r="AK172" i="14"/>
  <c r="AK335" i="14"/>
  <c r="AK321" i="14"/>
  <c r="AK309" i="14"/>
  <c r="AK293" i="14"/>
  <c r="AK277" i="14"/>
  <c r="AK218" i="14"/>
  <c r="AK202" i="14"/>
  <c r="AK187" i="14"/>
  <c r="AK169" i="14"/>
  <c r="AK270" i="14"/>
  <c r="AK234" i="14"/>
  <c r="AK231" i="14"/>
  <c r="AK215" i="14"/>
  <c r="AK199" i="14"/>
  <c r="AK184" i="14"/>
  <c r="AK182" i="14"/>
  <c r="AK259" i="14"/>
  <c r="AK228" i="14"/>
  <c r="AK212" i="14"/>
  <c r="AK197" i="14"/>
  <c r="AK179" i="14"/>
  <c r="AK163" i="14"/>
  <c r="AK147" i="14"/>
  <c r="AK132" i="14"/>
  <c r="AK113" i="14"/>
  <c r="AK368" i="14"/>
  <c r="AK254" i="14"/>
  <c r="AK242" i="14"/>
  <c r="AK225" i="14"/>
  <c r="AK209" i="14"/>
  <c r="AK194" i="14"/>
  <c r="AK176" i="14"/>
  <c r="AK160" i="14"/>
  <c r="AK144" i="14"/>
  <c r="AK246" i="14"/>
  <c r="AK237" i="14"/>
  <c r="AK222" i="14"/>
  <c r="AK206" i="14"/>
  <c r="AK191" i="14"/>
  <c r="AK173" i="14"/>
  <c r="AK261" i="14"/>
  <c r="AK240" i="14"/>
  <c r="AK219" i="14"/>
  <c r="AK203" i="14"/>
  <c r="AK188" i="14"/>
  <c r="AK232" i="14"/>
  <c r="AK216" i="14"/>
  <c r="AK200" i="14"/>
  <c r="AK185" i="14"/>
  <c r="AK269" i="14"/>
  <c r="AK238" i="14"/>
  <c r="AK235" i="14"/>
  <c r="AK229" i="14"/>
  <c r="AK213" i="14"/>
  <c r="AK198" i="14"/>
  <c r="AK180" i="14"/>
  <c r="AK164" i="14"/>
  <c r="AK148" i="14"/>
  <c r="AK133" i="14"/>
  <c r="AK226" i="14"/>
  <c r="AK210" i="14"/>
  <c r="AK195" i="14"/>
  <c r="AK177" i="14"/>
  <c r="AK161" i="14"/>
  <c r="AK145" i="14"/>
  <c r="AK258" i="14"/>
  <c r="AK223" i="14"/>
  <c r="AK207" i="14"/>
  <c r="AK192" i="14"/>
  <c r="AK352" i="14"/>
  <c r="AK220" i="14"/>
  <c r="AK204" i="14"/>
  <c r="AK189" i="14"/>
  <c r="AK171" i="14"/>
  <c r="AK155" i="14"/>
  <c r="AK120" i="14"/>
  <c r="AK156" i="14"/>
  <c r="AK150" i="14"/>
  <c r="AK114" i="14"/>
  <c r="AK87" i="14"/>
  <c r="AK56" i="14"/>
  <c r="AK52" i="14"/>
  <c r="AK30" i="14"/>
  <c r="AK245" i="14"/>
  <c r="AK106" i="14"/>
  <c r="AK84" i="14"/>
  <c r="AK69" i="14"/>
  <c r="AK54" i="14"/>
  <c r="AK27" i="14"/>
  <c r="AK15" i="14"/>
  <c r="AL15" i="14" s="1"/>
  <c r="AK233" i="14"/>
  <c r="AK201" i="14"/>
  <c r="AK170" i="14"/>
  <c r="AK165" i="14"/>
  <c r="AK158" i="14"/>
  <c r="AK135" i="14"/>
  <c r="AK117" i="14"/>
  <c r="AK109" i="14"/>
  <c r="AK98" i="14"/>
  <c r="AK81" i="14"/>
  <c r="AK66" i="14"/>
  <c r="AK47" i="14"/>
  <c r="AK34" i="14"/>
  <c r="AK24" i="14"/>
  <c r="AK12" i="14"/>
  <c r="AK78" i="14"/>
  <c r="AK64" i="14"/>
  <c r="AL64" i="14" s="1"/>
  <c r="AK44" i="14"/>
  <c r="AL44" i="14" s="1"/>
  <c r="AK167" i="14"/>
  <c r="AK119" i="14"/>
  <c r="AK112" i="14"/>
  <c r="AK93" i="14"/>
  <c r="AK41" i="14"/>
  <c r="AL41" i="14" s="1"/>
  <c r="AK141" i="14"/>
  <c r="AK57" i="14"/>
  <c r="AK143" i="14"/>
  <c r="AK139" i="14"/>
  <c r="AK125" i="14"/>
  <c r="AK115" i="14"/>
  <c r="AK107" i="14"/>
  <c r="AK85" i="14"/>
  <c r="AK50" i="14"/>
  <c r="AK36" i="14"/>
  <c r="AK28" i="14"/>
  <c r="AK153" i="14"/>
  <c r="AK82" i="14"/>
  <c r="AK67" i="14"/>
  <c r="AK48" i="14"/>
  <c r="AK25" i="14"/>
  <c r="AK13" i="14"/>
  <c r="AL13" i="14" s="1"/>
  <c r="AK411" i="14"/>
  <c r="AK243" i="14"/>
  <c r="AK151" i="14"/>
  <c r="AK149" i="14"/>
  <c r="AK129" i="14"/>
  <c r="AL129" i="14" s="1"/>
  <c r="AK110" i="14"/>
  <c r="AK96" i="14"/>
  <c r="AK79" i="14"/>
  <c r="AK65" i="14"/>
  <c r="AL65" i="14" s="1"/>
  <c r="AK45" i="14"/>
  <c r="AL45" i="14" s="1"/>
  <c r="AK32" i="14"/>
  <c r="AK22" i="14"/>
  <c r="AK157" i="14"/>
  <c r="AK94" i="14"/>
  <c r="AK76" i="14"/>
  <c r="AK42" i="14"/>
  <c r="AL42" i="14" s="1"/>
  <c r="AK217" i="14"/>
  <c r="AK186" i="14"/>
  <c r="AK166" i="14"/>
  <c r="AK39" i="14"/>
  <c r="AL39" i="14" s="1"/>
  <c r="AK17" i="14"/>
  <c r="AK134" i="14"/>
  <c r="AK86" i="14"/>
  <c r="AK55" i="14"/>
  <c r="AK51" i="14"/>
  <c r="AL51" i="14" s="1"/>
  <c r="AK29" i="14"/>
  <c r="AK14" i="14"/>
  <c r="AL14" i="14" s="1"/>
  <c r="AK126" i="14"/>
  <c r="AK116" i="14"/>
  <c r="AK108" i="14"/>
  <c r="AK105" i="14"/>
  <c r="AK83" i="14"/>
  <c r="AK68" i="14"/>
  <c r="AK53" i="14"/>
  <c r="AK49" i="14"/>
  <c r="AK35" i="14"/>
  <c r="AK26" i="14"/>
  <c r="AK142" i="14"/>
  <c r="AK140" i="14"/>
  <c r="AK97" i="14"/>
  <c r="AK80" i="14"/>
  <c r="AK46" i="14"/>
  <c r="AK33" i="14"/>
  <c r="AK23" i="14"/>
  <c r="AK174" i="14"/>
  <c r="AK168" i="14"/>
  <c r="AK118" i="14"/>
  <c r="AK111" i="14"/>
  <c r="AK95" i="14"/>
  <c r="AK77" i="14"/>
  <c r="AK63" i="14"/>
  <c r="AL63" i="14" s="1"/>
  <c r="AK43" i="14"/>
  <c r="AL43" i="14" s="1"/>
  <c r="AK20" i="14"/>
  <c r="AK58" i="14"/>
  <c r="AK130" i="14"/>
  <c r="AL532" i="14"/>
  <c r="AL516" i="14"/>
  <c r="AL500" i="14"/>
  <c r="AL484" i="14"/>
  <c r="AL564" i="14"/>
  <c r="AL548" i="14"/>
  <c r="AL547" i="14"/>
  <c r="AL546" i="14"/>
  <c r="AL545" i="14"/>
  <c r="AL529" i="14"/>
  <c r="AL513" i="14"/>
  <c r="AL497" i="14"/>
  <c r="AL481" i="14"/>
  <c r="AL542" i="14"/>
  <c r="AL526" i="14"/>
  <c r="AL510" i="14"/>
  <c r="AL494" i="14"/>
  <c r="AL478" i="14"/>
  <c r="AL539" i="14"/>
  <c r="AL523" i="14"/>
  <c r="AL507" i="14"/>
  <c r="AL491" i="14"/>
  <c r="AL475" i="14"/>
  <c r="AL536" i="14"/>
  <c r="AL520" i="14"/>
  <c r="AL504" i="14"/>
  <c r="AL488" i="14"/>
  <c r="AL472" i="14"/>
  <c r="AL456" i="14"/>
  <c r="AL533" i="14"/>
  <c r="AL517" i="14"/>
  <c r="AL501" i="14"/>
  <c r="AL530" i="14"/>
  <c r="AL514" i="14"/>
  <c r="AL498" i="14"/>
  <c r="AL482" i="14"/>
  <c r="AL466" i="14"/>
  <c r="AL543" i="14"/>
  <c r="AL527" i="14"/>
  <c r="AL511" i="14"/>
  <c r="AL495" i="14"/>
  <c r="AL479" i="14"/>
  <c r="AL540" i="14"/>
  <c r="AL524" i="14"/>
  <c r="AL508" i="14"/>
  <c r="AL492" i="14"/>
  <c r="AL476" i="14"/>
  <c r="AL460" i="14"/>
  <c r="AL537" i="14"/>
  <c r="AL521" i="14"/>
  <c r="AL534" i="14"/>
  <c r="AL518" i="14"/>
  <c r="AL531" i="14"/>
  <c r="AL515" i="14"/>
  <c r="AL499" i="14"/>
  <c r="AL569" i="14"/>
  <c r="AL560" i="14"/>
  <c r="AL544" i="14"/>
  <c r="AL528" i="14"/>
  <c r="AL512" i="14"/>
  <c r="AL496" i="14"/>
  <c r="AL480" i="14"/>
  <c r="AL464" i="14"/>
  <c r="AL490" i="14"/>
  <c r="AL436" i="14"/>
  <c r="AL420" i="14"/>
  <c r="AL405" i="14"/>
  <c r="AL483" i="14"/>
  <c r="AL471" i="14"/>
  <c r="AL469" i="14"/>
  <c r="AL452" i="14"/>
  <c r="AL449" i="14"/>
  <c r="AL433" i="14"/>
  <c r="AL417" i="14"/>
  <c r="AL402" i="14"/>
  <c r="AL386" i="14"/>
  <c r="AL535" i="14"/>
  <c r="AL485" i="14"/>
  <c r="AL455" i="14"/>
  <c r="AL446" i="14"/>
  <c r="AL430" i="14"/>
  <c r="AL415" i="14"/>
  <c r="AL399" i="14"/>
  <c r="AL383" i="14"/>
  <c r="AL538" i="14"/>
  <c r="AL467" i="14"/>
  <c r="AL443" i="14"/>
  <c r="AL427" i="14"/>
  <c r="AL412" i="14"/>
  <c r="AL396" i="14"/>
  <c r="AL380" i="14"/>
  <c r="AL541" i="14"/>
  <c r="AL477" i="14"/>
  <c r="AL458" i="14"/>
  <c r="AL440" i="14"/>
  <c r="AL424" i="14"/>
  <c r="AL409" i="14"/>
  <c r="AL393" i="14"/>
  <c r="AL377" i="14"/>
  <c r="AL361" i="14"/>
  <c r="AL509" i="14"/>
  <c r="AL465" i="14"/>
  <c r="AL437" i="14"/>
  <c r="AL421" i="14"/>
  <c r="AL406" i="14"/>
  <c r="AL390" i="14"/>
  <c r="AL374" i="14"/>
  <c r="AL358" i="14"/>
  <c r="AL561" i="14"/>
  <c r="AL489" i="14"/>
  <c r="AL487" i="14"/>
  <c r="AL463" i="14"/>
  <c r="AL453" i="14"/>
  <c r="AL450" i="14"/>
  <c r="AL434" i="14"/>
  <c r="AL418" i="14"/>
  <c r="AL403" i="14"/>
  <c r="AL387" i="14"/>
  <c r="AL371" i="14"/>
  <c r="AL506" i="14"/>
  <c r="AL447" i="14"/>
  <c r="AL431" i="14"/>
  <c r="AL416" i="14"/>
  <c r="AL400" i="14"/>
  <c r="AL384" i="14"/>
  <c r="AL368" i="14"/>
  <c r="AL470" i="14"/>
  <c r="AL461" i="14"/>
  <c r="AL444" i="14"/>
  <c r="AL428" i="14"/>
  <c r="AL413" i="14"/>
  <c r="AL397" i="14"/>
  <c r="AL381" i="14"/>
  <c r="AL474" i="14"/>
  <c r="AL441" i="14"/>
  <c r="AL425" i="14"/>
  <c r="AL410" i="14"/>
  <c r="AL394" i="14"/>
  <c r="AL570" i="14"/>
  <c r="AL519" i="14"/>
  <c r="AL503" i="14"/>
  <c r="AL468" i="14"/>
  <c r="AL438" i="14"/>
  <c r="AL422" i="14"/>
  <c r="AL407" i="14"/>
  <c r="AL522" i="14"/>
  <c r="AL459" i="14"/>
  <c r="AL435" i="14"/>
  <c r="AL419" i="14"/>
  <c r="AL404" i="14"/>
  <c r="AL388" i="14"/>
  <c r="AL372" i="14"/>
  <c r="AL525" i="14"/>
  <c r="AL505" i="14"/>
  <c r="AL486" i="14"/>
  <c r="AL454" i="14"/>
  <c r="AL451" i="14"/>
  <c r="AL448" i="14"/>
  <c r="AL432" i="14"/>
  <c r="AL401" i="14"/>
  <c r="AL385" i="14"/>
  <c r="AL369" i="14"/>
  <c r="AL353" i="14"/>
  <c r="AL493" i="14"/>
  <c r="AL457" i="14"/>
  <c r="AL445" i="14"/>
  <c r="AL429" i="14"/>
  <c r="AL414" i="14"/>
  <c r="AL398" i="14"/>
  <c r="AL382" i="14"/>
  <c r="AL379" i="14"/>
  <c r="AL370" i="14"/>
  <c r="AL366" i="14"/>
  <c r="AL328" i="14"/>
  <c r="AL316" i="14"/>
  <c r="AL300" i="14"/>
  <c r="AL284" i="14"/>
  <c r="AL268" i="14"/>
  <c r="AL462" i="14"/>
  <c r="AL362" i="14"/>
  <c r="AL339" i="14"/>
  <c r="AL325" i="14"/>
  <c r="AL313" i="14"/>
  <c r="AL297" i="14"/>
  <c r="AL281" i="14"/>
  <c r="AL265" i="14"/>
  <c r="AL249" i="14"/>
  <c r="AL235" i="14"/>
  <c r="AL364" i="14"/>
  <c r="AL350" i="14"/>
  <c r="AL336" i="14"/>
  <c r="AL322" i="14"/>
  <c r="AL310" i="14"/>
  <c r="AL294" i="14"/>
  <c r="AL278" i="14"/>
  <c r="AL391" i="14"/>
  <c r="AL347" i="14"/>
  <c r="AL319" i="14"/>
  <c r="AL307" i="14"/>
  <c r="AL291" i="14"/>
  <c r="AL275" i="14"/>
  <c r="AL259" i="14"/>
  <c r="AL360" i="14"/>
  <c r="AL344" i="14"/>
  <c r="AL332" i="14"/>
  <c r="AL318" i="14"/>
  <c r="AL304" i="14"/>
  <c r="AL288" i="14"/>
  <c r="AL272" i="14"/>
  <c r="AL502" i="14"/>
  <c r="AL378" i="14"/>
  <c r="AL376" i="14"/>
  <c r="AL329" i="14"/>
  <c r="AL301" i="14"/>
  <c r="AL285" i="14"/>
  <c r="AL269" i="14"/>
  <c r="AL253" i="14"/>
  <c r="AL356" i="14"/>
  <c r="AL340" i="14"/>
  <c r="AL326" i="14"/>
  <c r="AL314" i="14"/>
  <c r="AL298" i="14"/>
  <c r="AL282" i="14"/>
  <c r="AL365" i="14"/>
  <c r="AL337" i="14"/>
  <c r="AL323" i="14"/>
  <c r="AL311" i="14"/>
  <c r="AL295" i="14"/>
  <c r="AL279" i="14"/>
  <c r="AL263" i="14"/>
  <c r="AL247" i="14"/>
  <c r="AL473" i="14"/>
  <c r="AL367" i="14"/>
  <c r="AL351" i="14"/>
  <c r="AL348" i="14"/>
  <c r="AL320" i="14"/>
  <c r="AL308" i="14"/>
  <c r="AL292" i="14"/>
  <c r="AL276" i="14"/>
  <c r="AL260" i="14"/>
  <c r="AL244" i="14"/>
  <c r="AL354" i="14"/>
  <c r="AL345" i="14"/>
  <c r="AL333" i="14"/>
  <c r="AL305" i="14"/>
  <c r="AL289" i="14"/>
  <c r="AL273" i="14"/>
  <c r="AL257" i="14"/>
  <c r="AL241" i="14"/>
  <c r="AL363" i="14"/>
  <c r="AL342" i="14"/>
  <c r="AL330" i="14"/>
  <c r="AL302" i="14"/>
  <c r="AL286" i="14"/>
  <c r="AL270" i="14"/>
  <c r="AL562" i="14"/>
  <c r="AL439" i="14"/>
  <c r="AL423" i="14"/>
  <c r="AL373" i="14"/>
  <c r="AL359" i="14"/>
  <c r="AL341" i="14"/>
  <c r="AL327" i="14"/>
  <c r="AL315" i="14"/>
  <c r="AL299" i="14"/>
  <c r="AL283" i="14"/>
  <c r="AL408" i="14"/>
  <c r="AL375" i="14"/>
  <c r="AL338" i="14"/>
  <c r="AL324" i="14"/>
  <c r="AL312" i="14"/>
  <c r="AL296" i="14"/>
  <c r="AL280" i="14"/>
  <c r="AL264" i="14"/>
  <c r="AL442" i="14"/>
  <c r="AL426" i="14"/>
  <c r="AL357" i="14"/>
  <c r="AL349" i="14"/>
  <c r="AL335" i="14"/>
  <c r="AL321" i="14"/>
  <c r="AL309" i="14"/>
  <c r="AL293" i="14"/>
  <c r="AL277" i="14"/>
  <c r="AL261" i="14"/>
  <c r="AL245" i="14"/>
  <c r="AL411" i="14"/>
  <c r="AL352" i="14"/>
  <c r="AL346" i="14"/>
  <c r="AL395" i="14"/>
  <c r="AL334" i="14"/>
  <c r="AL306" i="14"/>
  <c r="AL290" i="14"/>
  <c r="AL274" i="14"/>
  <c r="AL271" i="14"/>
  <c r="AL255" i="14"/>
  <c r="AL227" i="14"/>
  <c r="AL211" i="14"/>
  <c r="AL196" i="14"/>
  <c r="AL178" i="14"/>
  <c r="AL239" i="14"/>
  <c r="AL236" i="14"/>
  <c r="AL224" i="14"/>
  <c r="AL208" i="14"/>
  <c r="AL193" i="14"/>
  <c r="AL175" i="14"/>
  <c r="AL159" i="14"/>
  <c r="AL143" i="14"/>
  <c r="AL221" i="14"/>
  <c r="AL205" i="14"/>
  <c r="AL190" i="14"/>
  <c r="AL172" i="14"/>
  <c r="AL156" i="14"/>
  <c r="AL355" i="14"/>
  <c r="AL218" i="14"/>
  <c r="AL202" i="14"/>
  <c r="AL187" i="14"/>
  <c r="AL169" i="14"/>
  <c r="AL389" i="14"/>
  <c r="AL262" i="14"/>
  <c r="AL234" i="14"/>
  <c r="AL231" i="14"/>
  <c r="AL215" i="14"/>
  <c r="AL199" i="14"/>
  <c r="AL184" i="14"/>
  <c r="AL182" i="14"/>
  <c r="AL166" i="14"/>
  <c r="AL228" i="14"/>
  <c r="AL212" i="14"/>
  <c r="AL197" i="14"/>
  <c r="AL179" i="14"/>
  <c r="AL267" i="14"/>
  <c r="AL254" i="14"/>
  <c r="AL242" i="14"/>
  <c r="AL225" i="14"/>
  <c r="AL209" i="14"/>
  <c r="AL194" i="14"/>
  <c r="AL176" i="14"/>
  <c r="AL160" i="14"/>
  <c r="AL144" i="14"/>
  <c r="AL110" i="14"/>
  <c r="AL246" i="14"/>
  <c r="AL237" i="14"/>
  <c r="AL222" i="14"/>
  <c r="AL206" i="14"/>
  <c r="AL191" i="14"/>
  <c r="AL173" i="14"/>
  <c r="AL157" i="14"/>
  <c r="AL141" i="14"/>
  <c r="AL250" i="14"/>
  <c r="AL248" i="14"/>
  <c r="AL240" i="14"/>
  <c r="AL219" i="14"/>
  <c r="AL203" i="14"/>
  <c r="AL188" i="14"/>
  <c r="AL170" i="14"/>
  <c r="AL256" i="14"/>
  <c r="AL252" i="14"/>
  <c r="AL232" i="14"/>
  <c r="AL216" i="14"/>
  <c r="AL200" i="14"/>
  <c r="AL185" i="14"/>
  <c r="AL392" i="14"/>
  <c r="AL238" i="14"/>
  <c r="AL229" i="14"/>
  <c r="AL213" i="14"/>
  <c r="AL198" i="14"/>
  <c r="AL180" i="14"/>
  <c r="AL226" i="14"/>
  <c r="AL210" i="14"/>
  <c r="AL195" i="14"/>
  <c r="AL177" i="14"/>
  <c r="AL161" i="14"/>
  <c r="AL145" i="14"/>
  <c r="AL266" i="14"/>
  <c r="AL258" i="14"/>
  <c r="AL223" i="14"/>
  <c r="AL207" i="14"/>
  <c r="AL192" i="14"/>
  <c r="AL174" i="14"/>
  <c r="AL158" i="14"/>
  <c r="AL142" i="14"/>
  <c r="AL220" i="14"/>
  <c r="AL204" i="14"/>
  <c r="AL189" i="14"/>
  <c r="AL343" i="14"/>
  <c r="AL331" i="14"/>
  <c r="AL317" i="14"/>
  <c r="AL303" i="14"/>
  <c r="AL287" i="14"/>
  <c r="AL243" i="14"/>
  <c r="AL233" i="14"/>
  <c r="AL217" i="14"/>
  <c r="AL201" i="14"/>
  <c r="AL186" i="14"/>
  <c r="AL168" i="14"/>
  <c r="AL152" i="14"/>
  <c r="AL138" i="14"/>
  <c r="AL163" i="14"/>
  <c r="AL148" i="14"/>
  <c r="AL146" i="14"/>
  <c r="AL106" i="14"/>
  <c r="AL84" i="14"/>
  <c r="AL75" i="14"/>
  <c r="AL69" i="14"/>
  <c r="AL54" i="14"/>
  <c r="AL27" i="14"/>
  <c r="AL165" i="14"/>
  <c r="AL135" i="14"/>
  <c r="AL117" i="14"/>
  <c r="AL109" i="14"/>
  <c r="AL98" i="14"/>
  <c r="AL81" i="14"/>
  <c r="AL66" i="14"/>
  <c r="AL47" i="14"/>
  <c r="AL34" i="14"/>
  <c r="AL24" i="14"/>
  <c r="AL12" i="14"/>
  <c r="AL181" i="14"/>
  <c r="AL78" i="14"/>
  <c r="AL74" i="14"/>
  <c r="AL21" i="14"/>
  <c r="AL9" i="14"/>
  <c r="AL167" i="14"/>
  <c r="AL119" i="14"/>
  <c r="AL112" i="14"/>
  <c r="AL93" i="14"/>
  <c r="AL133" i="14"/>
  <c r="AL91" i="14"/>
  <c r="AL73" i="14"/>
  <c r="AL57" i="14"/>
  <c r="AL31" i="14"/>
  <c r="AL214" i="14"/>
  <c r="AL183" i="14"/>
  <c r="AL139" i="14"/>
  <c r="AL131" i="14"/>
  <c r="AL125" i="14"/>
  <c r="AL115" i="14"/>
  <c r="AL107" i="14"/>
  <c r="AL85" i="14"/>
  <c r="AL50" i="14"/>
  <c r="AL153" i="14"/>
  <c r="AL82" i="14"/>
  <c r="AL67" i="14"/>
  <c r="AL48" i="14"/>
  <c r="AL25" i="14"/>
  <c r="AL162" i="14"/>
  <c r="AL155" i="14"/>
  <c r="AL151" i="14"/>
  <c r="AL149" i="14"/>
  <c r="AL96" i="14"/>
  <c r="AL90" i="14"/>
  <c r="AL79" i="14"/>
  <c r="AL32" i="14"/>
  <c r="AL22" i="14"/>
  <c r="AL10" i="14"/>
  <c r="AL94" i="14"/>
  <c r="AL76" i="14"/>
  <c r="AL19" i="14"/>
  <c r="AL164" i="14"/>
  <c r="AL147" i="14"/>
  <c r="AL134" i="14"/>
  <c r="AL120" i="14"/>
  <c r="AL113" i="14"/>
  <c r="AL89" i="14"/>
  <c r="AL86" i="14"/>
  <c r="AL55" i="14"/>
  <c r="AL29" i="14"/>
  <c r="AL126" i="14"/>
  <c r="AL116" i="14"/>
  <c r="AL108" i="14"/>
  <c r="AL105" i="14"/>
  <c r="AL83" i="14"/>
  <c r="AL68" i="14"/>
  <c r="AL53" i="14"/>
  <c r="AL49" i="14"/>
  <c r="AL35" i="14"/>
  <c r="AL26" i="14"/>
  <c r="AL251" i="14"/>
  <c r="AL140" i="14"/>
  <c r="AL97" i="14"/>
  <c r="AL80" i="14"/>
  <c r="AL46" i="14"/>
  <c r="AL33" i="14"/>
  <c r="AL23" i="14"/>
  <c r="AL230" i="14"/>
  <c r="AL171" i="14"/>
  <c r="AL132" i="14"/>
  <c r="AL118" i="14"/>
  <c r="AL111" i="14"/>
  <c r="AL95" i="14"/>
  <c r="AL88" i="14"/>
  <c r="AL77" i="14"/>
  <c r="AL20" i="14"/>
  <c r="AL154" i="14"/>
  <c r="AL130" i="14"/>
  <c r="AL92" i="14"/>
  <c r="AL58" i="14"/>
  <c r="AL18" i="14"/>
  <c r="AL30" i="14"/>
  <c r="AK18" i="14"/>
  <c r="AK40" i="14"/>
  <c r="AL40" i="14" s="1"/>
  <c r="AL114" i="14"/>
  <c r="AK154" i="14"/>
  <c r="AK11" i="14"/>
  <c r="AK16" i="14"/>
  <c r="AK31" i="14"/>
  <c r="AL56" i="14"/>
  <c r="AK92" i="14"/>
  <c r="AL28" i="14"/>
  <c r="AK138" i="14"/>
  <c r="AK21" i="14"/>
  <c r="AK589" i="14"/>
  <c r="AL576" i="14"/>
  <c r="AL638" i="14"/>
  <c r="AK649" i="14"/>
  <c r="AL574" i="14"/>
  <c r="AL634" i="14"/>
  <c r="AK625" i="14"/>
  <c r="AL583" i="14"/>
  <c r="AL578" i="14"/>
  <c r="AL602" i="14"/>
  <c r="AL606" i="14"/>
  <c r="AL610" i="14"/>
  <c r="AL636" i="14"/>
  <c r="AL662" i="14"/>
  <c r="AL608" i="14"/>
  <c r="AK565" i="14"/>
  <c r="AK572" i="14"/>
  <c r="AK579" i="14"/>
  <c r="AK581" i="14"/>
  <c r="AL551" i="14"/>
  <c r="AL626" i="14"/>
  <c r="AL632" i="14"/>
  <c r="AL660" i="14"/>
  <c r="AL665" i="14"/>
  <c r="AL549" i="14"/>
  <c r="AL568" i="14"/>
  <c r="AL594" i="14"/>
  <c r="AL650" i="14"/>
  <c r="AL575" i="14"/>
  <c r="AK577" i="14"/>
  <c r="AL592" i="14"/>
  <c r="AK607" i="14"/>
  <c r="AL663" i="14"/>
  <c r="AL582" i="14"/>
  <c r="AK597" i="14"/>
  <c r="AK615" i="14"/>
  <c r="AL566" i="14"/>
  <c r="AL613" i="14"/>
  <c r="AL661" i="14"/>
  <c r="AK573" i="14"/>
  <c r="AL580" i="14"/>
  <c r="AK586" i="14"/>
  <c r="AK550" i="14"/>
  <c r="AK623" i="14"/>
  <c r="AL644" i="14"/>
  <c r="AK599" i="14"/>
  <c r="AL642" i="14"/>
  <c r="AL652" i="14"/>
  <c r="AK627" i="14"/>
  <c r="AK617" i="14"/>
  <c r="AK629" i="14"/>
  <c r="AL567" i="14"/>
  <c r="AK631" i="14"/>
  <c r="AL648" i="14"/>
  <c r="AK601" i="14"/>
  <c r="AL612" i="14"/>
  <c r="AK635" i="14"/>
  <c r="AK609" i="14"/>
  <c r="AK637" i="14"/>
  <c r="AK659" i="14"/>
  <c r="AK585" i="14"/>
  <c r="AK595" i="14"/>
  <c r="AL614" i="14"/>
  <c r="AK619" i="14"/>
  <c r="AK633" i="14"/>
  <c r="AL639" i="14"/>
  <c r="AK643" i="14"/>
  <c r="AK603" i="14"/>
  <c r="AK645" i="14"/>
  <c r="AK647" i="14"/>
  <c r="AL666" i="14"/>
  <c r="AL600" i="14"/>
  <c r="AK616" i="14"/>
  <c r="AL628" i="14"/>
  <c r="AK641" i="14"/>
  <c r="AK651" i="14"/>
  <c r="AK621" i="14"/>
  <c r="AK605" i="14"/>
  <c r="AK657" i="14"/>
  <c r="AX687" i="1"/>
  <c r="AX693" i="1"/>
  <c r="AX692" i="1"/>
  <c r="AY692" i="1"/>
  <c r="AH684" i="1"/>
  <c r="AH686" i="1"/>
  <c r="V683" i="1"/>
  <c r="X683" i="1" s="1"/>
  <c r="AC683" i="1" s="1"/>
  <c r="AH683" i="1" s="1"/>
  <c r="AH685" i="1"/>
  <c r="AH682" i="1"/>
  <c r="AH681" i="1"/>
  <c r="AC680" i="1"/>
  <c r="AH680" i="1" s="1"/>
  <c r="AX689" i="1"/>
  <c r="AY689" i="1"/>
  <c r="AX690" i="1"/>
  <c r="AX691" i="1"/>
  <c r="AX688" i="1"/>
  <c r="BF736" i="14" l="1"/>
  <c r="BE736" i="14"/>
  <c r="AR149" i="14"/>
  <c r="BF737" i="14"/>
  <c r="BE737" i="14"/>
  <c r="AQ737" i="14"/>
  <c r="AW737" i="14" s="1"/>
  <c r="BF738" i="14"/>
  <c r="BE738" i="14"/>
  <c r="AR125" i="14"/>
  <c r="AW125" i="14" s="1"/>
  <c r="AP738" i="14"/>
  <c r="AR607" i="14"/>
  <c r="AR633" i="14"/>
  <c r="AR666" i="14"/>
  <c r="AR551" i="14"/>
  <c r="AR679" i="14"/>
  <c r="AR654" i="14"/>
  <c r="AR602" i="14"/>
  <c r="AR599" i="14"/>
  <c r="AR595" i="14"/>
  <c r="AR675" i="14"/>
  <c r="AR638" i="14"/>
  <c r="AR650" i="14"/>
  <c r="AR613" i="14"/>
  <c r="AR592" i="14"/>
  <c r="AR588" i="14"/>
  <c r="AR549" i="14"/>
  <c r="AR657" i="14"/>
  <c r="AR630" i="14"/>
  <c r="AR634" i="14"/>
  <c r="AR605" i="14"/>
  <c r="AR585" i="14"/>
  <c r="AR581" i="14"/>
  <c r="AR641" i="14"/>
  <c r="AR678" i="14"/>
  <c r="AR566" i="14"/>
  <c r="AR646" i="14"/>
  <c r="AR596" i="14"/>
  <c r="AR577" i="14"/>
  <c r="AR651" i="14"/>
  <c r="AR625" i="14"/>
  <c r="AR653" i="14"/>
  <c r="AR589" i="14"/>
  <c r="AR559" i="14"/>
  <c r="AR677" i="14"/>
  <c r="AR573" i="14"/>
  <c r="AR600" i="14"/>
  <c r="AR635" i="14"/>
  <c r="AR617" i="14"/>
  <c r="AR637" i="14"/>
  <c r="AR582" i="14"/>
  <c r="AP752" i="14"/>
  <c r="BG752" i="14" s="1"/>
  <c r="AR555" i="14"/>
  <c r="AR552" i="14"/>
  <c r="AR550" i="14"/>
  <c r="AR620" i="14"/>
  <c r="AR609" i="14"/>
  <c r="AR663" i="14"/>
  <c r="AR619" i="14"/>
  <c r="AR578" i="14"/>
  <c r="AR612" i="14"/>
  <c r="AR601" i="14"/>
  <c r="AR608" i="14"/>
  <c r="AR647" i="14"/>
  <c r="AR611" i="14"/>
  <c r="AR659" i="14"/>
  <c r="AR574" i="14"/>
  <c r="AR621" i="14"/>
  <c r="AR664" i="14"/>
  <c r="AR604" i="14"/>
  <c r="AR594" i="14"/>
  <c r="AR631" i="14"/>
  <c r="AR603" i="14"/>
  <c r="AR656" i="14"/>
  <c r="AR643" i="14"/>
  <c r="AR676" i="14"/>
  <c r="AR648" i="14"/>
  <c r="AR598" i="14"/>
  <c r="AR660" i="14"/>
  <c r="AR614" i="14"/>
  <c r="AR640" i="14"/>
  <c r="AR680" i="14"/>
  <c r="AR632" i="14"/>
  <c r="AR627" i="14"/>
  <c r="AR591" i="14"/>
  <c r="AR580" i="14"/>
  <c r="AR644" i="14"/>
  <c r="AR606" i="14"/>
  <c r="AR583" i="14"/>
  <c r="AR624" i="14"/>
  <c r="AR658" i="14"/>
  <c r="AR616" i="14"/>
  <c r="AR568" i="14"/>
  <c r="AR558" i="14"/>
  <c r="AR576" i="14"/>
  <c r="AR628" i="14"/>
  <c r="AR597" i="14"/>
  <c r="AR579" i="14"/>
  <c r="AR655" i="14"/>
  <c r="AR642" i="14"/>
  <c r="AR661" i="14"/>
  <c r="AR563" i="14"/>
  <c r="AR554" i="14"/>
  <c r="AR572" i="14"/>
  <c r="AR622" i="14"/>
  <c r="AR587" i="14"/>
  <c r="AR575" i="14"/>
  <c r="AR586" i="14"/>
  <c r="AR639" i="14"/>
  <c r="AR626" i="14"/>
  <c r="AR645" i="14"/>
  <c r="AR556" i="14"/>
  <c r="AR567" i="14"/>
  <c r="AR557" i="14"/>
  <c r="AR571" i="14"/>
  <c r="AR681" i="14"/>
  <c r="AR652" i="14"/>
  <c r="AR618" i="14"/>
  <c r="AR623" i="14"/>
  <c r="AR629" i="14"/>
  <c r="AR662" i="14"/>
  <c r="AR553" i="14"/>
  <c r="AR665" i="14"/>
  <c r="AR636" i="14"/>
  <c r="AR610" i="14"/>
  <c r="AR615" i="14"/>
  <c r="AR565" i="14"/>
  <c r="AR649" i="14"/>
  <c r="AP749" i="14"/>
  <c r="BG749" i="14" s="1"/>
  <c r="AP744" i="14"/>
  <c r="BG744" i="14" s="1"/>
  <c r="AP740" i="14"/>
  <c r="BG740" i="14" s="1"/>
  <c r="AP743" i="14"/>
  <c r="BG743" i="14" s="1"/>
  <c r="AP736" i="14"/>
  <c r="BG736" i="14" s="1"/>
  <c r="AP742" i="14"/>
  <c r="BG742" i="14" s="1"/>
  <c r="AP746" i="14"/>
  <c r="BG746" i="14" s="1"/>
  <c r="AP745" i="14"/>
  <c r="BG745" i="14" s="1"/>
  <c r="BF722" i="14"/>
  <c r="AW722" i="14"/>
  <c r="BE722" i="14"/>
  <c r="BE733" i="14"/>
  <c r="BF733" i="14"/>
  <c r="BF718" i="14"/>
  <c r="BE718" i="14"/>
  <c r="AW718" i="14"/>
  <c r="BF702" i="14"/>
  <c r="BE702" i="14"/>
  <c r="AW702" i="14"/>
  <c r="BF717" i="14"/>
  <c r="BE717" i="14"/>
  <c r="AW717" i="14"/>
  <c r="BE734" i="14"/>
  <c r="BF734" i="14"/>
  <c r="BE721" i="14"/>
  <c r="BF721" i="14"/>
  <c r="AW721" i="14"/>
  <c r="BF706" i="14"/>
  <c r="BE706" i="14"/>
  <c r="AW706" i="14"/>
  <c r="AW725" i="14"/>
  <c r="BF725" i="14"/>
  <c r="BE725" i="14"/>
  <c r="BE704" i="14"/>
  <c r="BF704" i="14"/>
  <c r="AW704" i="14"/>
  <c r="AW710" i="14"/>
  <c r="BE710" i="14"/>
  <c r="BF710" i="14"/>
  <c r="BF726" i="14"/>
  <c r="AW726" i="14"/>
  <c r="BE726" i="14"/>
  <c r="BE715" i="14"/>
  <c r="BF715" i="14"/>
  <c r="AW715" i="14"/>
  <c r="BE728" i="14"/>
  <c r="AW728" i="14"/>
  <c r="BF728" i="14"/>
  <c r="BE708" i="14"/>
  <c r="BF708" i="14"/>
  <c r="AW708" i="14"/>
  <c r="AW703" i="14"/>
  <c r="BE703" i="14"/>
  <c r="BF703" i="14"/>
  <c r="BF723" i="14"/>
  <c r="AW723" i="14"/>
  <c r="BE723" i="14"/>
  <c r="BF727" i="14"/>
  <c r="AW727" i="14"/>
  <c r="BE727" i="14"/>
  <c r="BF730" i="14"/>
  <c r="BE730" i="14"/>
  <c r="AW730" i="14"/>
  <c r="AW705" i="14"/>
  <c r="BE705" i="14"/>
  <c r="BF705" i="14"/>
  <c r="BE716" i="14"/>
  <c r="BF716" i="14"/>
  <c r="AW716" i="14"/>
  <c r="BF712" i="14"/>
  <c r="AW712" i="14"/>
  <c r="BE712" i="14"/>
  <c r="BE729" i="14"/>
  <c r="BF729" i="14"/>
  <c r="AW729" i="14"/>
  <c r="BE719" i="14"/>
  <c r="AW719" i="14"/>
  <c r="BF719" i="14"/>
  <c r="AW711" i="14"/>
  <c r="BE711" i="14"/>
  <c r="BF711" i="14"/>
  <c r="AW707" i="14"/>
  <c r="BE707" i="14"/>
  <c r="BF707" i="14"/>
  <c r="BF731" i="14"/>
  <c r="BE731" i="14"/>
  <c r="AW709" i="14"/>
  <c r="BF709" i="14"/>
  <c r="BE709" i="14"/>
  <c r="BF713" i="14"/>
  <c r="AW713" i="14"/>
  <c r="BE713" i="14"/>
  <c r="BE735" i="14"/>
  <c r="BF735" i="14"/>
  <c r="AW714" i="14"/>
  <c r="BF714" i="14"/>
  <c r="BE714" i="14"/>
  <c r="BF720" i="14"/>
  <c r="BE720" i="14"/>
  <c r="AW720" i="14"/>
  <c r="BE732" i="14"/>
  <c r="BF732" i="14"/>
  <c r="BF724" i="14"/>
  <c r="AW724" i="14"/>
  <c r="BE724" i="14"/>
  <c r="BE700" i="14"/>
  <c r="BF700" i="14"/>
  <c r="BE701" i="14"/>
  <c r="BF701" i="14"/>
  <c r="BE699" i="14"/>
  <c r="BF699" i="14"/>
  <c r="AP741" i="14"/>
  <c r="BG741" i="14" s="1"/>
  <c r="AP735" i="14"/>
  <c r="BG735" i="14" s="1"/>
  <c r="AP731" i="14"/>
  <c r="BG731" i="14" s="1"/>
  <c r="AQ748" i="14"/>
  <c r="AR748" i="14" s="1"/>
  <c r="AW733" i="14"/>
  <c r="AY733" i="14" s="1"/>
  <c r="AP739" i="14"/>
  <c r="BG739" i="14" s="1"/>
  <c r="AP751" i="14"/>
  <c r="BG751" i="14" s="1"/>
  <c r="AW734" i="14"/>
  <c r="AQ747" i="14"/>
  <c r="AR747" i="14" s="1"/>
  <c r="BE696" i="14"/>
  <c r="BF696" i="14"/>
  <c r="AP700" i="14"/>
  <c r="BG700" i="14" s="1"/>
  <c r="AP699" i="14"/>
  <c r="BG699" i="14" s="1"/>
  <c r="AP698" i="14"/>
  <c r="AW698" i="14" s="1"/>
  <c r="BG698" i="14"/>
  <c r="AP750" i="14"/>
  <c r="BG750" i="14" s="1"/>
  <c r="BG697" i="14"/>
  <c r="AW697" i="14"/>
  <c r="AP732" i="14"/>
  <c r="BG732" i="14" s="1"/>
  <c r="BG696" i="14"/>
  <c r="AW696" i="14"/>
  <c r="AP701" i="14"/>
  <c r="BG701" i="14" s="1"/>
  <c r="BE697" i="14"/>
  <c r="BF697" i="14"/>
  <c r="BG693" i="14"/>
  <c r="AW693" i="14"/>
  <c r="BF693" i="14"/>
  <c r="BE695" i="14"/>
  <c r="BF695" i="14"/>
  <c r="BG694" i="14"/>
  <c r="BF694" i="14"/>
  <c r="AW694" i="14"/>
  <c r="BG695" i="14"/>
  <c r="AW695" i="14"/>
  <c r="AQ681" i="14"/>
  <c r="AQ559" i="14"/>
  <c r="AQ661" i="14"/>
  <c r="AQ617" i="14"/>
  <c r="AQ678" i="14"/>
  <c r="AQ611" i="14"/>
  <c r="AQ630" i="14"/>
  <c r="AQ608" i="14"/>
  <c r="AQ665" i="14"/>
  <c r="AQ555" i="14"/>
  <c r="AQ645" i="14"/>
  <c r="AQ609" i="14"/>
  <c r="AQ603" i="14"/>
  <c r="AQ600" i="14"/>
  <c r="AQ649" i="14"/>
  <c r="AQ629" i="14"/>
  <c r="AQ679" i="14"/>
  <c r="AQ601" i="14"/>
  <c r="AQ656" i="14"/>
  <c r="AQ633" i="14"/>
  <c r="AQ615" i="14"/>
  <c r="AQ675" i="14"/>
  <c r="AQ594" i="14"/>
  <c r="AQ663" i="14"/>
  <c r="AQ583" i="14"/>
  <c r="AQ640" i="14"/>
  <c r="AQ586" i="14"/>
  <c r="AQ613" i="14"/>
  <c r="AQ676" i="14"/>
  <c r="AQ607" i="14"/>
  <c r="AQ647" i="14"/>
  <c r="AQ579" i="14"/>
  <c r="AQ624" i="14"/>
  <c r="AQ565" i="14"/>
  <c r="AQ605" i="14"/>
  <c r="AQ595" i="14"/>
  <c r="AQ580" i="14"/>
  <c r="AQ631" i="14"/>
  <c r="AQ575" i="14"/>
  <c r="AQ596" i="14"/>
  <c r="AQ662" i="14"/>
  <c r="AQ588" i="14"/>
  <c r="AQ651" i="14"/>
  <c r="AQ576" i="14"/>
  <c r="AQ614" i="14"/>
  <c r="AQ571" i="14"/>
  <c r="AQ556" i="14"/>
  <c r="AQ589" i="14"/>
  <c r="AQ655" i="14"/>
  <c r="AQ581" i="14"/>
  <c r="AQ635" i="14"/>
  <c r="AQ572" i="14"/>
  <c r="AQ606" i="14"/>
  <c r="AQ621" i="14"/>
  <c r="AQ552" i="14"/>
  <c r="AQ582" i="14"/>
  <c r="AQ639" i="14"/>
  <c r="AQ680" i="14"/>
  <c r="AQ577" i="14"/>
  <c r="AQ664" i="14"/>
  <c r="AQ620" i="14"/>
  <c r="AQ567" i="14"/>
  <c r="AQ597" i="14"/>
  <c r="AQ578" i="14"/>
  <c r="AQ652" i="14"/>
  <c r="AQ618" i="14"/>
  <c r="AQ658" i="14"/>
  <c r="AQ573" i="14"/>
  <c r="AQ648" i="14"/>
  <c r="AQ612" i="14"/>
  <c r="AQ587" i="14"/>
  <c r="AQ666" i="14"/>
  <c r="AQ677" i="14"/>
  <c r="AQ574" i="14"/>
  <c r="AQ636" i="14"/>
  <c r="AQ610" i="14"/>
  <c r="AQ642" i="14"/>
  <c r="AQ550" i="14"/>
  <c r="AQ632" i="14"/>
  <c r="AQ604" i="14"/>
  <c r="AQ557" i="14"/>
  <c r="AQ650" i="14"/>
  <c r="AQ602" i="14"/>
  <c r="AQ626" i="14"/>
  <c r="AQ568" i="14"/>
  <c r="AQ598" i="14"/>
  <c r="AQ654" i="14"/>
  <c r="AQ660" i="14"/>
  <c r="AQ553" i="14"/>
  <c r="AQ634" i="14"/>
  <c r="AQ551" i="14"/>
  <c r="AQ599" i="14"/>
  <c r="AQ623" i="14"/>
  <c r="AQ563" i="14"/>
  <c r="AQ591" i="14"/>
  <c r="AQ638" i="14"/>
  <c r="AQ644" i="14"/>
  <c r="AQ566" i="14"/>
  <c r="AQ659" i="14"/>
  <c r="AQ592" i="14"/>
  <c r="AQ558" i="14"/>
  <c r="AQ549" i="14"/>
  <c r="AQ657" i="14"/>
  <c r="AQ628" i="14"/>
  <c r="AQ653" i="14"/>
  <c r="AQ643" i="14"/>
  <c r="AQ585" i="14"/>
  <c r="AQ554" i="14"/>
  <c r="AQ641" i="14"/>
  <c r="AQ622" i="14"/>
  <c r="AQ646" i="14"/>
  <c r="AQ637" i="14"/>
  <c r="AQ627" i="14"/>
  <c r="AQ625" i="14"/>
  <c r="AQ619" i="14"/>
  <c r="AQ616" i="14"/>
  <c r="AN95" i="14"/>
  <c r="AQ95" i="14" s="1"/>
  <c r="AP85" i="14"/>
  <c r="AQ85" i="14" s="1"/>
  <c r="AP115" i="14"/>
  <c r="AP658" i="14"/>
  <c r="BE658" i="14" s="1"/>
  <c r="AP626" i="14"/>
  <c r="BE626" i="14" s="1"/>
  <c r="AP572" i="14"/>
  <c r="BE572" i="14" s="1"/>
  <c r="AP623" i="14"/>
  <c r="BE623" i="14" s="1"/>
  <c r="AP638" i="14"/>
  <c r="BE638" i="14" s="1"/>
  <c r="AP550" i="14"/>
  <c r="BE550" i="14" s="1"/>
  <c r="AP549" i="14"/>
  <c r="BE549" i="14" s="1"/>
  <c r="AP663" i="14"/>
  <c r="BE663" i="14" s="1"/>
  <c r="AP647" i="14"/>
  <c r="BE647" i="14" s="1"/>
  <c r="AP585" i="14"/>
  <c r="BE585" i="14" s="1"/>
  <c r="AP559" i="14"/>
  <c r="BE559" i="14" s="1"/>
  <c r="AP649" i="14"/>
  <c r="BE649" i="14" s="1"/>
  <c r="AP555" i="14"/>
  <c r="BE555" i="14" s="1"/>
  <c r="AP604" i="14"/>
  <c r="BE604" i="14" s="1"/>
  <c r="AP605" i="14"/>
  <c r="BE605" i="14" s="1"/>
  <c r="AP598" i="14"/>
  <c r="BE598" i="14" s="1"/>
  <c r="AP620" i="14"/>
  <c r="BE620" i="14" s="1"/>
  <c r="AP612" i="14"/>
  <c r="BE612" i="14" s="1"/>
  <c r="AP654" i="14"/>
  <c r="BE654" i="14" s="1"/>
  <c r="AP567" i="14"/>
  <c r="BE567" i="14" s="1"/>
  <c r="AP633" i="14"/>
  <c r="BE633" i="14" s="1"/>
  <c r="AP642" i="14"/>
  <c r="BE642" i="14" s="1"/>
  <c r="AP591" i="14"/>
  <c r="BE591" i="14" s="1"/>
  <c r="AP631" i="14"/>
  <c r="BE631" i="14" s="1"/>
  <c r="AP659" i="14"/>
  <c r="BE659" i="14" s="1"/>
  <c r="AP596" i="14"/>
  <c r="BE596" i="14" s="1"/>
  <c r="AP652" i="14"/>
  <c r="BE652" i="14" s="1"/>
  <c r="AP558" i="14"/>
  <c r="BE558" i="14" s="1"/>
  <c r="AP614" i="14"/>
  <c r="BE614" i="14" s="1"/>
  <c r="AP666" i="14"/>
  <c r="BE666" i="14" s="1"/>
  <c r="AP653" i="14"/>
  <c r="BE653" i="14" s="1"/>
  <c r="AP643" i="14"/>
  <c r="BE643" i="14" s="1"/>
  <c r="AP589" i="14"/>
  <c r="BE589" i="14" s="1"/>
  <c r="AP636" i="14"/>
  <c r="BE636" i="14" s="1"/>
  <c r="AP554" i="14"/>
  <c r="BE554" i="14" s="1"/>
  <c r="AP657" i="14"/>
  <c r="BE657" i="14" s="1"/>
  <c r="AP606" i="14"/>
  <c r="BE606" i="14" s="1"/>
  <c r="AP650" i="14"/>
  <c r="BE650" i="14" s="1"/>
  <c r="AP637" i="14"/>
  <c r="BE637" i="14" s="1"/>
  <c r="AP551" i="14"/>
  <c r="BE551" i="14" s="1"/>
  <c r="AP627" i="14"/>
  <c r="BE627" i="14" s="1"/>
  <c r="AP582" i="14"/>
  <c r="BE582" i="14" s="1"/>
  <c r="AP661" i="14"/>
  <c r="BE661" i="14" s="1"/>
  <c r="AP641" i="14"/>
  <c r="BE641" i="14" s="1"/>
  <c r="AP597" i="14"/>
  <c r="BE597" i="14" s="1"/>
  <c r="AP634" i="14"/>
  <c r="BE634" i="14" s="1"/>
  <c r="AP619" i="14"/>
  <c r="BE619" i="14" s="1"/>
  <c r="AP616" i="14"/>
  <c r="BE616" i="14" s="1"/>
  <c r="AP578" i="14"/>
  <c r="BE578" i="14" s="1"/>
  <c r="AP645" i="14"/>
  <c r="BE645" i="14" s="1"/>
  <c r="AP625" i="14"/>
  <c r="BE625" i="14" s="1"/>
  <c r="AP587" i="14"/>
  <c r="BE587" i="14" s="1"/>
  <c r="AP566" i="14"/>
  <c r="BE566" i="14" s="1"/>
  <c r="AP611" i="14"/>
  <c r="BE611" i="14" s="1"/>
  <c r="AP608" i="14"/>
  <c r="BE608" i="14" s="1"/>
  <c r="AP574" i="14"/>
  <c r="BE574" i="14" s="1"/>
  <c r="AP629" i="14"/>
  <c r="BE629" i="14" s="1"/>
  <c r="AP617" i="14"/>
  <c r="BE617" i="14" s="1"/>
  <c r="AP557" i="14"/>
  <c r="BE557" i="14" s="1"/>
  <c r="AP603" i="14"/>
  <c r="BE603" i="14" s="1"/>
  <c r="AP656" i="14"/>
  <c r="BE656" i="14" s="1"/>
  <c r="AP600" i="14"/>
  <c r="BE600" i="14" s="1"/>
  <c r="AP662" i="14"/>
  <c r="BE662" i="14" s="1"/>
  <c r="AP655" i="14"/>
  <c r="BE655" i="14" s="1"/>
  <c r="AP615" i="14"/>
  <c r="BE615" i="14" s="1"/>
  <c r="AP609" i="14"/>
  <c r="BE609" i="14" s="1"/>
  <c r="AP553" i="14"/>
  <c r="BE553" i="14" s="1"/>
  <c r="AP640" i="14"/>
  <c r="BE640" i="14" s="1"/>
  <c r="AP646" i="14"/>
  <c r="BE646" i="14" s="1"/>
  <c r="AP639" i="14"/>
  <c r="BE639" i="14" s="1"/>
  <c r="AP607" i="14"/>
  <c r="BE607" i="14" s="1"/>
  <c r="AP601" i="14"/>
  <c r="BE601" i="14" s="1"/>
  <c r="AP583" i="14"/>
  <c r="BE583" i="14" s="1"/>
  <c r="AP624" i="14"/>
  <c r="BE624" i="14" s="1"/>
  <c r="AP586" i="14"/>
  <c r="BE586" i="14" s="1"/>
  <c r="AP630" i="14"/>
  <c r="BE630" i="14" s="1"/>
  <c r="AP618" i="14"/>
  <c r="BE618" i="14" s="1"/>
  <c r="AP595" i="14"/>
  <c r="BE595" i="14" s="1"/>
  <c r="AP664" i="14"/>
  <c r="BE664" i="14" s="1"/>
  <c r="AP594" i="14"/>
  <c r="BE594" i="14" s="1"/>
  <c r="AP660" i="14"/>
  <c r="BE660" i="14" s="1"/>
  <c r="AP579" i="14"/>
  <c r="BE579" i="14" s="1"/>
  <c r="AP565" i="14"/>
  <c r="BE565" i="14" s="1"/>
  <c r="AP621" i="14"/>
  <c r="BE621" i="14" s="1"/>
  <c r="AP610" i="14"/>
  <c r="BE610" i="14" s="1"/>
  <c r="AP588" i="14"/>
  <c r="BE588" i="14" s="1"/>
  <c r="AP648" i="14"/>
  <c r="BE648" i="14" s="1"/>
  <c r="AP644" i="14"/>
  <c r="BE644" i="14" s="1"/>
  <c r="AP575" i="14"/>
  <c r="BE575" i="14" s="1"/>
  <c r="AP602" i="14"/>
  <c r="BE602" i="14" s="1"/>
  <c r="AP581" i="14"/>
  <c r="BE581" i="14" s="1"/>
  <c r="AP632" i="14"/>
  <c r="BE632" i="14" s="1"/>
  <c r="AP651" i="14"/>
  <c r="BE651" i="14" s="1"/>
  <c r="AP580" i="14"/>
  <c r="BE580" i="14" s="1"/>
  <c r="AP628" i="14"/>
  <c r="BE628" i="14" s="1"/>
  <c r="AP571" i="14"/>
  <c r="BE571" i="14" s="1"/>
  <c r="AP556" i="14"/>
  <c r="BE556" i="14" s="1"/>
  <c r="AP681" i="14"/>
  <c r="BE681" i="14" s="1"/>
  <c r="AP599" i="14"/>
  <c r="BE599" i="14" s="1"/>
  <c r="AP577" i="14"/>
  <c r="BE577" i="14" s="1"/>
  <c r="AP568" i="14"/>
  <c r="BE568" i="14" s="1"/>
  <c r="AP613" i="14"/>
  <c r="BE613" i="14" s="1"/>
  <c r="AP635" i="14"/>
  <c r="BE635" i="14" s="1"/>
  <c r="AP576" i="14"/>
  <c r="BE576" i="14" s="1"/>
  <c r="AP622" i="14"/>
  <c r="BE622" i="14" s="1"/>
  <c r="AP552" i="14"/>
  <c r="BE552" i="14" s="1"/>
  <c r="AP665" i="14"/>
  <c r="BE665" i="14" s="1"/>
  <c r="AP592" i="14"/>
  <c r="BE592" i="14" s="1"/>
  <c r="AP573" i="14"/>
  <c r="BE573" i="14" s="1"/>
  <c r="AP563" i="14"/>
  <c r="BE563" i="14" s="1"/>
  <c r="AO106" i="14"/>
  <c r="AQ106" i="14" s="1"/>
  <c r="BE91" i="14"/>
  <c r="BE84" i="14"/>
  <c r="BE87" i="14"/>
  <c r="BE93" i="14"/>
  <c r="BE102" i="14"/>
  <c r="BE88" i="14"/>
  <c r="BE83" i="14"/>
  <c r="BE79" i="14"/>
  <c r="BE101" i="14"/>
  <c r="BE80" i="14"/>
  <c r="BE98" i="14"/>
  <c r="BE82" i="14"/>
  <c r="BE104" i="14"/>
  <c r="BE99" i="14"/>
  <c r="BE105" i="14"/>
  <c r="BE90" i="14"/>
  <c r="BE77" i="14"/>
  <c r="BE89" i="14"/>
  <c r="BE100" i="14"/>
  <c r="BE97" i="14"/>
  <c r="BE86" i="14"/>
  <c r="BE92" i="14"/>
  <c r="BE81" i="14"/>
  <c r="BE94" i="14"/>
  <c r="BE96" i="14"/>
  <c r="BE78" i="14"/>
  <c r="BE103" i="14"/>
  <c r="AM680" i="14"/>
  <c r="AM688" i="14"/>
  <c r="AN688" i="14" s="1"/>
  <c r="AO688" i="14" s="1"/>
  <c r="AM679" i="14"/>
  <c r="BF673" i="14"/>
  <c r="BG673" i="14"/>
  <c r="AM682" i="14"/>
  <c r="AN682" i="14" s="1"/>
  <c r="AW682" i="14" s="1"/>
  <c r="AM678" i="14"/>
  <c r="AM687" i="14"/>
  <c r="AN687" i="14" s="1"/>
  <c r="BG669" i="14"/>
  <c r="BF669" i="14"/>
  <c r="AM685" i="14"/>
  <c r="AN685" i="14" s="1"/>
  <c r="AO685" i="14" s="1"/>
  <c r="AM675" i="14"/>
  <c r="AM686" i="14"/>
  <c r="BG682" i="14"/>
  <c r="BF682" i="14"/>
  <c r="AM683" i="14"/>
  <c r="AN683" i="14" s="1"/>
  <c r="BG687" i="14"/>
  <c r="BF687" i="14"/>
  <c r="AM689" i="14"/>
  <c r="AN689" i="14" s="1"/>
  <c r="AO689" i="14" s="1"/>
  <c r="AM677" i="14"/>
  <c r="BG672" i="14"/>
  <c r="BF672" i="14"/>
  <c r="BG691" i="14"/>
  <c r="BF691" i="14"/>
  <c r="AM684" i="14"/>
  <c r="AN684" i="14" s="1"/>
  <c r="AO684" i="14" s="1"/>
  <c r="AM690" i="14"/>
  <c r="AN690" i="14" s="1"/>
  <c r="AO690" i="14" s="1"/>
  <c r="AM676" i="14"/>
  <c r="BG681" i="14"/>
  <c r="BF681" i="14"/>
  <c r="AM692" i="14"/>
  <c r="AN692" i="14" s="1"/>
  <c r="AO692" i="14" s="1"/>
  <c r="BG670" i="14"/>
  <c r="BF670" i="14"/>
  <c r="AM691" i="14"/>
  <c r="AN691" i="14" s="1"/>
  <c r="AM674" i="14"/>
  <c r="BG671" i="14"/>
  <c r="BF671" i="14"/>
  <c r="BG667" i="14"/>
  <c r="BF667" i="14"/>
  <c r="BG668" i="14"/>
  <c r="BF668" i="14"/>
  <c r="BF529" i="14"/>
  <c r="BF135" i="14"/>
  <c r="BF70" i="14"/>
  <c r="BF62" i="14"/>
  <c r="BF441" i="14"/>
  <c r="BF104" i="14"/>
  <c r="BF212" i="14"/>
  <c r="BF516" i="14"/>
  <c r="BF127" i="14"/>
  <c r="BF354" i="14"/>
  <c r="BF123" i="14"/>
  <c r="BF499" i="14"/>
  <c r="BE68" i="14"/>
  <c r="BF162" i="14"/>
  <c r="BF306" i="14"/>
  <c r="BF343" i="14"/>
  <c r="BF228" i="14"/>
  <c r="BF54" i="14"/>
  <c r="BE48" i="14"/>
  <c r="AN556" i="14"/>
  <c r="AN551" i="14"/>
  <c r="BF537" i="14"/>
  <c r="AN563" i="14"/>
  <c r="BF32" i="14"/>
  <c r="AN597" i="14"/>
  <c r="AN602" i="14"/>
  <c r="BF519" i="14"/>
  <c r="AL604" i="14"/>
  <c r="BG604" i="14" s="1"/>
  <c r="BF274" i="14"/>
  <c r="AO602" i="14"/>
  <c r="AO597" i="14"/>
  <c r="AN555" i="14"/>
  <c r="AO604" i="14"/>
  <c r="AN591" i="14"/>
  <c r="AO658" i="14"/>
  <c r="AN629" i="14"/>
  <c r="AO591" i="14"/>
  <c r="AN626" i="14"/>
  <c r="AO629" i="14"/>
  <c r="AO558" i="14"/>
  <c r="BF467" i="14"/>
  <c r="AN550" i="14"/>
  <c r="AO550" i="14"/>
  <c r="AO644" i="14"/>
  <c r="AO583" i="14"/>
  <c r="AN617" i="14"/>
  <c r="AN644" i="14"/>
  <c r="AN579" i="14"/>
  <c r="AO617" i="14"/>
  <c r="AO627" i="14"/>
  <c r="AN568" i="14"/>
  <c r="AN567" i="14"/>
  <c r="AO568" i="14"/>
  <c r="AO596" i="14"/>
  <c r="AN616" i="14"/>
  <c r="AN552" i="14"/>
  <c r="AN596" i="14"/>
  <c r="AO551" i="14"/>
  <c r="AN599" i="14"/>
  <c r="AN623" i="14"/>
  <c r="AN615" i="14"/>
  <c r="AN609" i="14"/>
  <c r="AO628" i="14"/>
  <c r="AO587" i="14"/>
  <c r="AN566" i="14"/>
  <c r="AO653" i="14"/>
  <c r="AO579" i="14"/>
  <c r="AO616" i="14"/>
  <c r="AO552" i="14"/>
  <c r="AO589" i="14"/>
  <c r="BF488" i="14"/>
  <c r="AO677" i="14"/>
  <c r="AN677" i="14"/>
  <c r="AO599" i="14"/>
  <c r="AO623" i="14"/>
  <c r="AO615" i="14"/>
  <c r="AO563" i="14"/>
  <c r="AN558" i="14"/>
  <c r="AO609" i="14"/>
  <c r="AN628" i="14"/>
  <c r="AN587" i="14"/>
  <c r="AO566" i="14"/>
  <c r="AN653" i="14"/>
  <c r="AN575" i="14"/>
  <c r="AN608" i="14"/>
  <c r="AN589" i="14"/>
  <c r="AN634" i="14"/>
  <c r="AN592" i="14"/>
  <c r="AN607" i="14"/>
  <c r="AO651" i="14"/>
  <c r="AN554" i="14"/>
  <c r="AN601" i="14"/>
  <c r="AN622" i="14"/>
  <c r="AN557" i="14"/>
  <c r="AN637" i="14"/>
  <c r="AO575" i="14"/>
  <c r="AO608" i="14"/>
  <c r="AN582" i="14"/>
  <c r="BF197" i="14"/>
  <c r="BF480" i="14"/>
  <c r="AN676" i="14"/>
  <c r="AO676" i="14"/>
  <c r="AO592" i="14"/>
  <c r="AO607" i="14"/>
  <c r="AN651" i="14"/>
  <c r="AO554" i="14"/>
  <c r="AO601" i="14"/>
  <c r="AO622" i="14"/>
  <c r="AO557" i="14"/>
  <c r="AO637" i="14"/>
  <c r="AO571" i="14"/>
  <c r="AN600" i="14"/>
  <c r="AO582" i="14"/>
  <c r="BF472" i="14"/>
  <c r="BF225" i="14"/>
  <c r="AN585" i="14"/>
  <c r="AN640" i="14"/>
  <c r="AN595" i="14"/>
  <c r="AN635" i="14"/>
  <c r="AN594" i="14"/>
  <c r="AN663" i="14"/>
  <c r="AN553" i="14"/>
  <c r="AN571" i="14"/>
  <c r="AO600" i="14"/>
  <c r="AN665" i="14"/>
  <c r="AN578" i="14"/>
  <c r="BF290" i="14"/>
  <c r="BF196" i="14"/>
  <c r="AO680" i="14"/>
  <c r="AN680" i="14"/>
  <c r="AO585" i="14"/>
  <c r="AO640" i="14"/>
  <c r="AO595" i="14"/>
  <c r="AO635" i="14"/>
  <c r="AO594" i="14"/>
  <c r="AO663" i="14"/>
  <c r="AO553" i="14"/>
  <c r="AN619" i="14"/>
  <c r="AO665" i="14"/>
  <c r="AO578" i="14"/>
  <c r="AN655" i="14"/>
  <c r="AO588" i="14"/>
  <c r="AN620" i="14"/>
  <c r="AO654" i="14"/>
  <c r="AN647" i="14"/>
  <c r="AO619" i="14"/>
  <c r="AN662" i="14"/>
  <c r="AN636" i="14"/>
  <c r="AN649" i="14"/>
  <c r="AN574" i="14"/>
  <c r="AO675" i="14"/>
  <c r="AN675" i="14"/>
  <c r="AW137" i="14"/>
  <c r="AY137" i="14" s="1"/>
  <c r="BF21" i="14"/>
  <c r="BF532" i="14"/>
  <c r="AM681" i="14"/>
  <c r="AO655" i="14"/>
  <c r="AN588" i="14"/>
  <c r="AO620" i="14"/>
  <c r="AN654" i="14"/>
  <c r="AO647" i="14"/>
  <c r="AN611" i="14"/>
  <c r="AN586" i="14"/>
  <c r="AO662" i="14"/>
  <c r="AO636" i="14"/>
  <c r="AO649" i="14"/>
  <c r="AO574" i="14"/>
  <c r="AO626" i="14"/>
  <c r="BF459" i="14"/>
  <c r="BF71" i="14"/>
  <c r="AN639" i="14"/>
  <c r="AN559" i="14"/>
  <c r="AN624" i="14"/>
  <c r="AN581" i="14"/>
  <c r="AN664" i="14"/>
  <c r="AO612" i="14"/>
  <c r="AN638" i="14"/>
  <c r="AN657" i="14"/>
  <c r="AO580" i="14"/>
  <c r="AN631" i="14"/>
  <c r="AO611" i="14"/>
  <c r="AO586" i="14"/>
  <c r="AN646" i="14"/>
  <c r="AN633" i="14"/>
  <c r="AO567" i="14"/>
  <c r="BF115" i="14"/>
  <c r="BF479" i="14"/>
  <c r="BF524" i="14"/>
  <c r="BF99" i="14"/>
  <c r="AO639" i="14"/>
  <c r="AO559" i="14"/>
  <c r="AO624" i="14"/>
  <c r="AO581" i="14"/>
  <c r="AO664" i="14"/>
  <c r="AN612" i="14"/>
  <c r="AO638" i="14"/>
  <c r="AO657" i="14"/>
  <c r="AN580" i="14"/>
  <c r="AO631" i="14"/>
  <c r="AN603" i="14"/>
  <c r="AN659" i="14"/>
  <c r="AN565" i="14"/>
  <c r="AO646" i="14"/>
  <c r="AO633" i="14"/>
  <c r="AO634" i="14"/>
  <c r="BF288" i="14"/>
  <c r="AO678" i="14"/>
  <c r="AN678" i="14"/>
  <c r="AN618" i="14"/>
  <c r="AO555" i="14"/>
  <c r="AN658" i="14"/>
  <c r="AN661" i="14"/>
  <c r="AN577" i="14"/>
  <c r="AN648" i="14"/>
  <c r="AN604" i="14"/>
  <c r="AN549" i="14"/>
  <c r="AN641" i="14"/>
  <c r="AN576" i="14"/>
  <c r="AN614" i="14"/>
  <c r="AN666" i="14"/>
  <c r="AO603" i="14"/>
  <c r="AO659" i="14"/>
  <c r="AO565" i="14"/>
  <c r="AN630" i="14"/>
  <c r="AN613" i="14"/>
  <c r="BF107" i="14"/>
  <c r="AO618" i="14"/>
  <c r="AO661" i="14"/>
  <c r="AO577" i="14"/>
  <c r="AO648" i="14"/>
  <c r="AO549" i="14"/>
  <c r="AO641" i="14"/>
  <c r="AO576" i="14"/>
  <c r="AO614" i="14"/>
  <c r="AO666" i="14"/>
  <c r="AN643" i="14"/>
  <c r="AO630" i="14"/>
  <c r="AO613" i="14"/>
  <c r="BF113" i="14"/>
  <c r="AO679" i="14"/>
  <c r="AN679" i="14"/>
  <c r="AN610" i="14"/>
  <c r="AN642" i="14"/>
  <c r="AN645" i="14"/>
  <c r="AO573" i="14"/>
  <c r="AN632" i="14"/>
  <c r="AN598" i="14"/>
  <c r="AN625" i="14"/>
  <c r="AO572" i="14"/>
  <c r="AO660" i="14"/>
  <c r="AN606" i="14"/>
  <c r="AN650" i="14"/>
  <c r="AN656" i="14"/>
  <c r="AO643" i="14"/>
  <c r="AN621" i="14"/>
  <c r="AN605" i="14"/>
  <c r="AN652" i="14"/>
  <c r="BF425" i="14"/>
  <c r="AO610" i="14"/>
  <c r="AO642" i="14"/>
  <c r="AO645" i="14"/>
  <c r="AN573" i="14"/>
  <c r="AO632" i="14"/>
  <c r="AO598" i="14"/>
  <c r="AO625" i="14"/>
  <c r="AN572" i="14"/>
  <c r="AN660" i="14"/>
  <c r="AO606" i="14"/>
  <c r="AO650" i="14"/>
  <c r="AO656" i="14"/>
  <c r="AN583" i="14"/>
  <c r="AN627" i="14"/>
  <c r="AO556" i="14"/>
  <c r="AO621" i="14"/>
  <c r="AO605" i="14"/>
  <c r="AO652" i="14"/>
  <c r="BF273" i="14"/>
  <c r="BF188" i="14"/>
  <c r="BF9" i="14"/>
  <c r="BF440" i="14"/>
  <c r="BF46" i="14"/>
  <c r="BF484" i="14"/>
  <c r="BF217" i="14"/>
  <c r="BF177" i="14"/>
  <c r="BF390" i="14"/>
  <c r="BF139" i="14"/>
  <c r="BF332" i="14"/>
  <c r="BF165" i="14"/>
  <c r="BF562" i="14"/>
  <c r="BF350" i="14"/>
  <c r="BF393" i="14"/>
  <c r="BF210" i="14"/>
  <c r="BF295" i="14"/>
  <c r="BF124" i="14"/>
  <c r="BF311" i="14"/>
  <c r="BF254" i="14"/>
  <c r="BF242" i="14"/>
  <c r="BF489" i="14"/>
  <c r="BF256" i="14"/>
  <c r="BF248" i="14"/>
  <c r="BF539" i="14"/>
  <c r="BF423" i="14"/>
  <c r="BF394" i="14"/>
  <c r="BE22" i="14"/>
  <c r="BF495" i="14"/>
  <c r="BF100" i="14"/>
  <c r="BF487" i="14"/>
  <c r="BF497" i="14"/>
  <c r="BF470" i="14"/>
  <c r="BF346" i="14"/>
  <c r="BF30" i="14"/>
  <c r="AM669" i="14"/>
  <c r="BF279" i="14"/>
  <c r="BF136" i="14"/>
  <c r="AM668" i="14"/>
  <c r="BF145" i="14"/>
  <c r="BF181" i="14"/>
  <c r="BF118" i="14"/>
  <c r="BF137" i="14"/>
  <c r="BF505" i="14"/>
  <c r="BF362" i="14"/>
  <c r="BF173" i="14"/>
  <c r="BF121" i="14"/>
  <c r="BF72" i="14"/>
  <c r="BE72" i="14"/>
  <c r="AM667" i="14"/>
  <c r="BF194" i="14"/>
  <c r="BF128" i="14"/>
  <c r="BF87" i="14"/>
  <c r="BF507" i="14"/>
  <c r="BF511" i="14"/>
  <c r="AM673" i="14"/>
  <c r="BF460" i="14"/>
  <c r="AM671" i="14"/>
  <c r="BF106" i="14"/>
  <c r="BF503" i="14"/>
  <c r="BF439" i="14"/>
  <c r="BF452" i="14"/>
  <c r="AM670" i="14"/>
  <c r="AM672" i="14"/>
  <c r="BF10" i="14"/>
  <c r="BF141" i="14"/>
  <c r="BF420" i="14"/>
  <c r="BE26" i="14"/>
  <c r="BF195" i="14"/>
  <c r="BF457" i="14"/>
  <c r="BF336" i="14"/>
  <c r="BF430" i="14"/>
  <c r="BF377" i="14"/>
  <c r="AW88" i="14"/>
  <c r="AY88" i="14" s="1"/>
  <c r="BF318" i="14"/>
  <c r="BF96" i="14"/>
  <c r="AM37" i="14"/>
  <c r="BF112" i="14"/>
  <c r="BE53" i="14"/>
  <c r="BE47" i="14"/>
  <c r="BF520" i="14"/>
  <c r="BF475" i="14"/>
  <c r="BF111" i="14"/>
  <c r="BF95" i="14"/>
  <c r="BF132" i="14"/>
  <c r="BF85" i="14"/>
  <c r="BF473" i="14"/>
  <c r="BF540" i="14"/>
  <c r="BF227" i="14"/>
  <c r="BF257" i="14"/>
  <c r="BF157" i="14"/>
  <c r="BF486" i="14"/>
  <c r="BF246" i="14"/>
  <c r="BF238" i="14"/>
  <c r="BF476" i="14"/>
  <c r="BF468" i="14"/>
  <c r="BF502" i="14"/>
  <c r="BF161" i="14"/>
  <c r="BF443" i="14"/>
  <c r="BF494" i="14"/>
  <c r="BF523" i="14"/>
  <c r="BF432" i="14"/>
  <c r="BF33" i="14"/>
  <c r="BF424" i="14"/>
  <c r="BF28" i="14"/>
  <c r="BF512" i="14"/>
  <c r="BF385" i="14"/>
  <c r="BF265" i="14"/>
  <c r="BF27" i="14"/>
  <c r="BF324" i="14"/>
  <c r="BF202" i="14"/>
  <c r="BE57" i="14"/>
  <c r="BF496" i="14"/>
  <c r="AR674" i="14"/>
  <c r="BF239" i="14"/>
  <c r="BF84" i="14"/>
  <c r="BE74" i="14"/>
  <c r="BF410" i="14"/>
  <c r="BF211" i="14"/>
  <c r="BF119" i="14"/>
  <c r="BF508" i="14"/>
  <c r="BF272" i="14"/>
  <c r="BF526" i="14"/>
  <c r="BF500" i="14"/>
  <c r="BF169" i="14"/>
  <c r="BF464" i="14"/>
  <c r="BF186" i="14"/>
  <c r="BF264" i="14"/>
  <c r="BF367" i="14"/>
  <c r="BF456" i="14"/>
  <c r="BF90" i="14"/>
  <c r="AW90" i="14"/>
  <c r="AY90" i="14" s="1"/>
  <c r="BF322" i="14"/>
  <c r="BF427" i="14"/>
  <c r="BF333" i="14"/>
  <c r="BF504" i="14"/>
  <c r="BE19" i="14"/>
  <c r="BF344" i="14"/>
  <c r="AM604" i="14"/>
  <c r="BF604" i="14" s="1"/>
  <c r="BE20" i="14"/>
  <c r="BF374" i="14"/>
  <c r="BF159" i="14"/>
  <c r="BF240" i="14"/>
  <c r="BF224" i="14"/>
  <c r="BF151" i="14"/>
  <c r="BF359" i="14"/>
  <c r="BF478" i="14"/>
  <c r="AM663" i="14"/>
  <c r="BF234" i="14"/>
  <c r="AM657" i="14"/>
  <c r="BF657" i="14" s="1"/>
  <c r="AM577" i="14"/>
  <c r="BF577" i="14" s="1"/>
  <c r="BF305" i="14"/>
  <c r="AM550" i="14"/>
  <c r="BF226" i="14"/>
  <c r="BF297" i="14"/>
  <c r="BF263" i="14"/>
  <c r="BF542" i="14"/>
  <c r="BF446" i="14"/>
  <c r="AM654" i="14"/>
  <c r="AM38" i="14"/>
  <c r="AN38" i="14" s="1"/>
  <c r="BF378" i="14"/>
  <c r="BF360" i="14"/>
  <c r="BF167" i="14"/>
  <c r="BF134" i="14"/>
  <c r="BF289" i="14"/>
  <c r="BF534" i="14"/>
  <c r="BF569" i="14"/>
  <c r="BF352" i="14"/>
  <c r="BF193" i="14"/>
  <c r="BF312" i="14"/>
  <c r="BF187" i="14"/>
  <c r="BF422" i="14"/>
  <c r="AM76" i="14"/>
  <c r="AN76" i="14" s="1"/>
  <c r="BF536" i="14"/>
  <c r="BF369" i="14"/>
  <c r="BF249" i="14"/>
  <c r="AM591" i="14"/>
  <c r="BF304" i="14"/>
  <c r="BF133" i="14"/>
  <c r="AM566" i="14"/>
  <c r="BF358" i="14"/>
  <c r="BF302" i="14"/>
  <c r="AM658" i="14"/>
  <c r="BF658" i="14" s="1"/>
  <c r="BF528" i="14"/>
  <c r="BF361" i="14"/>
  <c r="BF241" i="14"/>
  <c r="AM589" i="14"/>
  <c r="BF589" i="14" s="1"/>
  <c r="AM644" i="14"/>
  <c r="BE34" i="14"/>
  <c r="BF233" i="14"/>
  <c r="BF296" i="14"/>
  <c r="AM585" i="14"/>
  <c r="AM664" i="14"/>
  <c r="BF353" i="14"/>
  <c r="BF235" i="14"/>
  <c r="AM648" i="14"/>
  <c r="BF323" i="14"/>
  <c r="BF462" i="14"/>
  <c r="BF399" i="14"/>
  <c r="AM611" i="14"/>
  <c r="BF29" i="14"/>
  <c r="AM632" i="14"/>
  <c r="BF255" i="14"/>
  <c r="AM603" i="14"/>
  <c r="BF603" i="14" s="1"/>
  <c r="AM568" i="14"/>
  <c r="BF518" i="14"/>
  <c r="BF454" i="14"/>
  <c r="AM64" i="14"/>
  <c r="AN64" i="14" s="1"/>
  <c r="AM43" i="14"/>
  <c r="AN43" i="14" s="1"/>
  <c r="AM636" i="14"/>
  <c r="AM638" i="14"/>
  <c r="BF510" i="14"/>
  <c r="BF330" i="14"/>
  <c r="AM581" i="14"/>
  <c r="BF509" i="14"/>
  <c r="BF380" i="14"/>
  <c r="BF253" i="14"/>
  <c r="AM660" i="14"/>
  <c r="BF403" i="14"/>
  <c r="BF485" i="14"/>
  <c r="BF414" i="14"/>
  <c r="BF190" i="14"/>
  <c r="AM40" i="14"/>
  <c r="BF182" i="14"/>
  <c r="AM551" i="14"/>
  <c r="AM563" i="14"/>
  <c r="AM558" i="14"/>
  <c r="BF474" i="14"/>
  <c r="AM549" i="14"/>
  <c r="BF482" i="14"/>
  <c r="AM641" i="14"/>
  <c r="BF156" i="14"/>
  <c r="AM628" i="14"/>
  <c r="AM631" i="14"/>
  <c r="BF477" i="14"/>
  <c r="BF98" i="14"/>
  <c r="AM14" i="14"/>
  <c r="BF108" i="14"/>
  <c r="AM579" i="14"/>
  <c r="BF35" i="14"/>
  <c r="BE35" i="14"/>
  <c r="BF349" i="14"/>
  <c r="BF231" i="14"/>
  <c r="BF25" i="14"/>
  <c r="BE25" i="14"/>
  <c r="BF538" i="14"/>
  <c r="AM63" i="14"/>
  <c r="BF348" i="14"/>
  <c r="BF230" i="14"/>
  <c r="BF24" i="14"/>
  <c r="BE24" i="14"/>
  <c r="BF275" i="14"/>
  <c r="BF372" i="14"/>
  <c r="BF493" i="14"/>
  <c r="BF267" i="14"/>
  <c r="BF245" i="14"/>
  <c r="BF530" i="14"/>
  <c r="BF174" i="14"/>
  <c r="BF363" i="14"/>
  <c r="BF409" i="14"/>
  <c r="AM554" i="14"/>
  <c r="BF418" i="14"/>
  <c r="BF416" i="14"/>
  <c r="BF168" i="14"/>
  <c r="AM625" i="14"/>
  <c r="BF148" i="14"/>
  <c r="AM622" i="14"/>
  <c r="AM614" i="14"/>
  <c r="BF469" i="14"/>
  <c r="BE66" i="14"/>
  <c r="BF66" i="14"/>
  <c r="AM627" i="14"/>
  <c r="BF49" i="14"/>
  <c r="BE49" i="14"/>
  <c r="AM575" i="14"/>
  <c r="AM643" i="14"/>
  <c r="AM655" i="14"/>
  <c r="BF223" i="14"/>
  <c r="BF18" i="14"/>
  <c r="BE18" i="14"/>
  <c r="BF490" i="14"/>
  <c r="BF61" i="14"/>
  <c r="BE61" i="14"/>
  <c r="BF222" i="14"/>
  <c r="BF17" i="14"/>
  <c r="BE17" i="14"/>
  <c r="BF205" i="14"/>
  <c r="AM642" i="14"/>
  <c r="AM15" i="14"/>
  <c r="BF166" i="14"/>
  <c r="BF299" i="14"/>
  <c r="BF401" i="14"/>
  <c r="BF543" i="14"/>
  <c r="BF408" i="14"/>
  <c r="AM652" i="14"/>
  <c r="AM617" i="14"/>
  <c r="BF415" i="14"/>
  <c r="AM606" i="14"/>
  <c r="BF461" i="14"/>
  <c r="BF152" i="14"/>
  <c r="AM556" i="14"/>
  <c r="AM618" i="14"/>
  <c r="AM571" i="14"/>
  <c r="AM608" i="14"/>
  <c r="AM555" i="14"/>
  <c r="BF335" i="14"/>
  <c r="BF215" i="14"/>
  <c r="AM13" i="14"/>
  <c r="AN13" i="14" s="1"/>
  <c r="BF434" i="14"/>
  <c r="BF214" i="14"/>
  <c r="BF12" i="14"/>
  <c r="BE12" i="14"/>
  <c r="BF138" i="14"/>
  <c r="BF365" i="14"/>
  <c r="AM626" i="14"/>
  <c r="AM565" i="14"/>
  <c r="BF158" i="14"/>
  <c r="AM552" i="14"/>
  <c r="BF237" i="14"/>
  <c r="BF535" i="14"/>
  <c r="BF400" i="14"/>
  <c r="BF355" i="14"/>
  <c r="AM609" i="14"/>
  <c r="BF92" i="14"/>
  <c r="BF407" i="14"/>
  <c r="AM597" i="14"/>
  <c r="BF453" i="14"/>
  <c r="BF341" i="14"/>
  <c r="BF329" i="14"/>
  <c r="BF207" i="14"/>
  <c r="BF387" i="14"/>
  <c r="AM662" i="14"/>
  <c r="BF328" i="14"/>
  <c r="BF206" i="14"/>
  <c r="AM665" i="14"/>
  <c r="BE31" i="14"/>
  <c r="BF31" i="14"/>
  <c r="BF55" i="14"/>
  <c r="BE55" i="14"/>
  <c r="BF144" i="14"/>
  <c r="BF180" i="14"/>
  <c r="BF364" i="14"/>
  <c r="BF36" i="14"/>
  <c r="BE36" i="14"/>
  <c r="AM623" i="14"/>
  <c r="BF150" i="14"/>
  <c r="BF392" i="14"/>
  <c r="BF283" i="14"/>
  <c r="AM601" i="14"/>
  <c r="BF67" i="14"/>
  <c r="BE67" i="14"/>
  <c r="AM587" i="14"/>
  <c r="BF445" i="14"/>
  <c r="BF221" i="14"/>
  <c r="AM656" i="14"/>
  <c r="BF321" i="14"/>
  <c r="BF199" i="14"/>
  <c r="BF307" i="14"/>
  <c r="AM646" i="14"/>
  <c r="BF320" i="14"/>
  <c r="AM649" i="14"/>
  <c r="AM639" i="14"/>
  <c r="BF56" i="14"/>
  <c r="BE56" i="14"/>
  <c r="BF50" i="14"/>
  <c r="BE50" i="14"/>
  <c r="BF229" i="14"/>
  <c r="AM661" i="14"/>
  <c r="BF142" i="14"/>
  <c r="AM602" i="14"/>
  <c r="BF379" i="14"/>
  <c r="BF384" i="14"/>
  <c r="BF198" i="14"/>
  <c r="AM594" i="14"/>
  <c r="BF160" i="14"/>
  <c r="AM557" i="14"/>
  <c r="BF437" i="14"/>
  <c r="AM640" i="14"/>
  <c r="BF192" i="14"/>
  <c r="BF251" i="14"/>
  <c r="AM630" i="14"/>
  <c r="BF316" i="14"/>
  <c r="BF191" i="14"/>
  <c r="AM633" i="14"/>
  <c r="AM592" i="14"/>
  <c r="BF327" i="14"/>
  <c r="AM645" i="14"/>
  <c r="BF125" i="14"/>
  <c r="BF315" i="14"/>
  <c r="BF376" i="14"/>
  <c r="BE58" i="14"/>
  <c r="BF58" i="14"/>
  <c r="AM45" i="14"/>
  <c r="AN45" i="14" s="1"/>
  <c r="AM41" i="14"/>
  <c r="AN41" i="14" s="1"/>
  <c r="BF371" i="14"/>
  <c r="AM553" i="14"/>
  <c r="BF429" i="14"/>
  <c r="AM624" i="14"/>
  <c r="BF309" i="14"/>
  <c r="BF184" i="14"/>
  <c r="BF81" i="14"/>
  <c r="AM621" i="14"/>
  <c r="BF308" i="14"/>
  <c r="BF183" i="14"/>
  <c r="AM613" i="14"/>
  <c r="BF442" i="14"/>
  <c r="BF131" i="14"/>
  <c r="BF260" i="14"/>
  <c r="BF373" i="14"/>
  <c r="AM598" i="14"/>
  <c r="BE75" i="14"/>
  <c r="BF75" i="14"/>
  <c r="AM629" i="14"/>
  <c r="BF94" i="14"/>
  <c r="AM616" i="14"/>
  <c r="BF243" i="14"/>
  <c r="BF368" i="14"/>
  <c r="AM599" i="14"/>
  <c r="AM580" i="14"/>
  <c r="BF291" i="14"/>
  <c r="BF548" i="14"/>
  <c r="BF421" i="14"/>
  <c r="BF547" i="14"/>
  <c r="BF301" i="14"/>
  <c r="BF130" i="14"/>
  <c r="BE16" i="14"/>
  <c r="BF16" i="14"/>
  <c r="BF570" i="14"/>
  <c r="BF300" i="14"/>
  <c r="AM129" i="14"/>
  <c r="AM605" i="14"/>
  <c r="BF466" i="14"/>
  <c r="AM573" i="14"/>
  <c r="BF164" i="14"/>
  <c r="AM647" i="14"/>
  <c r="AM583" i="14"/>
  <c r="BF357" i="14"/>
  <c r="BF88" i="14"/>
  <c r="BF514" i="14"/>
  <c r="AM615" i="14"/>
  <c r="BF69" i="14"/>
  <c r="BE69" i="14"/>
  <c r="AM39" i="14"/>
  <c r="AN39" i="14" s="1"/>
  <c r="AM586" i="14"/>
  <c r="BF73" i="14"/>
  <c r="BE73" i="14"/>
  <c r="AM576" i="14"/>
  <c r="BF213" i="14"/>
  <c r="BF383" i="14"/>
  <c r="BF541" i="14"/>
  <c r="BF179" i="14"/>
  <c r="AM51" i="14"/>
  <c r="AN51" i="14" s="1"/>
  <c r="BF413" i="14"/>
  <c r="BF293" i="14"/>
  <c r="BF412" i="14"/>
  <c r="BF292" i="14"/>
  <c r="BF117" i="14"/>
  <c r="AM596" i="14"/>
  <c r="AM612" i="14"/>
  <c r="BF261" i="14"/>
  <c r="BF347" i="14"/>
  <c r="BF252" i="14"/>
  <c r="AM42" i="14"/>
  <c r="BF91" i="14"/>
  <c r="BF458" i="14"/>
  <c r="AM607" i="14"/>
  <c r="AM651" i="14"/>
  <c r="BF11" i="14"/>
  <c r="BE11" i="14"/>
  <c r="AM659" i="14"/>
  <c r="AM572" i="14"/>
  <c r="BF116" i="14"/>
  <c r="BF533" i="14"/>
  <c r="BF171" i="14"/>
  <c r="AM666" i="14"/>
  <c r="AM44" i="14"/>
  <c r="AM65" i="14"/>
  <c r="AM653" i="14"/>
  <c r="BF154" i="14"/>
  <c r="AM578" i="14"/>
  <c r="BF405" i="14"/>
  <c r="BF285" i="14"/>
  <c r="BF110" i="14"/>
  <c r="BF404" i="14"/>
  <c r="BF284" i="14"/>
  <c r="BF109" i="14"/>
  <c r="AM582" i="14"/>
  <c r="BF259" i="14"/>
  <c r="BF411" i="14"/>
  <c r="BF381" i="14"/>
  <c r="BF501" i="14"/>
  <c r="BF172" i="14"/>
  <c r="BF356" i="14"/>
  <c r="BF395" i="14"/>
  <c r="AM595" i="14"/>
  <c r="AM574" i="14"/>
  <c r="AM635" i="14"/>
  <c r="AM610" i="14"/>
  <c r="AM600" i="14"/>
  <c r="AM567" i="14"/>
  <c r="BF23" i="14"/>
  <c r="BE23" i="14"/>
  <c r="BF525" i="14"/>
  <c r="BF163" i="14"/>
  <c r="AM650" i="14"/>
  <c r="BF426" i="14"/>
  <c r="AM637" i="14"/>
  <c r="BF146" i="14"/>
  <c r="BF506" i="14"/>
  <c r="BF397" i="14"/>
  <c r="BF277" i="14"/>
  <c r="BF89" i="14"/>
  <c r="BF396" i="14"/>
  <c r="BF276" i="14"/>
  <c r="BF82" i="14"/>
  <c r="BF546" i="14"/>
  <c r="BF176" i="14"/>
  <c r="BF244" i="14"/>
  <c r="BF319" i="14"/>
  <c r="AM588" i="14"/>
  <c r="BF498" i="14"/>
  <c r="AM620" i="14"/>
  <c r="AM559" i="14"/>
  <c r="BF517" i="14"/>
  <c r="BF155" i="14"/>
  <c r="AM634" i="14"/>
  <c r="BF564" i="14"/>
  <c r="AM619" i="14"/>
  <c r="BF450" i="14"/>
  <c r="BF389" i="14"/>
  <c r="BF269" i="14"/>
  <c r="BF83" i="14"/>
  <c r="BF388" i="14"/>
  <c r="BF268" i="14"/>
  <c r="BF522" i="14"/>
  <c r="BG136" i="14"/>
  <c r="AW136" i="14"/>
  <c r="AY136" i="14" s="1"/>
  <c r="AL630" i="14"/>
  <c r="BG630" i="14" s="1"/>
  <c r="AW9" i="14"/>
  <c r="AY9" i="14" s="1"/>
  <c r="AW16" i="14"/>
  <c r="AY16" i="14" s="1"/>
  <c r="AL571" i="14"/>
  <c r="BG127" i="14"/>
  <c r="AW127" i="14"/>
  <c r="BG128" i="14"/>
  <c r="AW128" i="14"/>
  <c r="AW121" i="14"/>
  <c r="BG121" i="14"/>
  <c r="AW122" i="14"/>
  <c r="BG122" i="14"/>
  <c r="BG123" i="14"/>
  <c r="AW123" i="14"/>
  <c r="BG124" i="14"/>
  <c r="AW124" i="14"/>
  <c r="AL640" i="14"/>
  <c r="AL654" i="14"/>
  <c r="AW70" i="14"/>
  <c r="AY70" i="14" s="1"/>
  <c r="BG104" i="14"/>
  <c r="AW104" i="14"/>
  <c r="AW102" i="14"/>
  <c r="BG102" i="14"/>
  <c r="BG103" i="14"/>
  <c r="AW103" i="14"/>
  <c r="BG99" i="14"/>
  <c r="AW99" i="14"/>
  <c r="BG100" i="14"/>
  <c r="AW100" i="14"/>
  <c r="AW101" i="14"/>
  <c r="BG101" i="14"/>
  <c r="AL618" i="14"/>
  <c r="AL554" i="14"/>
  <c r="AW72" i="14"/>
  <c r="BG72" i="14"/>
  <c r="BG71" i="14"/>
  <c r="AW71" i="14"/>
  <c r="AL658" i="14"/>
  <c r="AL556" i="14"/>
  <c r="AL622" i="14"/>
  <c r="AW61" i="14"/>
  <c r="AX61" i="14" s="1"/>
  <c r="BG61" i="14"/>
  <c r="AW62" i="14"/>
  <c r="AY62" i="14" s="1"/>
  <c r="BG62" i="14"/>
  <c r="BG38" i="14"/>
  <c r="BG37" i="14"/>
  <c r="AL646" i="14"/>
  <c r="AL653" i="14"/>
  <c r="BG653" i="14" s="1"/>
  <c r="AL655" i="14"/>
  <c r="BG655" i="14" s="1"/>
  <c r="AK555" i="14"/>
  <c r="AL563" i="14"/>
  <c r="AW11" i="14"/>
  <c r="AX11" i="14" s="1"/>
  <c r="AK588" i="14"/>
  <c r="BG11" i="14"/>
  <c r="AL60" i="14"/>
  <c r="AL59" i="14"/>
  <c r="AW150" i="14"/>
  <c r="AX150" i="14" s="1"/>
  <c r="AK598" i="14"/>
  <c r="AL624" i="14"/>
  <c r="AL611" i="14"/>
  <c r="AW225" i="14"/>
  <c r="AY225" i="14" s="1"/>
  <c r="AL656" i="14"/>
  <c r="AW17" i="14"/>
  <c r="AY17" i="14" s="1"/>
  <c r="AK591" i="14"/>
  <c r="AW494" i="14"/>
  <c r="AX494" i="14" s="1"/>
  <c r="AW205" i="14"/>
  <c r="AX205" i="14" s="1"/>
  <c r="AW514" i="14"/>
  <c r="AY514" i="14" s="1"/>
  <c r="AW31" i="14"/>
  <c r="AX31" i="14" s="1"/>
  <c r="AW36" i="14"/>
  <c r="AY36" i="14" s="1"/>
  <c r="AK592" i="14"/>
  <c r="AK568" i="14"/>
  <c r="AW92" i="14"/>
  <c r="AY92" i="14" s="1"/>
  <c r="AW423" i="14"/>
  <c r="AX423" i="14" s="1"/>
  <c r="AW417" i="14"/>
  <c r="AY417" i="14" s="1"/>
  <c r="AK594" i="14"/>
  <c r="AL573" i="14"/>
  <c r="AW87" i="14"/>
  <c r="AX87" i="14" s="1"/>
  <c r="AW536" i="14"/>
  <c r="AY536" i="14" s="1"/>
  <c r="AK652" i="14"/>
  <c r="AL579" i="14"/>
  <c r="AW427" i="14"/>
  <c r="AX427" i="14" s="1"/>
  <c r="AW519" i="14"/>
  <c r="AY519" i="14" s="1"/>
  <c r="AW368" i="14"/>
  <c r="AX368" i="14" s="1"/>
  <c r="AW18" i="14"/>
  <c r="AX18" i="14" s="1"/>
  <c r="AW157" i="14"/>
  <c r="AY157" i="14" s="1"/>
  <c r="AW387" i="14"/>
  <c r="AY387" i="14" s="1"/>
  <c r="AW465" i="14"/>
  <c r="AY465" i="14" s="1"/>
  <c r="AW413" i="14"/>
  <c r="AX413" i="14" s="1"/>
  <c r="AW548" i="14"/>
  <c r="AY548" i="14" s="1"/>
  <c r="AW313" i="14"/>
  <c r="AY313" i="14" s="1"/>
  <c r="AW379" i="14"/>
  <c r="AX379" i="14" s="1"/>
  <c r="AW432" i="14"/>
  <c r="AY432" i="14" s="1"/>
  <c r="AW466" i="14"/>
  <c r="AX466" i="14" s="1"/>
  <c r="AW77" i="14"/>
  <c r="AX77" i="14" s="1"/>
  <c r="AW35" i="14"/>
  <c r="AY35" i="14" s="1"/>
  <c r="AW134" i="14"/>
  <c r="AX134" i="14" s="1"/>
  <c r="AW141" i="14"/>
  <c r="AY141" i="14" s="1"/>
  <c r="AW81" i="14"/>
  <c r="AX81" i="14" s="1"/>
  <c r="AW54" i="14"/>
  <c r="AX54" i="14" s="1"/>
  <c r="AW226" i="14"/>
  <c r="AY226" i="14" s="1"/>
  <c r="AW188" i="14"/>
  <c r="AY188" i="14" s="1"/>
  <c r="AW215" i="14"/>
  <c r="AY215" i="14" s="1"/>
  <c r="AW227" i="14"/>
  <c r="AY227" i="14" s="1"/>
  <c r="AW426" i="14"/>
  <c r="AY426" i="14" s="1"/>
  <c r="AW373" i="14"/>
  <c r="AY373" i="14" s="1"/>
  <c r="AW244" i="14"/>
  <c r="AX244" i="14" s="1"/>
  <c r="AW323" i="14"/>
  <c r="AY323" i="14" s="1"/>
  <c r="AW347" i="14"/>
  <c r="AY347" i="14" s="1"/>
  <c r="AL623" i="14"/>
  <c r="BG648" i="14"/>
  <c r="BG580" i="14"/>
  <c r="BG568" i="14"/>
  <c r="BG610" i="14"/>
  <c r="BG549" i="14"/>
  <c r="BG606" i="14"/>
  <c r="BG567" i="14"/>
  <c r="BG660" i="14"/>
  <c r="BG566" i="14"/>
  <c r="BG632" i="14"/>
  <c r="BG602" i="14"/>
  <c r="BG65" i="14"/>
  <c r="BG626" i="14"/>
  <c r="BG578" i="14"/>
  <c r="BG594" i="14"/>
  <c r="BG652" i="14"/>
  <c r="BG551" i="14"/>
  <c r="BG583" i="14"/>
  <c r="BG665" i="14"/>
  <c r="BG639" i="14"/>
  <c r="BG587" i="14"/>
  <c r="BG614" i="14"/>
  <c r="BG642" i="14"/>
  <c r="BG661" i="14"/>
  <c r="BG613" i="14"/>
  <c r="BG582" i="14"/>
  <c r="BG634" i="14"/>
  <c r="BG574" i="14"/>
  <c r="BG644" i="14"/>
  <c r="BG592" i="14"/>
  <c r="BG638" i="14"/>
  <c r="BG600" i="14"/>
  <c r="BG608" i="14"/>
  <c r="BG636" i="14"/>
  <c r="BG663" i="14"/>
  <c r="BG628" i="14"/>
  <c r="BG666" i="14"/>
  <c r="BG575" i="14"/>
  <c r="BG553" i="14"/>
  <c r="BG576" i="14"/>
  <c r="BG612" i="14"/>
  <c r="BG650" i="14"/>
  <c r="BG662" i="14"/>
  <c r="BG86" i="14"/>
  <c r="BG194" i="14"/>
  <c r="BG525" i="14"/>
  <c r="BG440" i="14"/>
  <c r="AL625" i="14"/>
  <c r="V6" i="14"/>
  <c r="BG111" i="14"/>
  <c r="BG26" i="14"/>
  <c r="BG89" i="14"/>
  <c r="BG22" i="14"/>
  <c r="BG82" i="14"/>
  <c r="BG64" i="14"/>
  <c r="BG165" i="14"/>
  <c r="BG152" i="14"/>
  <c r="BG142" i="14"/>
  <c r="BG213" i="14"/>
  <c r="BG248" i="14"/>
  <c r="BG209" i="14"/>
  <c r="BG193" i="14"/>
  <c r="BG395" i="14"/>
  <c r="BG280" i="14"/>
  <c r="BG562" i="14"/>
  <c r="BG354" i="14"/>
  <c r="BG311" i="14"/>
  <c r="BG313" i="14"/>
  <c r="BG414" i="14"/>
  <c r="BG372" i="14"/>
  <c r="BG394" i="14"/>
  <c r="BG431" i="14"/>
  <c r="BG489" i="14"/>
  <c r="BG458" i="14"/>
  <c r="BG455" i="14"/>
  <c r="BG521" i="14"/>
  <c r="BG511" i="14"/>
  <c r="AL577" i="14"/>
  <c r="BG507" i="14"/>
  <c r="BG497" i="14"/>
  <c r="BG532" i="14"/>
  <c r="BG591" i="14"/>
  <c r="AL633" i="14"/>
  <c r="AL585" i="14"/>
  <c r="AL596" i="14"/>
  <c r="AW49" i="14"/>
  <c r="AW79" i="14"/>
  <c r="AW153" i="14"/>
  <c r="AW98" i="14"/>
  <c r="AW69" i="14"/>
  <c r="AW155" i="14"/>
  <c r="AW133" i="14"/>
  <c r="AW203" i="14"/>
  <c r="AW242" i="14"/>
  <c r="AW231" i="14"/>
  <c r="AW221" i="14"/>
  <c r="AW249" i="14"/>
  <c r="AW442" i="14"/>
  <c r="AW286" i="14"/>
  <c r="AW260" i="14"/>
  <c r="AW337" i="14"/>
  <c r="AW376" i="14"/>
  <c r="AW353" i="14"/>
  <c r="AW325" i="14"/>
  <c r="AW429" i="14"/>
  <c r="AW448" i="14"/>
  <c r="AW522" i="14"/>
  <c r="AW428" i="14"/>
  <c r="AW403" i="14"/>
  <c r="AW509" i="14"/>
  <c r="AW443" i="14"/>
  <c r="AW433" i="14"/>
  <c r="AW439" i="14"/>
  <c r="AK574" i="14"/>
  <c r="AW530" i="14"/>
  <c r="AK551" i="14"/>
  <c r="AW510" i="14"/>
  <c r="AW535" i="14"/>
  <c r="AK602" i="14"/>
  <c r="AK614" i="14"/>
  <c r="AK610" i="14"/>
  <c r="AW10" i="14"/>
  <c r="BG67" i="14"/>
  <c r="BG319" i="14"/>
  <c r="BG516" i="14"/>
  <c r="BG35" i="14"/>
  <c r="BG32" i="14"/>
  <c r="AW74" i="14"/>
  <c r="AY74" i="14" s="1"/>
  <c r="BG74" i="14"/>
  <c r="BG15" i="14"/>
  <c r="BG168" i="14"/>
  <c r="BG158" i="14"/>
  <c r="BG229" i="14"/>
  <c r="BG250" i="14"/>
  <c r="BG225" i="14"/>
  <c r="BG262" i="14"/>
  <c r="BG208" i="14"/>
  <c r="BG346" i="14"/>
  <c r="BG296" i="14"/>
  <c r="BG270" i="14"/>
  <c r="BG244" i="14"/>
  <c r="BG323" i="14"/>
  <c r="BG376" i="14"/>
  <c r="BG347" i="14"/>
  <c r="BG325" i="14"/>
  <c r="BG429" i="14"/>
  <c r="BG388" i="14"/>
  <c r="BG410" i="14"/>
  <c r="BG447" i="14"/>
  <c r="BG561" i="14"/>
  <c r="BG477" i="14"/>
  <c r="BG485" i="14"/>
  <c r="BG464" i="14"/>
  <c r="BG537" i="14"/>
  <c r="BG527" i="14"/>
  <c r="AL581" i="14"/>
  <c r="BG523" i="14"/>
  <c r="BG513" i="14"/>
  <c r="BG555" i="14"/>
  <c r="AL607" i="14"/>
  <c r="AL641" i="14"/>
  <c r="AL595" i="14"/>
  <c r="AL597" i="14"/>
  <c r="AW111" i="14"/>
  <c r="AW53" i="14"/>
  <c r="AW96" i="14"/>
  <c r="AW109" i="14"/>
  <c r="AW84" i="14"/>
  <c r="AW171" i="14"/>
  <c r="AW148" i="14"/>
  <c r="AW219" i="14"/>
  <c r="AW254" i="14"/>
  <c r="AW234" i="14"/>
  <c r="AW265" i="14"/>
  <c r="AW274" i="14"/>
  <c r="AW248" i="14"/>
  <c r="AW302" i="14"/>
  <c r="AW276" i="14"/>
  <c r="AW365" i="14"/>
  <c r="AW378" i="14"/>
  <c r="AW381" i="14"/>
  <c r="AW339" i="14"/>
  <c r="AW445" i="14"/>
  <c r="AW451" i="14"/>
  <c r="AK583" i="14"/>
  <c r="AW444" i="14"/>
  <c r="AW418" i="14"/>
  <c r="AW361" i="14"/>
  <c r="AW538" i="14"/>
  <c r="AW449" i="14"/>
  <c r="AW462" i="14"/>
  <c r="AK578" i="14"/>
  <c r="AK567" i="14"/>
  <c r="AK566" i="14"/>
  <c r="AW526" i="14"/>
  <c r="AW564" i="14"/>
  <c r="AK626" i="14"/>
  <c r="AK628" i="14"/>
  <c r="BG175" i="14"/>
  <c r="BG113" i="14"/>
  <c r="BG132" i="14"/>
  <c r="AW73" i="14"/>
  <c r="AY73" i="14" s="1"/>
  <c r="BG73" i="14"/>
  <c r="BG174" i="14"/>
  <c r="BG389" i="14"/>
  <c r="BG312" i="14"/>
  <c r="BG286" i="14"/>
  <c r="BG260" i="14"/>
  <c r="BG337" i="14"/>
  <c r="BG378" i="14"/>
  <c r="BG339" i="14"/>
  <c r="BG445" i="14"/>
  <c r="BG425" i="14"/>
  <c r="BG506" i="14"/>
  <c r="BG358" i="14"/>
  <c r="BG541" i="14"/>
  <c r="BG535" i="14"/>
  <c r="BG480" i="14"/>
  <c r="BG543" i="14"/>
  <c r="AL586" i="14"/>
  <c r="BG539" i="14"/>
  <c r="BG529" i="14"/>
  <c r="AL616" i="14"/>
  <c r="AL649" i="14"/>
  <c r="AL609" i="14"/>
  <c r="AL605" i="14"/>
  <c r="AW118" i="14"/>
  <c r="AW68" i="14"/>
  <c r="AW110" i="14"/>
  <c r="AW28" i="14"/>
  <c r="AW93" i="14"/>
  <c r="AW117" i="14"/>
  <c r="AW189" i="14"/>
  <c r="AW164" i="14"/>
  <c r="AW240" i="14"/>
  <c r="AW346" i="14"/>
  <c r="AW290" i="14"/>
  <c r="AW264" i="14"/>
  <c r="AW292" i="14"/>
  <c r="AW369" i="14"/>
  <c r="AW256" i="14"/>
  <c r="AW394" i="14"/>
  <c r="AW362" i="14"/>
  <c r="AW528" i="14"/>
  <c r="AW454" i="14"/>
  <c r="AW375" i="14"/>
  <c r="AW461" i="14"/>
  <c r="AW434" i="14"/>
  <c r="AW377" i="14"/>
  <c r="AK575" i="14"/>
  <c r="AW452" i="14"/>
  <c r="AW473" i="14"/>
  <c r="AK582" i="14"/>
  <c r="AW469" i="14"/>
  <c r="AK587" i="14"/>
  <c r="AW542" i="14"/>
  <c r="AW562" i="14"/>
  <c r="AK634" i="14"/>
  <c r="AK636" i="14"/>
  <c r="AW152" i="14"/>
  <c r="BG95" i="14"/>
  <c r="BG345" i="14"/>
  <c r="BG118" i="14"/>
  <c r="BG120" i="14"/>
  <c r="BG153" i="14"/>
  <c r="BG27" i="14"/>
  <c r="BG238" i="14"/>
  <c r="BG242" i="14"/>
  <c r="BG352" i="14"/>
  <c r="BG404" i="14"/>
  <c r="AW21" i="14"/>
  <c r="BG30" i="14"/>
  <c r="BG171" i="14"/>
  <c r="BG53" i="14"/>
  <c r="BG134" i="14"/>
  <c r="BG50" i="14"/>
  <c r="BG201" i="14"/>
  <c r="BG192" i="14"/>
  <c r="BG392" i="14"/>
  <c r="BG157" i="14"/>
  <c r="BG254" i="14"/>
  <c r="BG169" i="14"/>
  <c r="BG236" i="14"/>
  <c r="BG411" i="14"/>
  <c r="BG324" i="14"/>
  <c r="BG302" i="14"/>
  <c r="BG276" i="14"/>
  <c r="BG365" i="14"/>
  <c r="BG502" i="14"/>
  <c r="AL558" i="14"/>
  <c r="BG362" i="14"/>
  <c r="BG457" i="14"/>
  <c r="BG441" i="14"/>
  <c r="AL557" i="14"/>
  <c r="BG374" i="14"/>
  <c r="BG380" i="14"/>
  <c r="BG386" i="14"/>
  <c r="BG496" i="14"/>
  <c r="BG588" i="14"/>
  <c r="AL601" i="14"/>
  <c r="AL550" i="14"/>
  <c r="BG545" i="14"/>
  <c r="AL647" i="14"/>
  <c r="AL621" i="14"/>
  <c r="AW168" i="14"/>
  <c r="AW83" i="14"/>
  <c r="AW166" i="14"/>
  <c r="AW112" i="14"/>
  <c r="AW245" i="14"/>
  <c r="AW204" i="14"/>
  <c r="AW180" i="14"/>
  <c r="AW261" i="14"/>
  <c r="AW113" i="14"/>
  <c r="AW270" i="14"/>
  <c r="AW159" i="14"/>
  <c r="AW306" i="14"/>
  <c r="AW280" i="14"/>
  <c r="AW330" i="14"/>
  <c r="AW308" i="14"/>
  <c r="AW236" i="14"/>
  <c r="AW272" i="14"/>
  <c r="AW457" i="14"/>
  <c r="AW398" i="14"/>
  <c r="AW255" i="14"/>
  <c r="AW486" i="14"/>
  <c r="AW391" i="14"/>
  <c r="AW470" i="14"/>
  <c r="AW450" i="14"/>
  <c r="AW393" i="14"/>
  <c r="AW471" i="14"/>
  <c r="AW467" i="14"/>
  <c r="AW524" i="14"/>
  <c r="AW485" i="14"/>
  <c r="AK612" i="14"/>
  <c r="AK549" i="14"/>
  <c r="AK576" i="14"/>
  <c r="AK632" i="14"/>
  <c r="AK642" i="14"/>
  <c r="AK644" i="14"/>
  <c r="AW89" i="14"/>
  <c r="AY89" i="14" s="1"/>
  <c r="BG14" i="14"/>
  <c r="BG264" i="14"/>
  <c r="BG57" i="14"/>
  <c r="BG49" i="14"/>
  <c r="BG45" i="14"/>
  <c r="BG78" i="14"/>
  <c r="BG186" i="14"/>
  <c r="BG141" i="14"/>
  <c r="BG224" i="14"/>
  <c r="BG391" i="14"/>
  <c r="AR593" i="14"/>
  <c r="BG56" i="14"/>
  <c r="BG18" i="14"/>
  <c r="BG68" i="14"/>
  <c r="BG39" i="14"/>
  <c r="BG79" i="14"/>
  <c r="BG91" i="14"/>
  <c r="BG181" i="14"/>
  <c r="BG217" i="14"/>
  <c r="BG207" i="14"/>
  <c r="BG173" i="14"/>
  <c r="BG267" i="14"/>
  <c r="BG187" i="14"/>
  <c r="BG239" i="14"/>
  <c r="BG245" i="14"/>
  <c r="BG338" i="14"/>
  <c r="BG292" i="14"/>
  <c r="BG282" i="14"/>
  <c r="BG272" i="14"/>
  <c r="BG278" i="14"/>
  <c r="BG462" i="14"/>
  <c r="BG493" i="14"/>
  <c r="BG419" i="14"/>
  <c r="BG474" i="14"/>
  <c r="BG390" i="14"/>
  <c r="BG396" i="14"/>
  <c r="BG402" i="14"/>
  <c r="BG512" i="14"/>
  <c r="AL617" i="14"/>
  <c r="AL631" i="14"/>
  <c r="AL552" i="14"/>
  <c r="BG546" i="14"/>
  <c r="AL589" i="14"/>
  <c r="BG664" i="14"/>
  <c r="AL627" i="14"/>
  <c r="AW174" i="14"/>
  <c r="AW105" i="14"/>
  <c r="AW186" i="14"/>
  <c r="AW50" i="14"/>
  <c r="AW119" i="14"/>
  <c r="AW135" i="14"/>
  <c r="AW220" i="14"/>
  <c r="AW198" i="14"/>
  <c r="AW173" i="14"/>
  <c r="AW132" i="14"/>
  <c r="AW169" i="14"/>
  <c r="AW175" i="14"/>
  <c r="AW296" i="14"/>
  <c r="AW342" i="14"/>
  <c r="AW320" i="14"/>
  <c r="AW250" i="14"/>
  <c r="AW288" i="14"/>
  <c r="AW493" i="14"/>
  <c r="AW414" i="14"/>
  <c r="AW271" i="14"/>
  <c r="AW488" i="14"/>
  <c r="AW407" i="14"/>
  <c r="AW384" i="14"/>
  <c r="AW453" i="14"/>
  <c r="AW409" i="14"/>
  <c r="AW492" i="14"/>
  <c r="AW483" i="14"/>
  <c r="AW540" i="14"/>
  <c r="AW501" i="14"/>
  <c r="AK553" i="14"/>
  <c r="AK580" i="14"/>
  <c r="AW570" i="14"/>
  <c r="AK650" i="14"/>
  <c r="BG36" i="14"/>
  <c r="BG138" i="14"/>
  <c r="BG398" i="14"/>
  <c r="BG495" i="14"/>
  <c r="AW138" i="14"/>
  <c r="BG230" i="14"/>
  <c r="BG83" i="14"/>
  <c r="BG12" i="14"/>
  <c r="BG233" i="14"/>
  <c r="BG223" i="14"/>
  <c r="BG179" i="14"/>
  <c r="BG202" i="14"/>
  <c r="BG178" i="14"/>
  <c r="BG261" i="14"/>
  <c r="BG375" i="14"/>
  <c r="BG330" i="14"/>
  <c r="BG308" i="14"/>
  <c r="BG298" i="14"/>
  <c r="BG288" i="14"/>
  <c r="BG294" i="14"/>
  <c r="BG268" i="14"/>
  <c r="BG353" i="14"/>
  <c r="BG435" i="14"/>
  <c r="BG381" i="14"/>
  <c r="BG406" i="14"/>
  <c r="BG412" i="14"/>
  <c r="BG417" i="14"/>
  <c r="BG528" i="14"/>
  <c r="BG466" i="14"/>
  <c r="BG456" i="14"/>
  <c r="AL565" i="14"/>
  <c r="BG547" i="14"/>
  <c r="AL599" i="14"/>
  <c r="AL635" i="14"/>
  <c r="AL629" i="14"/>
  <c r="AW23" i="14"/>
  <c r="AW108" i="14"/>
  <c r="AW217" i="14"/>
  <c r="AW149" i="14"/>
  <c r="AW167" i="14"/>
  <c r="AW158" i="14"/>
  <c r="AW30" i="14"/>
  <c r="AW352" i="14"/>
  <c r="AW213" i="14"/>
  <c r="AW191" i="14"/>
  <c r="AW147" i="14"/>
  <c r="AW187" i="14"/>
  <c r="AW193" i="14"/>
  <c r="AW334" i="14"/>
  <c r="AW312" i="14"/>
  <c r="AW363" i="14"/>
  <c r="AW266" i="14"/>
  <c r="AW304" i="14"/>
  <c r="AW287" i="14"/>
  <c r="AW505" i="14"/>
  <c r="AW422" i="14"/>
  <c r="AW400" i="14"/>
  <c r="AW489" i="14"/>
  <c r="AW424" i="14"/>
  <c r="AW383" i="14"/>
  <c r="AW499" i="14"/>
  <c r="AW517" i="14"/>
  <c r="AW459" i="14"/>
  <c r="AK600" i="14"/>
  <c r="AK648" i="14"/>
  <c r="BG240" i="14"/>
  <c r="BG481" i="14"/>
  <c r="AR590" i="14"/>
  <c r="BG58" i="14"/>
  <c r="BG23" i="14"/>
  <c r="BG105" i="14"/>
  <c r="BG147" i="14"/>
  <c r="BG96" i="14"/>
  <c r="BG85" i="14"/>
  <c r="BG24" i="14"/>
  <c r="BG54" i="14"/>
  <c r="BG258" i="14"/>
  <c r="BG200" i="14"/>
  <c r="BG206" i="14"/>
  <c r="BG197" i="14"/>
  <c r="BG218" i="14"/>
  <c r="BG196" i="14"/>
  <c r="BG277" i="14"/>
  <c r="BG408" i="14"/>
  <c r="BG342" i="14"/>
  <c r="BG320" i="14"/>
  <c r="BG314" i="14"/>
  <c r="BG304" i="14"/>
  <c r="BG310" i="14"/>
  <c r="BG284" i="14"/>
  <c r="BG369" i="14"/>
  <c r="BG459" i="14"/>
  <c r="BG397" i="14"/>
  <c r="BG421" i="14"/>
  <c r="BG427" i="14"/>
  <c r="BG433" i="14"/>
  <c r="BG544" i="14"/>
  <c r="BG460" i="14"/>
  <c r="BG482" i="14"/>
  <c r="BG472" i="14"/>
  <c r="AL572" i="14"/>
  <c r="BG548" i="14"/>
  <c r="AL643" i="14"/>
  <c r="AL637" i="14"/>
  <c r="AW33" i="14"/>
  <c r="AW116" i="14"/>
  <c r="AW151" i="14"/>
  <c r="AW165" i="14"/>
  <c r="AW192" i="14"/>
  <c r="AW229" i="14"/>
  <c r="AW206" i="14"/>
  <c r="AW163" i="14"/>
  <c r="AW202" i="14"/>
  <c r="AW208" i="14"/>
  <c r="AW181" i="14"/>
  <c r="AW324" i="14"/>
  <c r="AW257" i="14"/>
  <c r="AW348" i="14"/>
  <c r="AW282" i="14"/>
  <c r="AW318" i="14"/>
  <c r="AW262" i="14"/>
  <c r="AW252" i="14"/>
  <c r="AW303" i="14"/>
  <c r="AW525" i="14"/>
  <c r="AW438" i="14"/>
  <c r="AW416" i="14"/>
  <c r="AW512" i="14"/>
  <c r="AW440" i="14"/>
  <c r="AW399" i="14"/>
  <c r="AW389" i="14"/>
  <c r="AW515" i="14"/>
  <c r="AW463" i="14"/>
  <c r="AW533" i="14"/>
  <c r="AW475" i="14"/>
  <c r="AW484" i="14"/>
  <c r="AK606" i="14"/>
  <c r="AK613" i="14"/>
  <c r="AW91" i="14"/>
  <c r="AY91" i="14" s="1"/>
  <c r="BG439" i="14"/>
  <c r="BG90" i="14"/>
  <c r="BG185" i="14"/>
  <c r="BG28" i="14"/>
  <c r="BG92" i="14"/>
  <c r="BG33" i="14"/>
  <c r="BG108" i="14"/>
  <c r="BG164" i="14"/>
  <c r="BG149" i="14"/>
  <c r="BG107" i="14"/>
  <c r="BG41" i="14"/>
  <c r="BG34" i="14"/>
  <c r="BG69" i="14"/>
  <c r="BG243" i="14"/>
  <c r="BG266" i="14"/>
  <c r="BG216" i="14"/>
  <c r="BG222" i="14"/>
  <c r="BG212" i="14"/>
  <c r="BG355" i="14"/>
  <c r="BG211" i="14"/>
  <c r="BG293" i="14"/>
  <c r="BG283" i="14"/>
  <c r="BG363" i="14"/>
  <c r="BG326" i="14"/>
  <c r="BG318" i="14"/>
  <c r="BG322" i="14"/>
  <c r="BG300" i="14"/>
  <c r="BG385" i="14"/>
  <c r="BG522" i="14"/>
  <c r="BG413" i="14"/>
  <c r="BG371" i="14"/>
  <c r="BG437" i="14"/>
  <c r="BG443" i="14"/>
  <c r="BG449" i="14"/>
  <c r="AL559" i="14"/>
  <c r="BG476" i="14"/>
  <c r="BG498" i="14"/>
  <c r="BG488" i="14"/>
  <c r="BG478" i="14"/>
  <c r="AL603" i="14"/>
  <c r="AL651" i="14"/>
  <c r="AL645" i="14"/>
  <c r="AW46" i="14"/>
  <c r="AW126" i="14"/>
  <c r="AW243" i="14"/>
  <c r="AW170" i="14"/>
  <c r="AW207" i="14"/>
  <c r="AW235" i="14"/>
  <c r="AW222" i="14"/>
  <c r="AW179" i="14"/>
  <c r="AW218" i="14"/>
  <c r="AW224" i="14"/>
  <c r="AW183" i="14"/>
  <c r="AW338" i="14"/>
  <c r="AW273" i="14"/>
  <c r="AW351" i="14"/>
  <c r="AW298" i="14"/>
  <c r="AW332" i="14"/>
  <c r="AW278" i="14"/>
  <c r="AW268" i="14"/>
  <c r="AW317" i="14"/>
  <c r="AW560" i="14"/>
  <c r="AW468" i="14"/>
  <c r="AW431" i="14"/>
  <c r="AW544" i="14"/>
  <c r="AW458" i="14"/>
  <c r="AW415" i="14"/>
  <c r="AW405" i="14"/>
  <c r="AW531" i="14"/>
  <c r="AW479" i="14"/>
  <c r="AW491" i="14"/>
  <c r="AK639" i="14"/>
  <c r="AW500" i="14"/>
  <c r="AK608" i="14"/>
  <c r="BG220" i="14"/>
  <c r="BG329" i="14"/>
  <c r="BG487" i="14"/>
  <c r="BG40" i="14"/>
  <c r="BG133" i="14"/>
  <c r="BG191" i="14"/>
  <c r="AR584" i="14"/>
  <c r="AW154" i="14"/>
  <c r="BG130" i="14"/>
  <c r="BG46" i="14"/>
  <c r="BG116" i="14"/>
  <c r="BG19" i="14"/>
  <c r="BG151" i="14"/>
  <c r="BG115" i="14"/>
  <c r="BG47" i="14"/>
  <c r="BG75" i="14"/>
  <c r="AW75" i="14"/>
  <c r="BG287" i="14"/>
  <c r="BG145" i="14"/>
  <c r="BG232" i="14"/>
  <c r="BG237" i="14"/>
  <c r="BG228" i="14"/>
  <c r="BG156" i="14"/>
  <c r="BG227" i="14"/>
  <c r="BG309" i="14"/>
  <c r="BG299" i="14"/>
  <c r="BG241" i="14"/>
  <c r="BG348" i="14"/>
  <c r="BG340" i="14"/>
  <c r="BG332" i="14"/>
  <c r="BG336" i="14"/>
  <c r="BG316" i="14"/>
  <c r="BG401" i="14"/>
  <c r="BG428" i="14"/>
  <c r="BG387" i="14"/>
  <c r="BG465" i="14"/>
  <c r="BG467" i="14"/>
  <c r="BG452" i="14"/>
  <c r="BG560" i="14"/>
  <c r="BG492" i="14"/>
  <c r="BG514" i="14"/>
  <c r="BG504" i="14"/>
  <c r="BG494" i="14"/>
  <c r="BG564" i="14"/>
  <c r="AL619" i="14"/>
  <c r="AL615" i="14"/>
  <c r="AW411" i="14"/>
  <c r="AW107" i="14"/>
  <c r="AW78" i="14"/>
  <c r="AW201" i="14"/>
  <c r="AW56" i="14"/>
  <c r="AW223" i="14"/>
  <c r="AW238" i="14"/>
  <c r="AW237" i="14"/>
  <c r="AW197" i="14"/>
  <c r="AW277" i="14"/>
  <c r="AW239" i="14"/>
  <c r="AW267" i="14"/>
  <c r="AW289" i="14"/>
  <c r="AW367" i="14"/>
  <c r="AW314" i="14"/>
  <c r="AW344" i="14"/>
  <c r="AW294" i="14"/>
  <c r="AW284" i="14"/>
  <c r="AW331" i="14"/>
  <c r="AW356" i="14"/>
  <c r="AW410" i="14"/>
  <c r="AW447" i="14"/>
  <c r="AW561" i="14"/>
  <c r="AW477" i="14"/>
  <c r="AW430" i="14"/>
  <c r="AW420" i="14"/>
  <c r="AW495" i="14"/>
  <c r="AW507" i="14"/>
  <c r="AW481" i="14"/>
  <c r="AW516" i="14"/>
  <c r="AK638" i="14"/>
  <c r="AW241" i="14"/>
  <c r="BG10" i="14"/>
  <c r="BG295" i="14"/>
  <c r="BG126" i="14"/>
  <c r="BG42" i="14"/>
  <c r="BG155" i="14"/>
  <c r="BG125" i="14"/>
  <c r="BG93" i="14"/>
  <c r="BG66" i="14"/>
  <c r="BG84" i="14"/>
  <c r="BG303" i="14"/>
  <c r="BG161" i="14"/>
  <c r="BG252" i="14"/>
  <c r="BG246" i="14"/>
  <c r="BG166" i="14"/>
  <c r="BG172" i="14"/>
  <c r="BG255" i="14"/>
  <c r="BG321" i="14"/>
  <c r="BG315" i="14"/>
  <c r="BG257" i="14"/>
  <c r="BG351" i="14"/>
  <c r="BG356" i="14"/>
  <c r="BG344" i="14"/>
  <c r="BG350" i="14"/>
  <c r="BG328" i="14"/>
  <c r="BG432" i="14"/>
  <c r="BG407" i="14"/>
  <c r="BG444" i="14"/>
  <c r="BG403" i="14"/>
  <c r="BG509" i="14"/>
  <c r="BG538" i="14"/>
  <c r="BG469" i="14"/>
  <c r="BG569" i="14"/>
  <c r="BG508" i="14"/>
  <c r="BG530" i="14"/>
  <c r="BG520" i="14"/>
  <c r="BG510" i="14"/>
  <c r="AL659" i="14"/>
  <c r="AL620" i="14"/>
  <c r="AW130" i="14"/>
  <c r="AW80" i="14"/>
  <c r="AW94" i="14"/>
  <c r="AW233" i="14"/>
  <c r="AW258" i="14"/>
  <c r="AW269" i="14"/>
  <c r="AW246" i="14"/>
  <c r="AW212" i="14"/>
  <c r="AW293" i="14"/>
  <c r="AW131" i="14"/>
  <c r="AW214" i="14"/>
  <c r="AW283" i="14"/>
  <c r="AW305" i="14"/>
  <c r="AW464" i="14"/>
  <c r="AW326" i="14"/>
  <c r="AW360" i="14"/>
  <c r="AW310" i="14"/>
  <c r="AW300" i="14"/>
  <c r="AW343" i="14"/>
  <c r="AW372" i="14"/>
  <c r="AW425" i="14"/>
  <c r="AW456" i="14"/>
  <c r="AW358" i="14"/>
  <c r="AW541" i="14"/>
  <c r="AW446" i="14"/>
  <c r="AW436" i="14"/>
  <c r="AW511" i="14"/>
  <c r="AW523" i="14"/>
  <c r="AW497" i="14"/>
  <c r="AW532" i="14"/>
  <c r="BG135" i="14"/>
  <c r="BG297" i="14"/>
  <c r="BG20" i="14"/>
  <c r="BG162" i="14"/>
  <c r="BG131" i="14"/>
  <c r="BG112" i="14"/>
  <c r="BG81" i="14"/>
  <c r="BG106" i="14"/>
  <c r="BG317" i="14"/>
  <c r="BG177" i="14"/>
  <c r="BG256" i="14"/>
  <c r="BG110" i="14"/>
  <c r="BG182" i="14"/>
  <c r="BG190" i="14"/>
  <c r="BG271" i="14"/>
  <c r="BG335" i="14"/>
  <c r="BG327" i="14"/>
  <c r="BG273" i="14"/>
  <c r="BG367" i="14"/>
  <c r="BG253" i="14"/>
  <c r="BG360" i="14"/>
  <c r="BG364" i="14"/>
  <c r="BG448" i="14"/>
  <c r="BG422" i="14"/>
  <c r="BG461" i="14"/>
  <c r="BG418" i="14"/>
  <c r="BG361" i="14"/>
  <c r="BG471" i="14"/>
  <c r="BG499" i="14"/>
  <c r="BG524" i="14"/>
  <c r="BG536" i="14"/>
  <c r="BG526" i="14"/>
  <c r="AW58" i="14"/>
  <c r="AW97" i="14"/>
  <c r="AW29" i="14"/>
  <c r="AW25" i="14"/>
  <c r="AW12" i="14"/>
  <c r="AW114" i="14"/>
  <c r="AW145" i="14"/>
  <c r="AW144" i="14"/>
  <c r="AW228" i="14"/>
  <c r="AW309" i="14"/>
  <c r="AW146" i="14"/>
  <c r="AW230" i="14"/>
  <c r="AW299" i="14"/>
  <c r="AW247" i="14"/>
  <c r="AW340" i="14"/>
  <c r="AW275" i="14"/>
  <c r="AW322" i="14"/>
  <c r="AW316" i="14"/>
  <c r="AW355" i="14"/>
  <c r="AW388" i="14"/>
  <c r="AW441" i="14"/>
  <c r="AW472" i="14"/>
  <c r="AW374" i="14"/>
  <c r="AW455" i="14"/>
  <c r="AW460" i="14"/>
  <c r="AW502" i="14"/>
  <c r="AW527" i="14"/>
  <c r="AW539" i="14"/>
  <c r="AW513" i="14"/>
  <c r="BG198" i="14"/>
  <c r="BG570" i="14"/>
  <c r="BG491" i="14"/>
  <c r="BG29" i="14"/>
  <c r="BG98" i="14"/>
  <c r="BG170" i="14"/>
  <c r="BG205" i="14"/>
  <c r="BG341" i="14"/>
  <c r="BG289" i="14"/>
  <c r="BG473" i="14"/>
  <c r="BG269" i="14"/>
  <c r="BG235" i="14"/>
  <c r="BG451" i="14"/>
  <c r="BG438" i="14"/>
  <c r="BG470" i="14"/>
  <c r="BG434" i="14"/>
  <c r="BG377" i="14"/>
  <c r="BG383" i="14"/>
  <c r="BG483" i="14"/>
  <c r="BG515" i="14"/>
  <c r="BG540" i="14"/>
  <c r="BG542" i="14"/>
  <c r="AW140" i="14"/>
  <c r="AW139" i="14"/>
  <c r="AW24" i="14"/>
  <c r="AW27" i="14"/>
  <c r="AW161" i="14"/>
  <c r="AW185" i="14"/>
  <c r="AW160" i="14"/>
  <c r="AW259" i="14"/>
  <c r="AW321" i="14"/>
  <c r="AW162" i="14"/>
  <c r="AW251" i="14"/>
  <c r="AW315" i="14"/>
  <c r="AW333" i="14"/>
  <c r="AW263" i="14"/>
  <c r="AW285" i="14"/>
  <c r="AW291" i="14"/>
  <c r="AW336" i="14"/>
  <c r="AW328" i="14"/>
  <c r="AW382" i="14"/>
  <c r="AW404" i="14"/>
  <c r="AW474" i="14"/>
  <c r="AW506" i="14"/>
  <c r="AW390" i="14"/>
  <c r="AW364" i="14"/>
  <c r="AW480" i="14"/>
  <c r="AW490" i="14"/>
  <c r="AW518" i="14"/>
  <c r="AW543" i="14"/>
  <c r="AW529" i="14"/>
  <c r="BG234" i="14"/>
  <c r="BG490" i="14"/>
  <c r="BG114" i="14"/>
  <c r="BG97" i="14"/>
  <c r="BG13" i="14"/>
  <c r="BG119" i="14"/>
  <c r="BG331" i="14"/>
  <c r="BG129" i="14"/>
  <c r="BG274" i="14"/>
  <c r="BG259" i="14"/>
  <c r="BG63" i="14"/>
  <c r="BG140" i="14"/>
  <c r="BG25" i="14"/>
  <c r="BG183" i="14"/>
  <c r="BG167" i="14"/>
  <c r="BG109" i="14"/>
  <c r="BG148" i="14"/>
  <c r="BG343" i="14"/>
  <c r="BG210" i="14"/>
  <c r="BG188" i="14"/>
  <c r="BG144" i="14"/>
  <c r="BG199" i="14"/>
  <c r="BG221" i="14"/>
  <c r="BG290" i="14"/>
  <c r="BG357" i="14"/>
  <c r="BG359" i="14"/>
  <c r="BG305" i="14"/>
  <c r="BG247" i="14"/>
  <c r="BG285" i="14"/>
  <c r="BG275" i="14"/>
  <c r="BG249" i="14"/>
  <c r="BG370" i="14"/>
  <c r="BG454" i="14"/>
  <c r="BG468" i="14"/>
  <c r="BG368" i="14"/>
  <c r="BG450" i="14"/>
  <c r="BG393" i="14"/>
  <c r="BG399" i="14"/>
  <c r="BG405" i="14"/>
  <c r="BG531" i="14"/>
  <c r="BG501" i="14"/>
  <c r="BG598" i="14"/>
  <c r="AW20" i="14"/>
  <c r="AW22" i="14"/>
  <c r="AW48" i="14"/>
  <c r="AW143" i="14"/>
  <c r="AW34" i="14"/>
  <c r="AW177" i="14"/>
  <c r="AW200" i="14"/>
  <c r="AW176" i="14"/>
  <c r="AW182" i="14"/>
  <c r="AW335" i="14"/>
  <c r="AW178" i="14"/>
  <c r="AW253" i="14"/>
  <c r="AW327" i="14"/>
  <c r="AW345" i="14"/>
  <c r="AW279" i="14"/>
  <c r="AW301" i="14"/>
  <c r="AW307" i="14"/>
  <c r="AW350" i="14"/>
  <c r="AW395" i="14"/>
  <c r="AW476" i="14"/>
  <c r="AW406" i="14"/>
  <c r="AW380" i="14"/>
  <c r="AW569" i="14"/>
  <c r="AW534" i="14"/>
  <c r="AW545" i="14"/>
  <c r="BG334" i="14"/>
  <c r="BG446" i="14"/>
  <c r="BG80" i="14"/>
  <c r="BG43" i="14"/>
  <c r="BG76" i="14"/>
  <c r="BG139" i="14"/>
  <c r="BG146" i="14"/>
  <c r="BG195" i="14"/>
  <c r="BG184" i="14"/>
  <c r="BG349" i="14"/>
  <c r="BG366" i="14"/>
  <c r="BG77" i="14"/>
  <c r="BG51" i="14"/>
  <c r="BG94" i="14"/>
  <c r="BG214" i="14"/>
  <c r="BG9" i="14"/>
  <c r="BG117" i="14"/>
  <c r="BG163" i="14"/>
  <c r="BG189" i="14"/>
  <c r="BG226" i="14"/>
  <c r="BG203" i="14"/>
  <c r="BG160" i="14"/>
  <c r="BG215" i="14"/>
  <c r="BG143" i="14"/>
  <c r="BG306" i="14"/>
  <c r="BG426" i="14"/>
  <c r="BG373" i="14"/>
  <c r="BG263" i="14"/>
  <c r="BG301" i="14"/>
  <c r="BG291" i="14"/>
  <c r="BG265" i="14"/>
  <c r="BG379" i="14"/>
  <c r="BG486" i="14"/>
  <c r="BG503" i="14"/>
  <c r="BG384" i="14"/>
  <c r="BG453" i="14"/>
  <c r="BG409" i="14"/>
  <c r="BG415" i="14"/>
  <c r="BG420" i="14"/>
  <c r="BG518" i="14"/>
  <c r="AL657" i="14"/>
  <c r="BG517" i="14"/>
  <c r="BG484" i="14"/>
  <c r="AW142" i="14"/>
  <c r="AW55" i="14"/>
  <c r="AW32" i="14"/>
  <c r="AW67" i="14"/>
  <c r="AW47" i="14"/>
  <c r="AW156" i="14"/>
  <c r="AW195" i="14"/>
  <c r="AW216" i="14"/>
  <c r="AW194" i="14"/>
  <c r="AW184" i="14"/>
  <c r="AW172" i="14"/>
  <c r="AW196" i="14"/>
  <c r="AW349" i="14"/>
  <c r="AW341" i="14"/>
  <c r="AW354" i="14"/>
  <c r="AW295" i="14"/>
  <c r="AW319" i="14"/>
  <c r="AW281" i="14"/>
  <c r="AW366" i="14"/>
  <c r="AW385" i="14"/>
  <c r="AW419" i="14"/>
  <c r="AW508" i="14"/>
  <c r="AW421" i="14"/>
  <c r="AW396" i="14"/>
  <c r="AW386" i="14"/>
  <c r="AW392" i="14"/>
  <c r="AW521" i="14"/>
  <c r="AW482" i="14"/>
  <c r="AW504" i="14"/>
  <c r="AW546" i="14"/>
  <c r="AW487" i="14"/>
  <c r="AL52" i="14"/>
  <c r="BG44" i="14"/>
  <c r="BG416" i="14"/>
  <c r="BG154" i="14"/>
  <c r="BG88" i="14"/>
  <c r="BG251" i="14"/>
  <c r="BG55" i="14"/>
  <c r="BG48" i="14"/>
  <c r="BG31" i="14"/>
  <c r="BG21" i="14"/>
  <c r="BG204" i="14"/>
  <c r="BG180" i="14"/>
  <c r="BG219" i="14"/>
  <c r="BG176" i="14"/>
  <c r="BG231" i="14"/>
  <c r="BG159" i="14"/>
  <c r="BG442" i="14"/>
  <c r="BG423" i="14"/>
  <c r="BG333" i="14"/>
  <c r="BG279" i="14"/>
  <c r="BG307" i="14"/>
  <c r="BG281" i="14"/>
  <c r="BG382" i="14"/>
  <c r="BG505" i="14"/>
  <c r="BG519" i="14"/>
  <c r="BG400" i="14"/>
  <c r="BG463" i="14"/>
  <c r="BG424" i="14"/>
  <c r="BG430" i="14"/>
  <c r="BG436" i="14"/>
  <c r="BG534" i="14"/>
  <c r="BG479" i="14"/>
  <c r="BG533" i="14"/>
  <c r="BG475" i="14"/>
  <c r="BG500" i="14"/>
  <c r="AW26" i="14"/>
  <c r="AW86" i="14"/>
  <c r="AW82" i="14"/>
  <c r="AW57" i="14"/>
  <c r="AW66" i="14"/>
  <c r="AW120" i="14"/>
  <c r="AW210" i="14"/>
  <c r="AW232" i="14"/>
  <c r="AW209" i="14"/>
  <c r="AW199" i="14"/>
  <c r="AW190" i="14"/>
  <c r="AW211" i="14"/>
  <c r="AW357" i="14"/>
  <c r="AW359" i="14"/>
  <c r="AW496" i="14"/>
  <c r="AW311" i="14"/>
  <c r="AW329" i="14"/>
  <c r="AW297" i="14"/>
  <c r="AW370" i="14"/>
  <c r="AW401" i="14"/>
  <c r="AW435" i="14"/>
  <c r="AW397" i="14"/>
  <c r="AW371" i="14"/>
  <c r="AW437" i="14"/>
  <c r="AW412" i="14"/>
  <c r="AW402" i="14"/>
  <c r="AW408" i="14"/>
  <c r="AW537" i="14"/>
  <c r="AW498" i="14"/>
  <c r="AW520" i="14"/>
  <c r="AW478" i="14"/>
  <c r="AW547" i="14"/>
  <c r="AW503" i="14"/>
  <c r="BG87" i="14"/>
  <c r="AW19" i="14"/>
  <c r="AG86" i="1"/>
  <c r="AG85" i="1"/>
  <c r="AG84" i="1"/>
  <c r="BF747" i="14" l="1"/>
  <c r="BE747" i="14"/>
  <c r="BE748" i="14"/>
  <c r="BF748" i="14"/>
  <c r="AR95" i="14"/>
  <c r="AR106" i="14"/>
  <c r="AR85" i="14"/>
  <c r="AQ743" i="14"/>
  <c r="AQ742" i="14"/>
  <c r="AR742" i="14" s="1"/>
  <c r="AQ736" i="14"/>
  <c r="AW736" i="14" s="1"/>
  <c r="AY736" i="14" s="1"/>
  <c r="BG738" i="14"/>
  <c r="AQ738" i="14"/>
  <c r="AX737" i="14"/>
  <c r="AY737" i="14"/>
  <c r="AQ740" i="14"/>
  <c r="AR740" i="14" s="1"/>
  <c r="AQ749" i="14"/>
  <c r="AR749" i="14" s="1"/>
  <c r="AQ744" i="14"/>
  <c r="AQ752" i="14"/>
  <c r="AR752" i="14" s="1"/>
  <c r="AQ746" i="14"/>
  <c r="AR746" i="14" s="1"/>
  <c r="AQ745" i="14"/>
  <c r="AR745" i="14" s="1"/>
  <c r="AR743" i="14"/>
  <c r="AR744" i="14"/>
  <c r="AX709" i="14"/>
  <c r="AY709" i="14"/>
  <c r="AY712" i="14"/>
  <c r="AX712" i="14"/>
  <c r="AX717" i="14"/>
  <c r="AY717" i="14"/>
  <c r="AY716" i="14"/>
  <c r="AX716" i="14"/>
  <c r="AY710" i="14"/>
  <c r="AX710" i="14"/>
  <c r="AY720" i="14"/>
  <c r="AX720" i="14"/>
  <c r="AX703" i="14"/>
  <c r="AY703" i="14"/>
  <c r="AX704" i="14"/>
  <c r="AY704" i="14"/>
  <c r="AX708" i="14"/>
  <c r="AY708" i="14"/>
  <c r="AY702" i="14"/>
  <c r="AX702" i="14"/>
  <c r="AX707" i="14"/>
  <c r="AY707" i="14"/>
  <c r="AY705" i="14"/>
  <c r="AX705" i="14"/>
  <c r="AY718" i="14"/>
  <c r="AX718" i="14"/>
  <c r="AX714" i="14"/>
  <c r="AY714" i="14"/>
  <c r="AY711" i="14"/>
  <c r="AX711" i="14"/>
  <c r="AY730" i="14"/>
  <c r="AX730" i="14"/>
  <c r="AY728" i="14"/>
  <c r="AX728" i="14"/>
  <c r="AX725" i="14"/>
  <c r="AY725" i="14"/>
  <c r="AX723" i="14"/>
  <c r="AY723" i="14"/>
  <c r="AY706" i="14"/>
  <c r="AX706" i="14"/>
  <c r="AY719" i="14"/>
  <c r="AX719" i="14"/>
  <c r="AY715" i="14"/>
  <c r="AX715" i="14"/>
  <c r="AY713" i="14"/>
  <c r="AX713" i="14"/>
  <c r="AY729" i="14"/>
  <c r="AX729" i="14"/>
  <c r="AX727" i="14"/>
  <c r="AY727" i="14"/>
  <c r="AY721" i="14"/>
  <c r="AX721" i="14"/>
  <c r="AX724" i="14"/>
  <c r="AY724" i="14"/>
  <c r="AY722" i="14"/>
  <c r="AX722" i="14"/>
  <c r="AX726" i="14"/>
  <c r="AY726" i="14"/>
  <c r="AW748" i="14"/>
  <c r="AY748" i="14" s="1"/>
  <c r="AW747" i="14"/>
  <c r="AY747" i="14" s="1"/>
  <c r="AX734" i="14"/>
  <c r="AY734" i="14"/>
  <c r="AX733" i="14"/>
  <c r="AQ741" i="14"/>
  <c r="AR741" i="14" s="1"/>
  <c r="AW731" i="14"/>
  <c r="AW735" i="14"/>
  <c r="AY735" i="14" s="1"/>
  <c r="AQ739" i="14"/>
  <c r="AR739" i="14" s="1"/>
  <c r="AQ751" i="14"/>
  <c r="AR751" i="14" s="1"/>
  <c r="AW701" i="14"/>
  <c r="AY701" i="14" s="1"/>
  <c r="AY698" i="14"/>
  <c r="AX698" i="14"/>
  <c r="AY693" i="14"/>
  <c r="AX693" i="14"/>
  <c r="BE698" i="14"/>
  <c r="BF698" i="14"/>
  <c r="AX696" i="14"/>
  <c r="AY696" i="14"/>
  <c r="AW699" i="14"/>
  <c r="AY695" i="14"/>
  <c r="AX695" i="14"/>
  <c r="AX694" i="14"/>
  <c r="AY694" i="14"/>
  <c r="AW700" i="14"/>
  <c r="AX697" i="14"/>
  <c r="AY697" i="14"/>
  <c r="AW732" i="14"/>
  <c r="AY732" i="14" s="1"/>
  <c r="AQ750" i="14"/>
  <c r="AR750" i="14" s="1"/>
  <c r="AI6" i="14"/>
  <c r="AQ76" i="14"/>
  <c r="AR76" i="14" s="1"/>
  <c r="AP674" i="14"/>
  <c r="BE674" i="14" s="1"/>
  <c r="AQ674" i="14"/>
  <c r="AQ115" i="14"/>
  <c r="AR115" i="14" s="1"/>
  <c r="AP590" i="14"/>
  <c r="BE590" i="14" s="1"/>
  <c r="AQ590" i="14"/>
  <c r="AP584" i="14"/>
  <c r="BE584" i="14" s="1"/>
  <c r="AQ584" i="14"/>
  <c r="AP593" i="14"/>
  <c r="BE593" i="14" s="1"/>
  <c r="AQ593" i="14"/>
  <c r="AW675" i="14"/>
  <c r="AY675" i="14" s="1"/>
  <c r="AW676" i="14"/>
  <c r="AY676" i="14" s="1"/>
  <c r="AW678" i="14"/>
  <c r="AY678" i="14" s="1"/>
  <c r="AN686" i="14"/>
  <c r="AO686" i="14" s="1"/>
  <c r="AW677" i="14"/>
  <c r="AY677" i="14" s="1"/>
  <c r="AW679" i="14"/>
  <c r="AX679" i="14" s="1"/>
  <c r="AW688" i="14"/>
  <c r="AX688" i="14" s="1"/>
  <c r="AW680" i="14"/>
  <c r="AY680" i="14" s="1"/>
  <c r="AY682" i="14"/>
  <c r="AX682" i="14"/>
  <c r="AO683" i="14"/>
  <c r="BG690" i="14"/>
  <c r="BF690" i="14"/>
  <c r="AW687" i="14"/>
  <c r="BG680" i="14"/>
  <c r="BF680" i="14"/>
  <c r="BG677" i="14"/>
  <c r="BF677" i="14"/>
  <c r="AW690" i="14"/>
  <c r="BG688" i="14"/>
  <c r="BF688" i="14"/>
  <c r="AW684" i="14"/>
  <c r="BF676" i="14"/>
  <c r="BG676" i="14"/>
  <c r="BG692" i="14"/>
  <c r="BF692" i="14"/>
  <c r="BG684" i="14"/>
  <c r="BF684" i="14"/>
  <c r="BG689" i="14"/>
  <c r="BF689" i="14"/>
  <c r="AW691" i="14"/>
  <c r="BF679" i="14"/>
  <c r="BG679" i="14"/>
  <c r="BG675" i="14"/>
  <c r="BF675" i="14"/>
  <c r="AW692" i="14"/>
  <c r="BG678" i="14"/>
  <c r="BF678" i="14"/>
  <c r="AW685" i="14"/>
  <c r="BG685" i="14"/>
  <c r="BF685" i="14"/>
  <c r="AW689" i="14"/>
  <c r="AX137" i="14"/>
  <c r="AW660" i="14"/>
  <c r="AX660" i="14" s="1"/>
  <c r="AN681" i="14"/>
  <c r="AW681" i="14" s="1"/>
  <c r="AW665" i="14"/>
  <c r="AX665" i="14" s="1"/>
  <c r="AW663" i="14"/>
  <c r="AX663" i="14" s="1"/>
  <c r="AW662" i="14"/>
  <c r="AX662" i="14" s="1"/>
  <c r="AW666" i="14"/>
  <c r="AX666" i="14" s="1"/>
  <c r="AW661" i="14"/>
  <c r="AY661" i="14" s="1"/>
  <c r="AM593" i="14"/>
  <c r="BF593" i="14" s="1"/>
  <c r="AO593" i="14"/>
  <c r="AN593" i="14"/>
  <c r="AN63" i="14"/>
  <c r="AN44" i="14"/>
  <c r="BE43" i="14"/>
  <c r="AO43" i="14"/>
  <c r="AP43" i="14" s="1"/>
  <c r="AN14" i="14"/>
  <c r="AN40" i="14"/>
  <c r="AO64" i="14"/>
  <c r="AP64" i="14" s="1"/>
  <c r="AO39" i="14"/>
  <c r="AP39" i="14" s="1"/>
  <c r="AO41" i="14"/>
  <c r="AP41" i="14" s="1"/>
  <c r="AW656" i="14"/>
  <c r="AY656" i="14" s="1"/>
  <c r="AO45" i="14"/>
  <c r="AP45" i="14" s="1"/>
  <c r="AN42" i="14"/>
  <c r="AM52" i="14"/>
  <c r="BF52" i="14" s="1"/>
  <c r="AN129" i="14"/>
  <c r="AO13" i="14"/>
  <c r="AP13" i="14" s="1"/>
  <c r="AO674" i="14"/>
  <c r="AN674" i="14"/>
  <c r="AO51" i="14"/>
  <c r="AP51" i="14" s="1"/>
  <c r="AN65" i="14"/>
  <c r="BF38" i="14"/>
  <c r="AO38" i="14"/>
  <c r="AP38" i="14" s="1"/>
  <c r="AQ38" i="14" s="1"/>
  <c r="AM584" i="14"/>
  <c r="AO584" i="14"/>
  <c r="AN584" i="14"/>
  <c r="BF37" i="14"/>
  <c r="AM590" i="14"/>
  <c r="AN590" i="14"/>
  <c r="AO590" i="14"/>
  <c r="AN37" i="14"/>
  <c r="AN15" i="14"/>
  <c r="AW637" i="14"/>
  <c r="AX637" i="14" s="1"/>
  <c r="AW631" i="14"/>
  <c r="AY631" i="14" s="1"/>
  <c r="AW606" i="14"/>
  <c r="AX606" i="14" s="1"/>
  <c r="AW576" i="14"/>
  <c r="AY576" i="14" s="1"/>
  <c r="AW643" i="14"/>
  <c r="AY643" i="14" s="1"/>
  <c r="AW624" i="14"/>
  <c r="AY624" i="14" s="1"/>
  <c r="BE37" i="14"/>
  <c r="AW672" i="14"/>
  <c r="AX672" i="14" s="1"/>
  <c r="AX16" i="14"/>
  <c r="AW608" i="14"/>
  <c r="AY608" i="14" s="1"/>
  <c r="AW623" i="14"/>
  <c r="AY623" i="14" s="1"/>
  <c r="BF654" i="14"/>
  <c r="AW589" i="14"/>
  <c r="AY589" i="14" s="1"/>
  <c r="AW654" i="14"/>
  <c r="AX654" i="14" s="1"/>
  <c r="AW632" i="14"/>
  <c r="AY632" i="14" s="1"/>
  <c r="BE38" i="14"/>
  <c r="AY150" i="14"/>
  <c r="AW648" i="14"/>
  <c r="AX648" i="14" s="1"/>
  <c r="AW670" i="14"/>
  <c r="AW614" i="14"/>
  <c r="AY614" i="14" s="1"/>
  <c r="AW668" i="14"/>
  <c r="AW671" i="14"/>
  <c r="AW667" i="14"/>
  <c r="BF648" i="14"/>
  <c r="AW673" i="14"/>
  <c r="AW669" i="14"/>
  <c r="AW602" i="14"/>
  <c r="AY602" i="14" s="1"/>
  <c r="AW553" i="14"/>
  <c r="AY553" i="14" s="1"/>
  <c r="AW644" i="14"/>
  <c r="AY644" i="14" s="1"/>
  <c r="AX90" i="14"/>
  <c r="AW554" i="14"/>
  <c r="AY554" i="14" s="1"/>
  <c r="AW550" i="14"/>
  <c r="AY550" i="14" s="1"/>
  <c r="BF550" i="14"/>
  <c r="AX88" i="14"/>
  <c r="AW620" i="14"/>
  <c r="AY620" i="14" s="1"/>
  <c r="AW605" i="14"/>
  <c r="AX605" i="14" s="1"/>
  <c r="AW552" i="14"/>
  <c r="AX552" i="14" s="1"/>
  <c r="AW567" i="14"/>
  <c r="AY567" i="14" s="1"/>
  <c r="AW587" i="14"/>
  <c r="AY587" i="14" s="1"/>
  <c r="AW647" i="14"/>
  <c r="AX647" i="14" s="1"/>
  <c r="AW583" i="14"/>
  <c r="AY583" i="14" s="1"/>
  <c r="AW650" i="14"/>
  <c r="AY650" i="14" s="1"/>
  <c r="AW625" i="14"/>
  <c r="AX625" i="14" s="1"/>
  <c r="AW580" i="14"/>
  <c r="AY580" i="14" s="1"/>
  <c r="AW634" i="14"/>
  <c r="AY634" i="14" s="1"/>
  <c r="AW628" i="14"/>
  <c r="AX628" i="14" s="1"/>
  <c r="AW566" i="14"/>
  <c r="AY566" i="14" s="1"/>
  <c r="AW582" i="14"/>
  <c r="AX582" i="14" s="1"/>
  <c r="BF43" i="14"/>
  <c r="AW604" i="14"/>
  <c r="AY604" i="14" s="1"/>
  <c r="AW638" i="14"/>
  <c r="AX638" i="14" s="1"/>
  <c r="AW599" i="14"/>
  <c r="AY599" i="14" s="1"/>
  <c r="BF611" i="14"/>
  <c r="AW613" i="14"/>
  <c r="AX613" i="14" s="1"/>
  <c r="AW627" i="14"/>
  <c r="AY627" i="14" s="1"/>
  <c r="AW659" i="14"/>
  <c r="AY659" i="14" s="1"/>
  <c r="AW594" i="14"/>
  <c r="AY594" i="14" s="1"/>
  <c r="AW633" i="14"/>
  <c r="AY633" i="14" s="1"/>
  <c r="AW588" i="14"/>
  <c r="AY588" i="14" s="1"/>
  <c r="AW636" i="14"/>
  <c r="AY636" i="14" s="1"/>
  <c r="AW664" i="14"/>
  <c r="AY664" i="14" s="1"/>
  <c r="AW591" i="14"/>
  <c r="AX591" i="14" s="1"/>
  <c r="BF664" i="14"/>
  <c r="AW574" i="14"/>
  <c r="AY574" i="14" s="1"/>
  <c r="AW630" i="14"/>
  <c r="AY630" i="14" s="1"/>
  <c r="BE64" i="14"/>
  <c r="AW578" i="14"/>
  <c r="AY578" i="14" s="1"/>
  <c r="AW646" i="14"/>
  <c r="AY646" i="14" s="1"/>
  <c r="BF64" i="14"/>
  <c r="AW575" i="14"/>
  <c r="AY575" i="14" s="1"/>
  <c r="AW549" i="14"/>
  <c r="AY549" i="14" s="1"/>
  <c r="AW612" i="14"/>
  <c r="AY612" i="14" s="1"/>
  <c r="AW592" i="14"/>
  <c r="AY592" i="14" s="1"/>
  <c r="AW571" i="14"/>
  <c r="AY571" i="14" s="1"/>
  <c r="BF585" i="14"/>
  <c r="BF591" i="14"/>
  <c r="AW577" i="14"/>
  <c r="AY577" i="14" s="1"/>
  <c r="AW657" i="14"/>
  <c r="AY657" i="14" s="1"/>
  <c r="BF568" i="14"/>
  <c r="AX141" i="14"/>
  <c r="AW626" i="14"/>
  <c r="AY626" i="14" s="1"/>
  <c r="BF663" i="14"/>
  <c r="AW595" i="14"/>
  <c r="AY595" i="14" s="1"/>
  <c r="AW600" i="14"/>
  <c r="AY600" i="14" s="1"/>
  <c r="BF566" i="14"/>
  <c r="AW621" i="14"/>
  <c r="AY621" i="14" s="1"/>
  <c r="AW568" i="14"/>
  <c r="AY568" i="14" s="1"/>
  <c r="BF644" i="14"/>
  <c r="AW598" i="14"/>
  <c r="AY598" i="14" s="1"/>
  <c r="BF632" i="14"/>
  <c r="AW581" i="14"/>
  <c r="AY581" i="14" s="1"/>
  <c r="BF76" i="14"/>
  <c r="AW649" i="14"/>
  <c r="AY649" i="14" s="1"/>
  <c r="AW579" i="14"/>
  <c r="AY579" i="14" s="1"/>
  <c r="BF638" i="14"/>
  <c r="BF581" i="14"/>
  <c r="BF636" i="14"/>
  <c r="AW639" i="14"/>
  <c r="AY639" i="14" s="1"/>
  <c r="AW615" i="14"/>
  <c r="AY615" i="14" s="1"/>
  <c r="BF634" i="14"/>
  <c r="BF65" i="14"/>
  <c r="BE65" i="14"/>
  <c r="BF607" i="14"/>
  <c r="BF596" i="14"/>
  <c r="BF573" i="14"/>
  <c r="BF642" i="14"/>
  <c r="BF622" i="14"/>
  <c r="BF14" i="14"/>
  <c r="BE14" i="14"/>
  <c r="BF558" i="14"/>
  <c r="BF44" i="14"/>
  <c r="BE44" i="14"/>
  <c r="BF617" i="14"/>
  <c r="BE63" i="14"/>
  <c r="BF63" i="14"/>
  <c r="BF563" i="14"/>
  <c r="BF555" i="14"/>
  <c r="AW551" i="14"/>
  <c r="AY551" i="14" s="1"/>
  <c r="BF583" i="14"/>
  <c r="BF608" i="14"/>
  <c r="BF624" i="14"/>
  <c r="BF601" i="14"/>
  <c r="BF646" i="14"/>
  <c r="BF625" i="14"/>
  <c r="AW609" i="14"/>
  <c r="AY609" i="14" s="1"/>
  <c r="AW596" i="14"/>
  <c r="AY596" i="14" s="1"/>
  <c r="BF559" i="14"/>
  <c r="BF647" i="14"/>
  <c r="BF629" i="14"/>
  <c r="BF553" i="14"/>
  <c r="BF592" i="14"/>
  <c r="BF557" i="14"/>
  <c r="BF571" i="14"/>
  <c r="BF655" i="14"/>
  <c r="BF631" i="14"/>
  <c r="BF40" i="14"/>
  <c r="BE40" i="14"/>
  <c r="BF645" i="14"/>
  <c r="AW642" i="14"/>
  <c r="AY642" i="14" s="1"/>
  <c r="BF620" i="14"/>
  <c r="BF567" i="14"/>
  <c r="BF42" i="14"/>
  <c r="BE42" i="14"/>
  <c r="BF576" i="14"/>
  <c r="BF613" i="14"/>
  <c r="BF633" i="14"/>
  <c r="BF618" i="14"/>
  <c r="BF643" i="14"/>
  <c r="BF628" i="14"/>
  <c r="BF660" i="14"/>
  <c r="AW617" i="14"/>
  <c r="AY617" i="14" s="1"/>
  <c r="AM59" i="14"/>
  <c r="AN59" i="14" s="1"/>
  <c r="AW640" i="14"/>
  <c r="AY640" i="14" s="1"/>
  <c r="BF600" i="14"/>
  <c r="BF605" i="14"/>
  <c r="BF556" i="14"/>
  <c r="BF575" i="14"/>
  <c r="AW607" i="14"/>
  <c r="AY607" i="14" s="1"/>
  <c r="AM60" i="14"/>
  <c r="BF129" i="14"/>
  <c r="BE41" i="14"/>
  <c r="BF41" i="14"/>
  <c r="BF594" i="14"/>
  <c r="BF45" i="14"/>
  <c r="BE45" i="14"/>
  <c r="BF641" i="14"/>
  <c r="BF572" i="14"/>
  <c r="AW586" i="14"/>
  <c r="AY586" i="14" s="1"/>
  <c r="AW652" i="14"/>
  <c r="AY652" i="14" s="1"/>
  <c r="BF588" i="14"/>
  <c r="BF637" i="14"/>
  <c r="BF635" i="14"/>
  <c r="BF659" i="14"/>
  <c r="BF39" i="14"/>
  <c r="BE39" i="14"/>
  <c r="BF656" i="14"/>
  <c r="BF627" i="14"/>
  <c r="BF640" i="14"/>
  <c r="BF662" i="14"/>
  <c r="BF586" i="14"/>
  <c r="BF574" i="14"/>
  <c r="BF580" i="14"/>
  <c r="BF598" i="14"/>
  <c r="BF621" i="14"/>
  <c r="BF630" i="14"/>
  <c r="BF552" i="14"/>
  <c r="BF554" i="14"/>
  <c r="BF609" i="14"/>
  <c r="BF610" i="14"/>
  <c r="AW563" i="14"/>
  <c r="AY563" i="14" s="1"/>
  <c r="BF619" i="14"/>
  <c r="BF595" i="14"/>
  <c r="BF578" i="14"/>
  <c r="BF599" i="14"/>
  <c r="BF623" i="14"/>
  <c r="BF606" i="14"/>
  <c r="BF549" i="14"/>
  <c r="BF551" i="14"/>
  <c r="AW573" i="14"/>
  <c r="AY573" i="14" s="1"/>
  <c r="AW555" i="14"/>
  <c r="AY555" i="14" s="1"/>
  <c r="BF651" i="14"/>
  <c r="BF51" i="14"/>
  <c r="BE51" i="14"/>
  <c r="BF615" i="14"/>
  <c r="BF639" i="14"/>
  <c r="BF665" i="14"/>
  <c r="BF597" i="14"/>
  <c r="BF579" i="14"/>
  <c r="BF616" i="14"/>
  <c r="BF661" i="14"/>
  <c r="BF652" i="14"/>
  <c r="AW622" i="14"/>
  <c r="AY622" i="14" s="1"/>
  <c r="BF649" i="14"/>
  <c r="BF565" i="14"/>
  <c r="BF13" i="14"/>
  <c r="BE13" i="14"/>
  <c r="BF666" i="14"/>
  <c r="AW601" i="14"/>
  <c r="AX601" i="14" s="1"/>
  <c r="AW610" i="14"/>
  <c r="AY610" i="14" s="1"/>
  <c r="BF650" i="14"/>
  <c r="BF582" i="14"/>
  <c r="BF653" i="14"/>
  <c r="BF612" i="14"/>
  <c r="BF602" i="14"/>
  <c r="BF587" i="14"/>
  <c r="BF626" i="14"/>
  <c r="BF15" i="14"/>
  <c r="BE15" i="14"/>
  <c r="BF614" i="14"/>
  <c r="AX136" i="14"/>
  <c r="AX9" i="14"/>
  <c r="AY423" i="14"/>
  <c r="AX188" i="14"/>
  <c r="BG571" i="14"/>
  <c r="AY413" i="14"/>
  <c r="AW618" i="14"/>
  <c r="AY618" i="14" s="1"/>
  <c r="AX313" i="14"/>
  <c r="BG656" i="14"/>
  <c r="AY379" i="14"/>
  <c r="AY87" i="14"/>
  <c r="AY134" i="14"/>
  <c r="BG623" i="14"/>
  <c r="BG646" i="14"/>
  <c r="AW655" i="14"/>
  <c r="AY655" i="14" s="1"/>
  <c r="BG654" i="14"/>
  <c r="AY11" i="14"/>
  <c r="AX387" i="14"/>
  <c r="AX226" i="14"/>
  <c r="AX92" i="14"/>
  <c r="AX465" i="14"/>
  <c r="AX128" i="14"/>
  <c r="AY128" i="14"/>
  <c r="AX417" i="14"/>
  <c r="AY127" i="14"/>
  <c r="AX127" i="14"/>
  <c r="BG618" i="14"/>
  <c r="AX373" i="14"/>
  <c r="BG554" i="14"/>
  <c r="AY123" i="14"/>
  <c r="AX123" i="14"/>
  <c r="AY31" i="14"/>
  <c r="AY122" i="14"/>
  <c r="AX122" i="14"/>
  <c r="AY121" i="14"/>
  <c r="AX121" i="14"/>
  <c r="BG640" i="14"/>
  <c r="AX70" i="14"/>
  <c r="AY124" i="14"/>
  <c r="AX124" i="14"/>
  <c r="BG563" i="14"/>
  <c r="AY99" i="14"/>
  <c r="AX99" i="14"/>
  <c r="BG611" i="14"/>
  <c r="AY103" i="14"/>
  <c r="AX103" i="14"/>
  <c r="AY101" i="14"/>
  <c r="AX101" i="14"/>
  <c r="AY102" i="14"/>
  <c r="AX102" i="14"/>
  <c r="AX157" i="14"/>
  <c r="AY100" i="14"/>
  <c r="AX100" i="14"/>
  <c r="AY104" i="14"/>
  <c r="AX104" i="14"/>
  <c r="AW658" i="14"/>
  <c r="AY658" i="14" s="1"/>
  <c r="BG658" i="14"/>
  <c r="BG622" i="14"/>
  <c r="AY18" i="14"/>
  <c r="AX62" i="14"/>
  <c r="AW556" i="14"/>
  <c r="AY556" i="14" s="1"/>
  <c r="AY71" i="14"/>
  <c r="AX71" i="14"/>
  <c r="BG556" i="14"/>
  <c r="AY72" i="14"/>
  <c r="AX72" i="14"/>
  <c r="AY61" i="14"/>
  <c r="W6" i="14"/>
  <c r="AW611" i="14"/>
  <c r="AY611" i="14" s="1"/>
  <c r="AX225" i="14"/>
  <c r="AW653" i="14"/>
  <c r="AX653" i="14" s="1"/>
  <c r="AX17" i="14"/>
  <c r="BG624" i="14"/>
  <c r="AY205" i="14"/>
  <c r="AX426" i="14"/>
  <c r="BG579" i="14"/>
  <c r="AY77" i="14"/>
  <c r="AY427" i="14"/>
  <c r="BG59" i="14"/>
  <c r="BG60" i="14"/>
  <c r="AX432" i="14"/>
  <c r="AY494" i="14"/>
  <c r="AX323" i="14"/>
  <c r="AY244" i="14"/>
  <c r="AX536" i="14"/>
  <c r="AY466" i="14"/>
  <c r="AY54" i="14"/>
  <c r="AX514" i="14"/>
  <c r="AY81" i="14"/>
  <c r="AY368" i="14"/>
  <c r="AX548" i="14"/>
  <c r="AX89" i="14"/>
  <c r="AX36" i="14"/>
  <c r="AX227" i="14"/>
  <c r="BG573" i="14"/>
  <c r="AX215" i="14"/>
  <c r="AX347" i="14"/>
  <c r="AX35" i="14"/>
  <c r="AX519" i="14"/>
  <c r="AY425" i="14"/>
  <c r="AX425" i="14"/>
  <c r="AY235" i="14"/>
  <c r="AX235" i="14"/>
  <c r="AY206" i="14"/>
  <c r="AX206" i="14"/>
  <c r="AY422" i="14"/>
  <c r="AX422" i="14"/>
  <c r="AY30" i="14"/>
  <c r="AX30" i="14"/>
  <c r="AY409" i="14"/>
  <c r="AX409" i="14"/>
  <c r="AY132" i="14"/>
  <c r="AX132" i="14"/>
  <c r="AY485" i="14"/>
  <c r="AX485" i="14"/>
  <c r="AY280" i="14"/>
  <c r="AX280" i="14"/>
  <c r="AY434" i="14"/>
  <c r="AX434" i="14"/>
  <c r="AY564" i="14"/>
  <c r="AX564" i="14"/>
  <c r="AY378" i="14"/>
  <c r="AX378" i="14"/>
  <c r="AY96" i="14"/>
  <c r="AX96" i="14"/>
  <c r="AY433" i="14"/>
  <c r="AX433" i="14"/>
  <c r="AX221" i="14"/>
  <c r="AY221" i="14"/>
  <c r="BG585" i="14"/>
  <c r="AY401" i="14"/>
  <c r="AX401" i="14"/>
  <c r="AY392" i="14"/>
  <c r="AX392" i="14"/>
  <c r="AX172" i="14"/>
  <c r="AY172" i="14"/>
  <c r="AY350" i="14"/>
  <c r="AX350" i="14"/>
  <c r="AY34" i="14"/>
  <c r="AX34" i="14"/>
  <c r="AX336" i="14"/>
  <c r="AY336" i="14"/>
  <c r="AY24" i="14"/>
  <c r="AX24" i="14"/>
  <c r="AY316" i="14"/>
  <c r="AX316" i="14"/>
  <c r="AY12" i="14"/>
  <c r="AX12" i="14"/>
  <c r="AY372" i="14"/>
  <c r="AX372" i="14"/>
  <c r="AY356" i="14"/>
  <c r="AX356" i="14"/>
  <c r="AY56" i="14"/>
  <c r="AX56" i="14"/>
  <c r="AY468" i="14"/>
  <c r="AX468" i="14"/>
  <c r="AY207" i="14"/>
  <c r="AX207" i="14"/>
  <c r="AY416" i="14"/>
  <c r="AX416" i="14"/>
  <c r="AY229" i="14"/>
  <c r="AX229" i="14"/>
  <c r="AY505" i="14"/>
  <c r="AX505" i="14"/>
  <c r="AY158" i="14"/>
  <c r="AX158" i="14"/>
  <c r="BG565" i="14"/>
  <c r="AY453" i="14"/>
  <c r="AX453" i="14"/>
  <c r="AY173" i="14"/>
  <c r="AX173" i="14"/>
  <c r="AY524" i="14"/>
  <c r="AX524" i="14"/>
  <c r="AY306" i="14"/>
  <c r="AX306" i="14"/>
  <c r="BG621" i="14"/>
  <c r="AX91" i="14"/>
  <c r="AY461" i="14"/>
  <c r="AX461" i="14"/>
  <c r="AY240" i="14"/>
  <c r="AX240" i="14"/>
  <c r="AX526" i="14"/>
  <c r="AY526" i="14"/>
  <c r="AY365" i="14"/>
  <c r="AX365" i="14"/>
  <c r="BG581" i="14"/>
  <c r="AY443" i="14"/>
  <c r="AX443" i="14"/>
  <c r="AY231" i="14"/>
  <c r="AX231" i="14"/>
  <c r="BG633" i="14"/>
  <c r="AY196" i="14"/>
  <c r="AX196" i="14"/>
  <c r="AY27" i="14"/>
  <c r="AX27" i="14"/>
  <c r="AY291" i="14"/>
  <c r="AX291" i="14"/>
  <c r="AX139" i="14"/>
  <c r="AY139" i="14"/>
  <c r="AX322" i="14"/>
  <c r="AY322" i="14"/>
  <c r="AY125" i="14"/>
  <c r="AX125" i="14"/>
  <c r="AY343" i="14"/>
  <c r="AX343" i="14"/>
  <c r="AY331" i="14"/>
  <c r="AX331" i="14"/>
  <c r="AY201" i="14"/>
  <c r="AX201" i="14"/>
  <c r="AY560" i="14"/>
  <c r="AX560" i="14"/>
  <c r="BG559" i="14"/>
  <c r="AY438" i="14"/>
  <c r="AX438" i="14"/>
  <c r="AY192" i="14"/>
  <c r="AX192" i="14"/>
  <c r="BG572" i="14"/>
  <c r="AY287" i="14"/>
  <c r="AX287" i="14"/>
  <c r="AY167" i="14"/>
  <c r="AX167" i="14"/>
  <c r="AY384" i="14"/>
  <c r="AX384" i="14"/>
  <c r="AY198" i="14"/>
  <c r="AX198" i="14"/>
  <c r="AY467" i="14"/>
  <c r="AX467" i="14"/>
  <c r="AY159" i="14"/>
  <c r="AX159" i="14"/>
  <c r="AY152" i="14"/>
  <c r="AX152" i="14"/>
  <c r="AY375" i="14"/>
  <c r="AX375" i="14"/>
  <c r="AY164" i="14"/>
  <c r="AX164" i="14"/>
  <c r="BG616" i="14"/>
  <c r="AY276" i="14"/>
  <c r="AX276" i="14"/>
  <c r="AY53" i="14"/>
  <c r="AX53" i="14"/>
  <c r="AY509" i="14"/>
  <c r="AX509" i="14"/>
  <c r="AY242" i="14"/>
  <c r="AX242" i="14"/>
  <c r="AX73" i="14"/>
  <c r="X6" i="14"/>
  <c r="AW616" i="14"/>
  <c r="AW559" i="14"/>
  <c r="AX19" i="14"/>
  <c r="AY19" i="14"/>
  <c r="AY297" i="14"/>
  <c r="AX297" i="14"/>
  <c r="AY233" i="14"/>
  <c r="AX233" i="14"/>
  <c r="AX170" i="14"/>
  <c r="AY170" i="14"/>
  <c r="AY138" i="14"/>
  <c r="AX138" i="14"/>
  <c r="AY220" i="14"/>
  <c r="AX220" i="14"/>
  <c r="AY471" i="14"/>
  <c r="AX471" i="14"/>
  <c r="AY270" i="14"/>
  <c r="AX270" i="14"/>
  <c r="AY454" i="14"/>
  <c r="AX454" i="14"/>
  <c r="AY189" i="14"/>
  <c r="AX189" i="14"/>
  <c r="AY302" i="14"/>
  <c r="AX302" i="14"/>
  <c r="AY111" i="14"/>
  <c r="AX111" i="14"/>
  <c r="AY403" i="14"/>
  <c r="AX403" i="14"/>
  <c r="AY203" i="14"/>
  <c r="AX203" i="14"/>
  <c r="AY396" i="14"/>
  <c r="AX396" i="14"/>
  <c r="AY48" i="14"/>
  <c r="AX48" i="14"/>
  <c r="AY503" i="14"/>
  <c r="AX503" i="14"/>
  <c r="AY82" i="14"/>
  <c r="AX82" i="14"/>
  <c r="AY421" i="14"/>
  <c r="AX421" i="14"/>
  <c r="AY216" i="14"/>
  <c r="AX216" i="14"/>
  <c r="AY279" i="14"/>
  <c r="AX279" i="14"/>
  <c r="AY22" i="14"/>
  <c r="AX22" i="14"/>
  <c r="AX263" i="14"/>
  <c r="AY263" i="14"/>
  <c r="AY340" i="14"/>
  <c r="AX340" i="14"/>
  <c r="AX310" i="14"/>
  <c r="AY310" i="14"/>
  <c r="AX241" i="14"/>
  <c r="AY241" i="14"/>
  <c r="AX294" i="14"/>
  <c r="AY294" i="14"/>
  <c r="AY107" i="14"/>
  <c r="AX107" i="14"/>
  <c r="AY268" i="14"/>
  <c r="AX268" i="14"/>
  <c r="AY303" i="14"/>
  <c r="AX303" i="14"/>
  <c r="AY304" i="14"/>
  <c r="AX304" i="14"/>
  <c r="AY149" i="14"/>
  <c r="AX149" i="14"/>
  <c r="AY488" i="14"/>
  <c r="AX488" i="14"/>
  <c r="AK593" i="14"/>
  <c r="AL593" i="14"/>
  <c r="AY393" i="14"/>
  <c r="AX393" i="14"/>
  <c r="AY113" i="14"/>
  <c r="AX113" i="14"/>
  <c r="AY528" i="14"/>
  <c r="AX528" i="14"/>
  <c r="AY248" i="14"/>
  <c r="AX248" i="14"/>
  <c r="BG597" i="14"/>
  <c r="AY428" i="14"/>
  <c r="AX428" i="14"/>
  <c r="AY133" i="14"/>
  <c r="AX133" i="14"/>
  <c r="AX74" i="14"/>
  <c r="AY168" i="14"/>
  <c r="AX168" i="14"/>
  <c r="AY370" i="14"/>
  <c r="AX370" i="14"/>
  <c r="AY184" i="14"/>
  <c r="AX184" i="14"/>
  <c r="AY307" i="14"/>
  <c r="AX307" i="14"/>
  <c r="AY194" i="14"/>
  <c r="AX194" i="14"/>
  <c r="AY301" i="14"/>
  <c r="AX301" i="14"/>
  <c r="AY285" i="14"/>
  <c r="AX285" i="14"/>
  <c r="AY275" i="14"/>
  <c r="AX275" i="14"/>
  <c r="AY25" i="14"/>
  <c r="AX25" i="14"/>
  <c r="AY300" i="14"/>
  <c r="AX300" i="14"/>
  <c r="AY284" i="14"/>
  <c r="AX284" i="14"/>
  <c r="AX78" i="14"/>
  <c r="AY78" i="14"/>
  <c r="AY317" i="14"/>
  <c r="AX317" i="14"/>
  <c r="AY525" i="14"/>
  <c r="AX525" i="14"/>
  <c r="AY407" i="14"/>
  <c r="AX407" i="14"/>
  <c r="AY547" i="14"/>
  <c r="AX547" i="14"/>
  <c r="AY329" i="14"/>
  <c r="AX329" i="14"/>
  <c r="AY508" i="14"/>
  <c r="AX508" i="14"/>
  <c r="AY195" i="14"/>
  <c r="AX195" i="14"/>
  <c r="AY345" i="14"/>
  <c r="AX345" i="14"/>
  <c r="AY529" i="14"/>
  <c r="AX529" i="14"/>
  <c r="AY333" i="14"/>
  <c r="AX333" i="14"/>
  <c r="AX247" i="14"/>
  <c r="AY247" i="14"/>
  <c r="AY29" i="14"/>
  <c r="AX29" i="14"/>
  <c r="AY360" i="14"/>
  <c r="AX360" i="14"/>
  <c r="AY344" i="14"/>
  <c r="AX344" i="14"/>
  <c r="AY411" i="14"/>
  <c r="AX411" i="14"/>
  <c r="AX278" i="14"/>
  <c r="AY278" i="14"/>
  <c r="AY252" i="14"/>
  <c r="AX252" i="14"/>
  <c r="AY266" i="14"/>
  <c r="AX266" i="14"/>
  <c r="AY217" i="14"/>
  <c r="AX217" i="14"/>
  <c r="AY271" i="14"/>
  <c r="AX271" i="14"/>
  <c r="AY135" i="14"/>
  <c r="AX135" i="14"/>
  <c r="AX450" i="14"/>
  <c r="AY450" i="14"/>
  <c r="AY261" i="14"/>
  <c r="AX261" i="14"/>
  <c r="BG647" i="14"/>
  <c r="AY362" i="14"/>
  <c r="AX362" i="14"/>
  <c r="AY117" i="14"/>
  <c r="AX117" i="14"/>
  <c r="AY462" i="14"/>
  <c r="AX462" i="14"/>
  <c r="AY274" i="14"/>
  <c r="AX274" i="14"/>
  <c r="BG595" i="14"/>
  <c r="AY10" i="14"/>
  <c r="AX10" i="14"/>
  <c r="AY522" i="14"/>
  <c r="AX522" i="14"/>
  <c r="AX155" i="14"/>
  <c r="AY155" i="14"/>
  <c r="AW565" i="14"/>
  <c r="AY143" i="14"/>
  <c r="AX143" i="14"/>
  <c r="AX478" i="14"/>
  <c r="AY478" i="14"/>
  <c r="AY156" i="14"/>
  <c r="AX156" i="14"/>
  <c r="AY543" i="14"/>
  <c r="AX543" i="14"/>
  <c r="AY97" i="14"/>
  <c r="AX97" i="14"/>
  <c r="AX243" i="14"/>
  <c r="AY243" i="14"/>
  <c r="AX262" i="14"/>
  <c r="AY262" i="14"/>
  <c r="AY165" i="14"/>
  <c r="AX165" i="14"/>
  <c r="AY108" i="14"/>
  <c r="AX108" i="14"/>
  <c r="AY414" i="14"/>
  <c r="AX414" i="14"/>
  <c r="AX119" i="14"/>
  <c r="AY119" i="14"/>
  <c r="AY470" i="14"/>
  <c r="AX470" i="14"/>
  <c r="AY180" i="14"/>
  <c r="AX180" i="14"/>
  <c r="AY562" i="14"/>
  <c r="AX562" i="14"/>
  <c r="AY394" i="14"/>
  <c r="AX394" i="14"/>
  <c r="AY93" i="14"/>
  <c r="AX93" i="14"/>
  <c r="AY449" i="14"/>
  <c r="AX449" i="14"/>
  <c r="AY265" i="14"/>
  <c r="AX265" i="14"/>
  <c r="BG641" i="14"/>
  <c r="AY448" i="14"/>
  <c r="AX448" i="14"/>
  <c r="AY69" i="14"/>
  <c r="AX69" i="14"/>
  <c r="AY355" i="14"/>
  <c r="AX355" i="14"/>
  <c r="AY431" i="14"/>
  <c r="AX431" i="14"/>
  <c r="AY66" i="14"/>
  <c r="AX66" i="14"/>
  <c r="AY386" i="14"/>
  <c r="AX386" i="14"/>
  <c r="AY57" i="14"/>
  <c r="AX57" i="14"/>
  <c r="AY311" i="14"/>
  <c r="AX311" i="14"/>
  <c r="AY86" i="14"/>
  <c r="AX86" i="14"/>
  <c r="AY419" i="14"/>
  <c r="AX419" i="14"/>
  <c r="AY327" i="14"/>
  <c r="AX327" i="14"/>
  <c r="AY315" i="14"/>
  <c r="AX315" i="14"/>
  <c r="AY513" i="14"/>
  <c r="AX513" i="14"/>
  <c r="AY326" i="14"/>
  <c r="AX326" i="14"/>
  <c r="AY314" i="14"/>
  <c r="AX314" i="14"/>
  <c r="AY332" i="14"/>
  <c r="AX332" i="14"/>
  <c r="AY520" i="14"/>
  <c r="AX520" i="14"/>
  <c r="AY496" i="14"/>
  <c r="AX496" i="14"/>
  <c r="AY26" i="14"/>
  <c r="AX26" i="14"/>
  <c r="AY385" i="14"/>
  <c r="AX385" i="14"/>
  <c r="AY545" i="14"/>
  <c r="AX545" i="14"/>
  <c r="AY253" i="14"/>
  <c r="AX253" i="14"/>
  <c r="AY20" i="14"/>
  <c r="AX20" i="14"/>
  <c r="AY518" i="14"/>
  <c r="AX518" i="14"/>
  <c r="AY251" i="14"/>
  <c r="AX251" i="14"/>
  <c r="AX140" i="14"/>
  <c r="AY140" i="14"/>
  <c r="AY539" i="14"/>
  <c r="AX539" i="14"/>
  <c r="AY299" i="14"/>
  <c r="AX299" i="14"/>
  <c r="AY58" i="14"/>
  <c r="AX58" i="14"/>
  <c r="AY532" i="14"/>
  <c r="AX532" i="14"/>
  <c r="AY464" i="14"/>
  <c r="AX464" i="14"/>
  <c r="AY94" i="14"/>
  <c r="AX94" i="14"/>
  <c r="AY516" i="14"/>
  <c r="AX516" i="14"/>
  <c r="AY367" i="14"/>
  <c r="AX367" i="14"/>
  <c r="AY500" i="14"/>
  <c r="AX500" i="14"/>
  <c r="AY298" i="14"/>
  <c r="AX298" i="14"/>
  <c r="AY318" i="14"/>
  <c r="AX318" i="14"/>
  <c r="AY363" i="14"/>
  <c r="AX363" i="14"/>
  <c r="AX23" i="14"/>
  <c r="AY23" i="14"/>
  <c r="AY570" i="14"/>
  <c r="AX570" i="14"/>
  <c r="AX493" i="14"/>
  <c r="AY493" i="14"/>
  <c r="AY50" i="14"/>
  <c r="AX50" i="14"/>
  <c r="BG589" i="14"/>
  <c r="AY391" i="14"/>
  <c r="AX391" i="14"/>
  <c r="AY204" i="14"/>
  <c r="AX204" i="14"/>
  <c r="BG558" i="14"/>
  <c r="AY256" i="14"/>
  <c r="AX256" i="14"/>
  <c r="AY28" i="14"/>
  <c r="AX28" i="14"/>
  <c r="AY538" i="14"/>
  <c r="AX538" i="14"/>
  <c r="AY234" i="14"/>
  <c r="AX234" i="14"/>
  <c r="BG607" i="14"/>
  <c r="AY429" i="14"/>
  <c r="AX429" i="14"/>
  <c r="AY98" i="14"/>
  <c r="AX98" i="14"/>
  <c r="AW558" i="14"/>
  <c r="AW597" i="14"/>
  <c r="AY359" i="14"/>
  <c r="AX359" i="14"/>
  <c r="BG52" i="14"/>
  <c r="BG657" i="14"/>
  <c r="AX178" i="14"/>
  <c r="AY178" i="14"/>
  <c r="AX490" i="14"/>
  <c r="AY490" i="14"/>
  <c r="AX162" i="14"/>
  <c r="AY162" i="14"/>
  <c r="AY527" i="14"/>
  <c r="AX527" i="14"/>
  <c r="AY230" i="14"/>
  <c r="AX230" i="14"/>
  <c r="AY497" i="14"/>
  <c r="AX497" i="14"/>
  <c r="AY305" i="14"/>
  <c r="AX305" i="14"/>
  <c r="AY481" i="14"/>
  <c r="AX481" i="14"/>
  <c r="AY289" i="14"/>
  <c r="AX289" i="14"/>
  <c r="AY351" i="14"/>
  <c r="AX351" i="14"/>
  <c r="AY126" i="14"/>
  <c r="AX126" i="14"/>
  <c r="AY484" i="14"/>
  <c r="AX484" i="14"/>
  <c r="AY282" i="14"/>
  <c r="AX282" i="14"/>
  <c r="AY312" i="14"/>
  <c r="AX312" i="14"/>
  <c r="BG629" i="14"/>
  <c r="AY288" i="14"/>
  <c r="AX288" i="14"/>
  <c r="AY486" i="14"/>
  <c r="AX486" i="14"/>
  <c r="AY245" i="14"/>
  <c r="AX245" i="14"/>
  <c r="AX21" i="14"/>
  <c r="AY21" i="14"/>
  <c r="AX542" i="14"/>
  <c r="AY542" i="14"/>
  <c r="AY369" i="14"/>
  <c r="AX369" i="14"/>
  <c r="AY110" i="14"/>
  <c r="AX110" i="14"/>
  <c r="AY361" i="14"/>
  <c r="AX361" i="14"/>
  <c r="AY254" i="14"/>
  <c r="AX254" i="14"/>
  <c r="AY325" i="14"/>
  <c r="AX325" i="14"/>
  <c r="AW629" i="14"/>
  <c r="AY498" i="14"/>
  <c r="AX498" i="14"/>
  <c r="AX366" i="14"/>
  <c r="AY366" i="14"/>
  <c r="AY47" i="14"/>
  <c r="AX47" i="14"/>
  <c r="AY537" i="14"/>
  <c r="AX537" i="14"/>
  <c r="AY357" i="14"/>
  <c r="AX357" i="14"/>
  <c r="AY281" i="14"/>
  <c r="AX281" i="14"/>
  <c r="AY534" i="14"/>
  <c r="AX534" i="14"/>
  <c r="AY335" i="14"/>
  <c r="AX335" i="14"/>
  <c r="AY480" i="14"/>
  <c r="AX480" i="14"/>
  <c r="AY321" i="14"/>
  <c r="AX321" i="14"/>
  <c r="AY502" i="14"/>
  <c r="AX502" i="14"/>
  <c r="AX146" i="14"/>
  <c r="AY146" i="14"/>
  <c r="AY523" i="14"/>
  <c r="AX523" i="14"/>
  <c r="AY283" i="14"/>
  <c r="AX283" i="14"/>
  <c r="AY80" i="14"/>
  <c r="AX80" i="14"/>
  <c r="AY507" i="14"/>
  <c r="AX507" i="14"/>
  <c r="AY267" i="14"/>
  <c r="AX267" i="14"/>
  <c r="BG615" i="14"/>
  <c r="AY491" i="14"/>
  <c r="AX491" i="14"/>
  <c r="AX273" i="14"/>
  <c r="AY273" i="14"/>
  <c r="AY46" i="14"/>
  <c r="AX46" i="14"/>
  <c r="AY475" i="14"/>
  <c r="AX475" i="14"/>
  <c r="AY348" i="14"/>
  <c r="AX348" i="14"/>
  <c r="AY151" i="14"/>
  <c r="AX151" i="14"/>
  <c r="AK590" i="14"/>
  <c r="AL590" i="14"/>
  <c r="AY459" i="14"/>
  <c r="AX459" i="14"/>
  <c r="AY334" i="14"/>
  <c r="AX334" i="14"/>
  <c r="BG635" i="14"/>
  <c r="AY250" i="14"/>
  <c r="AX250" i="14"/>
  <c r="AY186" i="14"/>
  <c r="AX186" i="14"/>
  <c r="AX255" i="14"/>
  <c r="AY255" i="14"/>
  <c r="BG550" i="14"/>
  <c r="AY292" i="14"/>
  <c r="AX292" i="14"/>
  <c r="BG586" i="14"/>
  <c r="AY418" i="14"/>
  <c r="AX418" i="14"/>
  <c r="AY219" i="14"/>
  <c r="AX219" i="14"/>
  <c r="AY535" i="14"/>
  <c r="AX535" i="14"/>
  <c r="AY353" i="14"/>
  <c r="AX353" i="14"/>
  <c r="AX153" i="14"/>
  <c r="AY153" i="14"/>
  <c r="AY120" i="14"/>
  <c r="AX120" i="14"/>
  <c r="AY211" i="14"/>
  <c r="AX211" i="14"/>
  <c r="AY67" i="14"/>
  <c r="AX67" i="14"/>
  <c r="AY569" i="14"/>
  <c r="AX569" i="14"/>
  <c r="AY182" i="14"/>
  <c r="AX182" i="14"/>
  <c r="AX364" i="14"/>
  <c r="AY364" i="14"/>
  <c r="AY259" i="14"/>
  <c r="AX259" i="14"/>
  <c r="AX460" i="14"/>
  <c r="AY460" i="14"/>
  <c r="AY309" i="14"/>
  <c r="AX309" i="14"/>
  <c r="AY511" i="14"/>
  <c r="AX511" i="14"/>
  <c r="AY214" i="14"/>
  <c r="AX214" i="14"/>
  <c r="AY130" i="14"/>
  <c r="AX130" i="14"/>
  <c r="AY495" i="14"/>
  <c r="AX495" i="14"/>
  <c r="BG619" i="14"/>
  <c r="AY479" i="14"/>
  <c r="AX479" i="14"/>
  <c r="AY338" i="14"/>
  <c r="AX338" i="14"/>
  <c r="BG645" i="14"/>
  <c r="AY533" i="14"/>
  <c r="AX533" i="14"/>
  <c r="AX257" i="14"/>
  <c r="AY257" i="14"/>
  <c r="AY517" i="14"/>
  <c r="AX517" i="14"/>
  <c r="AY193" i="14"/>
  <c r="AX193" i="14"/>
  <c r="AY320" i="14"/>
  <c r="AX320" i="14"/>
  <c r="AY105" i="14"/>
  <c r="AX105" i="14"/>
  <c r="AY398" i="14"/>
  <c r="AX398" i="14"/>
  <c r="AX112" i="14"/>
  <c r="AY112" i="14"/>
  <c r="BG601" i="14"/>
  <c r="BG557" i="14"/>
  <c r="AY469" i="14"/>
  <c r="AX469" i="14"/>
  <c r="AY68" i="14"/>
  <c r="AX68" i="14"/>
  <c r="AY444" i="14"/>
  <c r="AX444" i="14"/>
  <c r="AY148" i="14"/>
  <c r="AX148" i="14"/>
  <c r="AY376" i="14"/>
  <c r="AX376" i="14"/>
  <c r="AY79" i="14"/>
  <c r="AX79" i="14"/>
  <c r="AW585" i="14"/>
  <c r="AY223" i="14"/>
  <c r="AX223" i="14"/>
  <c r="AX380" i="14"/>
  <c r="AY380" i="14"/>
  <c r="AY176" i="14"/>
  <c r="AX176" i="14"/>
  <c r="AY390" i="14"/>
  <c r="AX390" i="14"/>
  <c r="AY160" i="14"/>
  <c r="AX160" i="14"/>
  <c r="AX455" i="14"/>
  <c r="AY455" i="14"/>
  <c r="AY228" i="14"/>
  <c r="AX228" i="14"/>
  <c r="AY436" i="14"/>
  <c r="AX436" i="14"/>
  <c r="AX131" i="14"/>
  <c r="AY131" i="14"/>
  <c r="BG620" i="14"/>
  <c r="AY420" i="14"/>
  <c r="AX420" i="14"/>
  <c r="AX239" i="14"/>
  <c r="AY239" i="14"/>
  <c r="AX154" i="14"/>
  <c r="AY154" i="14"/>
  <c r="AY531" i="14"/>
  <c r="AX531" i="14"/>
  <c r="AY183" i="14"/>
  <c r="AX183" i="14"/>
  <c r="BG651" i="14"/>
  <c r="AY463" i="14"/>
  <c r="AX463" i="14"/>
  <c r="AY324" i="14"/>
  <c r="AX324" i="14"/>
  <c r="AY116" i="14"/>
  <c r="AX116" i="14"/>
  <c r="AY499" i="14"/>
  <c r="AX499" i="14"/>
  <c r="AY187" i="14"/>
  <c r="AX187" i="14"/>
  <c r="AY501" i="14"/>
  <c r="AX501" i="14"/>
  <c r="AY342" i="14"/>
  <c r="AX342" i="14"/>
  <c r="AX174" i="14"/>
  <c r="AY174" i="14"/>
  <c r="BG552" i="14"/>
  <c r="AY457" i="14"/>
  <c r="AX457" i="14"/>
  <c r="AY264" i="14"/>
  <c r="AX264" i="14"/>
  <c r="AY118" i="14"/>
  <c r="AX118" i="14"/>
  <c r="AX171" i="14"/>
  <c r="AY171" i="14"/>
  <c r="AX510" i="14"/>
  <c r="AY510" i="14"/>
  <c r="AY337" i="14"/>
  <c r="AX337" i="14"/>
  <c r="BG625" i="14"/>
  <c r="AW641" i="14"/>
  <c r="AW651" i="14"/>
  <c r="AY410" i="14"/>
  <c r="AX410" i="14"/>
  <c r="AY32" i="14"/>
  <c r="AX32" i="14"/>
  <c r="AY199" i="14"/>
  <c r="AX199" i="14"/>
  <c r="AY185" i="14"/>
  <c r="AX185" i="14"/>
  <c r="AX374" i="14"/>
  <c r="AY374" i="14"/>
  <c r="AX446" i="14"/>
  <c r="AY446" i="14"/>
  <c r="AY405" i="14"/>
  <c r="AX405" i="14"/>
  <c r="BG603" i="14"/>
  <c r="AY515" i="14"/>
  <c r="AX515" i="14"/>
  <c r="AY181" i="14"/>
  <c r="AX181" i="14"/>
  <c r="AY33" i="14"/>
  <c r="AX33" i="14"/>
  <c r="AY383" i="14"/>
  <c r="AX383" i="14"/>
  <c r="AY147" i="14"/>
  <c r="AX147" i="14"/>
  <c r="AY296" i="14"/>
  <c r="AX296" i="14"/>
  <c r="BG631" i="14"/>
  <c r="AY272" i="14"/>
  <c r="AX272" i="14"/>
  <c r="AY473" i="14"/>
  <c r="AX473" i="14"/>
  <c r="AY290" i="14"/>
  <c r="AX290" i="14"/>
  <c r="BG605" i="14"/>
  <c r="AY451" i="14"/>
  <c r="AX451" i="14"/>
  <c r="AY84" i="14"/>
  <c r="AX84" i="14"/>
  <c r="AY260" i="14"/>
  <c r="AX260" i="14"/>
  <c r="AW619" i="14"/>
  <c r="AY521" i="14"/>
  <c r="AX521" i="14"/>
  <c r="AY258" i="14"/>
  <c r="AX258" i="14"/>
  <c r="AY512" i="14"/>
  <c r="AX512" i="14"/>
  <c r="AY408" i="14"/>
  <c r="AX408" i="14"/>
  <c r="AY319" i="14"/>
  <c r="AX319" i="14"/>
  <c r="AX190" i="14"/>
  <c r="AY190" i="14"/>
  <c r="AY412" i="14"/>
  <c r="AX412" i="14"/>
  <c r="AY487" i="14"/>
  <c r="AX487" i="14"/>
  <c r="AY406" i="14"/>
  <c r="AX406" i="14"/>
  <c r="AY506" i="14"/>
  <c r="AX506" i="14"/>
  <c r="AY293" i="14"/>
  <c r="AX293" i="14"/>
  <c r="AY277" i="14"/>
  <c r="AX277" i="14"/>
  <c r="AY224" i="14"/>
  <c r="AX224" i="14"/>
  <c r="AY437" i="14"/>
  <c r="AX437" i="14"/>
  <c r="AY209" i="14"/>
  <c r="AX209" i="14"/>
  <c r="AY546" i="14"/>
  <c r="AX546" i="14"/>
  <c r="AY354" i="14"/>
  <c r="AX354" i="14"/>
  <c r="AY142" i="14"/>
  <c r="AX142" i="14"/>
  <c r="AX476" i="14"/>
  <c r="AY476" i="14"/>
  <c r="AY177" i="14"/>
  <c r="AX177" i="14"/>
  <c r="AX474" i="14"/>
  <c r="AY474" i="14"/>
  <c r="AY161" i="14"/>
  <c r="AX161" i="14"/>
  <c r="AX472" i="14"/>
  <c r="AY472" i="14"/>
  <c r="AY541" i="14"/>
  <c r="AX541" i="14"/>
  <c r="AY212" i="14"/>
  <c r="AX212" i="14"/>
  <c r="AY477" i="14"/>
  <c r="AX477" i="14"/>
  <c r="AY197" i="14"/>
  <c r="AX197" i="14"/>
  <c r="AX415" i="14"/>
  <c r="AY415" i="14"/>
  <c r="AY218" i="14"/>
  <c r="AX218" i="14"/>
  <c r="AY389" i="14"/>
  <c r="AX389" i="14"/>
  <c r="AY208" i="14"/>
  <c r="AX208" i="14"/>
  <c r="BG637" i="14"/>
  <c r="AY424" i="14"/>
  <c r="AX424" i="14"/>
  <c r="AY191" i="14"/>
  <c r="AX191" i="14"/>
  <c r="BG599" i="14"/>
  <c r="AY483" i="14"/>
  <c r="AX483" i="14"/>
  <c r="BG617" i="14"/>
  <c r="AY236" i="14"/>
  <c r="AX236" i="14"/>
  <c r="AY452" i="14"/>
  <c r="AX452" i="14"/>
  <c r="AY346" i="14"/>
  <c r="AX346" i="14"/>
  <c r="BG609" i="14"/>
  <c r="AY445" i="14"/>
  <c r="AX445" i="14"/>
  <c r="AY109" i="14"/>
  <c r="AX109" i="14"/>
  <c r="AY530" i="14"/>
  <c r="AX530" i="14"/>
  <c r="AY286" i="14"/>
  <c r="AX286" i="14"/>
  <c r="AY49" i="14"/>
  <c r="AX49" i="14"/>
  <c r="AW635" i="14"/>
  <c r="AY435" i="14"/>
  <c r="AX435" i="14"/>
  <c r="AY402" i="14"/>
  <c r="AX402" i="14"/>
  <c r="AY295" i="14"/>
  <c r="AX295" i="14"/>
  <c r="AY55" i="14"/>
  <c r="AX55" i="14"/>
  <c r="AY200" i="14"/>
  <c r="AX200" i="14"/>
  <c r="AY144" i="14"/>
  <c r="AX144" i="14"/>
  <c r="BG659" i="14"/>
  <c r="AX430" i="14"/>
  <c r="AY430" i="14"/>
  <c r="AK584" i="14"/>
  <c r="AL584" i="14"/>
  <c r="AY540" i="14"/>
  <c r="AX540" i="14"/>
  <c r="AY371" i="14"/>
  <c r="AX371" i="14"/>
  <c r="AY232" i="14"/>
  <c r="AX232" i="14"/>
  <c r="AY504" i="14"/>
  <c r="AX504" i="14"/>
  <c r="AY341" i="14"/>
  <c r="AX341" i="14"/>
  <c r="AY404" i="14"/>
  <c r="AX404" i="14"/>
  <c r="AY441" i="14"/>
  <c r="AX441" i="14"/>
  <c r="AY145" i="14"/>
  <c r="AX145" i="14"/>
  <c r="AY358" i="14"/>
  <c r="AX358" i="14"/>
  <c r="AY246" i="14"/>
  <c r="AX246" i="14"/>
  <c r="AY561" i="14"/>
  <c r="AX561" i="14"/>
  <c r="AY237" i="14"/>
  <c r="AX237" i="14"/>
  <c r="AY458" i="14"/>
  <c r="AX458" i="14"/>
  <c r="AY179" i="14"/>
  <c r="AX179" i="14"/>
  <c r="AX399" i="14"/>
  <c r="AY399" i="14"/>
  <c r="AY202" i="14"/>
  <c r="AX202" i="14"/>
  <c r="BG643" i="14"/>
  <c r="AY489" i="14"/>
  <c r="AX489" i="14"/>
  <c r="AY213" i="14"/>
  <c r="AX213" i="14"/>
  <c r="AY492" i="14"/>
  <c r="AX492" i="14"/>
  <c r="AY175" i="14"/>
  <c r="AX175" i="14"/>
  <c r="AY308" i="14"/>
  <c r="AX308" i="14"/>
  <c r="AY166" i="14"/>
  <c r="AX166" i="14"/>
  <c r="BG649" i="14"/>
  <c r="AY339" i="14"/>
  <c r="AX339" i="14"/>
  <c r="AY442" i="14"/>
  <c r="AX442" i="14"/>
  <c r="BG577" i="14"/>
  <c r="AW603" i="14"/>
  <c r="AY328" i="14"/>
  <c r="AX328" i="14"/>
  <c r="AY397" i="14"/>
  <c r="AX397" i="14"/>
  <c r="AY210" i="14"/>
  <c r="AX210" i="14"/>
  <c r="AY482" i="14"/>
  <c r="AX482" i="14"/>
  <c r="AY349" i="14"/>
  <c r="AX349" i="14"/>
  <c r="AY395" i="14"/>
  <c r="AX395" i="14"/>
  <c r="AX382" i="14"/>
  <c r="AY382" i="14"/>
  <c r="AY388" i="14"/>
  <c r="AX388" i="14"/>
  <c r="AY114" i="14"/>
  <c r="AX114" i="14"/>
  <c r="AY456" i="14"/>
  <c r="AX456" i="14"/>
  <c r="AX269" i="14"/>
  <c r="AY269" i="14"/>
  <c r="AY447" i="14"/>
  <c r="AX447" i="14"/>
  <c r="AY238" i="14"/>
  <c r="AX238" i="14"/>
  <c r="AY75" i="14"/>
  <c r="AX75" i="14"/>
  <c r="AY544" i="14"/>
  <c r="AX544" i="14"/>
  <c r="AY222" i="14"/>
  <c r="AX222" i="14"/>
  <c r="AY440" i="14"/>
  <c r="AX440" i="14"/>
  <c r="AY163" i="14"/>
  <c r="AX163" i="14"/>
  <c r="AY400" i="14"/>
  <c r="AX400" i="14"/>
  <c r="AY352" i="14"/>
  <c r="AX352" i="14"/>
  <c r="AY169" i="14"/>
  <c r="AX169" i="14"/>
  <c r="BG627" i="14"/>
  <c r="AY330" i="14"/>
  <c r="AX330" i="14"/>
  <c r="AY83" i="14"/>
  <c r="AX83" i="14"/>
  <c r="AY377" i="14"/>
  <c r="AX377" i="14"/>
  <c r="AY381" i="14"/>
  <c r="AX381" i="14"/>
  <c r="AY439" i="14"/>
  <c r="AX439" i="14"/>
  <c r="AY249" i="14"/>
  <c r="AX249" i="14"/>
  <c r="BG596" i="14"/>
  <c r="AW557" i="14"/>
  <c r="AW572" i="14"/>
  <c r="AW645" i="14"/>
  <c r="AJ6" i="1"/>
  <c r="AH86" i="1"/>
  <c r="Y104" i="1"/>
  <c r="AC104" i="1" s="1"/>
  <c r="Y87" i="1"/>
  <c r="AC87" i="1" s="1"/>
  <c r="V86" i="1"/>
  <c r="V85" i="1" s="1"/>
  <c r="V84" i="1" s="1"/>
  <c r="AW95" i="14" l="1"/>
  <c r="AY95" i="14" s="1"/>
  <c r="BF741" i="14"/>
  <c r="BE741" i="14"/>
  <c r="AW741" i="14"/>
  <c r="BF739" i="14"/>
  <c r="BE739" i="14"/>
  <c r="AW739" i="14"/>
  <c r="AY739" i="14" s="1"/>
  <c r="BE744" i="14"/>
  <c r="BF744" i="14"/>
  <c r="AW744" i="14"/>
  <c r="AY744" i="14" s="1"/>
  <c r="BE742" i="14"/>
  <c r="BF742" i="14"/>
  <c r="AW742" i="14"/>
  <c r="BE743" i="14"/>
  <c r="BF743" i="14"/>
  <c r="AW743" i="14"/>
  <c r="BF745" i="14"/>
  <c r="BE745" i="14"/>
  <c r="AW745" i="14"/>
  <c r="AY745" i="14" s="1"/>
  <c r="AW85" i="14"/>
  <c r="BF746" i="14"/>
  <c r="BE746" i="14"/>
  <c r="BF752" i="14"/>
  <c r="BE752" i="14"/>
  <c r="AW752" i="14"/>
  <c r="AW106" i="14"/>
  <c r="AY106" i="14" s="1"/>
  <c r="BF750" i="14"/>
  <c r="BE750" i="14"/>
  <c r="AW750" i="14"/>
  <c r="AY750" i="14" s="1"/>
  <c r="BF749" i="14"/>
  <c r="BE749" i="14"/>
  <c r="BE751" i="14"/>
  <c r="BF751" i="14"/>
  <c r="AW751" i="14"/>
  <c r="AY751" i="14" s="1"/>
  <c r="BE740" i="14"/>
  <c r="BF740" i="14"/>
  <c r="AW740" i="14"/>
  <c r="AY740" i="14" s="1"/>
  <c r="AW738" i="14"/>
  <c r="AW749" i="14"/>
  <c r="AY749" i="14" s="1"/>
  <c r="AW746" i="14"/>
  <c r="AY746" i="14" s="1"/>
  <c r="AR38" i="14"/>
  <c r="AX748" i="14"/>
  <c r="AW115" i="14"/>
  <c r="AW76" i="14"/>
  <c r="AY76" i="14" s="1"/>
  <c r="AX736" i="14"/>
  <c r="AX731" i="14"/>
  <c r="AY731" i="14"/>
  <c r="AX747" i="14"/>
  <c r="AX701" i="14"/>
  <c r="AX735" i="14"/>
  <c r="AX732" i="14"/>
  <c r="AY699" i="14"/>
  <c r="AX699" i="14"/>
  <c r="AY700" i="14"/>
  <c r="AX700" i="14"/>
  <c r="AQ51" i="14"/>
  <c r="AR51" i="14" s="1"/>
  <c r="AQ41" i="14"/>
  <c r="AR41" i="14" s="1"/>
  <c r="AQ43" i="14"/>
  <c r="AR43" i="14" s="1"/>
  <c r="AQ13" i="14"/>
  <c r="AR13" i="14" s="1"/>
  <c r="AQ64" i="14"/>
  <c r="AR64" i="14" s="1"/>
  <c r="AQ45" i="14"/>
  <c r="AR45" i="14" s="1"/>
  <c r="AQ39" i="14"/>
  <c r="AR39" i="14" s="1"/>
  <c r="AO129" i="14"/>
  <c r="AP129" i="14" s="1"/>
  <c r="AQ129" i="14" s="1"/>
  <c r="AR129" i="14" s="1"/>
  <c r="AO63" i="14"/>
  <c r="AP63" i="14" s="1"/>
  <c r="AO37" i="14"/>
  <c r="AP37" i="14" s="1"/>
  <c r="AQ37" i="14" s="1"/>
  <c r="AR37" i="14" s="1"/>
  <c r="AO40" i="14"/>
  <c r="AO14" i="14"/>
  <c r="AP14" i="14" s="1"/>
  <c r="AC6" i="14"/>
  <c r="AC4" i="14" s="1"/>
  <c r="AD6" i="14" s="1"/>
  <c r="AY665" i="14"/>
  <c r="AY662" i="14"/>
  <c r="AY637" i="14"/>
  <c r="AY663" i="14"/>
  <c r="AX656" i="14"/>
  <c r="AY606" i="14"/>
  <c r="BF686" i="14"/>
  <c r="AW683" i="14"/>
  <c r="AY683" i="14" s="1"/>
  <c r="AX677" i="14"/>
  <c r="AX676" i="14"/>
  <c r="AX678" i="14"/>
  <c r="AX675" i="14"/>
  <c r="BG686" i="14"/>
  <c r="AY688" i="14"/>
  <c r="AY679" i="14"/>
  <c r="AX680" i="14"/>
  <c r="AY666" i="14"/>
  <c r="AX632" i="14"/>
  <c r="AX661" i="14"/>
  <c r="AX631" i="14"/>
  <c r="AW686" i="14"/>
  <c r="AY681" i="14"/>
  <c r="AX681" i="14"/>
  <c r="AY685" i="14"/>
  <c r="AX685" i="14"/>
  <c r="AY690" i="14"/>
  <c r="AX690" i="14"/>
  <c r="AX692" i="14"/>
  <c r="AY692" i="14"/>
  <c r="BG683" i="14"/>
  <c r="BF683" i="14"/>
  <c r="AY684" i="14"/>
  <c r="AX684" i="14"/>
  <c r="AY687" i="14"/>
  <c r="AX687" i="14"/>
  <c r="BG674" i="14"/>
  <c r="BF674" i="14"/>
  <c r="AY689" i="14"/>
  <c r="AX689" i="14"/>
  <c r="AY691" i="14"/>
  <c r="AX691" i="14"/>
  <c r="AW674" i="14"/>
  <c r="AX643" i="14"/>
  <c r="AY660" i="14"/>
  <c r="AX624" i="14"/>
  <c r="AX608" i="14"/>
  <c r="AX602" i="14"/>
  <c r="BF590" i="14"/>
  <c r="AX612" i="14"/>
  <c r="AX576" i="14"/>
  <c r="AY552" i="14"/>
  <c r="AN52" i="14"/>
  <c r="BE52" i="14"/>
  <c r="AO44" i="14"/>
  <c r="AP44" i="14" s="1"/>
  <c r="AQ44" i="14" s="1"/>
  <c r="AR44" i="14" s="1"/>
  <c r="AY582" i="14"/>
  <c r="AY648" i="14"/>
  <c r="AX577" i="14"/>
  <c r="AY654" i="14"/>
  <c r="AO65" i="14"/>
  <c r="AP65" i="14" s="1"/>
  <c r="AQ65" i="14" s="1"/>
  <c r="AR65" i="14" s="1"/>
  <c r="AX587" i="14"/>
  <c r="AX567" i="14"/>
  <c r="AO15" i="14"/>
  <c r="AP15" i="14" s="1"/>
  <c r="AQ15" i="14" s="1"/>
  <c r="AR15" i="14" s="1"/>
  <c r="BF584" i="14"/>
  <c r="AO59" i="14"/>
  <c r="AX599" i="14"/>
  <c r="AO42" i="14"/>
  <c r="AP42" i="14" s="1"/>
  <c r="AQ42" i="14" s="1"/>
  <c r="AR42" i="14" s="1"/>
  <c r="AN60" i="14"/>
  <c r="AX622" i="14"/>
  <c r="AX579" i="14"/>
  <c r="AY613" i="14"/>
  <c r="AX644" i="14"/>
  <c r="AX623" i="14"/>
  <c r="AX589" i="14"/>
  <c r="AX588" i="14"/>
  <c r="AY625" i="14"/>
  <c r="AX571" i="14"/>
  <c r="AY628" i="14"/>
  <c r="AY672" i="14"/>
  <c r="AX618" i="14"/>
  <c r="AX580" i="14"/>
  <c r="AX566" i="14"/>
  <c r="AX652" i="14"/>
  <c r="AX550" i="14"/>
  <c r="AX634" i="14"/>
  <c r="AY591" i="14"/>
  <c r="AX614" i="14"/>
  <c r="AX554" i="14"/>
  <c r="AY638" i="14"/>
  <c r="AX574" i="14"/>
  <c r="AY605" i="14"/>
  <c r="AX642" i="14"/>
  <c r="AX568" i="14"/>
  <c r="AX630" i="14"/>
  <c r="AY669" i="14"/>
  <c r="AX669" i="14"/>
  <c r="AX553" i="14"/>
  <c r="AY673" i="14"/>
  <c r="AX673" i="14"/>
  <c r="AX620" i="14"/>
  <c r="AY667" i="14"/>
  <c r="AX667" i="14"/>
  <c r="AY671" i="14"/>
  <c r="AX671" i="14"/>
  <c r="AY668" i="14"/>
  <c r="AX668" i="14"/>
  <c r="AY670" i="14"/>
  <c r="AX670" i="14"/>
  <c r="AX610" i="14"/>
  <c r="AX604" i="14"/>
  <c r="AX657" i="14"/>
  <c r="AX583" i="14"/>
  <c r="AX575" i="14"/>
  <c r="AY647" i="14"/>
  <c r="AX595" i="14"/>
  <c r="AX627" i="14"/>
  <c r="AX640" i="14"/>
  <c r="AX636" i="14"/>
  <c r="AX551" i="14"/>
  <c r="AX650" i="14"/>
  <c r="AX633" i="14"/>
  <c r="AX646" i="14"/>
  <c r="AX649" i="14"/>
  <c r="AX607" i="14"/>
  <c r="AX549" i="14"/>
  <c r="AX600" i="14"/>
  <c r="AX659" i="14"/>
  <c r="AX594" i="14"/>
  <c r="AX626" i="14"/>
  <c r="AX578" i="14"/>
  <c r="AX621" i="14"/>
  <c r="AX598" i="14"/>
  <c r="AX639" i="14"/>
  <c r="AX563" i="14"/>
  <c r="AX592" i="14"/>
  <c r="AX664" i="14"/>
  <c r="AY601" i="14"/>
  <c r="AX581" i="14"/>
  <c r="AX586" i="14"/>
  <c r="AX615" i="14"/>
  <c r="AX555" i="14"/>
  <c r="AX596" i="14"/>
  <c r="BF60" i="14"/>
  <c r="BE60" i="14"/>
  <c r="AX609" i="14"/>
  <c r="AX573" i="14"/>
  <c r="AX617" i="14"/>
  <c r="AM6" i="14"/>
  <c r="AM4" i="14" s="1"/>
  <c r="BF59" i="14"/>
  <c r="BE59" i="14"/>
  <c r="AL6" i="14"/>
  <c r="AL4" i="14" s="1"/>
  <c r="AK6" i="14"/>
  <c r="AK4" i="14" s="1"/>
  <c r="AX655" i="14"/>
  <c r="AX658" i="14"/>
  <c r="AX556" i="14"/>
  <c r="AX611" i="14"/>
  <c r="AY653" i="14"/>
  <c r="AW593" i="14"/>
  <c r="AX593" i="14" s="1"/>
  <c r="AY629" i="14"/>
  <c r="AX629" i="14"/>
  <c r="BG584" i="14"/>
  <c r="AY619" i="14"/>
  <c r="AX619" i="14"/>
  <c r="BG593" i="14"/>
  <c r="AY572" i="14"/>
  <c r="AX572" i="14"/>
  <c r="AY641" i="14"/>
  <c r="AX641" i="14"/>
  <c r="AW584" i="14"/>
  <c r="AY557" i="14"/>
  <c r="AX557" i="14"/>
  <c r="AY603" i="14"/>
  <c r="AX603" i="14"/>
  <c r="AY635" i="14"/>
  <c r="AX635" i="14"/>
  <c r="AY565" i="14"/>
  <c r="AX565" i="14"/>
  <c r="AY651" i="14"/>
  <c r="AX651" i="14"/>
  <c r="AY559" i="14"/>
  <c r="AX559" i="14"/>
  <c r="BG590" i="14"/>
  <c r="BG6" i="14" s="1"/>
  <c r="BG4" i="14" s="1"/>
  <c r="AY616" i="14"/>
  <c r="AX616" i="14"/>
  <c r="AW590" i="14"/>
  <c r="AY597" i="14"/>
  <c r="AX597" i="14"/>
  <c r="AY585" i="14"/>
  <c r="AX585" i="14"/>
  <c r="AY558" i="14"/>
  <c r="AX558" i="14"/>
  <c r="AY645" i="14"/>
  <c r="AX645" i="14"/>
  <c r="AC85" i="1"/>
  <c r="AX95" i="14" l="1"/>
  <c r="AX106" i="14"/>
  <c r="AY752" i="14"/>
  <c r="AX752" i="14"/>
  <c r="AX743" i="14"/>
  <c r="AY743" i="14"/>
  <c r="AX85" i="14"/>
  <c r="AY85" i="14"/>
  <c r="AY742" i="14"/>
  <c r="AX742" i="14"/>
  <c r="AX740" i="14"/>
  <c r="AW38" i="14"/>
  <c r="AX746" i="14"/>
  <c r="AX749" i="14"/>
  <c r="AY738" i="14"/>
  <c r="AX738" i="14"/>
  <c r="AX76" i="14"/>
  <c r="AX744" i="14"/>
  <c r="AX745" i="14"/>
  <c r="AP59" i="14"/>
  <c r="AQ59" i="14" s="1"/>
  <c r="AW45" i="14"/>
  <c r="AX45" i="14" s="1"/>
  <c r="AW64" i="14"/>
  <c r="AX64" i="14" s="1"/>
  <c r="AW13" i="14"/>
  <c r="AY13" i="14" s="1"/>
  <c r="AW43" i="14"/>
  <c r="AY43" i="14" s="1"/>
  <c r="AW41" i="14"/>
  <c r="AX41" i="14" s="1"/>
  <c r="AW39" i="14"/>
  <c r="AY39" i="14" s="1"/>
  <c r="AW51" i="14"/>
  <c r="AX51" i="14" s="1"/>
  <c r="AY115" i="14"/>
  <c r="AX115" i="14"/>
  <c r="AX739" i="14"/>
  <c r="AX750" i="14"/>
  <c r="AX751" i="14"/>
  <c r="AX741" i="14"/>
  <c r="AY741" i="14"/>
  <c r="AQ63" i="14"/>
  <c r="AR63" i="14" s="1"/>
  <c r="AQ14" i="14"/>
  <c r="AR14" i="14" s="1"/>
  <c r="AW129" i="14"/>
  <c r="AY129" i="14" s="1"/>
  <c r="BE129" i="14"/>
  <c r="AW37" i="14"/>
  <c r="AY37" i="14" s="1"/>
  <c r="AP40" i="14"/>
  <c r="AO60" i="14"/>
  <c r="AP60" i="14" s="1"/>
  <c r="AQ60" i="14" s="1"/>
  <c r="AR60" i="14" s="1"/>
  <c r="AW42" i="14"/>
  <c r="AY42" i="14" s="1"/>
  <c r="AW15" i="14"/>
  <c r="AX15" i="14" s="1"/>
  <c r="AW65" i="14"/>
  <c r="AY65" i="14" s="1"/>
  <c r="AW44" i="14"/>
  <c r="AX44" i="14" s="1"/>
  <c r="AX683" i="14"/>
  <c r="BE6" i="14"/>
  <c r="BC6" i="14" s="1"/>
  <c r="BF6" i="14"/>
  <c r="BF4" i="14" s="1"/>
  <c r="AY686" i="14"/>
  <c r="AX686" i="14"/>
  <c r="AY674" i="14"/>
  <c r="AX674" i="14"/>
  <c r="AN6" i="14"/>
  <c r="AN4" i="14" s="1"/>
  <c r="AO52" i="14"/>
  <c r="AP52" i="14" s="1"/>
  <c r="AQ52" i="14" s="1"/>
  <c r="AR52" i="14" s="1"/>
  <c r="AY593" i="14"/>
  <c r="AY584" i="14"/>
  <c r="AX584" i="14"/>
  <c r="AY590" i="14"/>
  <c r="AX590" i="14"/>
  <c r="AZ85" i="1"/>
  <c r="AZ86" i="1"/>
  <c r="AZ87" i="1"/>
  <c r="AZ84" i="1"/>
  <c r="AH85" i="1"/>
  <c r="AH84" i="1"/>
  <c r="O85" i="1"/>
  <c r="Q85" i="1" s="1"/>
  <c r="O86" i="1"/>
  <c r="Q86" i="1" s="1"/>
  <c r="X86" i="1" s="1"/>
  <c r="O84" i="1"/>
  <c r="Q84" i="1" s="1"/>
  <c r="D86" i="1"/>
  <c r="C86" i="1"/>
  <c r="D85" i="1"/>
  <c r="C85" i="1"/>
  <c r="D84" i="1"/>
  <c r="C84" i="1"/>
  <c r="AP6" i="14" l="1"/>
  <c r="AP4" i="14" s="1"/>
  <c r="AY38" i="14"/>
  <c r="AX38" i="14"/>
  <c r="AY64" i="14"/>
  <c r="AR59" i="14"/>
  <c r="AX13" i="14"/>
  <c r="AX43" i="14"/>
  <c r="AY45" i="14"/>
  <c r="AW14" i="14"/>
  <c r="AY14" i="14" s="1"/>
  <c r="AW63" i="14"/>
  <c r="AX63" i="14" s="1"/>
  <c r="AY51" i="14"/>
  <c r="AX39" i="14"/>
  <c r="AY41" i="14"/>
  <c r="AX129" i="14"/>
  <c r="AQ40" i="14"/>
  <c r="AR40" i="14" s="1"/>
  <c r="AW60" i="14"/>
  <c r="AY60" i="14" s="1"/>
  <c r="AX37" i="14"/>
  <c r="AX42" i="14"/>
  <c r="AO6" i="14"/>
  <c r="AX65" i="14"/>
  <c r="AY44" i="14"/>
  <c r="AY15" i="14"/>
  <c r="AW52" i="14"/>
  <c r="BF2" i="14"/>
  <c r="BE4" i="14"/>
  <c r="X84" i="1"/>
  <c r="AC84" i="1"/>
  <c r="X85" i="1"/>
  <c r="AC86" i="1"/>
  <c r="AW59" i="14" l="1"/>
  <c r="AY63" i="14"/>
  <c r="AX14" i="14"/>
  <c r="AW40" i="14"/>
  <c r="AY40" i="14" s="1"/>
  <c r="AX60" i="14"/>
  <c r="AX52" i="14"/>
  <c r="AO4" i="14"/>
  <c r="AO2" i="14"/>
  <c r="AY52" i="14"/>
  <c r="AZ101" i="1"/>
  <c r="AZ102" i="1"/>
  <c r="AZ103" i="1"/>
  <c r="AZ104" i="1"/>
  <c r="AZ100" i="1"/>
  <c r="AR6" i="14" l="1"/>
  <c r="AR4" i="14" s="1"/>
  <c r="AY59" i="14"/>
  <c r="AX59" i="14"/>
  <c r="AX40" i="14"/>
  <c r="AH101" i="1"/>
  <c r="AK101" i="1" s="1"/>
  <c r="AH102" i="1"/>
  <c r="AK102" i="1" s="1"/>
  <c r="AH103" i="1"/>
  <c r="AK103" i="1" s="1"/>
  <c r="AH100" i="1"/>
  <c r="AK100" i="1" s="1"/>
  <c r="T101" i="1"/>
  <c r="T102" i="1"/>
  <c r="T103" i="1"/>
  <c r="T100" i="1"/>
  <c r="O101" i="1"/>
  <c r="Q101" i="1" s="1"/>
  <c r="O102" i="1"/>
  <c r="Q102" i="1" s="1"/>
  <c r="O103" i="1"/>
  <c r="Q103" i="1" s="1"/>
  <c r="O100" i="1"/>
  <c r="Q100" i="1" s="1"/>
  <c r="D103" i="1"/>
  <c r="C103" i="1"/>
  <c r="D102" i="1"/>
  <c r="C102" i="1"/>
  <c r="D101" i="1"/>
  <c r="C101" i="1"/>
  <c r="D100" i="1"/>
  <c r="C100" i="1"/>
  <c r="D104" i="1"/>
  <c r="AL104" i="1" s="1"/>
  <c r="AK37" i="1"/>
  <c r="AX6" i="14" l="1"/>
  <c r="AT6" i="14"/>
  <c r="AT4" i="14" s="1"/>
  <c r="V101" i="1"/>
  <c r="X101" i="1" s="1"/>
  <c r="V102" i="1"/>
  <c r="X102" i="1" s="1"/>
  <c r="V103" i="1"/>
  <c r="X103" i="1" s="1"/>
  <c r="V100" i="1"/>
  <c r="AC100" i="1" s="1"/>
  <c r="AY6" i="14" l="1"/>
  <c r="AC101" i="1"/>
  <c r="AC102" i="1"/>
  <c r="AC103" i="1"/>
  <c r="X100" i="1"/>
  <c r="AG679" i="1"/>
  <c r="V679" i="1"/>
  <c r="X679" i="1" s="1"/>
  <c r="AC679" i="1" s="1"/>
  <c r="AZ679" i="1"/>
  <c r="AZ678" i="1"/>
  <c r="AZ677" i="1"/>
  <c r="AZ676" i="1"/>
  <c r="AZ675" i="1"/>
  <c r="AZ674" i="1"/>
  <c r="AZ673" i="1"/>
  <c r="AZ672" i="1"/>
  <c r="AZ671" i="1"/>
  <c r="AZ670" i="1"/>
  <c r="AZ669" i="1"/>
  <c r="AZ668" i="1"/>
  <c r="AZ667" i="1"/>
  <c r="AZ666" i="1"/>
  <c r="AZ665" i="1"/>
  <c r="AZ664" i="1"/>
  <c r="AZ663" i="1"/>
  <c r="AZ662" i="1"/>
  <c r="AZ661" i="1"/>
  <c r="AZ660" i="1"/>
  <c r="AZ659" i="1"/>
  <c r="AZ658" i="1"/>
  <c r="AZ657" i="1"/>
  <c r="AZ656" i="1"/>
  <c r="AZ655" i="1"/>
  <c r="AZ654" i="1"/>
  <c r="AZ653" i="1"/>
  <c r="AZ652" i="1"/>
  <c r="AZ651" i="1"/>
  <c r="AZ650" i="1"/>
  <c r="AZ649" i="1"/>
  <c r="AZ648" i="1"/>
  <c r="AZ647" i="1"/>
  <c r="AZ646" i="1"/>
  <c r="AZ645" i="1"/>
  <c r="AZ644" i="1"/>
  <c r="AZ643" i="1"/>
  <c r="AZ642" i="1"/>
  <c r="AZ641" i="1"/>
  <c r="AZ640" i="1"/>
  <c r="AZ639" i="1"/>
  <c r="AZ638" i="1"/>
  <c r="AZ637" i="1"/>
  <c r="AZ636" i="1"/>
  <c r="AZ635" i="1"/>
  <c r="AZ634" i="1"/>
  <c r="AZ633" i="1"/>
  <c r="AZ632" i="1"/>
  <c r="AZ631" i="1"/>
  <c r="AZ630" i="1"/>
  <c r="AZ629" i="1"/>
  <c r="AZ628" i="1"/>
  <c r="AZ627" i="1"/>
  <c r="AZ626" i="1"/>
  <c r="AZ625" i="1"/>
  <c r="AZ624" i="1"/>
  <c r="AZ623" i="1"/>
  <c r="AZ622" i="1"/>
  <c r="AZ621" i="1"/>
  <c r="AZ620" i="1"/>
  <c r="AG678" i="1"/>
  <c r="AY4" i="14" l="1"/>
  <c r="AH679" i="1"/>
  <c r="AK679" i="1" s="1"/>
  <c r="Q678" i="1" l="1"/>
  <c r="V678" i="1" s="1"/>
  <c r="X678" i="1" s="1"/>
  <c r="AC678" i="1" s="1"/>
  <c r="AH678" i="1" l="1"/>
  <c r="C650" i="1"/>
  <c r="D650" i="1"/>
  <c r="Q650" i="1"/>
  <c r="V650" i="1" s="1"/>
  <c r="X650" i="1" s="1"/>
  <c r="AC650" i="1" s="1"/>
  <c r="AG650" i="1"/>
  <c r="C644" i="1"/>
  <c r="D644" i="1"/>
  <c r="C645" i="1"/>
  <c r="D645" i="1"/>
  <c r="C646" i="1"/>
  <c r="D646" i="1"/>
  <c r="C647" i="1"/>
  <c r="D647" i="1"/>
  <c r="C648" i="1"/>
  <c r="D648" i="1"/>
  <c r="C649" i="1"/>
  <c r="D649" i="1"/>
  <c r="C651" i="1"/>
  <c r="D651" i="1"/>
  <c r="C652" i="1"/>
  <c r="D652" i="1"/>
  <c r="C653" i="1"/>
  <c r="D653" i="1"/>
  <c r="C654" i="1"/>
  <c r="D654" i="1"/>
  <c r="C655" i="1"/>
  <c r="D655" i="1"/>
  <c r="C656" i="1"/>
  <c r="D656" i="1"/>
  <c r="C657" i="1"/>
  <c r="D657" i="1"/>
  <c r="C658" i="1"/>
  <c r="D658" i="1"/>
  <c r="C659" i="1"/>
  <c r="D659" i="1"/>
  <c r="C660" i="1"/>
  <c r="D660" i="1"/>
  <c r="C661" i="1"/>
  <c r="D661" i="1"/>
  <c r="C662" i="1"/>
  <c r="D662" i="1"/>
  <c r="C663" i="1"/>
  <c r="D663" i="1"/>
  <c r="C664" i="1"/>
  <c r="D664" i="1"/>
  <c r="C665" i="1"/>
  <c r="D665" i="1"/>
  <c r="C666" i="1"/>
  <c r="D666" i="1"/>
  <c r="C667" i="1"/>
  <c r="D667" i="1"/>
  <c r="C668" i="1"/>
  <c r="D668" i="1"/>
  <c r="C669" i="1"/>
  <c r="D669" i="1"/>
  <c r="C670" i="1"/>
  <c r="D670" i="1"/>
  <c r="C671" i="1"/>
  <c r="D671" i="1"/>
  <c r="C672" i="1"/>
  <c r="D672" i="1"/>
  <c r="C673" i="1"/>
  <c r="D673" i="1"/>
  <c r="C674" i="1"/>
  <c r="D674" i="1"/>
  <c r="C675" i="1"/>
  <c r="D675" i="1"/>
  <c r="C676" i="1"/>
  <c r="D676" i="1"/>
  <c r="C677" i="1"/>
  <c r="D677" i="1"/>
  <c r="C678" i="1"/>
  <c r="D678" i="1"/>
  <c r="C679" i="1"/>
  <c r="D679" i="1"/>
  <c r="C680" i="1"/>
  <c r="D680" i="1"/>
  <c r="C681" i="1"/>
  <c r="D681" i="1"/>
  <c r="AG677" i="1"/>
  <c r="V677" i="1"/>
  <c r="X677" i="1" s="1"/>
  <c r="AC677" i="1" s="1"/>
  <c r="AG676" i="1"/>
  <c r="V676" i="1"/>
  <c r="X676" i="1" s="1"/>
  <c r="AC676" i="1" s="1"/>
  <c r="AG675" i="1"/>
  <c r="Q675" i="1"/>
  <c r="V675" i="1" s="1"/>
  <c r="X675" i="1" s="1"/>
  <c r="AC675" i="1" s="1"/>
  <c r="AG674" i="1"/>
  <c r="V674" i="1"/>
  <c r="X674" i="1" s="1"/>
  <c r="AC674" i="1" s="1"/>
  <c r="AG673" i="1"/>
  <c r="V673" i="1"/>
  <c r="X673" i="1" s="1"/>
  <c r="AC673" i="1" s="1"/>
  <c r="AG672" i="1"/>
  <c r="V672" i="1"/>
  <c r="X672" i="1" s="1"/>
  <c r="AC672" i="1" s="1"/>
  <c r="AG671" i="1"/>
  <c r="Q671" i="1"/>
  <c r="V671" i="1" s="1"/>
  <c r="X671" i="1" s="1"/>
  <c r="AC671" i="1" s="1"/>
  <c r="AG670" i="1"/>
  <c r="Q670" i="1"/>
  <c r="V670" i="1" s="1"/>
  <c r="X670" i="1" s="1"/>
  <c r="AC670" i="1" s="1"/>
  <c r="AG669" i="1"/>
  <c r="Q669" i="1"/>
  <c r="V669" i="1" s="1"/>
  <c r="X669" i="1" s="1"/>
  <c r="AC669" i="1" s="1"/>
  <c r="AG668" i="1"/>
  <c r="Q668" i="1"/>
  <c r="V668" i="1" s="1"/>
  <c r="X668" i="1" s="1"/>
  <c r="AC668" i="1" s="1"/>
  <c r="AG667" i="1"/>
  <c r="Q667" i="1"/>
  <c r="V667" i="1" s="1"/>
  <c r="X667" i="1" s="1"/>
  <c r="AC667" i="1" s="1"/>
  <c r="AG666" i="1"/>
  <c r="Q666" i="1"/>
  <c r="V666" i="1" s="1"/>
  <c r="X666" i="1" s="1"/>
  <c r="AC666" i="1" s="1"/>
  <c r="AG665" i="1"/>
  <c r="Q665" i="1"/>
  <c r="V665" i="1" s="1"/>
  <c r="X665" i="1" s="1"/>
  <c r="AC665" i="1" s="1"/>
  <c r="AG664" i="1"/>
  <c r="Q664" i="1"/>
  <c r="V664" i="1" s="1"/>
  <c r="X664" i="1" s="1"/>
  <c r="AC664" i="1" s="1"/>
  <c r="AG663" i="1"/>
  <c r="Q663" i="1"/>
  <c r="V663" i="1" s="1"/>
  <c r="X663" i="1" s="1"/>
  <c r="AC663" i="1" s="1"/>
  <c r="AG662" i="1"/>
  <c r="Q662" i="1"/>
  <c r="V662" i="1" s="1"/>
  <c r="X662" i="1" s="1"/>
  <c r="AC662" i="1" s="1"/>
  <c r="AG661" i="1"/>
  <c r="Q661" i="1"/>
  <c r="V661" i="1" s="1"/>
  <c r="X661" i="1" s="1"/>
  <c r="AC661" i="1" s="1"/>
  <c r="AG660" i="1"/>
  <c r="Q660" i="1"/>
  <c r="V660" i="1" s="1"/>
  <c r="X660" i="1" s="1"/>
  <c r="AC660" i="1" s="1"/>
  <c r="AG659" i="1"/>
  <c r="Q659" i="1"/>
  <c r="V659" i="1" s="1"/>
  <c r="X659" i="1" s="1"/>
  <c r="AC659" i="1" s="1"/>
  <c r="AG658" i="1"/>
  <c r="Q658" i="1"/>
  <c r="V658" i="1" s="1"/>
  <c r="X658" i="1" s="1"/>
  <c r="AC658" i="1" s="1"/>
  <c r="AG657" i="1"/>
  <c r="Q657" i="1"/>
  <c r="V657" i="1" s="1"/>
  <c r="X657" i="1" s="1"/>
  <c r="AC657" i="1" s="1"/>
  <c r="AG656" i="1"/>
  <c r="Q656" i="1"/>
  <c r="V656" i="1" s="1"/>
  <c r="X656" i="1" s="1"/>
  <c r="AC656" i="1" s="1"/>
  <c r="AG655" i="1"/>
  <c r="Q655" i="1"/>
  <c r="V655" i="1" s="1"/>
  <c r="X655" i="1" s="1"/>
  <c r="AC655" i="1" s="1"/>
  <c r="AG654" i="1"/>
  <c r="Q654" i="1"/>
  <c r="V654" i="1" s="1"/>
  <c r="X654" i="1" s="1"/>
  <c r="AC654" i="1" s="1"/>
  <c r="AG653" i="1"/>
  <c r="Q653" i="1"/>
  <c r="V653" i="1" s="1"/>
  <c r="X653" i="1" s="1"/>
  <c r="AC653" i="1" s="1"/>
  <c r="AG652" i="1"/>
  <c r="Q652" i="1"/>
  <c r="V652" i="1" s="1"/>
  <c r="X652" i="1" s="1"/>
  <c r="AC652" i="1" s="1"/>
  <c r="AG651" i="1"/>
  <c r="Q651" i="1"/>
  <c r="V651" i="1" s="1"/>
  <c r="X651" i="1" s="1"/>
  <c r="AC651" i="1" s="1"/>
  <c r="AG649" i="1"/>
  <c r="Q649" i="1"/>
  <c r="V649" i="1" s="1"/>
  <c r="X649" i="1" s="1"/>
  <c r="AC649" i="1" s="1"/>
  <c r="AG648" i="1"/>
  <c r="Q648" i="1"/>
  <c r="V648" i="1" s="1"/>
  <c r="X648" i="1" s="1"/>
  <c r="AC648" i="1" s="1"/>
  <c r="AG647" i="1"/>
  <c r="Q647" i="1"/>
  <c r="V647" i="1" s="1"/>
  <c r="X647" i="1" s="1"/>
  <c r="AC647" i="1" s="1"/>
  <c r="AG646" i="1"/>
  <c r="Q646" i="1"/>
  <c r="V646" i="1" s="1"/>
  <c r="X646" i="1" s="1"/>
  <c r="AC646" i="1" s="1"/>
  <c r="AG645" i="1"/>
  <c r="Q645" i="1"/>
  <c r="V645" i="1" s="1"/>
  <c r="X645" i="1" s="1"/>
  <c r="AC645" i="1" s="1"/>
  <c r="AG644" i="1"/>
  <c r="Q644" i="1"/>
  <c r="V644" i="1" s="1"/>
  <c r="X644" i="1" s="1"/>
  <c r="AC644" i="1" s="1"/>
  <c r="BI643" i="1"/>
  <c r="BI642" i="1"/>
  <c r="BI641" i="1"/>
  <c r="BI640" i="1"/>
  <c r="BI639" i="1"/>
  <c r="BI638" i="1"/>
  <c r="BI637" i="1"/>
  <c r="BI636" i="1"/>
  <c r="BI635" i="1"/>
  <c r="BI634" i="1"/>
  <c r="BI633" i="1"/>
  <c r="BI632" i="1"/>
  <c r="BI631" i="1"/>
  <c r="BI630" i="1"/>
  <c r="BI629" i="1"/>
  <c r="BI628" i="1"/>
  <c r="BI627" i="1"/>
  <c r="BI626" i="1"/>
  <c r="BI625" i="1"/>
  <c r="BI624" i="1"/>
  <c r="BI623" i="1"/>
  <c r="BI622" i="1"/>
  <c r="BI621" i="1"/>
  <c r="BI620" i="1"/>
  <c r="T640" i="1"/>
  <c r="Q636" i="1"/>
  <c r="Q637" i="1"/>
  <c r="Q638" i="1"/>
  <c r="Q639" i="1"/>
  <c r="Q640" i="1"/>
  <c r="Q630" i="1"/>
  <c r="Q628" i="1"/>
  <c r="AG626" i="1"/>
  <c r="Q624" i="1"/>
  <c r="Q625" i="1"/>
  <c r="V625" i="1" s="1"/>
  <c r="Q626" i="1"/>
  <c r="Q627" i="1"/>
  <c r="Q629" i="1"/>
  <c r="Q631" i="1"/>
  <c r="Q632" i="1"/>
  <c r="Q633" i="1"/>
  <c r="Q634" i="1"/>
  <c r="Q635" i="1"/>
  <c r="C623" i="1"/>
  <c r="C624" i="1"/>
  <c r="C625" i="1"/>
  <c r="C626" i="1"/>
  <c r="C627" i="1"/>
  <c r="C628" i="1"/>
  <c r="C629" i="1"/>
  <c r="C630" i="1"/>
  <c r="C631" i="1"/>
  <c r="C632" i="1"/>
  <c r="C633" i="1"/>
  <c r="C634" i="1"/>
  <c r="C635" i="1"/>
  <c r="C636" i="1"/>
  <c r="C637" i="1"/>
  <c r="C638" i="1"/>
  <c r="C639" i="1"/>
  <c r="C640" i="1"/>
  <c r="C641" i="1"/>
  <c r="C642" i="1"/>
  <c r="C643" i="1"/>
  <c r="D623" i="1"/>
  <c r="D624" i="1"/>
  <c r="D625" i="1"/>
  <c r="D626" i="1"/>
  <c r="D627" i="1"/>
  <c r="D628" i="1"/>
  <c r="D629" i="1"/>
  <c r="D630" i="1"/>
  <c r="D631" i="1"/>
  <c r="D632" i="1"/>
  <c r="D633" i="1"/>
  <c r="D634" i="1"/>
  <c r="D635" i="1"/>
  <c r="D636" i="1"/>
  <c r="D637" i="1"/>
  <c r="D638" i="1"/>
  <c r="D639" i="1"/>
  <c r="D640" i="1"/>
  <c r="D641" i="1"/>
  <c r="D642" i="1"/>
  <c r="D643" i="1"/>
  <c r="AG623" i="1"/>
  <c r="Q623" i="1"/>
  <c r="Q622" i="1"/>
  <c r="AH645" i="1" l="1"/>
  <c r="AH674" i="1"/>
  <c r="AH650" i="1"/>
  <c r="AH653" i="1"/>
  <c r="AH661" i="1"/>
  <c r="AH669" i="1"/>
  <c r="AH677" i="1"/>
  <c r="AH648" i="1"/>
  <c r="AH656" i="1"/>
  <c r="AH666" i="1"/>
  <c r="AH672" i="1"/>
  <c r="AH649" i="1"/>
  <c r="AH657" i="1"/>
  <c r="AH665" i="1"/>
  <c r="AH673" i="1"/>
  <c r="AH659" i="1"/>
  <c r="AH675" i="1"/>
  <c r="AH646" i="1"/>
  <c r="AH654" i="1"/>
  <c r="AH662" i="1"/>
  <c r="AH670" i="1"/>
  <c r="AH647" i="1"/>
  <c r="AH652" i="1"/>
  <c r="AH676" i="1"/>
  <c r="AH644" i="1"/>
  <c r="AH663" i="1"/>
  <c r="AH651" i="1"/>
  <c r="AH664" i="1"/>
  <c r="AH671" i="1"/>
  <c r="AH658" i="1"/>
  <c r="AH660" i="1"/>
  <c r="AH667" i="1"/>
  <c r="AH668" i="1"/>
  <c r="AH655" i="1"/>
  <c r="AG620" i="1"/>
  <c r="AG621" i="1"/>
  <c r="AG622" i="1"/>
  <c r="AG624" i="1"/>
  <c r="AG625" i="1"/>
  <c r="AG627" i="1"/>
  <c r="AG628" i="1"/>
  <c r="AG629" i="1"/>
  <c r="AG630" i="1"/>
  <c r="AG631" i="1"/>
  <c r="AG632" i="1"/>
  <c r="AG633" i="1"/>
  <c r="AG634" i="1"/>
  <c r="AG635" i="1"/>
  <c r="AG636" i="1"/>
  <c r="AG637" i="1"/>
  <c r="AG638" i="1"/>
  <c r="AG639" i="1"/>
  <c r="AG640" i="1"/>
  <c r="AG641" i="1"/>
  <c r="AG642" i="1"/>
  <c r="AG643" i="1"/>
  <c r="V620" i="1"/>
  <c r="X620" i="1" s="1"/>
  <c r="AC620" i="1" s="1"/>
  <c r="V621" i="1"/>
  <c r="X621" i="1" s="1"/>
  <c r="AC621" i="1" s="1"/>
  <c r="V622" i="1"/>
  <c r="X622" i="1" s="1"/>
  <c r="AC622" i="1" s="1"/>
  <c r="V623" i="1"/>
  <c r="X623" i="1" s="1"/>
  <c r="AC623" i="1" s="1"/>
  <c r="AH623" i="1" s="1"/>
  <c r="V624" i="1"/>
  <c r="X624" i="1" s="1"/>
  <c r="AC624" i="1" s="1"/>
  <c r="X625" i="1"/>
  <c r="AC625" i="1" s="1"/>
  <c r="V626" i="1"/>
  <c r="X626" i="1" s="1"/>
  <c r="AC626" i="1" s="1"/>
  <c r="V627" i="1"/>
  <c r="X627" i="1" s="1"/>
  <c r="AC627" i="1" s="1"/>
  <c r="V628" i="1"/>
  <c r="X628" i="1" s="1"/>
  <c r="AC628" i="1" s="1"/>
  <c r="V629" i="1"/>
  <c r="X629" i="1" s="1"/>
  <c r="AC629" i="1" s="1"/>
  <c r="V630" i="1"/>
  <c r="X630" i="1" s="1"/>
  <c r="AC630" i="1" s="1"/>
  <c r="V631" i="1"/>
  <c r="X631" i="1" s="1"/>
  <c r="AC631" i="1" s="1"/>
  <c r="V632" i="1"/>
  <c r="X632" i="1" s="1"/>
  <c r="AC632" i="1" s="1"/>
  <c r="V633" i="1"/>
  <c r="X633" i="1" s="1"/>
  <c r="AC633" i="1" s="1"/>
  <c r="V634" i="1"/>
  <c r="X634" i="1" s="1"/>
  <c r="AC634" i="1" s="1"/>
  <c r="V635" i="1"/>
  <c r="X635" i="1" s="1"/>
  <c r="AC635" i="1" s="1"/>
  <c r="V636" i="1"/>
  <c r="X636" i="1" s="1"/>
  <c r="AC636" i="1" s="1"/>
  <c r="V637" i="1"/>
  <c r="X637" i="1" s="1"/>
  <c r="AC637" i="1" s="1"/>
  <c r="V638" i="1"/>
  <c r="X638" i="1" s="1"/>
  <c r="AC638" i="1" s="1"/>
  <c r="V639" i="1"/>
  <c r="X639" i="1" s="1"/>
  <c r="AC639" i="1" s="1"/>
  <c r="V640" i="1"/>
  <c r="X640" i="1" s="1"/>
  <c r="AC640" i="1" s="1"/>
  <c r="V641" i="1"/>
  <c r="X641" i="1" s="1"/>
  <c r="AC641" i="1" s="1"/>
  <c r="V642" i="1"/>
  <c r="X642" i="1" s="1"/>
  <c r="AC642" i="1" s="1"/>
  <c r="V643" i="1"/>
  <c r="X643" i="1" s="1"/>
  <c r="AC643" i="1" s="1"/>
  <c r="Y436" i="1"/>
  <c r="AC436" i="1" s="1"/>
  <c r="Y37" i="1"/>
  <c r="AC37" i="1" s="1"/>
  <c r="AH626" i="1" l="1"/>
  <c r="AH622" i="1"/>
  <c r="AH620" i="1"/>
  <c r="AH629" i="1"/>
  <c r="AH642" i="1"/>
  <c r="AH643" i="1"/>
  <c r="AH641" i="1"/>
  <c r="AH640" i="1"/>
  <c r="AH639" i="1"/>
  <c r="AH638" i="1"/>
  <c r="AH635" i="1"/>
  <c r="AH637" i="1"/>
  <c r="AH636" i="1"/>
  <c r="AH634" i="1"/>
  <c r="AH633" i="1"/>
  <c r="AH632" i="1"/>
  <c r="AH631" i="1"/>
  <c r="AH630" i="1"/>
  <c r="AH628" i="1"/>
  <c r="AH627" i="1"/>
  <c r="AH625" i="1"/>
  <c r="AH624" i="1"/>
  <c r="AH621" i="1"/>
  <c r="AG619" i="1"/>
  <c r="Q619" i="1"/>
  <c r="AG618" i="1"/>
  <c r="Q618" i="1"/>
  <c r="V618" i="1" s="1"/>
  <c r="X618" i="1" s="1"/>
  <c r="AC618" i="1" s="1"/>
  <c r="AG617" i="1"/>
  <c r="V617" i="1"/>
  <c r="X617" i="1" s="1"/>
  <c r="AC617" i="1" s="1"/>
  <c r="AG616" i="1"/>
  <c r="T616" i="1"/>
  <c r="R616" i="1"/>
  <c r="O616" i="1"/>
  <c r="Q616" i="1" s="1"/>
  <c r="AG615" i="1"/>
  <c r="Q615" i="1"/>
  <c r="V615" i="1" s="1"/>
  <c r="X615" i="1" s="1"/>
  <c r="AC615" i="1" s="1"/>
  <c r="AG614" i="1"/>
  <c r="V614" i="1"/>
  <c r="X614" i="1" s="1"/>
  <c r="AC614" i="1" s="1"/>
  <c r="AG613" i="1"/>
  <c r="T613" i="1"/>
  <c r="R613" i="1"/>
  <c r="O613" i="1"/>
  <c r="Q613" i="1" s="1"/>
  <c r="AG612" i="1"/>
  <c r="Q612" i="1"/>
  <c r="V612" i="1" s="1"/>
  <c r="X612" i="1" s="1"/>
  <c r="AC612" i="1" s="1"/>
  <c r="AG611" i="1"/>
  <c r="V611" i="1"/>
  <c r="X611" i="1" s="1"/>
  <c r="AC611" i="1" s="1"/>
  <c r="AG610" i="1"/>
  <c r="T610" i="1"/>
  <c r="R610" i="1"/>
  <c r="O610" i="1"/>
  <c r="Q610" i="1" s="1"/>
  <c r="AG609" i="1"/>
  <c r="Q609" i="1"/>
  <c r="V609" i="1" s="1"/>
  <c r="X609" i="1" s="1"/>
  <c r="AC609" i="1" s="1"/>
  <c r="AG608" i="1"/>
  <c r="V608" i="1"/>
  <c r="X608" i="1" s="1"/>
  <c r="AC608" i="1" s="1"/>
  <c r="AG607" i="1"/>
  <c r="T607" i="1"/>
  <c r="R607" i="1"/>
  <c r="O607" i="1"/>
  <c r="Q607" i="1" s="1"/>
  <c r="AG606" i="1"/>
  <c r="AG605" i="1"/>
  <c r="AG604" i="1"/>
  <c r="Q606" i="1"/>
  <c r="V606" i="1" s="1"/>
  <c r="X606" i="1" s="1"/>
  <c r="AC606" i="1" s="1"/>
  <c r="V605" i="1"/>
  <c r="X605" i="1" s="1"/>
  <c r="AC605" i="1" s="1"/>
  <c r="O604" i="1"/>
  <c r="Q604" i="1" s="1"/>
  <c r="T604" i="1"/>
  <c r="R604" i="1"/>
  <c r="AG603" i="1"/>
  <c r="AG602" i="1"/>
  <c r="AG601" i="1"/>
  <c r="AG600" i="1"/>
  <c r="AG599" i="1"/>
  <c r="AG598" i="1"/>
  <c r="AG597" i="1"/>
  <c r="AG596" i="1"/>
  <c r="AG595" i="1"/>
  <c r="AG594" i="1"/>
  <c r="AG593" i="1"/>
  <c r="AG592" i="1"/>
  <c r="V603" i="1"/>
  <c r="X603" i="1" s="1"/>
  <c r="AC603" i="1" s="1"/>
  <c r="V602" i="1"/>
  <c r="X602" i="1" s="1"/>
  <c r="AC602" i="1" s="1"/>
  <c r="V601" i="1"/>
  <c r="X601" i="1" s="1"/>
  <c r="AC601" i="1" s="1"/>
  <c r="V600" i="1"/>
  <c r="X600" i="1" s="1"/>
  <c r="AC600" i="1" s="1"/>
  <c r="V599" i="1"/>
  <c r="X599" i="1" s="1"/>
  <c r="AC599" i="1" s="1"/>
  <c r="V598" i="1"/>
  <c r="X598" i="1" s="1"/>
  <c r="AC598" i="1" s="1"/>
  <c r="V597" i="1"/>
  <c r="X597" i="1" s="1"/>
  <c r="AC597" i="1" s="1"/>
  <c r="V596" i="1"/>
  <c r="X596" i="1" s="1"/>
  <c r="AC596" i="1" s="1"/>
  <c r="V595" i="1"/>
  <c r="X595" i="1" s="1"/>
  <c r="AC595" i="1" s="1"/>
  <c r="V594" i="1"/>
  <c r="X594" i="1" s="1"/>
  <c r="AC594" i="1" s="1"/>
  <c r="V593" i="1"/>
  <c r="X593" i="1" s="1"/>
  <c r="AC593" i="1" s="1"/>
  <c r="V592" i="1"/>
  <c r="X592" i="1" s="1"/>
  <c r="AC592" i="1" s="1"/>
  <c r="D622" i="1"/>
  <c r="C622" i="1"/>
  <c r="D621" i="1"/>
  <c r="C621" i="1"/>
  <c r="D620" i="1"/>
  <c r="C620" i="1"/>
  <c r="D619" i="1"/>
  <c r="C619" i="1"/>
  <c r="D618" i="1"/>
  <c r="C618" i="1"/>
  <c r="D617" i="1"/>
  <c r="C617" i="1"/>
  <c r="D616" i="1"/>
  <c r="C616" i="1"/>
  <c r="D615" i="1"/>
  <c r="C615" i="1"/>
  <c r="D614" i="1"/>
  <c r="C614" i="1"/>
  <c r="D613" i="1"/>
  <c r="C613" i="1"/>
  <c r="D612" i="1"/>
  <c r="C612" i="1"/>
  <c r="D611" i="1"/>
  <c r="C611" i="1"/>
  <c r="D610" i="1"/>
  <c r="C610" i="1"/>
  <c r="D609" i="1"/>
  <c r="C609" i="1"/>
  <c r="D608" i="1"/>
  <c r="C608" i="1"/>
  <c r="D607" i="1"/>
  <c r="C607" i="1"/>
  <c r="D606" i="1"/>
  <c r="C606" i="1"/>
  <c r="D605" i="1"/>
  <c r="C605" i="1"/>
  <c r="D604" i="1"/>
  <c r="C604" i="1"/>
  <c r="D603" i="1"/>
  <c r="C603" i="1"/>
  <c r="D602" i="1"/>
  <c r="C602" i="1"/>
  <c r="D601" i="1"/>
  <c r="C601" i="1"/>
  <c r="D600" i="1"/>
  <c r="C600" i="1"/>
  <c r="D599" i="1"/>
  <c r="C599" i="1"/>
  <c r="D598" i="1"/>
  <c r="C598" i="1"/>
  <c r="V607" i="1" l="1"/>
  <c r="X607" i="1" s="1"/>
  <c r="AC607" i="1" s="1"/>
  <c r="AH607" i="1" s="1"/>
  <c r="V613" i="1"/>
  <c r="X613" i="1" s="1"/>
  <c r="AC613" i="1" s="1"/>
  <c r="AH613" i="1" s="1"/>
  <c r="V604" i="1"/>
  <c r="X604" i="1" s="1"/>
  <c r="AC604" i="1" s="1"/>
  <c r="AH604" i="1" s="1"/>
  <c r="V610" i="1"/>
  <c r="X610" i="1" s="1"/>
  <c r="AC610" i="1" s="1"/>
  <c r="AH610" i="1" s="1"/>
  <c r="V616" i="1"/>
  <c r="X616" i="1" s="1"/>
  <c r="AC616" i="1" s="1"/>
  <c r="AH616" i="1" s="1"/>
  <c r="V619" i="1"/>
  <c r="X619" i="1" s="1"/>
  <c r="AC619" i="1" s="1"/>
  <c r="AH619" i="1" s="1"/>
  <c r="AH602" i="1"/>
  <c r="AH617" i="1"/>
  <c r="AH609" i="1"/>
  <c r="AH612" i="1"/>
  <c r="AH615" i="1"/>
  <c r="AH618" i="1"/>
  <c r="AH606" i="1"/>
  <c r="AH603" i="1"/>
  <c r="AH605" i="1"/>
  <c r="AH608" i="1"/>
  <c r="AH611" i="1"/>
  <c r="AH614" i="1"/>
  <c r="AH599" i="1"/>
  <c r="AH594" i="1"/>
  <c r="AH595" i="1"/>
  <c r="AH598" i="1"/>
  <c r="AH600" i="1"/>
  <c r="AH601" i="1"/>
  <c r="AH596" i="1"/>
  <c r="AH597" i="1"/>
  <c r="AH592" i="1"/>
  <c r="AH593" i="1"/>
  <c r="AG591" i="1" l="1"/>
  <c r="V591" i="1"/>
  <c r="V590" i="1"/>
  <c r="X590" i="1" s="1"/>
  <c r="AC590" i="1" s="1"/>
  <c r="AG583" i="1"/>
  <c r="V583" i="1"/>
  <c r="X583" i="1" s="1"/>
  <c r="AC583" i="1" s="1"/>
  <c r="V584" i="1"/>
  <c r="X584" i="1" s="1"/>
  <c r="AC584" i="1" s="1"/>
  <c r="AH584" i="1" s="1"/>
  <c r="V585" i="1"/>
  <c r="X585" i="1" s="1"/>
  <c r="AC585" i="1" s="1"/>
  <c r="AH585" i="1" s="1"/>
  <c r="V586" i="1"/>
  <c r="X586" i="1" s="1"/>
  <c r="AC586" i="1" s="1"/>
  <c r="AH586" i="1" s="1"/>
  <c r="V587" i="1"/>
  <c r="X587" i="1" s="1"/>
  <c r="AC587" i="1" s="1"/>
  <c r="AH587" i="1" s="1"/>
  <c r="V588" i="1"/>
  <c r="X588" i="1" s="1"/>
  <c r="AC588" i="1" s="1"/>
  <c r="AH588" i="1" s="1"/>
  <c r="V589" i="1"/>
  <c r="X589" i="1" s="1"/>
  <c r="AC589" i="1" s="1"/>
  <c r="AH589" i="1" s="1"/>
  <c r="AH583" i="1" l="1"/>
  <c r="X591" i="1"/>
  <c r="AC591" i="1" s="1"/>
  <c r="AH591" i="1" s="1"/>
  <c r="AH590" i="1"/>
  <c r="Q582" i="1"/>
  <c r="V582" i="1" s="1"/>
  <c r="X582" i="1" s="1"/>
  <c r="AC582" i="1" s="1"/>
  <c r="R579" i="1"/>
  <c r="R578" i="1"/>
  <c r="R577" i="1"/>
  <c r="R576" i="1"/>
  <c r="R575" i="1"/>
  <c r="R574" i="1"/>
  <c r="R573" i="1"/>
  <c r="R572" i="1"/>
  <c r="AH582" i="1" l="1"/>
  <c r="D582" i="1"/>
  <c r="D583" i="1"/>
  <c r="D584" i="1"/>
  <c r="D585" i="1"/>
  <c r="C578" i="1"/>
  <c r="C579" i="1"/>
  <c r="C580" i="1"/>
  <c r="C581" i="1"/>
  <c r="C582" i="1"/>
  <c r="C583" i="1"/>
  <c r="C577" i="1"/>
  <c r="C576" i="1"/>
  <c r="C575" i="1"/>
  <c r="D597" i="1"/>
  <c r="D596" i="1"/>
  <c r="D595" i="1"/>
  <c r="D594" i="1"/>
  <c r="D593" i="1"/>
  <c r="D592" i="1"/>
  <c r="D591" i="1"/>
  <c r="D590" i="1"/>
  <c r="D589" i="1"/>
  <c r="D588" i="1"/>
  <c r="D587" i="1"/>
  <c r="D586" i="1"/>
  <c r="C597" i="1"/>
  <c r="C596" i="1"/>
  <c r="C595" i="1"/>
  <c r="C594" i="1"/>
  <c r="C593" i="1"/>
  <c r="C592" i="1"/>
  <c r="C591" i="1"/>
  <c r="C590" i="1"/>
  <c r="C589" i="1"/>
  <c r="C588" i="1"/>
  <c r="C587" i="1"/>
  <c r="C586" i="1"/>
  <c r="C585" i="1"/>
  <c r="C584" i="1"/>
  <c r="C574" i="1"/>
  <c r="C573" i="1"/>
  <c r="C572" i="1"/>
  <c r="D581" i="1" l="1"/>
  <c r="D580" i="1"/>
  <c r="D579" i="1"/>
  <c r="D578" i="1"/>
  <c r="D577" i="1"/>
  <c r="D576" i="1"/>
  <c r="D575" i="1"/>
  <c r="D574" i="1"/>
  <c r="D573" i="1"/>
  <c r="D572" i="1"/>
  <c r="V581" i="1"/>
  <c r="X581" i="1" s="1"/>
  <c r="AC581" i="1" s="1"/>
  <c r="AH581" i="1" s="1"/>
  <c r="Q580" i="1"/>
  <c r="V580" i="1" s="1"/>
  <c r="X580" i="1" s="1"/>
  <c r="AC580" i="1" s="1"/>
  <c r="Q579" i="1"/>
  <c r="V579" i="1" s="1"/>
  <c r="X579" i="1" s="1"/>
  <c r="AC579" i="1" s="1"/>
  <c r="AH579" i="1" s="1"/>
  <c r="Q578" i="1"/>
  <c r="V578" i="1" s="1"/>
  <c r="X578" i="1" s="1"/>
  <c r="AC578" i="1" s="1"/>
  <c r="AH578" i="1" s="1"/>
  <c r="Q577" i="1"/>
  <c r="V577" i="1" s="1"/>
  <c r="X577" i="1" s="1"/>
  <c r="AC577" i="1" s="1"/>
  <c r="AH577" i="1" s="1"/>
  <c r="Q576" i="1"/>
  <c r="V576" i="1" s="1"/>
  <c r="X576" i="1" s="1"/>
  <c r="AC576" i="1" s="1"/>
  <c r="AH576" i="1" s="1"/>
  <c r="Q575" i="1"/>
  <c r="V575" i="1" s="1"/>
  <c r="X575" i="1" s="1"/>
  <c r="AC575" i="1" s="1"/>
  <c r="AH575" i="1" s="1"/>
  <c r="Q574" i="1"/>
  <c r="V574" i="1" s="1"/>
  <c r="X574" i="1" s="1"/>
  <c r="AC574" i="1" s="1"/>
  <c r="AH574" i="1" s="1"/>
  <c r="Q573" i="1"/>
  <c r="V573" i="1" s="1"/>
  <c r="X573" i="1" s="1"/>
  <c r="AC573" i="1" s="1"/>
  <c r="AH573" i="1" s="1"/>
  <c r="Q572" i="1"/>
  <c r="AH580" i="1" l="1"/>
  <c r="V572" i="1"/>
  <c r="X572" i="1" s="1"/>
  <c r="AC572" i="1" s="1"/>
  <c r="AH572" i="1" s="1"/>
  <c r="C571" i="1" l="1"/>
  <c r="C570" i="1"/>
  <c r="D571" i="1"/>
  <c r="D570" i="1"/>
  <c r="V571" i="1"/>
  <c r="X571" i="1" s="1"/>
  <c r="AC571" i="1" s="1"/>
  <c r="AH571" i="1" s="1"/>
  <c r="V570" i="1"/>
  <c r="X570" i="1" s="1"/>
  <c r="AC570" i="1" s="1"/>
  <c r="AH570" i="1" s="1"/>
  <c r="AZ190" i="1" l="1"/>
  <c r="AZ436" i="1"/>
  <c r="D569" i="1"/>
  <c r="C569" i="1"/>
  <c r="D568" i="1"/>
  <c r="C568" i="1"/>
  <c r="C567" i="1"/>
  <c r="D567" i="1"/>
  <c r="V569" i="1"/>
  <c r="X569" i="1" s="1"/>
  <c r="AC569" i="1" s="1"/>
  <c r="AH569" i="1" s="1"/>
  <c r="Q568" i="1"/>
  <c r="V568" i="1" s="1"/>
  <c r="X568" i="1" s="1"/>
  <c r="AC568" i="1" s="1"/>
  <c r="AH568" i="1" s="1"/>
  <c r="Q567" i="1"/>
  <c r="V567" i="1" s="1"/>
  <c r="X567" i="1" s="1"/>
  <c r="AC567" i="1" s="1"/>
  <c r="AH567" i="1" s="1"/>
  <c r="C566" i="1" l="1"/>
  <c r="Q566" i="1"/>
  <c r="V566" i="1" s="1"/>
  <c r="X566" i="1" s="1"/>
  <c r="AC566" i="1" s="1"/>
  <c r="AC6" i="1" s="1"/>
  <c r="D566" i="1"/>
  <c r="D565" i="1"/>
  <c r="C565" i="1"/>
  <c r="AH566" i="1" l="1"/>
  <c r="AC4" i="1"/>
  <c r="AV3" i="1" l="1"/>
  <c r="AU3" i="1"/>
  <c r="AT3" i="1"/>
  <c r="AS3" i="1"/>
  <c r="AR3" i="1"/>
  <c r="AQ3" i="1"/>
  <c r="AP3" i="1"/>
  <c r="AO3" i="1"/>
  <c r="AN3" i="1"/>
  <c r="AM3" i="1"/>
  <c r="AL3" i="1"/>
  <c r="AK3" i="1"/>
  <c r="D564" i="1"/>
  <c r="D563" i="1"/>
  <c r="D562" i="1"/>
  <c r="D561" i="1"/>
  <c r="D560" i="1"/>
  <c r="D559" i="1"/>
  <c r="D558" i="1"/>
  <c r="D557" i="1"/>
  <c r="D556" i="1"/>
  <c r="D555" i="1"/>
  <c r="D554" i="1"/>
  <c r="D553" i="1"/>
  <c r="D552" i="1"/>
  <c r="D551" i="1"/>
  <c r="D550" i="1"/>
  <c r="D549" i="1"/>
  <c r="D548" i="1"/>
  <c r="D547" i="1"/>
  <c r="D546" i="1"/>
  <c r="D545" i="1"/>
  <c r="D544" i="1"/>
  <c r="D543" i="1"/>
  <c r="D542" i="1"/>
  <c r="D541" i="1"/>
  <c r="D540" i="1"/>
  <c r="D539" i="1"/>
  <c r="D538" i="1"/>
  <c r="D537" i="1"/>
  <c r="D536" i="1"/>
  <c r="D535" i="1"/>
  <c r="D534" i="1"/>
  <c r="D533" i="1"/>
  <c r="D532" i="1"/>
  <c r="D531" i="1"/>
  <c r="D530" i="1"/>
  <c r="D529" i="1"/>
  <c r="D528" i="1"/>
  <c r="D527" i="1"/>
  <c r="D526" i="1"/>
  <c r="D525" i="1"/>
  <c r="D524" i="1"/>
  <c r="D523" i="1"/>
  <c r="D522" i="1"/>
  <c r="D521" i="1"/>
  <c r="D520" i="1"/>
  <c r="D519" i="1"/>
  <c r="D518" i="1"/>
  <c r="D517" i="1"/>
  <c r="D516" i="1"/>
  <c r="D515" i="1"/>
  <c r="D514" i="1"/>
  <c r="D513" i="1"/>
  <c r="D512" i="1"/>
  <c r="D511" i="1"/>
  <c r="D510" i="1"/>
  <c r="D509" i="1"/>
  <c r="D508" i="1"/>
  <c r="D507" i="1"/>
  <c r="D506" i="1"/>
  <c r="D505" i="1"/>
  <c r="D504" i="1"/>
  <c r="D503" i="1"/>
  <c r="D502" i="1"/>
  <c r="D501" i="1"/>
  <c r="D500" i="1"/>
  <c r="D499" i="1"/>
  <c r="D498" i="1"/>
  <c r="D497" i="1"/>
  <c r="D496" i="1"/>
  <c r="D495" i="1"/>
  <c r="D494" i="1"/>
  <c r="D493" i="1"/>
  <c r="D492" i="1"/>
  <c r="D491" i="1"/>
  <c r="D490" i="1"/>
  <c r="D489" i="1"/>
  <c r="D488" i="1"/>
  <c r="D487" i="1"/>
  <c r="D486" i="1"/>
  <c r="D485" i="1"/>
  <c r="D484" i="1"/>
  <c r="D483" i="1"/>
  <c r="D482" i="1"/>
  <c r="D481" i="1"/>
  <c r="D480" i="1"/>
  <c r="D479" i="1"/>
  <c r="D478" i="1"/>
  <c r="D477" i="1"/>
  <c r="D476" i="1"/>
  <c r="D475" i="1"/>
  <c r="D474" i="1"/>
  <c r="D473" i="1"/>
  <c r="D472" i="1"/>
  <c r="D471" i="1"/>
  <c r="D470" i="1"/>
  <c r="D469" i="1"/>
  <c r="D468" i="1"/>
  <c r="D467" i="1"/>
  <c r="D466" i="1"/>
  <c r="D465" i="1"/>
  <c r="D464" i="1"/>
  <c r="D463" i="1"/>
  <c r="D462" i="1"/>
  <c r="D461" i="1"/>
  <c r="D460" i="1"/>
  <c r="D459" i="1"/>
  <c r="D458" i="1"/>
  <c r="D457" i="1"/>
  <c r="D456" i="1"/>
  <c r="D455" i="1"/>
  <c r="D454" i="1"/>
  <c r="D453" i="1"/>
  <c r="D452" i="1"/>
  <c r="D451" i="1"/>
  <c r="D450" i="1"/>
  <c r="D449" i="1"/>
  <c r="D448" i="1"/>
  <c r="D447" i="1"/>
  <c r="D446" i="1"/>
  <c r="D445" i="1"/>
  <c r="D444" i="1"/>
  <c r="D443" i="1"/>
  <c r="D442" i="1"/>
  <c r="D441" i="1"/>
  <c r="D440" i="1"/>
  <c r="D439" i="1"/>
  <c r="D438" i="1"/>
  <c r="D437" i="1"/>
  <c r="D436" i="1"/>
  <c r="D435" i="1"/>
  <c r="D434" i="1"/>
  <c r="D433" i="1"/>
  <c r="D432" i="1"/>
  <c r="D431" i="1"/>
  <c r="D430" i="1"/>
  <c r="D429" i="1"/>
  <c r="D428" i="1"/>
  <c r="D427" i="1"/>
  <c r="D426" i="1"/>
  <c r="D425" i="1"/>
  <c r="D424" i="1"/>
  <c r="D423" i="1"/>
  <c r="D422"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9" i="1"/>
  <c r="D268" i="1"/>
  <c r="D267"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99" i="1"/>
  <c r="D98" i="1"/>
  <c r="D97" i="1"/>
  <c r="D96" i="1"/>
  <c r="D95" i="1"/>
  <c r="D94" i="1"/>
  <c r="D93" i="1"/>
  <c r="D92" i="1"/>
  <c r="D91" i="1"/>
  <c r="D90" i="1"/>
  <c r="D89" i="1"/>
  <c r="D88" i="1"/>
  <c r="D87" i="1"/>
  <c r="AL87" i="1" s="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99" i="1"/>
  <c r="C98" i="1"/>
  <c r="C97" i="1"/>
  <c r="C96" i="1"/>
  <c r="C95" i="1"/>
  <c r="C94" i="1"/>
  <c r="C93" i="1"/>
  <c r="C92" i="1"/>
  <c r="C91" i="1"/>
  <c r="C90" i="1"/>
  <c r="C89" i="1"/>
  <c r="C88"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6" i="1"/>
  <c r="C35" i="1"/>
  <c r="C34" i="1"/>
  <c r="C33" i="1"/>
  <c r="C32" i="1"/>
  <c r="C31" i="1"/>
  <c r="C30" i="1"/>
  <c r="C29" i="1"/>
  <c r="C28" i="1"/>
  <c r="C27" i="1"/>
  <c r="C26" i="1"/>
  <c r="C25" i="1"/>
  <c r="C24" i="1"/>
  <c r="C23" i="1"/>
  <c r="C22" i="1"/>
  <c r="C21" i="1"/>
  <c r="C20" i="1"/>
  <c r="C19" i="1"/>
  <c r="C18" i="1"/>
  <c r="C17" i="1"/>
  <c r="C16" i="1"/>
  <c r="C15" i="1"/>
  <c r="C14" i="1"/>
  <c r="C13" i="1"/>
  <c r="C12" i="1"/>
  <c r="C11" i="1"/>
  <c r="C10" i="1"/>
  <c r="AL684" i="1" l="1"/>
  <c r="AL683" i="1"/>
  <c r="AL686" i="1"/>
  <c r="AL682" i="1"/>
  <c r="AL685" i="1"/>
  <c r="AL84" i="1"/>
  <c r="AL85" i="1"/>
  <c r="AL86" i="1"/>
  <c r="AL102" i="1"/>
  <c r="AL103" i="1"/>
  <c r="AL101" i="1"/>
  <c r="AL100" i="1"/>
  <c r="AL681" i="1"/>
  <c r="AL680" i="1"/>
  <c r="AL678" i="1"/>
  <c r="AL679" i="1"/>
  <c r="AL649" i="1"/>
  <c r="AL655" i="1"/>
  <c r="AL665" i="1"/>
  <c r="AL651" i="1"/>
  <c r="AL646" i="1"/>
  <c r="AL671" i="1"/>
  <c r="AL666" i="1"/>
  <c r="AL674" i="1"/>
  <c r="AL657" i="1"/>
  <c r="AL656" i="1"/>
  <c r="AL663" i="1"/>
  <c r="AL648" i="1"/>
  <c r="AL668" i="1"/>
  <c r="AL677" i="1"/>
  <c r="AL675" i="1"/>
  <c r="AL672" i="1"/>
  <c r="AL645" i="1"/>
  <c r="AL676" i="1"/>
  <c r="AL664" i="1"/>
  <c r="AL670" i="1"/>
  <c r="AL644" i="1"/>
  <c r="AL661" i="1"/>
  <c r="AL647" i="1"/>
  <c r="AL669" i="1"/>
  <c r="AL667" i="1"/>
  <c r="AL662" i="1"/>
  <c r="AL659" i="1"/>
  <c r="AL653" i="1"/>
  <c r="AL660" i="1"/>
  <c r="AL652" i="1"/>
  <c r="AL673" i="1"/>
  <c r="AL654" i="1"/>
  <c r="AL623" i="1"/>
  <c r="AL650" i="1"/>
  <c r="AL658" i="1"/>
  <c r="AL625" i="1"/>
  <c r="AL640" i="1"/>
  <c r="AL620" i="1"/>
  <c r="AL621" i="1"/>
  <c r="AL642" i="1"/>
  <c r="AL641" i="1"/>
  <c r="AL635" i="1"/>
  <c r="AL627" i="1"/>
  <c r="AL624" i="1"/>
  <c r="AL637" i="1"/>
  <c r="AL629" i="1"/>
  <c r="AL643" i="1"/>
  <c r="AL628" i="1"/>
  <c r="AL622" i="1"/>
  <c r="AL630" i="1"/>
  <c r="AL631" i="1"/>
  <c r="AL626" i="1"/>
  <c r="AL632" i="1"/>
  <c r="AL633" i="1"/>
  <c r="AL634" i="1"/>
  <c r="AL639" i="1"/>
  <c r="AL636" i="1"/>
  <c r="AL638" i="1"/>
  <c r="AL617" i="1"/>
  <c r="AL605" i="1"/>
  <c r="AL598" i="1"/>
  <c r="AL612" i="1"/>
  <c r="AL610" i="1"/>
  <c r="AL615" i="1"/>
  <c r="AL602" i="1"/>
  <c r="AL609" i="1"/>
  <c r="AL611" i="1"/>
  <c r="AL604" i="1"/>
  <c r="AL613" i="1"/>
  <c r="AL607" i="1"/>
  <c r="AL599" i="1"/>
  <c r="AL603" i="1"/>
  <c r="AL619" i="1"/>
  <c r="AL616" i="1"/>
  <c r="AL606" i="1"/>
  <c r="AL618" i="1"/>
  <c r="AL600" i="1"/>
  <c r="AL614" i="1"/>
  <c r="AL608" i="1"/>
  <c r="AL601" i="1"/>
  <c r="AL588" i="1"/>
  <c r="AL585" i="1"/>
  <c r="AL594" i="1"/>
  <c r="AL591" i="1"/>
  <c r="AL597" i="1"/>
  <c r="AL592" i="1"/>
  <c r="AL596" i="1"/>
  <c r="AL584" i="1"/>
  <c r="AL582" i="1"/>
  <c r="AL595" i="1"/>
  <c r="AL586" i="1"/>
  <c r="AL593" i="1"/>
  <c r="AL589" i="1"/>
  <c r="AL583" i="1"/>
  <c r="AL590" i="1"/>
  <c r="AL587" i="1"/>
  <c r="AL581" i="1"/>
  <c r="AL573" i="1"/>
  <c r="AL574" i="1"/>
  <c r="AL578" i="1"/>
  <c r="AL577" i="1"/>
  <c r="AL579" i="1"/>
  <c r="AL576" i="1"/>
  <c r="AL575" i="1"/>
  <c r="AL580" i="1"/>
  <c r="AL572" i="1"/>
  <c r="AL570" i="1"/>
  <c r="AL571" i="1"/>
  <c r="AL567" i="1"/>
  <c r="AL569" i="1"/>
  <c r="AL568" i="1"/>
  <c r="AL565" i="1"/>
  <c r="AL566" i="1"/>
  <c r="AW87" i="1"/>
  <c r="BG87" i="1"/>
  <c r="BE87" i="1"/>
  <c r="BF87" i="1"/>
  <c r="AL25" i="1"/>
  <c r="AL92" i="1"/>
  <c r="AL113" i="1"/>
  <c r="AL129" i="1"/>
  <c r="AL145" i="1"/>
  <c r="AL161" i="1"/>
  <c r="AL177" i="1"/>
  <c r="AL193" i="1"/>
  <c r="AL209" i="1"/>
  <c r="AL225" i="1"/>
  <c r="AL241" i="1"/>
  <c r="AL257" i="1"/>
  <c r="AL273" i="1"/>
  <c r="AL289" i="1"/>
  <c r="AL305" i="1"/>
  <c r="AL321" i="1"/>
  <c r="AL337" i="1"/>
  <c r="AL353" i="1"/>
  <c r="AL369" i="1"/>
  <c r="AL385" i="1"/>
  <c r="AL401" i="1"/>
  <c r="AL417" i="1"/>
  <c r="AL433" i="1"/>
  <c r="AL449" i="1"/>
  <c r="AL465" i="1"/>
  <c r="AL481" i="1"/>
  <c r="AL497" i="1"/>
  <c r="AL513" i="1"/>
  <c r="AL529" i="1"/>
  <c r="AL545" i="1"/>
  <c r="AL561" i="1"/>
  <c r="AL10" i="1"/>
  <c r="AL26" i="1"/>
  <c r="AL194" i="1"/>
  <c r="AL210" i="1"/>
  <c r="AL226" i="1"/>
  <c r="AL242" i="1"/>
  <c r="AL258" i="1"/>
  <c r="AL274" i="1"/>
  <c r="AL290" i="1"/>
  <c r="AL306" i="1"/>
  <c r="AL322" i="1"/>
  <c r="AL338" i="1"/>
  <c r="AL354" i="1"/>
  <c r="AL370" i="1"/>
  <c r="AL386" i="1"/>
  <c r="AL402" i="1"/>
  <c r="AL418" i="1"/>
  <c r="AL434" i="1"/>
  <c r="AL450" i="1"/>
  <c r="AL466" i="1"/>
  <c r="AL482" i="1"/>
  <c r="AL498" i="1"/>
  <c r="AL514" i="1"/>
  <c r="AL530" i="1"/>
  <c r="AL546" i="1"/>
  <c r="AL562" i="1"/>
  <c r="AL114" i="1"/>
  <c r="AL11" i="1"/>
  <c r="AL27" i="1"/>
  <c r="AL43" i="1"/>
  <c r="AL59" i="1"/>
  <c r="AL94" i="1"/>
  <c r="AL115" i="1"/>
  <c r="AL131" i="1"/>
  <c r="AL147" i="1"/>
  <c r="AL163" i="1"/>
  <c r="AL179" i="1"/>
  <c r="AL195" i="1"/>
  <c r="AL211" i="1"/>
  <c r="AL227" i="1"/>
  <c r="AL243" i="1"/>
  <c r="AL259" i="1"/>
  <c r="AL275" i="1"/>
  <c r="AL291" i="1"/>
  <c r="AL307" i="1"/>
  <c r="AL323" i="1"/>
  <c r="AL339" i="1"/>
  <c r="AL355" i="1"/>
  <c r="AL371" i="1"/>
  <c r="AL387" i="1"/>
  <c r="AL403" i="1"/>
  <c r="AL419" i="1"/>
  <c r="AL435" i="1"/>
  <c r="AL451" i="1"/>
  <c r="AL467" i="1"/>
  <c r="AL483" i="1"/>
  <c r="AL499" i="1"/>
  <c r="AL515" i="1"/>
  <c r="AL531" i="1"/>
  <c r="AL547" i="1"/>
  <c r="AL563" i="1"/>
  <c r="AL162" i="1"/>
  <c r="AL12" i="1"/>
  <c r="AL28" i="1"/>
  <c r="AL44" i="1"/>
  <c r="AL60" i="1"/>
  <c r="AL95" i="1"/>
  <c r="AL116" i="1"/>
  <c r="AL132" i="1"/>
  <c r="AL148" i="1"/>
  <c r="AL164" i="1"/>
  <c r="AL180" i="1"/>
  <c r="AL196" i="1"/>
  <c r="AL212" i="1"/>
  <c r="AL228" i="1"/>
  <c r="AL244" i="1"/>
  <c r="AL260" i="1"/>
  <c r="AL276" i="1"/>
  <c r="AL292" i="1"/>
  <c r="AL308" i="1"/>
  <c r="AL324" i="1"/>
  <c r="AL340" i="1"/>
  <c r="AL356" i="1"/>
  <c r="AL372" i="1"/>
  <c r="AL388" i="1"/>
  <c r="AL404" i="1"/>
  <c r="AL420" i="1"/>
  <c r="AL452" i="1"/>
  <c r="AL468" i="1"/>
  <c r="AL484" i="1"/>
  <c r="AL500" i="1"/>
  <c r="AL516" i="1"/>
  <c r="AL532" i="1"/>
  <c r="AL548" i="1"/>
  <c r="AL564" i="1"/>
  <c r="AL13" i="1"/>
  <c r="AL29" i="1"/>
  <c r="AL45" i="1"/>
  <c r="AL61" i="1"/>
  <c r="AL96" i="1"/>
  <c r="AL117" i="1"/>
  <c r="AL133" i="1"/>
  <c r="AL149" i="1"/>
  <c r="AL165" i="1"/>
  <c r="AL181" i="1"/>
  <c r="AL197" i="1"/>
  <c r="AL213" i="1"/>
  <c r="AL229" i="1"/>
  <c r="AL245" i="1"/>
  <c r="AL261" i="1"/>
  <c r="AL277" i="1"/>
  <c r="AL293" i="1"/>
  <c r="AL309" i="1"/>
  <c r="AL325" i="1"/>
  <c r="AL341" i="1"/>
  <c r="AL357" i="1"/>
  <c r="AL373" i="1"/>
  <c r="AL389" i="1"/>
  <c r="AL405" i="1"/>
  <c r="AL421" i="1"/>
  <c r="AL437" i="1"/>
  <c r="AL453" i="1"/>
  <c r="AL469" i="1"/>
  <c r="AL485" i="1"/>
  <c r="AL501" i="1"/>
  <c r="AL517" i="1"/>
  <c r="AL533" i="1"/>
  <c r="AL549" i="1"/>
  <c r="AL146" i="1"/>
  <c r="AL30" i="1"/>
  <c r="AL46" i="1"/>
  <c r="AL97" i="1"/>
  <c r="AL118" i="1"/>
  <c r="AL134" i="1"/>
  <c r="AL150" i="1"/>
  <c r="AL166" i="1"/>
  <c r="AL182" i="1"/>
  <c r="AL198" i="1"/>
  <c r="AL214" i="1"/>
  <c r="AL230" i="1"/>
  <c r="AL246" i="1"/>
  <c r="AL262" i="1"/>
  <c r="AL278" i="1"/>
  <c r="AL294" i="1"/>
  <c r="AL310" i="1"/>
  <c r="AL326" i="1"/>
  <c r="AL342" i="1"/>
  <c r="AL358" i="1"/>
  <c r="AL374" i="1"/>
  <c r="AL390" i="1"/>
  <c r="AL406" i="1"/>
  <c r="AL422" i="1"/>
  <c r="AL438" i="1"/>
  <c r="AL454" i="1"/>
  <c r="AL470" i="1"/>
  <c r="AL486" i="1"/>
  <c r="AL502" i="1"/>
  <c r="AL518" i="1"/>
  <c r="AL534" i="1"/>
  <c r="AL550" i="1"/>
  <c r="AL93" i="1"/>
  <c r="AL31" i="1"/>
  <c r="AL79" i="1"/>
  <c r="AL98" i="1"/>
  <c r="AL119" i="1"/>
  <c r="AL151" i="1"/>
  <c r="AL167" i="1"/>
  <c r="AL183" i="1"/>
  <c r="AL199" i="1"/>
  <c r="AL215" i="1"/>
  <c r="AL231" i="1"/>
  <c r="AL247" i="1"/>
  <c r="AL263" i="1"/>
  <c r="AL279" i="1"/>
  <c r="AL295" i="1"/>
  <c r="AL311" i="1"/>
  <c r="AL327" i="1"/>
  <c r="AL343" i="1"/>
  <c r="AL359" i="1"/>
  <c r="AL375" i="1"/>
  <c r="AL391" i="1"/>
  <c r="AL407" i="1"/>
  <c r="AL423" i="1"/>
  <c r="AL439" i="1"/>
  <c r="AL455" i="1"/>
  <c r="AL471" i="1"/>
  <c r="AL487" i="1"/>
  <c r="AL503" i="1"/>
  <c r="AL519" i="1"/>
  <c r="AL535" i="1"/>
  <c r="AL551" i="1"/>
  <c r="AL74" i="1"/>
  <c r="AL32" i="1"/>
  <c r="AL80" i="1"/>
  <c r="AL99" i="1"/>
  <c r="AL120" i="1"/>
  <c r="AL136" i="1"/>
  <c r="AL152" i="1"/>
  <c r="AL168" i="1"/>
  <c r="AL184" i="1"/>
  <c r="AL200" i="1"/>
  <c r="AL216" i="1"/>
  <c r="AL232" i="1"/>
  <c r="AL248" i="1"/>
  <c r="AL264" i="1"/>
  <c r="AL280" i="1"/>
  <c r="AL296" i="1"/>
  <c r="AL312" i="1"/>
  <c r="AL328" i="1"/>
  <c r="AL344" i="1"/>
  <c r="AL360" i="1"/>
  <c r="AL376" i="1"/>
  <c r="AL392" i="1"/>
  <c r="AL408" i="1"/>
  <c r="AL424" i="1"/>
  <c r="AL440" i="1"/>
  <c r="AL456" i="1"/>
  <c r="AL472" i="1"/>
  <c r="AL488" i="1"/>
  <c r="AL504" i="1"/>
  <c r="AL520" i="1"/>
  <c r="AL536" i="1"/>
  <c r="AL552" i="1"/>
  <c r="AL57" i="1"/>
  <c r="AL33" i="1"/>
  <c r="AL65" i="1"/>
  <c r="AL81" i="1"/>
  <c r="AL105" i="1"/>
  <c r="AL121" i="1"/>
  <c r="AL137" i="1"/>
  <c r="AL153" i="1"/>
  <c r="AL169" i="1"/>
  <c r="AL185" i="1"/>
  <c r="AL201" i="1"/>
  <c r="AL217" i="1"/>
  <c r="AL233" i="1"/>
  <c r="AL249" i="1"/>
  <c r="AL265" i="1"/>
  <c r="AL281" i="1"/>
  <c r="AL297" i="1"/>
  <c r="AL313" i="1"/>
  <c r="AL329" i="1"/>
  <c r="AL345" i="1"/>
  <c r="AL361" i="1"/>
  <c r="AL377" i="1"/>
  <c r="AL393" i="1"/>
  <c r="AL409" i="1"/>
  <c r="AL425" i="1"/>
  <c r="AL441" i="1"/>
  <c r="AL457" i="1"/>
  <c r="AL473" i="1"/>
  <c r="AL489" i="1"/>
  <c r="AL505" i="1"/>
  <c r="AL521" i="1"/>
  <c r="AL537" i="1"/>
  <c r="AL553" i="1"/>
  <c r="AL42" i="1"/>
  <c r="AL34" i="1"/>
  <c r="AL66" i="1"/>
  <c r="AL82" i="1"/>
  <c r="AL106" i="1"/>
  <c r="AL122" i="1"/>
  <c r="AL138" i="1"/>
  <c r="AL154" i="1"/>
  <c r="AL170" i="1"/>
  <c r="AL186" i="1"/>
  <c r="AL202" i="1"/>
  <c r="AL218" i="1"/>
  <c r="AL234" i="1"/>
  <c r="AL250" i="1"/>
  <c r="AL266" i="1"/>
  <c r="AL282" i="1"/>
  <c r="AL298" i="1"/>
  <c r="AL314" i="1"/>
  <c r="AL330" i="1"/>
  <c r="AL346" i="1"/>
  <c r="AL362" i="1"/>
  <c r="AL378" i="1"/>
  <c r="AL394" i="1"/>
  <c r="AL410" i="1"/>
  <c r="AL426" i="1"/>
  <c r="AL442" i="1"/>
  <c r="AL458" i="1"/>
  <c r="AL474" i="1"/>
  <c r="AL490" i="1"/>
  <c r="AL506" i="1"/>
  <c r="AL522" i="1"/>
  <c r="AL538" i="1"/>
  <c r="AL554" i="1"/>
  <c r="AL19" i="1"/>
  <c r="AL35" i="1"/>
  <c r="AL67" i="1"/>
  <c r="AL83" i="1"/>
  <c r="AL107" i="1"/>
  <c r="AL123" i="1"/>
  <c r="AL139" i="1"/>
  <c r="AL155" i="1"/>
  <c r="AL171" i="1"/>
  <c r="AL187" i="1"/>
  <c r="AL203" i="1"/>
  <c r="AL219" i="1"/>
  <c r="AL235" i="1"/>
  <c r="AL251" i="1"/>
  <c r="AL267" i="1"/>
  <c r="AL283" i="1"/>
  <c r="AL299" i="1"/>
  <c r="AL315" i="1"/>
  <c r="AL331" i="1"/>
  <c r="AL347" i="1"/>
  <c r="AL363" i="1"/>
  <c r="AL379" i="1"/>
  <c r="AL395" i="1"/>
  <c r="AL411" i="1"/>
  <c r="AL427" i="1"/>
  <c r="AL443" i="1"/>
  <c r="AL459" i="1"/>
  <c r="AL475" i="1"/>
  <c r="AL491" i="1"/>
  <c r="AL507" i="1"/>
  <c r="AL523" i="1"/>
  <c r="AL539" i="1"/>
  <c r="AL555" i="1"/>
  <c r="AL20" i="1"/>
  <c r="AL36" i="1"/>
  <c r="AL68" i="1"/>
  <c r="AY87" i="1"/>
  <c r="AX87" i="1"/>
  <c r="AL108" i="1"/>
  <c r="AL124" i="1"/>
  <c r="AL140" i="1"/>
  <c r="AL156" i="1"/>
  <c r="AL172" i="1"/>
  <c r="AL188" i="1"/>
  <c r="AL204" i="1"/>
  <c r="AL220" i="1"/>
  <c r="AL236" i="1"/>
  <c r="AL252" i="1"/>
  <c r="AL268" i="1"/>
  <c r="AL284" i="1"/>
  <c r="AL300" i="1"/>
  <c r="AL316" i="1"/>
  <c r="AL332" i="1"/>
  <c r="AL348" i="1"/>
  <c r="AL364" i="1"/>
  <c r="AL380" i="1"/>
  <c r="AL396" i="1"/>
  <c r="AL412" i="1"/>
  <c r="AL428" i="1"/>
  <c r="AL444" i="1"/>
  <c r="AL460" i="1"/>
  <c r="AL476" i="1"/>
  <c r="AL492" i="1"/>
  <c r="AL508" i="1"/>
  <c r="AL524" i="1"/>
  <c r="AL540" i="1"/>
  <c r="AL556" i="1"/>
  <c r="AL130" i="1"/>
  <c r="AL21" i="1"/>
  <c r="AL69" i="1"/>
  <c r="AL88" i="1"/>
  <c r="AL109" i="1"/>
  <c r="AL125" i="1"/>
  <c r="AL141" i="1"/>
  <c r="AL157" i="1"/>
  <c r="AL173" i="1"/>
  <c r="AL189" i="1"/>
  <c r="AL205" i="1"/>
  <c r="AL221" i="1"/>
  <c r="AL237" i="1"/>
  <c r="AL253" i="1"/>
  <c r="AL269" i="1"/>
  <c r="AL285" i="1"/>
  <c r="AL301" i="1"/>
  <c r="AL317" i="1"/>
  <c r="AL333" i="1"/>
  <c r="AL349" i="1"/>
  <c r="AL365" i="1"/>
  <c r="AL381" i="1"/>
  <c r="AL397" i="1"/>
  <c r="AL413" i="1"/>
  <c r="AL429" i="1"/>
  <c r="AL445" i="1"/>
  <c r="AL461" i="1"/>
  <c r="AL477" i="1"/>
  <c r="AL493" i="1"/>
  <c r="AL509" i="1"/>
  <c r="AL525" i="1"/>
  <c r="AL541" i="1"/>
  <c r="AL557" i="1"/>
  <c r="AL58" i="1"/>
  <c r="AL22" i="1"/>
  <c r="AL70" i="1"/>
  <c r="AL89" i="1"/>
  <c r="AL110" i="1"/>
  <c r="AL126" i="1"/>
  <c r="AL142" i="1"/>
  <c r="AL158" i="1"/>
  <c r="AL174" i="1"/>
  <c r="AL206" i="1"/>
  <c r="AL222" i="1"/>
  <c r="AL238" i="1"/>
  <c r="AL254" i="1"/>
  <c r="AL270" i="1"/>
  <c r="AL286" i="1"/>
  <c r="AL302" i="1"/>
  <c r="AL318" i="1"/>
  <c r="AL334" i="1"/>
  <c r="AL350" i="1"/>
  <c r="AL366" i="1"/>
  <c r="AL382" i="1"/>
  <c r="AL398" i="1"/>
  <c r="AL414" i="1"/>
  <c r="AL430" i="1"/>
  <c r="AL446" i="1"/>
  <c r="AL462" i="1"/>
  <c r="AL478" i="1"/>
  <c r="AL494" i="1"/>
  <c r="AL510" i="1"/>
  <c r="AL526" i="1"/>
  <c r="AL542" i="1"/>
  <c r="AL558" i="1"/>
  <c r="AL41" i="1"/>
  <c r="AL23" i="1"/>
  <c r="AL39" i="1"/>
  <c r="AL71" i="1"/>
  <c r="AL90" i="1"/>
  <c r="AL111" i="1"/>
  <c r="AL127" i="1"/>
  <c r="AL143" i="1"/>
  <c r="AL159" i="1"/>
  <c r="AL175" i="1"/>
  <c r="AL191" i="1"/>
  <c r="AL207" i="1"/>
  <c r="AL223" i="1"/>
  <c r="AL239" i="1"/>
  <c r="AL255" i="1"/>
  <c r="AL271" i="1"/>
  <c r="AL287" i="1"/>
  <c r="AL303" i="1"/>
  <c r="AL319" i="1"/>
  <c r="AL335" i="1"/>
  <c r="AL351" i="1"/>
  <c r="AL367" i="1"/>
  <c r="AL383" i="1"/>
  <c r="AL399" i="1"/>
  <c r="AL415" i="1"/>
  <c r="AL431" i="1"/>
  <c r="AL447" i="1"/>
  <c r="AL463" i="1"/>
  <c r="AL479" i="1"/>
  <c r="AL495" i="1"/>
  <c r="AL511" i="1"/>
  <c r="AL527" i="1"/>
  <c r="AL543" i="1"/>
  <c r="AL559" i="1"/>
  <c r="AL178" i="1"/>
  <c r="AL24" i="1"/>
  <c r="AL40" i="1"/>
  <c r="AL56" i="1"/>
  <c r="AL72" i="1"/>
  <c r="AL91" i="1"/>
  <c r="AL112" i="1"/>
  <c r="AL128" i="1"/>
  <c r="AL144" i="1"/>
  <c r="AL160" i="1"/>
  <c r="AL176" i="1"/>
  <c r="AL192" i="1"/>
  <c r="AL208" i="1"/>
  <c r="AL224" i="1"/>
  <c r="AL240" i="1"/>
  <c r="AL256" i="1"/>
  <c r="AL272" i="1"/>
  <c r="AL288" i="1"/>
  <c r="AL304" i="1"/>
  <c r="AL320" i="1"/>
  <c r="AL336" i="1"/>
  <c r="AL352" i="1"/>
  <c r="AL368" i="1"/>
  <c r="AL384" i="1"/>
  <c r="AL400" i="1"/>
  <c r="AL416" i="1"/>
  <c r="AL432" i="1"/>
  <c r="AL448" i="1"/>
  <c r="AL464" i="1"/>
  <c r="AL480" i="1"/>
  <c r="AL496" i="1"/>
  <c r="AL512" i="1"/>
  <c r="AL528" i="1"/>
  <c r="AL544" i="1"/>
  <c r="AL560" i="1"/>
  <c r="AK678" i="1"/>
  <c r="AK649" i="1"/>
  <c r="AK655" i="1"/>
  <c r="AK658" i="1"/>
  <c r="AK663" i="1"/>
  <c r="AK644" i="1"/>
  <c r="AK654" i="1"/>
  <c r="AK645" i="1"/>
  <c r="AK672" i="1"/>
  <c r="AK661" i="1"/>
  <c r="AK656" i="1"/>
  <c r="AK666" i="1"/>
  <c r="AK660" i="1"/>
  <c r="AK651" i="1"/>
  <c r="AK668" i="1"/>
  <c r="AK650" i="1"/>
  <c r="AK676" i="1"/>
  <c r="AK646" i="1"/>
  <c r="AK647" i="1"/>
  <c r="AK652" i="1"/>
  <c r="AK653" i="1"/>
  <c r="AK677" i="1"/>
  <c r="AK673" i="1"/>
  <c r="AK648" i="1"/>
  <c r="AK664" i="1"/>
  <c r="AK674" i="1"/>
  <c r="AK665" i="1"/>
  <c r="AK657" i="1"/>
  <c r="AK659" i="1"/>
  <c r="AK670" i="1"/>
  <c r="AK675" i="1"/>
  <c r="AK662" i="1"/>
  <c r="AK671" i="1"/>
  <c r="AK669" i="1"/>
  <c r="AK667" i="1"/>
  <c r="AK71" i="1"/>
  <c r="AK623" i="1"/>
  <c r="AW623" i="1" s="1"/>
  <c r="AK626" i="1"/>
  <c r="AW626" i="1" s="1"/>
  <c r="AK640" i="1"/>
  <c r="AW640" i="1" s="1"/>
  <c r="AK634" i="1"/>
  <c r="AW634" i="1" s="1"/>
  <c r="AK638" i="1"/>
  <c r="AW638" i="1" s="1"/>
  <c r="AK625" i="1"/>
  <c r="AW625" i="1" s="1"/>
  <c r="AK643" i="1"/>
  <c r="AK639" i="1"/>
  <c r="AW639" i="1" s="1"/>
  <c r="AK641" i="1"/>
  <c r="AW641" i="1" s="1"/>
  <c r="AK629" i="1"/>
  <c r="AK633" i="1"/>
  <c r="AW633" i="1" s="1"/>
  <c r="AK627" i="1"/>
  <c r="AK621" i="1"/>
  <c r="AW621" i="1" s="1"/>
  <c r="AK642" i="1"/>
  <c r="AW642" i="1" s="1"/>
  <c r="AK622" i="1"/>
  <c r="AW622" i="1" s="1"/>
  <c r="AK628" i="1"/>
  <c r="AK620" i="1"/>
  <c r="AW620" i="1" s="1"/>
  <c r="AK630" i="1"/>
  <c r="AW630" i="1" s="1"/>
  <c r="AK637" i="1"/>
  <c r="AW637" i="1" s="1"/>
  <c r="AK631" i="1"/>
  <c r="AW631" i="1" s="1"/>
  <c r="AK624" i="1"/>
  <c r="AW624" i="1" s="1"/>
  <c r="AK632" i="1"/>
  <c r="AW632" i="1" s="1"/>
  <c r="AK635" i="1"/>
  <c r="AW635" i="1" s="1"/>
  <c r="AK636" i="1"/>
  <c r="AW636" i="1" s="1"/>
  <c r="AK608" i="1"/>
  <c r="AK618" i="1"/>
  <c r="AK609" i="1"/>
  <c r="AK603" i="1"/>
  <c r="AK600" i="1"/>
  <c r="AK599" i="1"/>
  <c r="AK598" i="1"/>
  <c r="AK613" i="1"/>
  <c r="AK602" i="1"/>
  <c r="AK617" i="1"/>
  <c r="AK606" i="1"/>
  <c r="AK619" i="1"/>
  <c r="AK601" i="1"/>
  <c r="AK614" i="1"/>
  <c r="AK611" i="1"/>
  <c r="AK616" i="1"/>
  <c r="AK605" i="1"/>
  <c r="AK607" i="1"/>
  <c r="AK604" i="1"/>
  <c r="AK610" i="1"/>
  <c r="AK615" i="1"/>
  <c r="AK612" i="1"/>
  <c r="AK597" i="1"/>
  <c r="AK586" i="1"/>
  <c r="AK595" i="1"/>
  <c r="AK587" i="1"/>
  <c r="AK591" i="1"/>
  <c r="AK588" i="1"/>
  <c r="AK596" i="1"/>
  <c r="AK590" i="1"/>
  <c r="AK589" i="1"/>
  <c r="AK582" i="1"/>
  <c r="AK585" i="1"/>
  <c r="AK592" i="1"/>
  <c r="AK584" i="1"/>
  <c r="AK593" i="1"/>
  <c r="AK583" i="1"/>
  <c r="AK594" i="1"/>
  <c r="AK574" i="1"/>
  <c r="AK573" i="1"/>
  <c r="AK576" i="1"/>
  <c r="AK578" i="1"/>
  <c r="AK575" i="1"/>
  <c r="AK577" i="1"/>
  <c r="AK579" i="1"/>
  <c r="AK581" i="1"/>
  <c r="AK580" i="1"/>
  <c r="AK572" i="1"/>
  <c r="AK571" i="1"/>
  <c r="AK570" i="1"/>
  <c r="AK569" i="1"/>
  <c r="AK567" i="1"/>
  <c r="AK568" i="1"/>
  <c r="AK565" i="1"/>
  <c r="AK566" i="1"/>
  <c r="AK436" i="1"/>
  <c r="AL436" i="1" s="1"/>
  <c r="AK108" i="1"/>
  <c r="AK11" i="1"/>
  <c r="AK12" i="1"/>
  <c r="AK10" i="1"/>
  <c r="AK13" i="1"/>
  <c r="AK14" i="1"/>
  <c r="AL14" i="1" s="1"/>
  <c r="AK15" i="1"/>
  <c r="AL15" i="1" s="1"/>
  <c r="AK16" i="1"/>
  <c r="AL16" i="1" s="1"/>
  <c r="AK17" i="1"/>
  <c r="AL17" i="1" s="1"/>
  <c r="AK88" i="1"/>
  <c r="AK203" i="1"/>
  <c r="AK427" i="1"/>
  <c r="AK140" i="1"/>
  <c r="AK348" i="1"/>
  <c r="AK540" i="1"/>
  <c r="AK221" i="1"/>
  <c r="AK525" i="1"/>
  <c r="AK23" i="1"/>
  <c r="AK39" i="1"/>
  <c r="AK55" i="1"/>
  <c r="AL55" i="1" s="1"/>
  <c r="AK90" i="1"/>
  <c r="AK110" i="1"/>
  <c r="AK126" i="1"/>
  <c r="AK142" i="1"/>
  <c r="AK158" i="1"/>
  <c r="AK174" i="1"/>
  <c r="AK190" i="1"/>
  <c r="AL190" i="1" s="1"/>
  <c r="AK206" i="1"/>
  <c r="AK222" i="1"/>
  <c r="AK238" i="1"/>
  <c r="AK254" i="1"/>
  <c r="AK270" i="1"/>
  <c r="AK286" i="1"/>
  <c r="AK302" i="1"/>
  <c r="AK318" i="1"/>
  <c r="AK334" i="1"/>
  <c r="AK350" i="1"/>
  <c r="AK366" i="1"/>
  <c r="AK382" i="1"/>
  <c r="AK398" i="1"/>
  <c r="AK414" i="1"/>
  <c r="AK430" i="1"/>
  <c r="AK446" i="1"/>
  <c r="AK462" i="1"/>
  <c r="AK478" i="1"/>
  <c r="AK494" i="1"/>
  <c r="AK510" i="1"/>
  <c r="AK526" i="1"/>
  <c r="AK542" i="1"/>
  <c r="AK558" i="1"/>
  <c r="AK187" i="1"/>
  <c r="AK411" i="1"/>
  <c r="AK188" i="1"/>
  <c r="AK492" i="1"/>
  <c r="AK109" i="1"/>
  <c r="AK24" i="1"/>
  <c r="AK40" i="1"/>
  <c r="AK56" i="1"/>
  <c r="AK72" i="1"/>
  <c r="AK91" i="1"/>
  <c r="AK111" i="1"/>
  <c r="AK127" i="1"/>
  <c r="AK143" i="1"/>
  <c r="AK159" i="1"/>
  <c r="AK175" i="1"/>
  <c r="AK191" i="1"/>
  <c r="AK207" i="1"/>
  <c r="AK223" i="1"/>
  <c r="AK239" i="1"/>
  <c r="AK255" i="1"/>
  <c r="AK271" i="1"/>
  <c r="AK287" i="1"/>
  <c r="AK303" i="1"/>
  <c r="AK319" i="1"/>
  <c r="AK335" i="1"/>
  <c r="AK351" i="1"/>
  <c r="AK367" i="1"/>
  <c r="AK383" i="1"/>
  <c r="AK399" i="1"/>
  <c r="AK415" i="1"/>
  <c r="AK431" i="1"/>
  <c r="AK447" i="1"/>
  <c r="AK463" i="1"/>
  <c r="AK479" i="1"/>
  <c r="AK495" i="1"/>
  <c r="AK511" i="1"/>
  <c r="AK527" i="1"/>
  <c r="AK543" i="1"/>
  <c r="AK559" i="1"/>
  <c r="AK20" i="1"/>
  <c r="AK379" i="1"/>
  <c r="AK364" i="1"/>
  <c r="AK38" i="1"/>
  <c r="AL38" i="1" s="1"/>
  <c r="AK381" i="1"/>
  <c r="AK25" i="1"/>
  <c r="AK41" i="1"/>
  <c r="AK57" i="1"/>
  <c r="AK73" i="1"/>
  <c r="AL73" i="1" s="1"/>
  <c r="AK92" i="1"/>
  <c r="AK112" i="1"/>
  <c r="AK128" i="1"/>
  <c r="AK144" i="1"/>
  <c r="AK160" i="1"/>
  <c r="AK176" i="1"/>
  <c r="AK192" i="1"/>
  <c r="AK208" i="1"/>
  <c r="AK224" i="1"/>
  <c r="AK240" i="1"/>
  <c r="AK256" i="1"/>
  <c r="AK272" i="1"/>
  <c r="AK288" i="1"/>
  <c r="AK304" i="1"/>
  <c r="AK320" i="1"/>
  <c r="AK336" i="1"/>
  <c r="AK352" i="1"/>
  <c r="AK368" i="1"/>
  <c r="AK384" i="1"/>
  <c r="AK400" i="1"/>
  <c r="AK416" i="1"/>
  <c r="AK432" i="1"/>
  <c r="AK448" i="1"/>
  <c r="AK464" i="1"/>
  <c r="AK480" i="1"/>
  <c r="AK496" i="1"/>
  <c r="AK512" i="1"/>
  <c r="AK528" i="1"/>
  <c r="AK544" i="1"/>
  <c r="AK560" i="1"/>
  <c r="AK347" i="1"/>
  <c r="AK555" i="1"/>
  <c r="AK220" i="1"/>
  <c r="AK460" i="1"/>
  <c r="AK54" i="1"/>
  <c r="AL54" i="1" s="1"/>
  <c r="AK253" i="1"/>
  <c r="AK557" i="1"/>
  <c r="AK26" i="1"/>
  <c r="AK42" i="1"/>
  <c r="AK58" i="1"/>
  <c r="AK74" i="1"/>
  <c r="AK93" i="1"/>
  <c r="AK113" i="1"/>
  <c r="AK129" i="1"/>
  <c r="AK145" i="1"/>
  <c r="AK161" i="1"/>
  <c r="AK177" i="1"/>
  <c r="AK193" i="1"/>
  <c r="AK209" i="1"/>
  <c r="AK225" i="1"/>
  <c r="AK241" i="1"/>
  <c r="AK257" i="1"/>
  <c r="AK273" i="1"/>
  <c r="AK289" i="1"/>
  <c r="AK305" i="1"/>
  <c r="AK321" i="1"/>
  <c r="AK337" i="1"/>
  <c r="AK353" i="1"/>
  <c r="AK369" i="1"/>
  <c r="AK385" i="1"/>
  <c r="AK401" i="1"/>
  <c r="AK417" i="1"/>
  <c r="AK433" i="1"/>
  <c r="AK449" i="1"/>
  <c r="AK465" i="1"/>
  <c r="AK481" i="1"/>
  <c r="AK497" i="1"/>
  <c r="AK513" i="1"/>
  <c r="AK529" i="1"/>
  <c r="AK545" i="1"/>
  <c r="AK561" i="1"/>
  <c r="AK36" i="1"/>
  <c r="AK219" i="1"/>
  <c r="AK475" i="1"/>
  <c r="AK156" i="1"/>
  <c r="AK332" i="1"/>
  <c r="AK556" i="1"/>
  <c r="AK157" i="1"/>
  <c r="AK301" i="1"/>
  <c r="AK397" i="1"/>
  <c r="AK27" i="1"/>
  <c r="AK43" i="1"/>
  <c r="AK59" i="1"/>
  <c r="AK75" i="1"/>
  <c r="AL75" i="1" s="1"/>
  <c r="AK94" i="1"/>
  <c r="AK114" i="1"/>
  <c r="AK130" i="1"/>
  <c r="AK146" i="1"/>
  <c r="AK162" i="1"/>
  <c r="AK178" i="1"/>
  <c r="AK194" i="1"/>
  <c r="AK210" i="1"/>
  <c r="AK226" i="1"/>
  <c r="AK242" i="1"/>
  <c r="AK258" i="1"/>
  <c r="AK274" i="1"/>
  <c r="AK290" i="1"/>
  <c r="AK306" i="1"/>
  <c r="AK322" i="1"/>
  <c r="AK338" i="1"/>
  <c r="AK354" i="1"/>
  <c r="AK370" i="1"/>
  <c r="AK386" i="1"/>
  <c r="AK402" i="1"/>
  <c r="AK418" i="1"/>
  <c r="AK434" i="1"/>
  <c r="AK450" i="1"/>
  <c r="AK466" i="1"/>
  <c r="AK482" i="1"/>
  <c r="AK498" i="1"/>
  <c r="AK514" i="1"/>
  <c r="AK530" i="1"/>
  <c r="AK546" i="1"/>
  <c r="AK562" i="1"/>
  <c r="AK123" i="1"/>
  <c r="AK283" i="1"/>
  <c r="AK491" i="1"/>
  <c r="AK172" i="1"/>
  <c r="AK284" i="1"/>
  <c r="AK380" i="1"/>
  <c r="AK22" i="1"/>
  <c r="AK237" i="1"/>
  <c r="AK541" i="1"/>
  <c r="AK28" i="1"/>
  <c r="AK44" i="1"/>
  <c r="AK60" i="1"/>
  <c r="AK76" i="1"/>
  <c r="AL76" i="1" s="1"/>
  <c r="AK95" i="1"/>
  <c r="AK115" i="1"/>
  <c r="AK131" i="1"/>
  <c r="AK147" i="1"/>
  <c r="AK163" i="1"/>
  <c r="AK179" i="1"/>
  <c r="AK195" i="1"/>
  <c r="AK211" i="1"/>
  <c r="AK227" i="1"/>
  <c r="AK243" i="1"/>
  <c r="AK259" i="1"/>
  <c r="AK275" i="1"/>
  <c r="AK291" i="1"/>
  <c r="AK307" i="1"/>
  <c r="AK323" i="1"/>
  <c r="AK339" i="1"/>
  <c r="AK355" i="1"/>
  <c r="AK371" i="1"/>
  <c r="AK387" i="1"/>
  <c r="AK403" i="1"/>
  <c r="AK419" i="1"/>
  <c r="AK435" i="1"/>
  <c r="AK451" i="1"/>
  <c r="AK467" i="1"/>
  <c r="AK483" i="1"/>
  <c r="AK499" i="1"/>
  <c r="AK515" i="1"/>
  <c r="AK531" i="1"/>
  <c r="AK547" i="1"/>
  <c r="AK563" i="1"/>
  <c r="AK68" i="1"/>
  <c r="AK251" i="1"/>
  <c r="AK443" i="1"/>
  <c r="AK124" i="1"/>
  <c r="AK316" i="1"/>
  <c r="AK508" i="1"/>
  <c r="AK89" i="1"/>
  <c r="AK285" i="1"/>
  <c r="AK509" i="1"/>
  <c r="AK29" i="1"/>
  <c r="AK45" i="1"/>
  <c r="AK61" i="1"/>
  <c r="AK77" i="1"/>
  <c r="AL77" i="1" s="1"/>
  <c r="AK96" i="1"/>
  <c r="AK116" i="1"/>
  <c r="AK132" i="1"/>
  <c r="AK148" i="1"/>
  <c r="AK164" i="1"/>
  <c r="AK180" i="1"/>
  <c r="AK196" i="1"/>
  <c r="AK212" i="1"/>
  <c r="AK228" i="1"/>
  <c r="AK244" i="1"/>
  <c r="AK260" i="1"/>
  <c r="AK276" i="1"/>
  <c r="AK292" i="1"/>
  <c r="AK308" i="1"/>
  <c r="AK324" i="1"/>
  <c r="AK340" i="1"/>
  <c r="AK356" i="1"/>
  <c r="AK372" i="1"/>
  <c r="AK388" i="1"/>
  <c r="AK404" i="1"/>
  <c r="AK420" i="1"/>
  <c r="AK452" i="1"/>
  <c r="AK468" i="1"/>
  <c r="AK484" i="1"/>
  <c r="AK500" i="1"/>
  <c r="AK516" i="1"/>
  <c r="AK532" i="1"/>
  <c r="AK548" i="1"/>
  <c r="AK564" i="1"/>
  <c r="AK139" i="1"/>
  <c r="AK299" i="1"/>
  <c r="AK539" i="1"/>
  <c r="AK252" i="1"/>
  <c r="AK428" i="1"/>
  <c r="AK141" i="1"/>
  <c r="AK317" i="1"/>
  <c r="AK493" i="1"/>
  <c r="AK30" i="1"/>
  <c r="AK46" i="1"/>
  <c r="AK62" i="1"/>
  <c r="AL62" i="1" s="1"/>
  <c r="AK78" i="1"/>
  <c r="AL78" i="1" s="1"/>
  <c r="AK97" i="1"/>
  <c r="AK117" i="1"/>
  <c r="AK133" i="1"/>
  <c r="AK149" i="1"/>
  <c r="AK165" i="1"/>
  <c r="AK181" i="1"/>
  <c r="AK197" i="1"/>
  <c r="AK213" i="1"/>
  <c r="AK229" i="1"/>
  <c r="AK245" i="1"/>
  <c r="AK261" i="1"/>
  <c r="AK277" i="1"/>
  <c r="AK293" i="1"/>
  <c r="AK309" i="1"/>
  <c r="AK325" i="1"/>
  <c r="AK341" i="1"/>
  <c r="AK357" i="1"/>
  <c r="AK373" i="1"/>
  <c r="AK389" i="1"/>
  <c r="AK405" i="1"/>
  <c r="AK421" i="1"/>
  <c r="AK437" i="1"/>
  <c r="AK453" i="1"/>
  <c r="AK469" i="1"/>
  <c r="AK485" i="1"/>
  <c r="AK501" i="1"/>
  <c r="AK517" i="1"/>
  <c r="AK533" i="1"/>
  <c r="AK549" i="1"/>
  <c r="AK107" i="1"/>
  <c r="AK395" i="1"/>
  <c r="AK69" i="1"/>
  <c r="AK396" i="1"/>
  <c r="AK125" i="1"/>
  <c r="AK445" i="1"/>
  <c r="AK31" i="1"/>
  <c r="AK47" i="1"/>
  <c r="AL47" i="1" s="1"/>
  <c r="AK63" i="1"/>
  <c r="AL63" i="1" s="1"/>
  <c r="AK79" i="1"/>
  <c r="AK98" i="1"/>
  <c r="AK118" i="1"/>
  <c r="AK134" i="1"/>
  <c r="AK150" i="1"/>
  <c r="AK166" i="1"/>
  <c r="AK182" i="1"/>
  <c r="AK198" i="1"/>
  <c r="AK214" i="1"/>
  <c r="AK230" i="1"/>
  <c r="AK246" i="1"/>
  <c r="AK262" i="1"/>
  <c r="AK278" i="1"/>
  <c r="AK294" i="1"/>
  <c r="AK310" i="1"/>
  <c r="AK326" i="1"/>
  <c r="AK342" i="1"/>
  <c r="AK358" i="1"/>
  <c r="AK374" i="1"/>
  <c r="AK390" i="1"/>
  <c r="AK406" i="1"/>
  <c r="AK422" i="1"/>
  <c r="AK438" i="1"/>
  <c r="AK454" i="1"/>
  <c r="AK470" i="1"/>
  <c r="AK486" i="1"/>
  <c r="AK502" i="1"/>
  <c r="AK518" i="1"/>
  <c r="AK534" i="1"/>
  <c r="AK550" i="1"/>
  <c r="AK171" i="1"/>
  <c r="AK315" i="1"/>
  <c r="AK507" i="1"/>
  <c r="AK268" i="1"/>
  <c r="AK412" i="1"/>
  <c r="AK205" i="1"/>
  <c r="AK365" i="1"/>
  <c r="AK461" i="1"/>
  <c r="AK32" i="1"/>
  <c r="AK48" i="1"/>
  <c r="AL48" i="1" s="1"/>
  <c r="AK64" i="1"/>
  <c r="AL64" i="1" s="1"/>
  <c r="AK80" i="1"/>
  <c r="AK99" i="1"/>
  <c r="AK119" i="1"/>
  <c r="AK135" i="1"/>
  <c r="AL135" i="1" s="1"/>
  <c r="AK151" i="1"/>
  <c r="AK167" i="1"/>
  <c r="AK183" i="1"/>
  <c r="AK199" i="1"/>
  <c r="AK215" i="1"/>
  <c r="AK231" i="1"/>
  <c r="AK247" i="1"/>
  <c r="AK263" i="1"/>
  <c r="AK279" i="1"/>
  <c r="AK295" i="1"/>
  <c r="AK311" i="1"/>
  <c r="AK327" i="1"/>
  <c r="AK343" i="1"/>
  <c r="AK359" i="1"/>
  <c r="AK375" i="1"/>
  <c r="AK391" i="1"/>
  <c r="AK407" i="1"/>
  <c r="AK423" i="1"/>
  <c r="AK439" i="1"/>
  <c r="AK455" i="1"/>
  <c r="AK471" i="1"/>
  <c r="AK487" i="1"/>
  <c r="AK503" i="1"/>
  <c r="AK519" i="1"/>
  <c r="AK535" i="1"/>
  <c r="AK551" i="1"/>
  <c r="AK267" i="1"/>
  <c r="AK363" i="1"/>
  <c r="AK21" i="1"/>
  <c r="AK204" i="1"/>
  <c r="AK476" i="1"/>
  <c r="AK70" i="1"/>
  <c r="AK269" i="1"/>
  <c r="AK477" i="1"/>
  <c r="AK33" i="1"/>
  <c r="AK49" i="1"/>
  <c r="AL49" i="1" s="1"/>
  <c r="AK65" i="1"/>
  <c r="AK81" i="1"/>
  <c r="AK120" i="1"/>
  <c r="AK136" i="1"/>
  <c r="AK152" i="1"/>
  <c r="AK168" i="1"/>
  <c r="AK184" i="1"/>
  <c r="AK200" i="1"/>
  <c r="AK216" i="1"/>
  <c r="AK232" i="1"/>
  <c r="AK248" i="1"/>
  <c r="AK264" i="1"/>
  <c r="AK280" i="1"/>
  <c r="AK296" i="1"/>
  <c r="AK312" i="1"/>
  <c r="AK328" i="1"/>
  <c r="AK344" i="1"/>
  <c r="AK360" i="1"/>
  <c r="AK376" i="1"/>
  <c r="AK392" i="1"/>
  <c r="AK408" i="1"/>
  <c r="AK424" i="1"/>
  <c r="AK440" i="1"/>
  <c r="AK456" i="1"/>
  <c r="AK472" i="1"/>
  <c r="AK488" i="1"/>
  <c r="AK504" i="1"/>
  <c r="AK520" i="1"/>
  <c r="AK536" i="1"/>
  <c r="AK552" i="1"/>
  <c r="AK155" i="1"/>
  <c r="AK331" i="1"/>
  <c r="AK523" i="1"/>
  <c r="AK53" i="1"/>
  <c r="AL53" i="1" s="1"/>
  <c r="AK236" i="1"/>
  <c r="AK444" i="1"/>
  <c r="AK189" i="1"/>
  <c r="AK349" i="1"/>
  <c r="AK429" i="1"/>
  <c r="AK18" i="1"/>
  <c r="AL18" i="1" s="1"/>
  <c r="AK34" i="1"/>
  <c r="AK50" i="1"/>
  <c r="AL50" i="1" s="1"/>
  <c r="AK66" i="1"/>
  <c r="AK82" i="1"/>
  <c r="AK105" i="1"/>
  <c r="AK121" i="1"/>
  <c r="AK137" i="1"/>
  <c r="AK153" i="1"/>
  <c r="AK169" i="1"/>
  <c r="AK185" i="1"/>
  <c r="AK201" i="1"/>
  <c r="AK217" i="1"/>
  <c r="AK233" i="1"/>
  <c r="AK249" i="1"/>
  <c r="AK265" i="1"/>
  <c r="AK281" i="1"/>
  <c r="AK297" i="1"/>
  <c r="AK313" i="1"/>
  <c r="AK329" i="1"/>
  <c r="AK345" i="1"/>
  <c r="AK361" i="1"/>
  <c r="AK377" i="1"/>
  <c r="AK393" i="1"/>
  <c r="AK409" i="1"/>
  <c r="AK425" i="1"/>
  <c r="AK441" i="1"/>
  <c r="AK457" i="1"/>
  <c r="AK473" i="1"/>
  <c r="AK489" i="1"/>
  <c r="AK505" i="1"/>
  <c r="AK521" i="1"/>
  <c r="AK537" i="1"/>
  <c r="AK553" i="1"/>
  <c r="AK52" i="1"/>
  <c r="AL52" i="1" s="1"/>
  <c r="AK235" i="1"/>
  <c r="AK459" i="1"/>
  <c r="AK300" i="1"/>
  <c r="AK524" i="1"/>
  <c r="AK173" i="1"/>
  <c r="AK333" i="1"/>
  <c r="AK413" i="1"/>
  <c r="AK19" i="1"/>
  <c r="AK35" i="1"/>
  <c r="AK51" i="1"/>
  <c r="AL51" i="1" s="1"/>
  <c r="AK67" i="1"/>
  <c r="AK83" i="1"/>
  <c r="AK106" i="1"/>
  <c r="AK122" i="1"/>
  <c r="AK138" i="1"/>
  <c r="AK154" i="1"/>
  <c r="AK170" i="1"/>
  <c r="AK186" i="1"/>
  <c r="AK202" i="1"/>
  <c r="AK218" i="1"/>
  <c r="AK234" i="1"/>
  <c r="AK250" i="1"/>
  <c r="AK266" i="1"/>
  <c r="AK282" i="1"/>
  <c r="AK298" i="1"/>
  <c r="AK314" i="1"/>
  <c r="AK330" i="1"/>
  <c r="AK346" i="1"/>
  <c r="AK362" i="1"/>
  <c r="AK378" i="1"/>
  <c r="AK394" i="1"/>
  <c r="AK410" i="1"/>
  <c r="AK426" i="1"/>
  <c r="AK442" i="1"/>
  <c r="AK458" i="1"/>
  <c r="AK474" i="1"/>
  <c r="AK490" i="1"/>
  <c r="AK506" i="1"/>
  <c r="AK522" i="1"/>
  <c r="AK538" i="1"/>
  <c r="AK554" i="1"/>
  <c r="Y190" i="1"/>
  <c r="AW628" i="1" l="1"/>
  <c r="AW627" i="1"/>
  <c r="AW629" i="1"/>
  <c r="BE643" i="1"/>
  <c r="BG643" i="1"/>
  <c r="BF643" i="1"/>
  <c r="BG569" i="1"/>
  <c r="BE569" i="1"/>
  <c r="BF569" i="1"/>
  <c r="BE583" i="1"/>
  <c r="BG583" i="1"/>
  <c r="BF583" i="1"/>
  <c r="BF614" i="1"/>
  <c r="BE614" i="1"/>
  <c r="BG614" i="1"/>
  <c r="BG612" i="1"/>
  <c r="BF612" i="1"/>
  <c r="BE612" i="1"/>
  <c r="BG629" i="1"/>
  <c r="BF629" i="1"/>
  <c r="BE629" i="1"/>
  <c r="BG652" i="1"/>
  <c r="BF652" i="1"/>
  <c r="BE652" i="1"/>
  <c r="BG677" i="1"/>
  <c r="BF677" i="1"/>
  <c r="BE677" i="1"/>
  <c r="AW680" i="1"/>
  <c r="BG680" i="1"/>
  <c r="BF680" i="1"/>
  <c r="BE680" i="1"/>
  <c r="BG567" i="1"/>
  <c r="BF567" i="1"/>
  <c r="BE567" i="1"/>
  <c r="BF589" i="1"/>
  <c r="BE589" i="1"/>
  <c r="BG589" i="1"/>
  <c r="BE600" i="1"/>
  <c r="BG600" i="1"/>
  <c r="BF600" i="1"/>
  <c r="BE598" i="1"/>
  <c r="BG598" i="1"/>
  <c r="BF598" i="1"/>
  <c r="BF637" i="1"/>
  <c r="BG637" i="1"/>
  <c r="BE637" i="1"/>
  <c r="BG660" i="1"/>
  <c r="BF660" i="1"/>
  <c r="BE660" i="1"/>
  <c r="BF668" i="1"/>
  <c r="BE668" i="1"/>
  <c r="BG668" i="1"/>
  <c r="AW681" i="1"/>
  <c r="BG681" i="1"/>
  <c r="BF681" i="1"/>
  <c r="BE681" i="1"/>
  <c r="BG571" i="1"/>
  <c r="BE571" i="1"/>
  <c r="BF571" i="1"/>
  <c r="BF593" i="1"/>
  <c r="BE593" i="1"/>
  <c r="BG593" i="1"/>
  <c r="BF618" i="1"/>
  <c r="BG618" i="1"/>
  <c r="BE618" i="1"/>
  <c r="BF605" i="1"/>
  <c r="BG605" i="1"/>
  <c r="BE605" i="1"/>
  <c r="BE624" i="1"/>
  <c r="BG624" i="1"/>
  <c r="BF624" i="1"/>
  <c r="BG653" i="1"/>
  <c r="BF653" i="1"/>
  <c r="BE653" i="1"/>
  <c r="BG648" i="1"/>
  <c r="BF648" i="1"/>
  <c r="BE648" i="1"/>
  <c r="BF100" i="1"/>
  <c r="BE100" i="1"/>
  <c r="BG100" i="1"/>
  <c r="AW100" i="1"/>
  <c r="BG570" i="1"/>
  <c r="BF570" i="1"/>
  <c r="BE570" i="1"/>
  <c r="BE586" i="1"/>
  <c r="BF586" i="1"/>
  <c r="BG586" i="1"/>
  <c r="BG606" i="1"/>
  <c r="BF606" i="1"/>
  <c r="BE606" i="1"/>
  <c r="BF617" i="1"/>
  <c r="BG617" i="1"/>
  <c r="BE617" i="1"/>
  <c r="BG627" i="1"/>
  <c r="BF627" i="1"/>
  <c r="BE627" i="1"/>
  <c r="BG659" i="1"/>
  <c r="BF659" i="1"/>
  <c r="BE659" i="1"/>
  <c r="BG663" i="1"/>
  <c r="BF663" i="1"/>
  <c r="BE663" i="1"/>
  <c r="BG101" i="1"/>
  <c r="BE101" i="1"/>
  <c r="BF101" i="1"/>
  <c r="AW101" i="1"/>
  <c r="BG610" i="1"/>
  <c r="BF610" i="1"/>
  <c r="BE610" i="1"/>
  <c r="BF572" i="1"/>
  <c r="BG572" i="1"/>
  <c r="BE572" i="1"/>
  <c r="BG595" i="1"/>
  <c r="BE595" i="1"/>
  <c r="BF595" i="1"/>
  <c r="BG616" i="1"/>
  <c r="BF616" i="1"/>
  <c r="BE616" i="1"/>
  <c r="BG638" i="1"/>
  <c r="BF638" i="1"/>
  <c r="BE638" i="1"/>
  <c r="BG635" i="1"/>
  <c r="BE635" i="1"/>
  <c r="BF635" i="1"/>
  <c r="BG662" i="1"/>
  <c r="BF662" i="1"/>
  <c r="BE662" i="1"/>
  <c r="BE656" i="1"/>
  <c r="BG656" i="1"/>
  <c r="BF656" i="1"/>
  <c r="AW103" i="1"/>
  <c r="BG103" i="1"/>
  <c r="BF103" i="1"/>
  <c r="BE103" i="1"/>
  <c r="BG678" i="1"/>
  <c r="BF678" i="1"/>
  <c r="BE678" i="1"/>
  <c r="AW643" i="1"/>
  <c r="BG580" i="1"/>
  <c r="BF580" i="1"/>
  <c r="BE580" i="1"/>
  <c r="BG582" i="1"/>
  <c r="BE582" i="1"/>
  <c r="BF582" i="1"/>
  <c r="BF619" i="1"/>
  <c r="BG619" i="1"/>
  <c r="BE619" i="1"/>
  <c r="BG636" i="1"/>
  <c r="BF636" i="1"/>
  <c r="BE636" i="1"/>
  <c r="BG641" i="1"/>
  <c r="BF641" i="1"/>
  <c r="BE641" i="1"/>
  <c r="BG667" i="1"/>
  <c r="BF667" i="1"/>
  <c r="BE667" i="1"/>
  <c r="BF657" i="1"/>
  <c r="BE657" i="1"/>
  <c r="BG657" i="1"/>
  <c r="AW102" i="1"/>
  <c r="BG102" i="1"/>
  <c r="BF102" i="1"/>
  <c r="BE102" i="1"/>
  <c r="BG675" i="1"/>
  <c r="BF675" i="1"/>
  <c r="BE675" i="1"/>
  <c r="BG575" i="1"/>
  <c r="BF575" i="1"/>
  <c r="BE575" i="1"/>
  <c r="BE584" i="1"/>
  <c r="BF584" i="1"/>
  <c r="BG584" i="1"/>
  <c r="BF603" i="1"/>
  <c r="BE603" i="1"/>
  <c r="BG603" i="1"/>
  <c r="BE639" i="1"/>
  <c r="BG639" i="1"/>
  <c r="BF639" i="1"/>
  <c r="BE642" i="1"/>
  <c r="BF642" i="1"/>
  <c r="BG642" i="1"/>
  <c r="BG669" i="1"/>
  <c r="BF669" i="1"/>
  <c r="BE669" i="1"/>
  <c r="BG674" i="1"/>
  <c r="BF674" i="1"/>
  <c r="BE674" i="1"/>
  <c r="AW104" i="1"/>
  <c r="BG104" i="1"/>
  <c r="BF104" i="1"/>
  <c r="BE104" i="1"/>
  <c r="BG608" i="1"/>
  <c r="BE608" i="1"/>
  <c r="BF608" i="1"/>
  <c r="BG576" i="1"/>
  <c r="BE576" i="1"/>
  <c r="BF576" i="1"/>
  <c r="BE596" i="1"/>
  <c r="BF596" i="1"/>
  <c r="BG596" i="1"/>
  <c r="BF599" i="1"/>
  <c r="BG599" i="1"/>
  <c r="BE599" i="1"/>
  <c r="BE634" i="1"/>
  <c r="BG634" i="1"/>
  <c r="BF634" i="1"/>
  <c r="BE621" i="1"/>
  <c r="BF621" i="1"/>
  <c r="BG621" i="1"/>
  <c r="BG647" i="1"/>
  <c r="BF647" i="1"/>
  <c r="BE647" i="1"/>
  <c r="BG666" i="1"/>
  <c r="BF666" i="1"/>
  <c r="BE666" i="1"/>
  <c r="AW86" i="1"/>
  <c r="BF86" i="1"/>
  <c r="BG86" i="1"/>
  <c r="BE86" i="1"/>
  <c r="BG579" i="1"/>
  <c r="BE579" i="1"/>
  <c r="BF579" i="1"/>
  <c r="BE592" i="1"/>
  <c r="BF592" i="1"/>
  <c r="BG592" i="1"/>
  <c r="BE607" i="1"/>
  <c r="BF607" i="1"/>
  <c r="BG607" i="1"/>
  <c r="BG633" i="1"/>
  <c r="BF633" i="1"/>
  <c r="BE633" i="1"/>
  <c r="BF620" i="1"/>
  <c r="BG620" i="1"/>
  <c r="BE620" i="1"/>
  <c r="BF661" i="1"/>
  <c r="BE661" i="1"/>
  <c r="BG661" i="1"/>
  <c r="BG671" i="1"/>
  <c r="BF671" i="1"/>
  <c r="BE671" i="1"/>
  <c r="BG85" i="1"/>
  <c r="BE85" i="1"/>
  <c r="BF85" i="1"/>
  <c r="AW85" i="1"/>
  <c r="BG577" i="1"/>
  <c r="BF577" i="1"/>
  <c r="BE577" i="1"/>
  <c r="BE597" i="1"/>
  <c r="BF597" i="1"/>
  <c r="BG597" i="1"/>
  <c r="BE613" i="1"/>
  <c r="BF613" i="1"/>
  <c r="BG613" i="1"/>
  <c r="BF632" i="1"/>
  <c r="BE632" i="1"/>
  <c r="BG632" i="1"/>
  <c r="BF640" i="1"/>
  <c r="BE640" i="1"/>
  <c r="BG640" i="1"/>
  <c r="BG644" i="1"/>
  <c r="BF644" i="1"/>
  <c r="BE644" i="1"/>
  <c r="BG646" i="1"/>
  <c r="BF646" i="1"/>
  <c r="BE646" i="1"/>
  <c r="BG84" i="1"/>
  <c r="BE84" i="1"/>
  <c r="BF84" i="1"/>
  <c r="AW84" i="1"/>
  <c r="BG578" i="1"/>
  <c r="BE578" i="1"/>
  <c r="BF578" i="1"/>
  <c r="BE591" i="1"/>
  <c r="BG591" i="1"/>
  <c r="BF591" i="1"/>
  <c r="BF604" i="1"/>
  <c r="BE604" i="1"/>
  <c r="BG604" i="1"/>
  <c r="BE626" i="1"/>
  <c r="BG626" i="1"/>
  <c r="BF626" i="1"/>
  <c r="BF625" i="1"/>
  <c r="BG625" i="1"/>
  <c r="BE625" i="1"/>
  <c r="BG670" i="1"/>
  <c r="BF670" i="1"/>
  <c r="BE670" i="1"/>
  <c r="BG651" i="1"/>
  <c r="BF651" i="1"/>
  <c r="BE651" i="1"/>
  <c r="BG685" i="1"/>
  <c r="BF685" i="1"/>
  <c r="BE685" i="1"/>
  <c r="AW685" i="1"/>
  <c r="BG590" i="1"/>
  <c r="BF590" i="1"/>
  <c r="BE590" i="1"/>
  <c r="BG574" i="1"/>
  <c r="BE574" i="1"/>
  <c r="BF574" i="1"/>
  <c r="BE594" i="1"/>
  <c r="BF594" i="1"/>
  <c r="BG594" i="1"/>
  <c r="BE611" i="1"/>
  <c r="BF611" i="1"/>
  <c r="BG611" i="1"/>
  <c r="BG631" i="1"/>
  <c r="BF631" i="1"/>
  <c r="BE631" i="1"/>
  <c r="BG658" i="1"/>
  <c r="BF658" i="1"/>
  <c r="BE658" i="1"/>
  <c r="BG664" i="1"/>
  <c r="BF664" i="1"/>
  <c r="BE664" i="1"/>
  <c r="BG665" i="1"/>
  <c r="BF665" i="1"/>
  <c r="BE665" i="1"/>
  <c r="AW682" i="1"/>
  <c r="BG682" i="1"/>
  <c r="BF682" i="1"/>
  <c r="BE682" i="1"/>
  <c r="BG673" i="1"/>
  <c r="BF673" i="1"/>
  <c r="BE673" i="1"/>
  <c r="BG573" i="1"/>
  <c r="BF573" i="1"/>
  <c r="BE573" i="1"/>
  <c r="BF585" i="1"/>
  <c r="BG585" i="1"/>
  <c r="BE585" i="1"/>
  <c r="BF609" i="1"/>
  <c r="BG609" i="1"/>
  <c r="BE609" i="1"/>
  <c r="BF630" i="1"/>
  <c r="BE630" i="1"/>
  <c r="BG630" i="1"/>
  <c r="BG650" i="1"/>
  <c r="BF650" i="1"/>
  <c r="BE650" i="1"/>
  <c r="BE676" i="1"/>
  <c r="BG676" i="1"/>
  <c r="BF676" i="1"/>
  <c r="BG655" i="1"/>
  <c r="BE655" i="1"/>
  <c r="BF655" i="1"/>
  <c r="AW686" i="1"/>
  <c r="BG686" i="1"/>
  <c r="BF686" i="1"/>
  <c r="BE686" i="1"/>
  <c r="BG568" i="1"/>
  <c r="BF568" i="1"/>
  <c r="BE568" i="1"/>
  <c r="BG566" i="1"/>
  <c r="BF566" i="1"/>
  <c r="BE566" i="1"/>
  <c r="BF581" i="1"/>
  <c r="BG581" i="1"/>
  <c r="BE581" i="1"/>
  <c r="BG588" i="1"/>
  <c r="BE588" i="1"/>
  <c r="BF588" i="1"/>
  <c r="BE602" i="1"/>
  <c r="BF602" i="1"/>
  <c r="BG602" i="1"/>
  <c r="BF622" i="1"/>
  <c r="BE622" i="1"/>
  <c r="BG622" i="1"/>
  <c r="BF623" i="1"/>
  <c r="BG623" i="1"/>
  <c r="BE623" i="1"/>
  <c r="BG645" i="1"/>
  <c r="BF645" i="1"/>
  <c r="BE645" i="1"/>
  <c r="BG649" i="1"/>
  <c r="BF649" i="1"/>
  <c r="BE649" i="1"/>
  <c r="AW683" i="1"/>
  <c r="BG683" i="1"/>
  <c r="BF683" i="1"/>
  <c r="BE683" i="1"/>
  <c r="BG565" i="1"/>
  <c r="BF565" i="1"/>
  <c r="BE565" i="1"/>
  <c r="BG587" i="1"/>
  <c r="BF587" i="1"/>
  <c r="BE587" i="1"/>
  <c r="BG601" i="1"/>
  <c r="BE601" i="1"/>
  <c r="BF601" i="1"/>
  <c r="BE615" i="1"/>
  <c r="BF615" i="1"/>
  <c r="BG615" i="1"/>
  <c r="BE628" i="1"/>
  <c r="BF628" i="1"/>
  <c r="BG628" i="1"/>
  <c r="BG654" i="1"/>
  <c r="BF654" i="1"/>
  <c r="BE654" i="1"/>
  <c r="BG672" i="1"/>
  <c r="BF672" i="1"/>
  <c r="BE672" i="1"/>
  <c r="AW679" i="1"/>
  <c r="BG679" i="1"/>
  <c r="BF679" i="1"/>
  <c r="BE679" i="1"/>
  <c r="AW684" i="1"/>
  <c r="BG684" i="1"/>
  <c r="BF684" i="1"/>
  <c r="BE684" i="1"/>
  <c r="BG352" i="1"/>
  <c r="BF352" i="1"/>
  <c r="BE352" i="1"/>
  <c r="BG430" i="1"/>
  <c r="BF430" i="1"/>
  <c r="BE430" i="1"/>
  <c r="BG429" i="1"/>
  <c r="BF429" i="1"/>
  <c r="BE429" i="1"/>
  <c r="BG173" i="1"/>
  <c r="BF173" i="1"/>
  <c r="BE173" i="1"/>
  <c r="BG219" i="1"/>
  <c r="BF219" i="1"/>
  <c r="BE219" i="1"/>
  <c r="BG246" i="1"/>
  <c r="BF246" i="1"/>
  <c r="BE246" i="1"/>
  <c r="BG501" i="1"/>
  <c r="BF501" i="1"/>
  <c r="BE501" i="1"/>
  <c r="BG245" i="1"/>
  <c r="BF245" i="1"/>
  <c r="BE245" i="1"/>
  <c r="BG532" i="1"/>
  <c r="BF532" i="1"/>
  <c r="BE532" i="1"/>
  <c r="BG260" i="1"/>
  <c r="BF260" i="1"/>
  <c r="BE260" i="1"/>
  <c r="BG563" i="1"/>
  <c r="BF563" i="1"/>
  <c r="BE563" i="1"/>
  <c r="BG307" i="1"/>
  <c r="BF307" i="1"/>
  <c r="BE307" i="1"/>
  <c r="BG27" i="1"/>
  <c r="BF27" i="1"/>
  <c r="BE27" i="1"/>
  <c r="BG354" i="1"/>
  <c r="BF354" i="1"/>
  <c r="BE354" i="1"/>
  <c r="BG513" i="1"/>
  <c r="BF513" i="1"/>
  <c r="BE513" i="1"/>
  <c r="BF257" i="1"/>
  <c r="BG257" i="1"/>
  <c r="BE257" i="1"/>
  <c r="BG53" i="1"/>
  <c r="BE53" i="1"/>
  <c r="BF53" i="1"/>
  <c r="BE336" i="1"/>
  <c r="BG336" i="1"/>
  <c r="BF336" i="1"/>
  <c r="BG72" i="1"/>
  <c r="BF72" i="1"/>
  <c r="BE72" i="1"/>
  <c r="BE383" i="1"/>
  <c r="BG383" i="1"/>
  <c r="BF383" i="1"/>
  <c r="BF127" i="1"/>
  <c r="BE127" i="1"/>
  <c r="BG127" i="1"/>
  <c r="BG414" i="1"/>
  <c r="BF414" i="1"/>
  <c r="BE414" i="1"/>
  <c r="BG142" i="1"/>
  <c r="BF142" i="1"/>
  <c r="BE142" i="1"/>
  <c r="BG413" i="1"/>
  <c r="BF413" i="1"/>
  <c r="BE413" i="1"/>
  <c r="BG157" i="1"/>
  <c r="BF157" i="1"/>
  <c r="BE157" i="1"/>
  <c r="BG428" i="1"/>
  <c r="BF428" i="1"/>
  <c r="BE428" i="1"/>
  <c r="BG172" i="1"/>
  <c r="BF172" i="1"/>
  <c r="BE172" i="1"/>
  <c r="BG459" i="1"/>
  <c r="BF459" i="1"/>
  <c r="BE459" i="1"/>
  <c r="BG203" i="1"/>
  <c r="BF203" i="1"/>
  <c r="BE203" i="1"/>
  <c r="BG474" i="1"/>
  <c r="BF474" i="1"/>
  <c r="BE474" i="1"/>
  <c r="BG218" i="1"/>
  <c r="BF218" i="1"/>
  <c r="BE218" i="1"/>
  <c r="BG489" i="1"/>
  <c r="BF489" i="1"/>
  <c r="BE489" i="1"/>
  <c r="BF233" i="1"/>
  <c r="BG233" i="1"/>
  <c r="BE233" i="1"/>
  <c r="BF504" i="1"/>
  <c r="BE504" i="1"/>
  <c r="BG504" i="1"/>
  <c r="BG248" i="1"/>
  <c r="BF248" i="1"/>
  <c r="BE248" i="1"/>
  <c r="BG503" i="1"/>
  <c r="BF503" i="1"/>
  <c r="BE503" i="1"/>
  <c r="BE247" i="1"/>
  <c r="BG247" i="1"/>
  <c r="BF247" i="1"/>
  <c r="BG486" i="1"/>
  <c r="BF486" i="1"/>
  <c r="BE486" i="1"/>
  <c r="BG230" i="1"/>
  <c r="BF230" i="1"/>
  <c r="BE230" i="1"/>
  <c r="BG485" i="1"/>
  <c r="BF485" i="1"/>
  <c r="BE485" i="1"/>
  <c r="BG229" i="1"/>
  <c r="BF229" i="1"/>
  <c r="BE229" i="1"/>
  <c r="BG516" i="1"/>
  <c r="BF516" i="1"/>
  <c r="BE516" i="1"/>
  <c r="BG244" i="1"/>
  <c r="BF244" i="1"/>
  <c r="BE244" i="1"/>
  <c r="BG547" i="1"/>
  <c r="BF547" i="1"/>
  <c r="BE547" i="1"/>
  <c r="BG291" i="1"/>
  <c r="BF291" i="1"/>
  <c r="BE291" i="1"/>
  <c r="BG11" i="1"/>
  <c r="BF11" i="1"/>
  <c r="BE11" i="1"/>
  <c r="BG338" i="1"/>
  <c r="BF338" i="1"/>
  <c r="BE338" i="1"/>
  <c r="BG497" i="1"/>
  <c r="BF497" i="1"/>
  <c r="BE497" i="1"/>
  <c r="BF241" i="1"/>
  <c r="BE241" i="1"/>
  <c r="BG241" i="1"/>
  <c r="BG505" i="1"/>
  <c r="BF505" i="1"/>
  <c r="BE505" i="1"/>
  <c r="BG443" i="1"/>
  <c r="BF443" i="1"/>
  <c r="BE443" i="1"/>
  <c r="BF225" i="1"/>
  <c r="BE225" i="1"/>
  <c r="BG225" i="1"/>
  <c r="BE49" i="1"/>
  <c r="BG49" i="1"/>
  <c r="BF49" i="1"/>
  <c r="BG77" i="1"/>
  <c r="BF77" i="1"/>
  <c r="BE77" i="1"/>
  <c r="BE560" i="1"/>
  <c r="BG560" i="1"/>
  <c r="BF560" i="1"/>
  <c r="BE304" i="1"/>
  <c r="BG304" i="1"/>
  <c r="BF304" i="1"/>
  <c r="BE40" i="1"/>
  <c r="BG40" i="1"/>
  <c r="BF40" i="1"/>
  <c r="BE351" i="1"/>
  <c r="BG351" i="1"/>
  <c r="BF351" i="1"/>
  <c r="BG90" i="1"/>
  <c r="BF90" i="1"/>
  <c r="BE90" i="1"/>
  <c r="BG382" i="1"/>
  <c r="BF382" i="1"/>
  <c r="BE382" i="1"/>
  <c r="BG110" i="1"/>
  <c r="BF110" i="1"/>
  <c r="BE110" i="1"/>
  <c r="BG381" i="1"/>
  <c r="BF381" i="1"/>
  <c r="BE381" i="1"/>
  <c r="BG125" i="1"/>
  <c r="BF125" i="1"/>
  <c r="BE125" i="1"/>
  <c r="BG396" i="1"/>
  <c r="BF396" i="1"/>
  <c r="BE396" i="1"/>
  <c r="BG140" i="1"/>
  <c r="BF140" i="1"/>
  <c r="BE140" i="1"/>
  <c r="BG427" i="1"/>
  <c r="BF427" i="1"/>
  <c r="BE427" i="1"/>
  <c r="BG171" i="1"/>
  <c r="BF171" i="1"/>
  <c r="BE171" i="1"/>
  <c r="BG442" i="1"/>
  <c r="BF442" i="1"/>
  <c r="BE442" i="1"/>
  <c r="BG186" i="1"/>
  <c r="BF186" i="1"/>
  <c r="BE186" i="1"/>
  <c r="BG457" i="1"/>
  <c r="BF457" i="1"/>
  <c r="BE457" i="1"/>
  <c r="BF201" i="1"/>
  <c r="BG201" i="1"/>
  <c r="BE201" i="1"/>
  <c r="BG472" i="1"/>
  <c r="BE472" i="1"/>
  <c r="BF472" i="1"/>
  <c r="BE216" i="1"/>
  <c r="BG216" i="1"/>
  <c r="BF216" i="1"/>
  <c r="BG471" i="1"/>
  <c r="BE471" i="1"/>
  <c r="BF471" i="1"/>
  <c r="BG215" i="1"/>
  <c r="BF215" i="1"/>
  <c r="BE215" i="1"/>
  <c r="BG454" i="1"/>
  <c r="BF454" i="1"/>
  <c r="BE454" i="1"/>
  <c r="BG198" i="1"/>
  <c r="BF198" i="1"/>
  <c r="BE198" i="1"/>
  <c r="BG453" i="1"/>
  <c r="BF453" i="1"/>
  <c r="BE453" i="1"/>
  <c r="BG197" i="1"/>
  <c r="BF197" i="1"/>
  <c r="BE197" i="1"/>
  <c r="BG484" i="1"/>
  <c r="BF484" i="1"/>
  <c r="BE484" i="1"/>
  <c r="BG212" i="1"/>
  <c r="BF212" i="1"/>
  <c r="BE212" i="1"/>
  <c r="BG515" i="1"/>
  <c r="BF515" i="1"/>
  <c r="BE515" i="1"/>
  <c r="BG259" i="1"/>
  <c r="BF259" i="1"/>
  <c r="BE259" i="1"/>
  <c r="BG562" i="1"/>
  <c r="BF562" i="1"/>
  <c r="BE562" i="1"/>
  <c r="BG306" i="1"/>
  <c r="BF306" i="1"/>
  <c r="BE306" i="1"/>
  <c r="BG465" i="1"/>
  <c r="BF465" i="1"/>
  <c r="BE465" i="1"/>
  <c r="BF209" i="1"/>
  <c r="BG209" i="1"/>
  <c r="BE209" i="1"/>
  <c r="BG520" i="1"/>
  <c r="BF520" i="1"/>
  <c r="BE520" i="1"/>
  <c r="BG412" i="1"/>
  <c r="BF412" i="1"/>
  <c r="BE412" i="1"/>
  <c r="BF217" i="1"/>
  <c r="BE217" i="1"/>
  <c r="BG217" i="1"/>
  <c r="BG214" i="1"/>
  <c r="BF214" i="1"/>
  <c r="BE214" i="1"/>
  <c r="BG63" i="1"/>
  <c r="BE63" i="1"/>
  <c r="BF63" i="1"/>
  <c r="BG190" i="1"/>
  <c r="BF190" i="1"/>
  <c r="BE190" i="1"/>
  <c r="BG544" i="1"/>
  <c r="BF544" i="1"/>
  <c r="BE544" i="1"/>
  <c r="BG288" i="1"/>
  <c r="BF288" i="1"/>
  <c r="BE288" i="1"/>
  <c r="BG24" i="1"/>
  <c r="BF24" i="1"/>
  <c r="BE24" i="1"/>
  <c r="BE335" i="1"/>
  <c r="BG335" i="1"/>
  <c r="BF335" i="1"/>
  <c r="BG71" i="1"/>
  <c r="BF71" i="1"/>
  <c r="BE71" i="1"/>
  <c r="BG366" i="1"/>
  <c r="BF366" i="1"/>
  <c r="BE366" i="1"/>
  <c r="BF89" i="1"/>
  <c r="BG89" i="1"/>
  <c r="BE89" i="1"/>
  <c r="BG365" i="1"/>
  <c r="BF365" i="1"/>
  <c r="BE365" i="1"/>
  <c r="BF109" i="1"/>
  <c r="BE109" i="1"/>
  <c r="BG109" i="1"/>
  <c r="BG380" i="1"/>
  <c r="BF380" i="1"/>
  <c r="BE380" i="1"/>
  <c r="BG124" i="1"/>
  <c r="BF124" i="1"/>
  <c r="BE124" i="1"/>
  <c r="BG411" i="1"/>
  <c r="BF411" i="1"/>
  <c r="BE411" i="1"/>
  <c r="BG155" i="1"/>
  <c r="BF155" i="1"/>
  <c r="BE155" i="1"/>
  <c r="BG426" i="1"/>
  <c r="BF426" i="1"/>
  <c r="BE426" i="1"/>
  <c r="BG170" i="1"/>
  <c r="BF170" i="1"/>
  <c r="BE170" i="1"/>
  <c r="BG441" i="1"/>
  <c r="BF441" i="1"/>
  <c r="BE441" i="1"/>
  <c r="BF185" i="1"/>
  <c r="BG185" i="1"/>
  <c r="BE185" i="1"/>
  <c r="BG456" i="1"/>
  <c r="BF456" i="1"/>
  <c r="BE456" i="1"/>
  <c r="BG200" i="1"/>
  <c r="BF200" i="1"/>
  <c r="BE200" i="1"/>
  <c r="BG455" i="1"/>
  <c r="BF455" i="1"/>
  <c r="BE455" i="1"/>
  <c r="BG199" i="1"/>
  <c r="BE199" i="1"/>
  <c r="BF199" i="1"/>
  <c r="BG438" i="1"/>
  <c r="BF438" i="1"/>
  <c r="BE438" i="1"/>
  <c r="BG182" i="1"/>
  <c r="BF182" i="1"/>
  <c r="BE182" i="1"/>
  <c r="BG437" i="1"/>
  <c r="BF437" i="1"/>
  <c r="BE437" i="1"/>
  <c r="BG181" i="1"/>
  <c r="BF181" i="1"/>
  <c r="BE181" i="1"/>
  <c r="BG468" i="1"/>
  <c r="BF468" i="1"/>
  <c r="BE468" i="1"/>
  <c r="BG196" i="1"/>
  <c r="BF196" i="1"/>
  <c r="BE196" i="1"/>
  <c r="BG499" i="1"/>
  <c r="BF499" i="1"/>
  <c r="BE499" i="1"/>
  <c r="BG243" i="1"/>
  <c r="BF243" i="1"/>
  <c r="BE243" i="1"/>
  <c r="BG546" i="1"/>
  <c r="BF546" i="1"/>
  <c r="BE546" i="1"/>
  <c r="BG290" i="1"/>
  <c r="BF290" i="1"/>
  <c r="BE290" i="1"/>
  <c r="BG449" i="1"/>
  <c r="BF449" i="1"/>
  <c r="BE449" i="1"/>
  <c r="BF193" i="1"/>
  <c r="BE193" i="1"/>
  <c r="BG193" i="1"/>
  <c r="BG234" i="1"/>
  <c r="BF234" i="1"/>
  <c r="BE234" i="1"/>
  <c r="BG397" i="1"/>
  <c r="BF397" i="1"/>
  <c r="BE397" i="1"/>
  <c r="BG458" i="1"/>
  <c r="BF458" i="1"/>
  <c r="BE458" i="1"/>
  <c r="BG488" i="1"/>
  <c r="BF488" i="1"/>
  <c r="BE488" i="1"/>
  <c r="BG232" i="1"/>
  <c r="BF232" i="1"/>
  <c r="BE232" i="1"/>
  <c r="BG487" i="1"/>
  <c r="BF487" i="1"/>
  <c r="BE487" i="1"/>
  <c r="BG231" i="1"/>
  <c r="BF231" i="1"/>
  <c r="BE231" i="1"/>
  <c r="BE47" i="1"/>
  <c r="BG47" i="1"/>
  <c r="BF47" i="1"/>
  <c r="BE528" i="1"/>
  <c r="BG528" i="1"/>
  <c r="BF528" i="1"/>
  <c r="BE272" i="1"/>
  <c r="BG272" i="1"/>
  <c r="BF272" i="1"/>
  <c r="BG178" i="1"/>
  <c r="BF178" i="1"/>
  <c r="BE178" i="1"/>
  <c r="BE319" i="1"/>
  <c r="BG319" i="1"/>
  <c r="BF319" i="1"/>
  <c r="BG39" i="1"/>
  <c r="BF39" i="1"/>
  <c r="BE39" i="1"/>
  <c r="BG350" i="1"/>
  <c r="BF350" i="1"/>
  <c r="BE350" i="1"/>
  <c r="BG70" i="1"/>
  <c r="BF70" i="1"/>
  <c r="BE70" i="1"/>
  <c r="BG349" i="1"/>
  <c r="BF349" i="1"/>
  <c r="BE349" i="1"/>
  <c r="BG88" i="1"/>
  <c r="BF88" i="1"/>
  <c r="BE88" i="1"/>
  <c r="BG364" i="1"/>
  <c r="BF364" i="1"/>
  <c r="BE364" i="1"/>
  <c r="BG108" i="1"/>
  <c r="BF108" i="1"/>
  <c r="BE108" i="1"/>
  <c r="BG395" i="1"/>
  <c r="BF395" i="1"/>
  <c r="BE395" i="1"/>
  <c r="BG139" i="1"/>
  <c r="BF139" i="1"/>
  <c r="BE139" i="1"/>
  <c r="BG410" i="1"/>
  <c r="BF410" i="1"/>
  <c r="BE410" i="1"/>
  <c r="BG154" i="1"/>
  <c r="BF154" i="1"/>
  <c r="BE154" i="1"/>
  <c r="BG425" i="1"/>
  <c r="BF425" i="1"/>
  <c r="BE425" i="1"/>
  <c r="BF169" i="1"/>
  <c r="BG169" i="1"/>
  <c r="BE169" i="1"/>
  <c r="BG440" i="1"/>
  <c r="BF440" i="1"/>
  <c r="BE440" i="1"/>
  <c r="BG184" i="1"/>
  <c r="BF184" i="1"/>
  <c r="BE184" i="1"/>
  <c r="BG439" i="1"/>
  <c r="BF439" i="1"/>
  <c r="BE439" i="1"/>
  <c r="BG183" i="1"/>
  <c r="BF183" i="1"/>
  <c r="BE183" i="1"/>
  <c r="BG422" i="1"/>
  <c r="BF422" i="1"/>
  <c r="BE422" i="1"/>
  <c r="BG166" i="1"/>
  <c r="BF166" i="1"/>
  <c r="BE166" i="1"/>
  <c r="BG421" i="1"/>
  <c r="BF421" i="1"/>
  <c r="BE421" i="1"/>
  <c r="BG165" i="1"/>
  <c r="BF165" i="1"/>
  <c r="BE165" i="1"/>
  <c r="BG452" i="1"/>
  <c r="BF452" i="1"/>
  <c r="BE452" i="1"/>
  <c r="BG180" i="1"/>
  <c r="BF180" i="1"/>
  <c r="BE180" i="1"/>
  <c r="BG483" i="1"/>
  <c r="BF483" i="1"/>
  <c r="BE483" i="1"/>
  <c r="BG227" i="1"/>
  <c r="BF227" i="1"/>
  <c r="BE227" i="1"/>
  <c r="BG530" i="1"/>
  <c r="BF530" i="1"/>
  <c r="BE530" i="1"/>
  <c r="BG274" i="1"/>
  <c r="BF274" i="1"/>
  <c r="BE274" i="1"/>
  <c r="BG433" i="1"/>
  <c r="BF433" i="1"/>
  <c r="BE433" i="1"/>
  <c r="BF177" i="1"/>
  <c r="BE177" i="1"/>
  <c r="BG177" i="1"/>
  <c r="BG502" i="1"/>
  <c r="BF502" i="1"/>
  <c r="BE502" i="1"/>
  <c r="BG126" i="1"/>
  <c r="BF126" i="1"/>
  <c r="BE126" i="1"/>
  <c r="BG275" i="1"/>
  <c r="BF275" i="1"/>
  <c r="BE275" i="1"/>
  <c r="BE17" i="1"/>
  <c r="BG17" i="1"/>
  <c r="BF17" i="1"/>
  <c r="BE512" i="1"/>
  <c r="BG512" i="1"/>
  <c r="BF512" i="1"/>
  <c r="BE256" i="1"/>
  <c r="BG256" i="1"/>
  <c r="BF256" i="1"/>
  <c r="BG559" i="1"/>
  <c r="BE559" i="1"/>
  <c r="BF559" i="1"/>
  <c r="BE303" i="1"/>
  <c r="BG303" i="1"/>
  <c r="BF303" i="1"/>
  <c r="BG23" i="1"/>
  <c r="BF23" i="1"/>
  <c r="BE23" i="1"/>
  <c r="BG334" i="1"/>
  <c r="BF334" i="1"/>
  <c r="BE334" i="1"/>
  <c r="BG22" i="1"/>
  <c r="BF22" i="1"/>
  <c r="BE22" i="1"/>
  <c r="BG333" i="1"/>
  <c r="BF333" i="1"/>
  <c r="BE333" i="1"/>
  <c r="BG69" i="1"/>
  <c r="BF69" i="1"/>
  <c r="BE69" i="1"/>
  <c r="BG348" i="1"/>
  <c r="BF348" i="1"/>
  <c r="BE348" i="1"/>
  <c r="BG379" i="1"/>
  <c r="BF379" i="1"/>
  <c r="BE379" i="1"/>
  <c r="BG123" i="1"/>
  <c r="BF123" i="1"/>
  <c r="BE123" i="1"/>
  <c r="BG394" i="1"/>
  <c r="BF394" i="1"/>
  <c r="BE394" i="1"/>
  <c r="BG138" i="1"/>
  <c r="BF138" i="1"/>
  <c r="BE138" i="1"/>
  <c r="BG409" i="1"/>
  <c r="BF409" i="1"/>
  <c r="BE409" i="1"/>
  <c r="BF153" i="1"/>
  <c r="BG153" i="1"/>
  <c r="BE153" i="1"/>
  <c r="BE424" i="1"/>
  <c r="BG424" i="1"/>
  <c r="BF424" i="1"/>
  <c r="BE168" i="1"/>
  <c r="BG168" i="1"/>
  <c r="BF168" i="1"/>
  <c r="BG423" i="1"/>
  <c r="BF423" i="1"/>
  <c r="BE423" i="1"/>
  <c r="BE167" i="1"/>
  <c r="BG167" i="1"/>
  <c r="BF167" i="1"/>
  <c r="BG406" i="1"/>
  <c r="BF406" i="1"/>
  <c r="BE406" i="1"/>
  <c r="BG150" i="1"/>
  <c r="BF150" i="1"/>
  <c r="BE150" i="1"/>
  <c r="BG405" i="1"/>
  <c r="BF405" i="1"/>
  <c r="BE405" i="1"/>
  <c r="BG149" i="1"/>
  <c r="BF149" i="1"/>
  <c r="BE149" i="1"/>
  <c r="BG420" i="1"/>
  <c r="BF420" i="1"/>
  <c r="BE420" i="1"/>
  <c r="BG164" i="1"/>
  <c r="BF164" i="1"/>
  <c r="BE164" i="1"/>
  <c r="BG467" i="1"/>
  <c r="BF467" i="1"/>
  <c r="BE467" i="1"/>
  <c r="BG211" i="1"/>
  <c r="BF211" i="1"/>
  <c r="BE211" i="1"/>
  <c r="BG514" i="1"/>
  <c r="BF514" i="1"/>
  <c r="BE514" i="1"/>
  <c r="BG258" i="1"/>
  <c r="BF258" i="1"/>
  <c r="BE258" i="1"/>
  <c r="BG417" i="1"/>
  <c r="BF417" i="1"/>
  <c r="BE417" i="1"/>
  <c r="BF161" i="1"/>
  <c r="BG161" i="1"/>
  <c r="BE161" i="1"/>
  <c r="BG444" i="1"/>
  <c r="BF444" i="1"/>
  <c r="BE444" i="1"/>
  <c r="BG141" i="1"/>
  <c r="BF141" i="1"/>
  <c r="BE141" i="1"/>
  <c r="BG202" i="1"/>
  <c r="BF202" i="1"/>
  <c r="BE202" i="1"/>
  <c r="BG470" i="1"/>
  <c r="BF470" i="1"/>
  <c r="BE470" i="1"/>
  <c r="BG135" i="1"/>
  <c r="BF135" i="1"/>
  <c r="BE135" i="1"/>
  <c r="BE16" i="1"/>
  <c r="BG16" i="1"/>
  <c r="BF16" i="1"/>
  <c r="BG496" i="1"/>
  <c r="BF496" i="1"/>
  <c r="BE496" i="1"/>
  <c r="BF240" i="1"/>
  <c r="BE240" i="1"/>
  <c r="BG240" i="1"/>
  <c r="BG543" i="1"/>
  <c r="BF543" i="1"/>
  <c r="BE543" i="1"/>
  <c r="BE287" i="1"/>
  <c r="BG287" i="1"/>
  <c r="BF287" i="1"/>
  <c r="BE41" i="1"/>
  <c r="BG41" i="1"/>
  <c r="BF41" i="1"/>
  <c r="BG318" i="1"/>
  <c r="BF318" i="1"/>
  <c r="BE318" i="1"/>
  <c r="BG58" i="1"/>
  <c r="BF58" i="1"/>
  <c r="BE58" i="1"/>
  <c r="BG317" i="1"/>
  <c r="BF317" i="1"/>
  <c r="BE317" i="1"/>
  <c r="BG21" i="1"/>
  <c r="BF21" i="1"/>
  <c r="BE21" i="1"/>
  <c r="BG332" i="1"/>
  <c r="BF332" i="1"/>
  <c r="BE332" i="1"/>
  <c r="BG363" i="1"/>
  <c r="BF363" i="1"/>
  <c r="BE363" i="1"/>
  <c r="BG107" i="1"/>
  <c r="BF107" i="1"/>
  <c r="BE107" i="1"/>
  <c r="BG378" i="1"/>
  <c r="BF378" i="1"/>
  <c r="BE378" i="1"/>
  <c r="BG122" i="1"/>
  <c r="BF122" i="1"/>
  <c r="BE122" i="1"/>
  <c r="BG393" i="1"/>
  <c r="BF393" i="1"/>
  <c r="BE393" i="1"/>
  <c r="BF137" i="1"/>
  <c r="BG137" i="1"/>
  <c r="BE137" i="1"/>
  <c r="BG408" i="1"/>
  <c r="BF408" i="1"/>
  <c r="BE408" i="1"/>
  <c r="BG152" i="1"/>
  <c r="BF152" i="1"/>
  <c r="BE152" i="1"/>
  <c r="BG407" i="1"/>
  <c r="BF407" i="1"/>
  <c r="BE407" i="1"/>
  <c r="BG151" i="1"/>
  <c r="BE151" i="1"/>
  <c r="BF151" i="1"/>
  <c r="BG390" i="1"/>
  <c r="BF390" i="1"/>
  <c r="BE390" i="1"/>
  <c r="BG134" i="1"/>
  <c r="BF134" i="1"/>
  <c r="BE134" i="1"/>
  <c r="BG389" i="1"/>
  <c r="BF389" i="1"/>
  <c r="BE389" i="1"/>
  <c r="BG133" i="1"/>
  <c r="BF133" i="1"/>
  <c r="BE133" i="1"/>
  <c r="BG404" i="1"/>
  <c r="BF404" i="1"/>
  <c r="BE404" i="1"/>
  <c r="BE148" i="1"/>
  <c r="BG148" i="1"/>
  <c r="BF148" i="1"/>
  <c r="BG451" i="1"/>
  <c r="BF451" i="1"/>
  <c r="BE451" i="1"/>
  <c r="BG195" i="1"/>
  <c r="BF195" i="1"/>
  <c r="BE195" i="1"/>
  <c r="BG498" i="1"/>
  <c r="BF498" i="1"/>
  <c r="BE498" i="1"/>
  <c r="BG242" i="1"/>
  <c r="BF242" i="1"/>
  <c r="BE242" i="1"/>
  <c r="BG401" i="1"/>
  <c r="BF401" i="1"/>
  <c r="BE401" i="1"/>
  <c r="BF145" i="1"/>
  <c r="BE145" i="1"/>
  <c r="BG145" i="1"/>
  <c r="BF249" i="1"/>
  <c r="BG249" i="1"/>
  <c r="BE249" i="1"/>
  <c r="BG398" i="1"/>
  <c r="BF398" i="1"/>
  <c r="BE398" i="1"/>
  <c r="BG473" i="1"/>
  <c r="BF473" i="1"/>
  <c r="BE473" i="1"/>
  <c r="BG531" i="1"/>
  <c r="BF531" i="1"/>
  <c r="BE531" i="1"/>
  <c r="BE15" i="1"/>
  <c r="BG15" i="1"/>
  <c r="BF15" i="1"/>
  <c r="BE480" i="1"/>
  <c r="BG480" i="1"/>
  <c r="BF480" i="1"/>
  <c r="BE224" i="1"/>
  <c r="BG224" i="1"/>
  <c r="BF224" i="1"/>
  <c r="BG527" i="1"/>
  <c r="BE527" i="1"/>
  <c r="BF527" i="1"/>
  <c r="BE271" i="1"/>
  <c r="BG271" i="1"/>
  <c r="BF271" i="1"/>
  <c r="BG558" i="1"/>
  <c r="BF558" i="1"/>
  <c r="BE558" i="1"/>
  <c r="BG302" i="1"/>
  <c r="BF302" i="1"/>
  <c r="BE302" i="1"/>
  <c r="BG557" i="1"/>
  <c r="BF557" i="1"/>
  <c r="BE557" i="1"/>
  <c r="BG301" i="1"/>
  <c r="BF301" i="1"/>
  <c r="BE301" i="1"/>
  <c r="BG130" i="1"/>
  <c r="BF130" i="1"/>
  <c r="BE130" i="1"/>
  <c r="BG316" i="1"/>
  <c r="BF316" i="1"/>
  <c r="BE316" i="1"/>
  <c r="BE68" i="1"/>
  <c r="BG68" i="1"/>
  <c r="BF68" i="1"/>
  <c r="BG347" i="1"/>
  <c r="BF347" i="1"/>
  <c r="BE347" i="1"/>
  <c r="BG83" i="1"/>
  <c r="BF83" i="1"/>
  <c r="BE83" i="1"/>
  <c r="BG362" i="1"/>
  <c r="BF362" i="1"/>
  <c r="BE362" i="1"/>
  <c r="BG106" i="1"/>
  <c r="BF106" i="1"/>
  <c r="BE106" i="1"/>
  <c r="BG377" i="1"/>
  <c r="BF377" i="1"/>
  <c r="BE377" i="1"/>
  <c r="BF121" i="1"/>
  <c r="BG121" i="1"/>
  <c r="BE121" i="1"/>
  <c r="BE392" i="1"/>
  <c r="BG392" i="1"/>
  <c r="BF392" i="1"/>
  <c r="BG136" i="1"/>
  <c r="BF136" i="1"/>
  <c r="BE136" i="1"/>
  <c r="BG391" i="1"/>
  <c r="BF391" i="1"/>
  <c r="BE391" i="1"/>
  <c r="BG119" i="1"/>
  <c r="BF119" i="1"/>
  <c r="BE119" i="1"/>
  <c r="BG374" i="1"/>
  <c r="BF374" i="1"/>
  <c r="BE374" i="1"/>
  <c r="BG118" i="1"/>
  <c r="BF118" i="1"/>
  <c r="BE118" i="1"/>
  <c r="BG373" i="1"/>
  <c r="BF373" i="1"/>
  <c r="BE373" i="1"/>
  <c r="BG117" i="1"/>
  <c r="BF117" i="1"/>
  <c r="BE117" i="1"/>
  <c r="BG388" i="1"/>
  <c r="BF388" i="1"/>
  <c r="BE388" i="1"/>
  <c r="BE132" i="1"/>
  <c r="BG132" i="1"/>
  <c r="BF132" i="1"/>
  <c r="BG435" i="1"/>
  <c r="BF435" i="1"/>
  <c r="BE435" i="1"/>
  <c r="BG179" i="1"/>
  <c r="BF179" i="1"/>
  <c r="BE179" i="1"/>
  <c r="BG482" i="1"/>
  <c r="BF482" i="1"/>
  <c r="BE482" i="1"/>
  <c r="BG226" i="1"/>
  <c r="BF226" i="1"/>
  <c r="BE226" i="1"/>
  <c r="BG385" i="1"/>
  <c r="BF385" i="1"/>
  <c r="BE385" i="1"/>
  <c r="BF129" i="1"/>
  <c r="BE129" i="1"/>
  <c r="BG129" i="1"/>
  <c r="BG158" i="1"/>
  <c r="BF158" i="1"/>
  <c r="BE158" i="1"/>
  <c r="BG114" i="1"/>
  <c r="BF114" i="1"/>
  <c r="BE114" i="1"/>
  <c r="BG50" i="1"/>
  <c r="BF50" i="1"/>
  <c r="BE50" i="1"/>
  <c r="BG75" i="1"/>
  <c r="BF75" i="1"/>
  <c r="BE75" i="1"/>
  <c r="BG14" i="1"/>
  <c r="BF14" i="1"/>
  <c r="BE14" i="1"/>
  <c r="BE464" i="1"/>
  <c r="BG464" i="1"/>
  <c r="BF464" i="1"/>
  <c r="BG208" i="1"/>
  <c r="BE208" i="1"/>
  <c r="BF208" i="1"/>
  <c r="BG511" i="1"/>
  <c r="BE511" i="1"/>
  <c r="BF511" i="1"/>
  <c r="BE255" i="1"/>
  <c r="BG255" i="1"/>
  <c r="BF255" i="1"/>
  <c r="BG542" i="1"/>
  <c r="BF542" i="1"/>
  <c r="BE542" i="1"/>
  <c r="BG286" i="1"/>
  <c r="BF286" i="1"/>
  <c r="BE286" i="1"/>
  <c r="BG541" i="1"/>
  <c r="BF541" i="1"/>
  <c r="BE541" i="1"/>
  <c r="BG285" i="1"/>
  <c r="BF285" i="1"/>
  <c r="BE285" i="1"/>
  <c r="BG556" i="1"/>
  <c r="BF556" i="1"/>
  <c r="BE556" i="1"/>
  <c r="BG300" i="1"/>
  <c r="BF300" i="1"/>
  <c r="BE300" i="1"/>
  <c r="BG36" i="1"/>
  <c r="BF36" i="1"/>
  <c r="BE36" i="1"/>
  <c r="BG331" i="1"/>
  <c r="BF331" i="1"/>
  <c r="BE331" i="1"/>
  <c r="BG67" i="1"/>
  <c r="BF67" i="1"/>
  <c r="BE67" i="1"/>
  <c r="BG346" i="1"/>
  <c r="BF346" i="1"/>
  <c r="BE346" i="1"/>
  <c r="BG82" i="1"/>
  <c r="BF82" i="1"/>
  <c r="BE82" i="1"/>
  <c r="BG361" i="1"/>
  <c r="BF361" i="1"/>
  <c r="BE361" i="1"/>
  <c r="BF105" i="1"/>
  <c r="BG105" i="1"/>
  <c r="BE105" i="1"/>
  <c r="BG376" i="1"/>
  <c r="BF376" i="1"/>
  <c r="BE376" i="1"/>
  <c r="BG120" i="1"/>
  <c r="BF120" i="1"/>
  <c r="BE120" i="1"/>
  <c r="BG375" i="1"/>
  <c r="BF375" i="1"/>
  <c r="BE375" i="1"/>
  <c r="BG98" i="1"/>
  <c r="BF98" i="1"/>
  <c r="BE98" i="1"/>
  <c r="BG358" i="1"/>
  <c r="BF358" i="1"/>
  <c r="BE358" i="1"/>
  <c r="BF97" i="1"/>
  <c r="BE97" i="1"/>
  <c r="BG97" i="1"/>
  <c r="BG357" i="1"/>
  <c r="BF357" i="1"/>
  <c r="BE357" i="1"/>
  <c r="BE96" i="1"/>
  <c r="BG96" i="1"/>
  <c r="BF96" i="1"/>
  <c r="BG372" i="1"/>
  <c r="BF372" i="1"/>
  <c r="BE372" i="1"/>
  <c r="BE116" i="1"/>
  <c r="BG116" i="1"/>
  <c r="BF116" i="1"/>
  <c r="BG419" i="1"/>
  <c r="BF419" i="1"/>
  <c r="BE419" i="1"/>
  <c r="BG163" i="1"/>
  <c r="BF163" i="1"/>
  <c r="BE163" i="1"/>
  <c r="BG466" i="1"/>
  <c r="BF466" i="1"/>
  <c r="BE466" i="1"/>
  <c r="BG210" i="1"/>
  <c r="BF210" i="1"/>
  <c r="BE210" i="1"/>
  <c r="BG369" i="1"/>
  <c r="BF369" i="1"/>
  <c r="BE369" i="1"/>
  <c r="BF113" i="1"/>
  <c r="BE113" i="1"/>
  <c r="BG113" i="1"/>
  <c r="BG143" i="1"/>
  <c r="BF143" i="1"/>
  <c r="BE143" i="1"/>
  <c r="BG490" i="1"/>
  <c r="BF490" i="1"/>
  <c r="BE490" i="1"/>
  <c r="BG320" i="1"/>
  <c r="BF320" i="1"/>
  <c r="BE320" i="1"/>
  <c r="BG469" i="1"/>
  <c r="BF469" i="1"/>
  <c r="BE469" i="1"/>
  <c r="BG52" i="1"/>
  <c r="BF52" i="1"/>
  <c r="BE52" i="1"/>
  <c r="BG78" i="1"/>
  <c r="BF78" i="1"/>
  <c r="BE78" i="1"/>
  <c r="BG54" i="1"/>
  <c r="BF54" i="1"/>
  <c r="BE54" i="1"/>
  <c r="BE448" i="1"/>
  <c r="BG448" i="1"/>
  <c r="BF448" i="1"/>
  <c r="BE192" i="1"/>
  <c r="BG192" i="1"/>
  <c r="BF192" i="1"/>
  <c r="BG495" i="1"/>
  <c r="BE495" i="1"/>
  <c r="BF495" i="1"/>
  <c r="BG239" i="1"/>
  <c r="BF239" i="1"/>
  <c r="BE239" i="1"/>
  <c r="BG526" i="1"/>
  <c r="BF526" i="1"/>
  <c r="BE526" i="1"/>
  <c r="BG270" i="1"/>
  <c r="BF270" i="1"/>
  <c r="BE270" i="1"/>
  <c r="BG525" i="1"/>
  <c r="BF525" i="1"/>
  <c r="BE525" i="1"/>
  <c r="BG269" i="1"/>
  <c r="BF269" i="1"/>
  <c r="BE269" i="1"/>
  <c r="BG540" i="1"/>
  <c r="BF540" i="1"/>
  <c r="BE540" i="1"/>
  <c r="BG284" i="1"/>
  <c r="BF284" i="1"/>
  <c r="BE284" i="1"/>
  <c r="BE20" i="1"/>
  <c r="BG20" i="1"/>
  <c r="BF20" i="1"/>
  <c r="BG315" i="1"/>
  <c r="BF315" i="1"/>
  <c r="BE315" i="1"/>
  <c r="BG35" i="1"/>
  <c r="BF35" i="1"/>
  <c r="BE35" i="1"/>
  <c r="BG330" i="1"/>
  <c r="BF330" i="1"/>
  <c r="BE330" i="1"/>
  <c r="BG66" i="1"/>
  <c r="BF66" i="1"/>
  <c r="BE66" i="1"/>
  <c r="BG345" i="1"/>
  <c r="BF345" i="1"/>
  <c r="BE345" i="1"/>
  <c r="BF81" i="1"/>
  <c r="BE81" i="1"/>
  <c r="BG81" i="1"/>
  <c r="BE360" i="1"/>
  <c r="BG360" i="1"/>
  <c r="BF360" i="1"/>
  <c r="BG99" i="1"/>
  <c r="BF99" i="1"/>
  <c r="BE99" i="1"/>
  <c r="BG359" i="1"/>
  <c r="BF359" i="1"/>
  <c r="BE359" i="1"/>
  <c r="BG79" i="1"/>
  <c r="BF79" i="1"/>
  <c r="BE79" i="1"/>
  <c r="BG342" i="1"/>
  <c r="BF342" i="1"/>
  <c r="BE342" i="1"/>
  <c r="BG46" i="1"/>
  <c r="BF46" i="1"/>
  <c r="BE46" i="1"/>
  <c r="BG341" i="1"/>
  <c r="BF341" i="1"/>
  <c r="BE341" i="1"/>
  <c r="BG61" i="1"/>
  <c r="BE61" i="1"/>
  <c r="BF61" i="1"/>
  <c r="BG356" i="1"/>
  <c r="BF356" i="1"/>
  <c r="BE356" i="1"/>
  <c r="BF95" i="1"/>
  <c r="BE95" i="1"/>
  <c r="BG95" i="1"/>
  <c r="BG403" i="1"/>
  <c r="BF403" i="1"/>
  <c r="BE403" i="1"/>
  <c r="BG147" i="1"/>
  <c r="BF147" i="1"/>
  <c r="BE147" i="1"/>
  <c r="BG450" i="1"/>
  <c r="BF450" i="1"/>
  <c r="BE450" i="1"/>
  <c r="BG194" i="1"/>
  <c r="BF194" i="1"/>
  <c r="BE194" i="1"/>
  <c r="BG353" i="1"/>
  <c r="BF353" i="1"/>
  <c r="BE353" i="1"/>
  <c r="BG92" i="1"/>
  <c r="BF92" i="1"/>
  <c r="BE92" i="1"/>
  <c r="BE399" i="1"/>
  <c r="BG399" i="1"/>
  <c r="BF399" i="1"/>
  <c r="BG188" i="1"/>
  <c r="BF188" i="1"/>
  <c r="BE188" i="1"/>
  <c r="BE367" i="1"/>
  <c r="BG367" i="1"/>
  <c r="BF367" i="1"/>
  <c r="BG481" i="1"/>
  <c r="BF481" i="1"/>
  <c r="BE481" i="1"/>
  <c r="BG18" i="1"/>
  <c r="BF18" i="1"/>
  <c r="BE18" i="1"/>
  <c r="BG64" i="1"/>
  <c r="BF64" i="1"/>
  <c r="BE64" i="1"/>
  <c r="BG62" i="1"/>
  <c r="BF62" i="1"/>
  <c r="BE62" i="1"/>
  <c r="BE55" i="1"/>
  <c r="BG55" i="1"/>
  <c r="BF55" i="1"/>
  <c r="BE432" i="1"/>
  <c r="BG432" i="1"/>
  <c r="BF432" i="1"/>
  <c r="BE176" i="1"/>
  <c r="BG176" i="1"/>
  <c r="BF176" i="1"/>
  <c r="BG479" i="1"/>
  <c r="BE479" i="1"/>
  <c r="BF479" i="1"/>
  <c r="BE223" i="1"/>
  <c r="BG223" i="1"/>
  <c r="BF223" i="1"/>
  <c r="BG510" i="1"/>
  <c r="BF510" i="1"/>
  <c r="BE510" i="1"/>
  <c r="BG254" i="1"/>
  <c r="BF254" i="1"/>
  <c r="BE254" i="1"/>
  <c r="BG509" i="1"/>
  <c r="BF509" i="1"/>
  <c r="BE509" i="1"/>
  <c r="BG253" i="1"/>
  <c r="BF253" i="1"/>
  <c r="BE253" i="1"/>
  <c r="BG524" i="1"/>
  <c r="BF524" i="1"/>
  <c r="BE524" i="1"/>
  <c r="BG268" i="1"/>
  <c r="BF268" i="1"/>
  <c r="BE268" i="1"/>
  <c r="BG555" i="1"/>
  <c r="BF555" i="1"/>
  <c r="BE555" i="1"/>
  <c r="BG299" i="1"/>
  <c r="BF299" i="1"/>
  <c r="BE299" i="1"/>
  <c r="BG19" i="1"/>
  <c r="BF19" i="1"/>
  <c r="BE19" i="1"/>
  <c r="BG314" i="1"/>
  <c r="BF314" i="1"/>
  <c r="BE314" i="1"/>
  <c r="BG34" i="1"/>
  <c r="BF34" i="1"/>
  <c r="BE34" i="1"/>
  <c r="BG329" i="1"/>
  <c r="BF329" i="1"/>
  <c r="BE329" i="1"/>
  <c r="BF65" i="1"/>
  <c r="BG65" i="1"/>
  <c r="BE65" i="1"/>
  <c r="BG344" i="1"/>
  <c r="BF344" i="1"/>
  <c r="BE344" i="1"/>
  <c r="BF80" i="1"/>
  <c r="BE80" i="1"/>
  <c r="BG80" i="1"/>
  <c r="BG343" i="1"/>
  <c r="BF343" i="1"/>
  <c r="BE343" i="1"/>
  <c r="BE31" i="1"/>
  <c r="BG31" i="1"/>
  <c r="BF31" i="1"/>
  <c r="BG326" i="1"/>
  <c r="BF326" i="1"/>
  <c r="BE326" i="1"/>
  <c r="BG30" i="1"/>
  <c r="BF30" i="1"/>
  <c r="BE30" i="1"/>
  <c r="BG325" i="1"/>
  <c r="BF325" i="1"/>
  <c r="BE325" i="1"/>
  <c r="BE45" i="1"/>
  <c r="BG45" i="1"/>
  <c r="BF45" i="1"/>
  <c r="BG340" i="1"/>
  <c r="BF340" i="1"/>
  <c r="BE340" i="1"/>
  <c r="BE60" i="1"/>
  <c r="BG60" i="1"/>
  <c r="BF60" i="1"/>
  <c r="BG387" i="1"/>
  <c r="BF387" i="1"/>
  <c r="BE387" i="1"/>
  <c r="BG131" i="1"/>
  <c r="BF131" i="1"/>
  <c r="BE131" i="1"/>
  <c r="BG434" i="1"/>
  <c r="BF434" i="1"/>
  <c r="BE434" i="1"/>
  <c r="BG26" i="1"/>
  <c r="BF26" i="1"/>
  <c r="BE26" i="1"/>
  <c r="BG337" i="1"/>
  <c r="BF337" i="1"/>
  <c r="BE337" i="1"/>
  <c r="BG25" i="1"/>
  <c r="BF25" i="1"/>
  <c r="BE25" i="1"/>
  <c r="BG264" i="1"/>
  <c r="BF264" i="1"/>
  <c r="BE264" i="1"/>
  <c r="BG56" i="1"/>
  <c r="BE56" i="1"/>
  <c r="BF56" i="1"/>
  <c r="BG187" i="1"/>
  <c r="BF187" i="1"/>
  <c r="BE187" i="1"/>
  <c r="BG228" i="1"/>
  <c r="BF228" i="1"/>
  <c r="BE228" i="1"/>
  <c r="BE48" i="1"/>
  <c r="BG48" i="1"/>
  <c r="BF48" i="1"/>
  <c r="BG416" i="1"/>
  <c r="BF416" i="1"/>
  <c r="BE416" i="1"/>
  <c r="BG160" i="1"/>
  <c r="BF160" i="1"/>
  <c r="BE160" i="1"/>
  <c r="BG463" i="1"/>
  <c r="BF463" i="1"/>
  <c r="BE463" i="1"/>
  <c r="BE207" i="1"/>
  <c r="BG207" i="1"/>
  <c r="BF207" i="1"/>
  <c r="BG494" i="1"/>
  <c r="BF494" i="1"/>
  <c r="BE494" i="1"/>
  <c r="BG238" i="1"/>
  <c r="BF238" i="1"/>
  <c r="BE238" i="1"/>
  <c r="BG493" i="1"/>
  <c r="BF493" i="1"/>
  <c r="BE493" i="1"/>
  <c r="BG237" i="1"/>
  <c r="BF237" i="1"/>
  <c r="BE237" i="1"/>
  <c r="BG508" i="1"/>
  <c r="BF508" i="1"/>
  <c r="BE508" i="1"/>
  <c r="BG252" i="1"/>
  <c r="BF252" i="1"/>
  <c r="BE252" i="1"/>
  <c r="BG539" i="1"/>
  <c r="BF539" i="1"/>
  <c r="BE539" i="1"/>
  <c r="BG283" i="1"/>
  <c r="BF283" i="1"/>
  <c r="BE283" i="1"/>
  <c r="BG554" i="1"/>
  <c r="BF554" i="1"/>
  <c r="BE554" i="1"/>
  <c r="BG298" i="1"/>
  <c r="BF298" i="1"/>
  <c r="BE298" i="1"/>
  <c r="BG42" i="1"/>
  <c r="BF42" i="1"/>
  <c r="BE42" i="1"/>
  <c r="BG313" i="1"/>
  <c r="BF313" i="1"/>
  <c r="BE313" i="1"/>
  <c r="BE33" i="1"/>
  <c r="BG33" i="1"/>
  <c r="BF33" i="1"/>
  <c r="BE328" i="1"/>
  <c r="BG328" i="1"/>
  <c r="BF328" i="1"/>
  <c r="BE32" i="1"/>
  <c r="BG32" i="1"/>
  <c r="BF32" i="1"/>
  <c r="BG327" i="1"/>
  <c r="BF327" i="1"/>
  <c r="BE327" i="1"/>
  <c r="BG93" i="1"/>
  <c r="BF93" i="1"/>
  <c r="BE93" i="1"/>
  <c r="BG310" i="1"/>
  <c r="BF310" i="1"/>
  <c r="BE310" i="1"/>
  <c r="BG146" i="1"/>
  <c r="BF146" i="1"/>
  <c r="BE146" i="1"/>
  <c r="BG309" i="1"/>
  <c r="BF309" i="1"/>
  <c r="BE309" i="1"/>
  <c r="BE29" i="1"/>
  <c r="BG29" i="1"/>
  <c r="BF29" i="1"/>
  <c r="BG324" i="1"/>
  <c r="BF324" i="1"/>
  <c r="BE324" i="1"/>
  <c r="BE44" i="1"/>
  <c r="BG44" i="1"/>
  <c r="BF44" i="1"/>
  <c r="BG371" i="1"/>
  <c r="BF371" i="1"/>
  <c r="BE371" i="1"/>
  <c r="BG115" i="1"/>
  <c r="BF115" i="1"/>
  <c r="BE115" i="1"/>
  <c r="BG418" i="1"/>
  <c r="BF418" i="1"/>
  <c r="BE418" i="1"/>
  <c r="BG10" i="1"/>
  <c r="BF10" i="1"/>
  <c r="BE10" i="1"/>
  <c r="BG321" i="1"/>
  <c r="BF321" i="1"/>
  <c r="BE321" i="1"/>
  <c r="BG91" i="1"/>
  <c r="BF91" i="1"/>
  <c r="BE91" i="1"/>
  <c r="BG475" i="1"/>
  <c r="BF475" i="1"/>
  <c r="BE475" i="1"/>
  <c r="BE111" i="1"/>
  <c r="BF111" i="1"/>
  <c r="BG111" i="1"/>
  <c r="BG322" i="1"/>
  <c r="BF322" i="1"/>
  <c r="BE322" i="1"/>
  <c r="BF73" i="1"/>
  <c r="BG73" i="1"/>
  <c r="BE73" i="1"/>
  <c r="BE400" i="1"/>
  <c r="BG400" i="1"/>
  <c r="BF400" i="1"/>
  <c r="BF144" i="1"/>
  <c r="BE144" i="1"/>
  <c r="BG144" i="1"/>
  <c r="BG447" i="1"/>
  <c r="BE447" i="1"/>
  <c r="BF447" i="1"/>
  <c r="BF191" i="1"/>
  <c r="BE191" i="1"/>
  <c r="BG191" i="1"/>
  <c r="BG478" i="1"/>
  <c r="BF478" i="1"/>
  <c r="BE478" i="1"/>
  <c r="BG222" i="1"/>
  <c r="BF222" i="1"/>
  <c r="BE222" i="1"/>
  <c r="BG477" i="1"/>
  <c r="BF477" i="1"/>
  <c r="BE477" i="1"/>
  <c r="BG221" i="1"/>
  <c r="BF221" i="1"/>
  <c r="BE221" i="1"/>
  <c r="BG492" i="1"/>
  <c r="BF492" i="1"/>
  <c r="BE492" i="1"/>
  <c r="BG236" i="1"/>
  <c r="BF236" i="1"/>
  <c r="BE236" i="1"/>
  <c r="BG523" i="1"/>
  <c r="BF523" i="1"/>
  <c r="BE523" i="1"/>
  <c r="BG267" i="1"/>
  <c r="BF267" i="1"/>
  <c r="BE267" i="1"/>
  <c r="BG538" i="1"/>
  <c r="BF538" i="1"/>
  <c r="BE538" i="1"/>
  <c r="BG282" i="1"/>
  <c r="BF282" i="1"/>
  <c r="BE282" i="1"/>
  <c r="BG553" i="1"/>
  <c r="BF553" i="1"/>
  <c r="BE553" i="1"/>
  <c r="BG297" i="1"/>
  <c r="BF297" i="1"/>
  <c r="BE297" i="1"/>
  <c r="BF57" i="1"/>
  <c r="BG57" i="1"/>
  <c r="BE57" i="1"/>
  <c r="BG312" i="1"/>
  <c r="BF312" i="1"/>
  <c r="BE312" i="1"/>
  <c r="BG74" i="1"/>
  <c r="BF74" i="1"/>
  <c r="BE74" i="1"/>
  <c r="BG311" i="1"/>
  <c r="BF311" i="1"/>
  <c r="BE311" i="1"/>
  <c r="BG550" i="1"/>
  <c r="BF550" i="1"/>
  <c r="BE550" i="1"/>
  <c r="BG294" i="1"/>
  <c r="BF294" i="1"/>
  <c r="BE294" i="1"/>
  <c r="BG549" i="1"/>
  <c r="BF549" i="1"/>
  <c r="BE549" i="1"/>
  <c r="BG293" i="1"/>
  <c r="BF293" i="1"/>
  <c r="BE293" i="1"/>
  <c r="BG13" i="1"/>
  <c r="BF13" i="1"/>
  <c r="BE13" i="1"/>
  <c r="BG308" i="1"/>
  <c r="BF308" i="1"/>
  <c r="BE308" i="1"/>
  <c r="BE28" i="1"/>
  <c r="BG28" i="1"/>
  <c r="BF28" i="1"/>
  <c r="BG355" i="1"/>
  <c r="BF355" i="1"/>
  <c r="BE355" i="1"/>
  <c r="BG94" i="1"/>
  <c r="BF94" i="1"/>
  <c r="BE94" i="1"/>
  <c r="BG402" i="1"/>
  <c r="BF402" i="1"/>
  <c r="BE402" i="1"/>
  <c r="BG561" i="1"/>
  <c r="BF561" i="1"/>
  <c r="BE561" i="1"/>
  <c r="BG305" i="1"/>
  <c r="BF305" i="1"/>
  <c r="BE305" i="1"/>
  <c r="BG519" i="1"/>
  <c r="BE519" i="1"/>
  <c r="BF519" i="1"/>
  <c r="BG38" i="1"/>
  <c r="BF38" i="1"/>
  <c r="BE38" i="1"/>
  <c r="BG500" i="1"/>
  <c r="BF500" i="1"/>
  <c r="BE500" i="1"/>
  <c r="BG76" i="1"/>
  <c r="BF76" i="1"/>
  <c r="BE76" i="1"/>
  <c r="BG384" i="1"/>
  <c r="BF384" i="1"/>
  <c r="BE384" i="1"/>
  <c r="BE128" i="1"/>
  <c r="BG128" i="1"/>
  <c r="BF128" i="1"/>
  <c r="BE431" i="1"/>
  <c r="BG431" i="1"/>
  <c r="BF431" i="1"/>
  <c r="BE175" i="1"/>
  <c r="BG175" i="1"/>
  <c r="BF175" i="1"/>
  <c r="BG462" i="1"/>
  <c r="BF462" i="1"/>
  <c r="BE462" i="1"/>
  <c r="BG206" i="1"/>
  <c r="BF206" i="1"/>
  <c r="BE206" i="1"/>
  <c r="BG461" i="1"/>
  <c r="BF461" i="1"/>
  <c r="BE461" i="1"/>
  <c r="BG205" i="1"/>
  <c r="BF205" i="1"/>
  <c r="BE205" i="1"/>
  <c r="BG476" i="1"/>
  <c r="BF476" i="1"/>
  <c r="BE476" i="1"/>
  <c r="BG220" i="1"/>
  <c r="BF220" i="1"/>
  <c r="BE220" i="1"/>
  <c r="BG507" i="1"/>
  <c r="BF507" i="1"/>
  <c r="BE507" i="1"/>
  <c r="BG251" i="1"/>
  <c r="BF251" i="1"/>
  <c r="BE251" i="1"/>
  <c r="BG522" i="1"/>
  <c r="BF522" i="1"/>
  <c r="BE522" i="1"/>
  <c r="BG266" i="1"/>
  <c r="BF266" i="1"/>
  <c r="BE266" i="1"/>
  <c r="BG537" i="1"/>
  <c r="BF537" i="1"/>
  <c r="BE537" i="1"/>
  <c r="BG281" i="1"/>
  <c r="BF281" i="1"/>
  <c r="BE281" i="1"/>
  <c r="BF552" i="1"/>
  <c r="BE552" i="1"/>
  <c r="BG552" i="1"/>
  <c r="BE296" i="1"/>
  <c r="BG296" i="1"/>
  <c r="BF296" i="1"/>
  <c r="BG551" i="1"/>
  <c r="BE551" i="1"/>
  <c r="BF551" i="1"/>
  <c r="BG295" i="1"/>
  <c r="BF295" i="1"/>
  <c r="BE295" i="1"/>
  <c r="BG534" i="1"/>
  <c r="BF534" i="1"/>
  <c r="BE534" i="1"/>
  <c r="BG278" i="1"/>
  <c r="BF278" i="1"/>
  <c r="BE278" i="1"/>
  <c r="BG533" i="1"/>
  <c r="BF533" i="1"/>
  <c r="BE533" i="1"/>
  <c r="BG277" i="1"/>
  <c r="BF277" i="1"/>
  <c r="BE277" i="1"/>
  <c r="BG564" i="1"/>
  <c r="BF564" i="1"/>
  <c r="BE564" i="1"/>
  <c r="BG292" i="1"/>
  <c r="BF292" i="1"/>
  <c r="BE292" i="1"/>
  <c r="BG12" i="1"/>
  <c r="BF12" i="1"/>
  <c r="BE12" i="1"/>
  <c r="BG339" i="1"/>
  <c r="BF339" i="1"/>
  <c r="BE339" i="1"/>
  <c r="BG59" i="1"/>
  <c r="BF59" i="1"/>
  <c r="BE59" i="1"/>
  <c r="BG386" i="1"/>
  <c r="BF386" i="1"/>
  <c r="BE386" i="1"/>
  <c r="BG545" i="1"/>
  <c r="BF545" i="1"/>
  <c r="BE545" i="1"/>
  <c r="BG289" i="1"/>
  <c r="BF289" i="1"/>
  <c r="BE289" i="1"/>
  <c r="BG263" i="1"/>
  <c r="BF263" i="1"/>
  <c r="BE263" i="1"/>
  <c r="BG156" i="1"/>
  <c r="BF156" i="1"/>
  <c r="BE156" i="1"/>
  <c r="BG213" i="1"/>
  <c r="BF213" i="1"/>
  <c r="BE213" i="1"/>
  <c r="BG51" i="1"/>
  <c r="BF51" i="1"/>
  <c r="BE51" i="1"/>
  <c r="BG436" i="1"/>
  <c r="BF436" i="1"/>
  <c r="BE436" i="1"/>
  <c r="BE368" i="1"/>
  <c r="BG368" i="1"/>
  <c r="BF368" i="1"/>
  <c r="BE112" i="1"/>
  <c r="BG112" i="1"/>
  <c r="BF112" i="1"/>
  <c r="BE415" i="1"/>
  <c r="BG415" i="1"/>
  <c r="BF415" i="1"/>
  <c r="BE159" i="1"/>
  <c r="BG159" i="1"/>
  <c r="BF159" i="1"/>
  <c r="BG446" i="1"/>
  <c r="BF446" i="1"/>
  <c r="BE446" i="1"/>
  <c r="BG174" i="1"/>
  <c r="BF174" i="1"/>
  <c r="BE174" i="1"/>
  <c r="BG445" i="1"/>
  <c r="BF445" i="1"/>
  <c r="BE445" i="1"/>
  <c r="BG189" i="1"/>
  <c r="BF189" i="1"/>
  <c r="BE189" i="1"/>
  <c r="BG460" i="1"/>
  <c r="BF460" i="1"/>
  <c r="BE460" i="1"/>
  <c r="BG204" i="1"/>
  <c r="BF204" i="1"/>
  <c r="BE204" i="1"/>
  <c r="BG491" i="1"/>
  <c r="BF491" i="1"/>
  <c r="BE491" i="1"/>
  <c r="BG235" i="1"/>
  <c r="BF235" i="1"/>
  <c r="BE235" i="1"/>
  <c r="BG506" i="1"/>
  <c r="BF506" i="1"/>
  <c r="BE506" i="1"/>
  <c r="BG250" i="1"/>
  <c r="BF250" i="1"/>
  <c r="BE250" i="1"/>
  <c r="BG521" i="1"/>
  <c r="BF521" i="1"/>
  <c r="BE521" i="1"/>
  <c r="BF265" i="1"/>
  <c r="BE265" i="1"/>
  <c r="BG265" i="1"/>
  <c r="BG536" i="1"/>
  <c r="BF536" i="1"/>
  <c r="BE536" i="1"/>
  <c r="BG280" i="1"/>
  <c r="BF280" i="1"/>
  <c r="BE280" i="1"/>
  <c r="BG535" i="1"/>
  <c r="BF535" i="1"/>
  <c r="BE535" i="1"/>
  <c r="BG279" i="1"/>
  <c r="BF279" i="1"/>
  <c r="BE279" i="1"/>
  <c r="BG518" i="1"/>
  <c r="BF518" i="1"/>
  <c r="BE518" i="1"/>
  <c r="BG262" i="1"/>
  <c r="BF262" i="1"/>
  <c r="BE262" i="1"/>
  <c r="BG517" i="1"/>
  <c r="BF517" i="1"/>
  <c r="BE517" i="1"/>
  <c r="BG261" i="1"/>
  <c r="BF261" i="1"/>
  <c r="BE261" i="1"/>
  <c r="BG548" i="1"/>
  <c r="BF548" i="1"/>
  <c r="BE548" i="1"/>
  <c r="BG276" i="1"/>
  <c r="BF276" i="1"/>
  <c r="BE276" i="1"/>
  <c r="BG162" i="1"/>
  <c r="BF162" i="1"/>
  <c r="BE162" i="1"/>
  <c r="BG323" i="1"/>
  <c r="BF323" i="1"/>
  <c r="BE323" i="1"/>
  <c r="BG43" i="1"/>
  <c r="BF43" i="1"/>
  <c r="BE43" i="1"/>
  <c r="BG370" i="1"/>
  <c r="BF370" i="1"/>
  <c r="BE370" i="1"/>
  <c r="BG529" i="1"/>
  <c r="BF529" i="1"/>
  <c r="BE529" i="1"/>
  <c r="BF273" i="1"/>
  <c r="BE273" i="1"/>
  <c r="BG273" i="1"/>
  <c r="AW674" i="1"/>
  <c r="AW661" i="1"/>
  <c r="AW660" i="1"/>
  <c r="AW664" i="1"/>
  <c r="AW672" i="1"/>
  <c r="AW657" i="1"/>
  <c r="AW648" i="1"/>
  <c r="AW645" i="1"/>
  <c r="AW673" i="1"/>
  <c r="AW654" i="1"/>
  <c r="AW656" i="1"/>
  <c r="AW677" i="1"/>
  <c r="AW644" i="1"/>
  <c r="AW653" i="1"/>
  <c r="AW663" i="1"/>
  <c r="AW652" i="1"/>
  <c r="AW658" i="1"/>
  <c r="AW665" i="1"/>
  <c r="AW667" i="1"/>
  <c r="AW647" i="1"/>
  <c r="AW655" i="1"/>
  <c r="AW669" i="1"/>
  <c r="AW646" i="1"/>
  <c r="AW649" i="1"/>
  <c r="AW671" i="1"/>
  <c r="AW676" i="1"/>
  <c r="AW678" i="1"/>
  <c r="AW666" i="1"/>
  <c r="AW662" i="1"/>
  <c r="AW650" i="1"/>
  <c r="AW675" i="1"/>
  <c r="AW668" i="1"/>
  <c r="AW659" i="1"/>
  <c r="AW670" i="1"/>
  <c r="AW651" i="1"/>
  <c r="AY627" i="1"/>
  <c r="AX627" i="1"/>
  <c r="AX633" i="1"/>
  <c r="AY633" i="1"/>
  <c r="AY621" i="1"/>
  <c r="AX621" i="1"/>
  <c r="AY629" i="1"/>
  <c r="AX629" i="1"/>
  <c r="AY642" i="1"/>
  <c r="AX642" i="1"/>
  <c r="AX641" i="1"/>
  <c r="AY641" i="1"/>
  <c r="AY636" i="1"/>
  <c r="AX636" i="1"/>
  <c r="AX639" i="1"/>
  <c r="AY639" i="1"/>
  <c r="AY635" i="1"/>
  <c r="AX635" i="1"/>
  <c r="AY643" i="1"/>
  <c r="AX643" i="1"/>
  <c r="AX632" i="1"/>
  <c r="AY632" i="1"/>
  <c r="AX625" i="1"/>
  <c r="AY625" i="1"/>
  <c r="AX624" i="1"/>
  <c r="AY624" i="1"/>
  <c r="AX638" i="1"/>
  <c r="AY638" i="1"/>
  <c r="AX622" i="1"/>
  <c r="AY622" i="1"/>
  <c r="AX631" i="1"/>
  <c r="AY631" i="1"/>
  <c r="AY634" i="1"/>
  <c r="AX634" i="1"/>
  <c r="AY637" i="1"/>
  <c r="AX637" i="1"/>
  <c r="AX640" i="1"/>
  <c r="AY640" i="1"/>
  <c r="AY630" i="1"/>
  <c r="AX630" i="1"/>
  <c r="AY626" i="1"/>
  <c r="AX626" i="1"/>
  <c r="AY620" i="1"/>
  <c r="AX620" i="1"/>
  <c r="AX623" i="1"/>
  <c r="AY623" i="1"/>
  <c r="AY628" i="1"/>
  <c r="AX628" i="1"/>
  <c r="AW594" i="1"/>
  <c r="AW600" i="1"/>
  <c r="AW593" i="1"/>
  <c r="AW592" i="1"/>
  <c r="AW595" i="1"/>
  <c r="AK6" i="1"/>
  <c r="AW603" i="1"/>
  <c r="AY603" i="1" s="1"/>
  <c r="AW597" i="1"/>
  <c r="AY597" i="1" s="1"/>
  <c r="AW598" i="1"/>
  <c r="AX598" i="1" s="1"/>
  <c r="AW596" i="1"/>
  <c r="AY596" i="1" s="1"/>
  <c r="AW599" i="1"/>
  <c r="AY599" i="1" s="1"/>
  <c r="AW602" i="1"/>
  <c r="AY602" i="1" s="1"/>
  <c r="AW10" i="1"/>
  <c r="AX10" i="1" s="1"/>
  <c r="AW615" i="1"/>
  <c r="AW606" i="1"/>
  <c r="AW611" i="1"/>
  <c r="AW613" i="1"/>
  <c r="AW604" i="1"/>
  <c r="AW607" i="1"/>
  <c r="AW614" i="1"/>
  <c r="AW612" i="1"/>
  <c r="AW605" i="1"/>
  <c r="AW609" i="1"/>
  <c r="AW610" i="1"/>
  <c r="AW608" i="1"/>
  <c r="AW617" i="1"/>
  <c r="AW618" i="1"/>
  <c r="AW619" i="1"/>
  <c r="AW616" i="1"/>
  <c r="AW601" i="1"/>
  <c r="AY601" i="1" s="1"/>
  <c r="AW570" i="1"/>
  <c r="AX570" i="1" s="1"/>
  <c r="AW591" i="1"/>
  <c r="AW573" i="1"/>
  <c r="AY573" i="1" s="1"/>
  <c r="AW589" i="1"/>
  <c r="AX589" i="1" s="1"/>
  <c r="AW569" i="1"/>
  <c r="AW582" i="1"/>
  <c r="AW580" i="1"/>
  <c r="AW576" i="1"/>
  <c r="AW583" i="1"/>
  <c r="AW568" i="1"/>
  <c r="AW584" i="1"/>
  <c r="AW572" i="1"/>
  <c r="AW581" i="1"/>
  <c r="AW585" i="1"/>
  <c r="AW575" i="1"/>
  <c r="AW574" i="1"/>
  <c r="AW586" i="1"/>
  <c r="AW587" i="1"/>
  <c r="AW577" i="1"/>
  <c r="AW590" i="1"/>
  <c r="AW579" i="1"/>
  <c r="AW565" i="1"/>
  <c r="AX565" i="1" s="1"/>
  <c r="AW567" i="1"/>
  <c r="AW588" i="1"/>
  <c r="AW578" i="1"/>
  <c r="AW571" i="1"/>
  <c r="AW566" i="1"/>
  <c r="AX679" i="1" l="1"/>
  <c r="AY679" i="1"/>
  <c r="AY100" i="1"/>
  <c r="AX100" i="1"/>
  <c r="AY102" i="1"/>
  <c r="AX102" i="1"/>
  <c r="AY682" i="1"/>
  <c r="AX682" i="1"/>
  <c r="AY84" i="1"/>
  <c r="AX84" i="1"/>
  <c r="AY680" i="1"/>
  <c r="AX680" i="1"/>
  <c r="AY686" i="1"/>
  <c r="AX686" i="1"/>
  <c r="AY683" i="1"/>
  <c r="AX683" i="1"/>
  <c r="AY101" i="1"/>
  <c r="AX101" i="1"/>
  <c r="AY103" i="1"/>
  <c r="AX103" i="1"/>
  <c r="AY86" i="1"/>
  <c r="AX86" i="1"/>
  <c r="AY684" i="1"/>
  <c r="AX684" i="1"/>
  <c r="AY685" i="1"/>
  <c r="AX685" i="1"/>
  <c r="AY681" i="1"/>
  <c r="AX681" i="1"/>
  <c r="AY85" i="1"/>
  <c r="AX85" i="1"/>
  <c r="AY668" i="1"/>
  <c r="AX668" i="1"/>
  <c r="AY666" i="1"/>
  <c r="AX666" i="1"/>
  <c r="AX649" i="1"/>
  <c r="AY649" i="1"/>
  <c r="AX647" i="1"/>
  <c r="AY647" i="1"/>
  <c r="AY652" i="1"/>
  <c r="AX652" i="1"/>
  <c r="AY677" i="1"/>
  <c r="AX677" i="1"/>
  <c r="AY645" i="1"/>
  <c r="AX645" i="1"/>
  <c r="AX664" i="1"/>
  <c r="AY664" i="1"/>
  <c r="AY651" i="1"/>
  <c r="AX651" i="1"/>
  <c r="AY675" i="1"/>
  <c r="AX675" i="1"/>
  <c r="AY678" i="1"/>
  <c r="AX678" i="1"/>
  <c r="AY646" i="1"/>
  <c r="AX646" i="1"/>
  <c r="AY667" i="1"/>
  <c r="AX667" i="1"/>
  <c r="AX663" i="1"/>
  <c r="AY663" i="1"/>
  <c r="AY656" i="1"/>
  <c r="AX656" i="1"/>
  <c r="AX648" i="1"/>
  <c r="AY648" i="1"/>
  <c r="AY660" i="1"/>
  <c r="AX660" i="1"/>
  <c r="AY670" i="1"/>
  <c r="AX670" i="1"/>
  <c r="AY650" i="1"/>
  <c r="AX650" i="1"/>
  <c r="AY676" i="1"/>
  <c r="AX676" i="1"/>
  <c r="AY669" i="1"/>
  <c r="AX669" i="1"/>
  <c r="AY665" i="1"/>
  <c r="AX665" i="1"/>
  <c r="AY653" i="1"/>
  <c r="AX653" i="1"/>
  <c r="AX654" i="1"/>
  <c r="AY654" i="1"/>
  <c r="AX657" i="1"/>
  <c r="AY657" i="1"/>
  <c r="AY661" i="1"/>
  <c r="AX661" i="1"/>
  <c r="AY659" i="1"/>
  <c r="AX659" i="1"/>
  <c r="AY662" i="1"/>
  <c r="AX662" i="1"/>
  <c r="AX671" i="1"/>
  <c r="AY671" i="1"/>
  <c r="AX655" i="1"/>
  <c r="AY655" i="1"/>
  <c r="AY658" i="1"/>
  <c r="AX658" i="1"/>
  <c r="AY644" i="1"/>
  <c r="AX644" i="1"/>
  <c r="AY673" i="1"/>
  <c r="AX673" i="1"/>
  <c r="AY672" i="1"/>
  <c r="AX672" i="1"/>
  <c r="AY674" i="1"/>
  <c r="AX674" i="1"/>
  <c r="AX596" i="1"/>
  <c r="AX597" i="1"/>
  <c r="AX599" i="1"/>
  <c r="AY595" i="1"/>
  <c r="AX595" i="1"/>
  <c r="AX592" i="1"/>
  <c r="AY592" i="1"/>
  <c r="AY593" i="1"/>
  <c r="AX593" i="1"/>
  <c r="AY600" i="1"/>
  <c r="AX600" i="1"/>
  <c r="AY594" i="1"/>
  <c r="AX594" i="1"/>
  <c r="AY598" i="1"/>
  <c r="AX603" i="1"/>
  <c r="AX602" i="1"/>
  <c r="AX601" i="1"/>
  <c r="AY615" i="1"/>
  <c r="AX615" i="1"/>
  <c r="AY611" i="1"/>
  <c r="AX611" i="1"/>
  <c r="AY610" i="1"/>
  <c r="AX610" i="1"/>
  <c r="AY605" i="1"/>
  <c r="AX605" i="1"/>
  <c r="AY619" i="1"/>
  <c r="AX619" i="1"/>
  <c r="AY617" i="1"/>
  <c r="AX617" i="1"/>
  <c r="AY612" i="1"/>
  <c r="AX612" i="1"/>
  <c r="AX608" i="1"/>
  <c r="AY608" i="1"/>
  <c r="AY607" i="1"/>
  <c r="AX607" i="1"/>
  <c r="AX616" i="1"/>
  <c r="AY616" i="1"/>
  <c r="AY618" i="1"/>
  <c r="AX618" i="1"/>
  <c r="AY614" i="1"/>
  <c r="AX614" i="1"/>
  <c r="AY604" i="1"/>
  <c r="AX604" i="1"/>
  <c r="AY609" i="1"/>
  <c r="AX609" i="1"/>
  <c r="AY613" i="1"/>
  <c r="AX613" i="1"/>
  <c r="AX606" i="1"/>
  <c r="AY606" i="1"/>
  <c r="AY570" i="1"/>
  <c r="AX573" i="1"/>
  <c r="AY589" i="1"/>
  <c r="AY565" i="1"/>
  <c r="AY571" i="1"/>
  <c r="AX571" i="1"/>
  <c r="AY574" i="1"/>
  <c r="AX574" i="1"/>
  <c r="AY578" i="1"/>
  <c r="AX578" i="1"/>
  <c r="AX576" i="1"/>
  <c r="AY576" i="1"/>
  <c r="AY588" i="1"/>
  <c r="AX588" i="1"/>
  <c r="AY567" i="1"/>
  <c r="AX567" i="1"/>
  <c r="AY581" i="1"/>
  <c r="AX581" i="1"/>
  <c r="AX580" i="1"/>
  <c r="AY580" i="1"/>
  <c r="AY579" i="1"/>
  <c r="AX579" i="1"/>
  <c r="AX572" i="1"/>
  <c r="AY572" i="1"/>
  <c r="AY583" i="1"/>
  <c r="AX583" i="1"/>
  <c r="AY582" i="1"/>
  <c r="AX582" i="1"/>
  <c r="AY569" i="1"/>
  <c r="AX569" i="1"/>
  <c r="AY590" i="1"/>
  <c r="AX590" i="1"/>
  <c r="AY577" i="1"/>
  <c r="AX577" i="1"/>
  <c r="AX591" i="1"/>
  <c r="AY591" i="1"/>
  <c r="AX587" i="1"/>
  <c r="AY587" i="1"/>
  <c r="AY575" i="1"/>
  <c r="AX575" i="1"/>
  <c r="AX584" i="1"/>
  <c r="AY584" i="1"/>
  <c r="AX568" i="1"/>
  <c r="AY568" i="1"/>
  <c r="AY586" i="1"/>
  <c r="AX586" i="1"/>
  <c r="AX585" i="1"/>
  <c r="AY585" i="1"/>
  <c r="AY10" i="1"/>
  <c r="AY566" i="1"/>
  <c r="AX566" i="1"/>
  <c r="AM6" i="1" l="1"/>
  <c r="AM4" i="1" s="1"/>
  <c r="AW94" i="1"/>
  <c r="AN6" i="1" l="1"/>
  <c r="AW127" i="1"/>
  <c r="AY127" i="1" s="1"/>
  <c r="AW533" i="1"/>
  <c r="AX533" i="1" s="1"/>
  <c r="AW42" i="1"/>
  <c r="AW146" i="1"/>
  <c r="AY146" i="1" s="1"/>
  <c r="AW147" i="1"/>
  <c r="AY147" i="1" s="1"/>
  <c r="AW247" i="1"/>
  <c r="AW23" i="1"/>
  <c r="AY23" i="1" s="1"/>
  <c r="AW60" i="1"/>
  <c r="AY60" i="1" s="1"/>
  <c r="AW350" i="1"/>
  <c r="AY350" i="1" s="1"/>
  <c r="AW493" i="1"/>
  <c r="AY493" i="1" s="1"/>
  <c r="AW9" i="1"/>
  <c r="AW190" i="1" l="1"/>
  <c r="AY9" i="1"/>
  <c r="AW151" i="1"/>
  <c r="AW167" i="1"/>
  <c r="AW199" i="1"/>
  <c r="AX199" i="1" s="1"/>
  <c r="AW352" i="1"/>
  <c r="AY352" i="1" s="1"/>
  <c r="AW370" i="1"/>
  <c r="AW386" i="1"/>
  <c r="AW498" i="1"/>
  <c r="AW546" i="1"/>
  <c r="AW562" i="1"/>
  <c r="AW70" i="1"/>
  <c r="AY70" i="1" s="1"/>
  <c r="AW133" i="1"/>
  <c r="AY133" i="1" s="1"/>
  <c r="AW168" i="1"/>
  <c r="AY168" i="1" s="1"/>
  <c r="AW251" i="1"/>
  <c r="AW315" i="1"/>
  <c r="AY315" i="1" s="1"/>
  <c r="AW335" i="1"/>
  <c r="AW483" i="1"/>
  <c r="AW515" i="1"/>
  <c r="AW547" i="1"/>
  <c r="AY547" i="1" s="1"/>
  <c r="AW563" i="1"/>
  <c r="AW169" i="1"/>
  <c r="AW185" i="1"/>
  <c r="AW30" i="1"/>
  <c r="AY30" i="1" s="1"/>
  <c r="AW186" i="1"/>
  <c r="AW219" i="1"/>
  <c r="AW253" i="1"/>
  <c r="AY253" i="1" s="1"/>
  <c r="AW301" i="1"/>
  <c r="AW317" i="1"/>
  <c r="AW337" i="1"/>
  <c r="AW389" i="1"/>
  <c r="AX389" i="1" s="1"/>
  <c r="AW485" i="1"/>
  <c r="AX485" i="1" s="1"/>
  <c r="AW501" i="1"/>
  <c r="AW517" i="1"/>
  <c r="AW201" i="1"/>
  <c r="AW234" i="1"/>
  <c r="AW268" i="1"/>
  <c r="AY268" i="1" s="1"/>
  <c r="AW354" i="1"/>
  <c r="AW468" i="1"/>
  <c r="AW500" i="1"/>
  <c r="AX500" i="1" s="1"/>
  <c r="AW516" i="1"/>
  <c r="AW532" i="1"/>
  <c r="AW548" i="1"/>
  <c r="AW171" i="1"/>
  <c r="AY171" i="1" s="1"/>
  <c r="AW187" i="1"/>
  <c r="AY187" i="1" s="1"/>
  <c r="AW236" i="1"/>
  <c r="AY236" i="1" s="1"/>
  <c r="AW338" i="1"/>
  <c r="AY338" i="1" s="1"/>
  <c r="AW356" i="1"/>
  <c r="AX356" i="1" s="1"/>
  <c r="AW374" i="1"/>
  <c r="AY374" i="1" s="1"/>
  <c r="AW518" i="1"/>
  <c r="AY518" i="1" s="1"/>
  <c r="AW534" i="1"/>
  <c r="AX534" i="1" s="1"/>
  <c r="AW550" i="1"/>
  <c r="AX550" i="1" s="1"/>
  <c r="AW221" i="1"/>
  <c r="AY221" i="1" s="1"/>
  <c r="AW287" i="1"/>
  <c r="AY287" i="1" s="1"/>
  <c r="AW303" i="1"/>
  <c r="AY303" i="1" s="1"/>
  <c r="AW407" i="1"/>
  <c r="AW423" i="1"/>
  <c r="AY423" i="1" s="1"/>
  <c r="AW439" i="1"/>
  <c r="AW99" i="1"/>
  <c r="AY99" i="1" s="1"/>
  <c r="AW222" i="1"/>
  <c r="AY222" i="1" s="1"/>
  <c r="AW272" i="1"/>
  <c r="AY272" i="1" s="1"/>
  <c r="AW520" i="1"/>
  <c r="AX520" i="1" s="1"/>
  <c r="AW82" i="1"/>
  <c r="AY82" i="1" s="1"/>
  <c r="AW122" i="1"/>
  <c r="AX122" i="1" s="1"/>
  <c r="AW140" i="1"/>
  <c r="AY140" i="1" s="1"/>
  <c r="AW289" i="1"/>
  <c r="AW305" i="1"/>
  <c r="AY305" i="1" s="1"/>
  <c r="AW341" i="1"/>
  <c r="AW473" i="1"/>
  <c r="AY473" i="1" s="1"/>
  <c r="AW489" i="1"/>
  <c r="AX489" i="1" s="1"/>
  <c r="AW505" i="1"/>
  <c r="AX505" i="1" s="1"/>
  <c r="AW521" i="1"/>
  <c r="AW553" i="1"/>
  <c r="AW541" i="1"/>
  <c r="AY541" i="1" s="1"/>
  <c r="AW54" i="1"/>
  <c r="AY54" i="1" s="1"/>
  <c r="AW35" i="1"/>
  <c r="AW57" i="1"/>
  <c r="AY57" i="1" s="1"/>
  <c r="AW175" i="1"/>
  <c r="AW240" i="1"/>
  <c r="AY240" i="1" s="1"/>
  <c r="AW306" i="1"/>
  <c r="AY306" i="1" s="1"/>
  <c r="AW342" i="1"/>
  <c r="AW426" i="1"/>
  <c r="AW442" i="1"/>
  <c r="AW506" i="1"/>
  <c r="AW522" i="1"/>
  <c r="AW436" i="1"/>
  <c r="AW120" i="1"/>
  <c r="AY120" i="1" s="1"/>
  <c r="AW107" i="1"/>
  <c r="AY107" i="1" s="1"/>
  <c r="AW160" i="1"/>
  <c r="AY160" i="1" s="1"/>
  <c r="AW209" i="1"/>
  <c r="AY209" i="1" s="1"/>
  <c r="AW225" i="1"/>
  <c r="AY225" i="1" s="1"/>
  <c r="AW241" i="1"/>
  <c r="AY241" i="1" s="1"/>
  <c r="AW307" i="1"/>
  <c r="AW323" i="1"/>
  <c r="AW363" i="1"/>
  <c r="AY363" i="1" s="1"/>
  <c r="AW379" i="1"/>
  <c r="AY379" i="1" s="1"/>
  <c r="AW395" i="1"/>
  <c r="AY395" i="1" s="1"/>
  <c r="AW411" i="1"/>
  <c r="AW443" i="1"/>
  <c r="AW475" i="1"/>
  <c r="AY475" i="1" s="1"/>
  <c r="AW507" i="1"/>
  <c r="AW555" i="1"/>
  <c r="AW172" i="1"/>
  <c r="AY172" i="1" s="1"/>
  <c r="AW59" i="1"/>
  <c r="AY59" i="1" s="1"/>
  <c r="AW125" i="1"/>
  <c r="AW143" i="1"/>
  <c r="AY143" i="1" s="1"/>
  <c r="AW177" i="1"/>
  <c r="AW242" i="1"/>
  <c r="AW276" i="1"/>
  <c r="AW308" i="1"/>
  <c r="AX308" i="1" s="1"/>
  <c r="AW344" i="1"/>
  <c r="AW396" i="1"/>
  <c r="AW476" i="1"/>
  <c r="AW492" i="1"/>
  <c r="AY492" i="1" s="1"/>
  <c r="AW508" i="1"/>
  <c r="AW524" i="1"/>
  <c r="AY524" i="1" s="1"/>
  <c r="AW540" i="1"/>
  <c r="AW556" i="1"/>
  <c r="AW288" i="1"/>
  <c r="AY288" i="1" s="1"/>
  <c r="AW488" i="1"/>
  <c r="AX488" i="1" s="1"/>
  <c r="AW89" i="1"/>
  <c r="AY89" i="1" s="1"/>
  <c r="AW110" i="1"/>
  <c r="AY110" i="1" s="1"/>
  <c r="AW194" i="1"/>
  <c r="AY194" i="1" s="1"/>
  <c r="AW227" i="1"/>
  <c r="AY227" i="1" s="1"/>
  <c r="AW325" i="1"/>
  <c r="AX325" i="1" s="1"/>
  <c r="AW429" i="1"/>
  <c r="AW477" i="1"/>
  <c r="AW509" i="1"/>
  <c r="AW557" i="1"/>
  <c r="AW504" i="1"/>
  <c r="AX504" i="1" s="1"/>
  <c r="AW564" i="1"/>
  <c r="AX564" i="1" s="1"/>
  <c r="AW40" i="1"/>
  <c r="AW90" i="1"/>
  <c r="AW128" i="1"/>
  <c r="AY128" i="1" s="1"/>
  <c r="AW145" i="1"/>
  <c r="AY145" i="1" s="1"/>
  <c r="AW163" i="1"/>
  <c r="AW179" i="1"/>
  <c r="AW212" i="1"/>
  <c r="AX212" i="1" s="1"/>
  <c r="AW262" i="1"/>
  <c r="AY262" i="1" s="1"/>
  <c r="AW278" i="1"/>
  <c r="AW294" i="1"/>
  <c r="AW326" i="1"/>
  <c r="AW414" i="1"/>
  <c r="AW462" i="1"/>
  <c r="AW510" i="1"/>
  <c r="AW558" i="1"/>
  <c r="AW80" i="1"/>
  <c r="AY80" i="1" s="1"/>
  <c r="AW24" i="1"/>
  <c r="AY24" i="1" s="1"/>
  <c r="AW41" i="1"/>
  <c r="AY41" i="1" s="1"/>
  <c r="AW66" i="1"/>
  <c r="AW91" i="1"/>
  <c r="AY91" i="1" s="1"/>
  <c r="AW112" i="1"/>
  <c r="AY112" i="1" s="1"/>
  <c r="AW180" i="1"/>
  <c r="AX180" i="1" s="1"/>
  <c r="AW196" i="1"/>
  <c r="AX196" i="1" s="1"/>
  <c r="AW213" i="1"/>
  <c r="AY213" i="1" s="1"/>
  <c r="AW229" i="1"/>
  <c r="AY229" i="1" s="1"/>
  <c r="AW295" i="1"/>
  <c r="AY295" i="1" s="1"/>
  <c r="AW327" i="1"/>
  <c r="AW347" i="1"/>
  <c r="AW367" i="1"/>
  <c r="AW399" i="1"/>
  <c r="AY399" i="1" s="1"/>
  <c r="AW415" i="1"/>
  <c r="AY415" i="1" s="1"/>
  <c r="AW463" i="1"/>
  <c r="AW527" i="1"/>
  <c r="AW543" i="1"/>
  <c r="AW559" i="1"/>
  <c r="AW25" i="1"/>
  <c r="AW92" i="1"/>
  <c r="AY92" i="1" s="1"/>
  <c r="AW280" i="1"/>
  <c r="AY280" i="1" s="1"/>
  <c r="AW496" i="1"/>
  <c r="AX496" i="1" s="1"/>
  <c r="AW528" i="1"/>
  <c r="AW544" i="1"/>
  <c r="AW560" i="1"/>
  <c r="AY560" i="1" s="1"/>
  <c r="AW43" i="1"/>
  <c r="AW214" i="1"/>
  <c r="AY214" i="1" s="1"/>
  <c r="AW230" i="1"/>
  <c r="AY230" i="1" s="1"/>
  <c r="AW264" i="1"/>
  <c r="AY264" i="1" s="1"/>
  <c r="AW400" i="1"/>
  <c r="AW416" i="1"/>
  <c r="AY416" i="1" s="1"/>
  <c r="AW26" i="1"/>
  <c r="AY26" i="1" s="1"/>
  <c r="AW45" i="1"/>
  <c r="AX45" i="1" s="1"/>
  <c r="AW131" i="1"/>
  <c r="AW150" i="1"/>
  <c r="AW182" i="1"/>
  <c r="AY182" i="1" s="1"/>
  <c r="AW198" i="1"/>
  <c r="AW215" i="1"/>
  <c r="AW231" i="1"/>
  <c r="AW281" i="1"/>
  <c r="AY281" i="1" s="1"/>
  <c r="AW313" i="1"/>
  <c r="AW331" i="1"/>
  <c r="AY331" i="1" s="1"/>
  <c r="AW369" i="1"/>
  <c r="AY369" i="1" s="1"/>
  <c r="AW433" i="1"/>
  <c r="AW449" i="1"/>
  <c r="AY449" i="1" s="1"/>
  <c r="AW481" i="1"/>
  <c r="AW497" i="1"/>
  <c r="AW513" i="1"/>
  <c r="AW561" i="1"/>
  <c r="AY561" i="1" s="1"/>
  <c r="AW470" i="1"/>
  <c r="AY470" i="1" s="1"/>
  <c r="AW142" i="1"/>
  <c r="AY142" i="1" s="1"/>
  <c r="AW111" i="1"/>
  <c r="AY111" i="1" s="1"/>
  <c r="AW542" i="1"/>
  <c r="AX542" i="1" s="1"/>
  <c r="AW494" i="1"/>
  <c r="AW478" i="1"/>
  <c r="AW446" i="1"/>
  <c r="AW430" i="1"/>
  <c r="AW366" i="1"/>
  <c r="AW174" i="1"/>
  <c r="AY174" i="1" s="1"/>
  <c r="AW158" i="1"/>
  <c r="AY158" i="1" s="1"/>
  <c r="AW126" i="1"/>
  <c r="AY126" i="1" s="1"/>
  <c r="AW71" i="1"/>
  <c r="AY71" i="1" s="1"/>
  <c r="AW39" i="1"/>
  <c r="AY39" i="1" s="1"/>
  <c r="AW413" i="1"/>
  <c r="AY413" i="1" s="1"/>
  <c r="AW381" i="1"/>
  <c r="AY381" i="1" s="1"/>
  <c r="AW285" i="1"/>
  <c r="AY285" i="1" s="1"/>
  <c r="AW269" i="1"/>
  <c r="AY269" i="1" s="1"/>
  <c r="AW22" i="1"/>
  <c r="AY22" i="1" s="1"/>
  <c r="AW183" i="1"/>
  <c r="AY183" i="1" s="1"/>
  <c r="AW283" i="1"/>
  <c r="AW123" i="1"/>
  <c r="AY123" i="1" s="1"/>
  <c r="AW330" i="1"/>
  <c r="AY330" i="1" s="1"/>
  <c r="AW266" i="1"/>
  <c r="AW250" i="1"/>
  <c r="AW202" i="1"/>
  <c r="AY202" i="1" s="1"/>
  <c r="AW265" i="1"/>
  <c r="AY265" i="1" s="1"/>
  <c r="AW249" i="1"/>
  <c r="AW233" i="1"/>
  <c r="AW153" i="1"/>
  <c r="AW121" i="1"/>
  <c r="AY121" i="1" s="1"/>
  <c r="AW119" i="1"/>
  <c r="AX119" i="1" s="1"/>
  <c r="AW137" i="1"/>
  <c r="AY137" i="1" s="1"/>
  <c r="AW155" i="1"/>
  <c r="AY155" i="1" s="1"/>
  <c r="AW254" i="1"/>
  <c r="AY254" i="1" s="1"/>
  <c r="AW318" i="1"/>
  <c r="AY318" i="1" s="1"/>
  <c r="AW422" i="1"/>
  <c r="AX422" i="1" s="1"/>
  <c r="AW454" i="1"/>
  <c r="AY454" i="1" s="1"/>
  <c r="AW216" i="1"/>
  <c r="AY216" i="1" s="1"/>
  <c r="AW136" i="1"/>
  <c r="AY136" i="1" s="1"/>
  <c r="AW138" i="1"/>
  <c r="AY138" i="1" s="1"/>
  <c r="AW535" i="1"/>
  <c r="AW519" i="1"/>
  <c r="AX519" i="1" s="1"/>
  <c r="AW471" i="1"/>
  <c r="AW455" i="1"/>
  <c r="AY455" i="1" s="1"/>
  <c r="AW32" i="1"/>
  <c r="AW157" i="1"/>
  <c r="AY157" i="1" s="1"/>
  <c r="AW189" i="1"/>
  <c r="AY189" i="1" s="1"/>
  <c r="AW238" i="1"/>
  <c r="AY238" i="1" s="1"/>
  <c r="AW376" i="1"/>
  <c r="AX376" i="1" s="1"/>
  <c r="AW424" i="1"/>
  <c r="AX424" i="1" s="1"/>
  <c r="AW456" i="1"/>
  <c r="AX456" i="1" s="1"/>
  <c r="AW98" i="1"/>
  <c r="AW105" i="1"/>
  <c r="AY105" i="1" s="1"/>
  <c r="AW321" i="1"/>
  <c r="AX321" i="1" s="1"/>
  <c r="AW377" i="1"/>
  <c r="AX377" i="1" s="1"/>
  <c r="AW409" i="1"/>
  <c r="AX409" i="1" s="1"/>
  <c r="AW537" i="1"/>
  <c r="AX537" i="1" s="1"/>
  <c r="AW373" i="1"/>
  <c r="AX373" i="1" s="1"/>
  <c r="AW490" i="1"/>
  <c r="AY490" i="1" s="1"/>
  <c r="AW554" i="1"/>
  <c r="AY554" i="1" s="1"/>
  <c r="AW340" i="1"/>
  <c r="AW148" i="1"/>
  <c r="AX148" i="1" s="1"/>
  <c r="AW29" i="1"/>
  <c r="AX29" i="1" s="1"/>
  <c r="AW20" i="1"/>
  <c r="AY20" i="1" s="1"/>
  <c r="AW523" i="1"/>
  <c r="AY523" i="1" s="1"/>
  <c r="AW467" i="1"/>
  <c r="AW451" i="1"/>
  <c r="AW435" i="1"/>
  <c r="AY435" i="1" s="1"/>
  <c r="AW419" i="1"/>
  <c r="AY419" i="1" s="1"/>
  <c r="AW403" i="1"/>
  <c r="AY403" i="1" s="1"/>
  <c r="AW387" i="1"/>
  <c r="AY387" i="1" s="1"/>
  <c r="AW371" i="1"/>
  <c r="AW355" i="1"/>
  <c r="AW339" i="1"/>
  <c r="AW275" i="1"/>
  <c r="AY275" i="1" s="1"/>
  <c r="AW259" i="1"/>
  <c r="AY259" i="1" s="1"/>
  <c r="AW195" i="1"/>
  <c r="AW115" i="1"/>
  <c r="AY115" i="1" s="1"/>
  <c r="AW12" i="1"/>
  <c r="AW482" i="1"/>
  <c r="AY482" i="1" s="1"/>
  <c r="AW466" i="1"/>
  <c r="AY466" i="1" s="1"/>
  <c r="AW434" i="1"/>
  <c r="AY434" i="1" s="1"/>
  <c r="AW322" i="1"/>
  <c r="AY322" i="1" s="1"/>
  <c r="AW290" i="1"/>
  <c r="AW274" i="1"/>
  <c r="AY274" i="1" s="1"/>
  <c r="AW226" i="1"/>
  <c r="AW210" i="1"/>
  <c r="AW114" i="1"/>
  <c r="AW27" i="1"/>
  <c r="AY27" i="1" s="1"/>
  <c r="AW382" i="1"/>
  <c r="AY382" i="1" s="1"/>
  <c r="AW178" i="1"/>
  <c r="AY178" i="1" s="1"/>
  <c r="AW211" i="1"/>
  <c r="AY211" i="1" s="1"/>
  <c r="AW545" i="1"/>
  <c r="AY545" i="1" s="1"/>
  <c r="AW529" i="1"/>
  <c r="AW465" i="1"/>
  <c r="AW417" i="1"/>
  <c r="AW401" i="1"/>
  <c r="AY401" i="1" s="1"/>
  <c r="AW113" i="1"/>
  <c r="AW74" i="1"/>
  <c r="AW450" i="1"/>
  <c r="AY450" i="1" s="1"/>
  <c r="AW514" i="1"/>
  <c r="AY514" i="1" s="1"/>
  <c r="AW530" i="1"/>
  <c r="AY530" i="1" s="1"/>
  <c r="AW531" i="1"/>
  <c r="AY531" i="1" s="1"/>
  <c r="AW72" i="1"/>
  <c r="AY72" i="1" s="1"/>
  <c r="AW502" i="1"/>
  <c r="AY502" i="1" s="1"/>
  <c r="AW255" i="1"/>
  <c r="AY255" i="1" s="1"/>
  <c r="AW304" i="1"/>
  <c r="AY304" i="1" s="1"/>
  <c r="AW239" i="1"/>
  <c r="AY239" i="1" s="1"/>
  <c r="AW159" i="1"/>
  <c r="AY159" i="1" s="1"/>
  <c r="AW191" i="1"/>
  <c r="AY191" i="1" s="1"/>
  <c r="AW166" i="1"/>
  <c r="AY166" i="1" s="1"/>
  <c r="AW312" i="1"/>
  <c r="AX312" i="1" s="1"/>
  <c r="AW503" i="1"/>
  <c r="AY503" i="1" s="1"/>
  <c r="AW237" i="1"/>
  <c r="AY237" i="1" s="1"/>
  <c r="AW95" i="1"/>
  <c r="AY95" i="1" s="1"/>
  <c r="AW408" i="1"/>
  <c r="AX408" i="1" s="1"/>
  <c r="AW173" i="1"/>
  <c r="AY173" i="1" s="1"/>
  <c r="AW205" i="1"/>
  <c r="AY205" i="1" s="1"/>
  <c r="AW440" i="1"/>
  <c r="AX440" i="1" s="1"/>
  <c r="AW358" i="1"/>
  <c r="AY358" i="1" s="1"/>
  <c r="AW267" i="1"/>
  <c r="AY267" i="1" s="1"/>
  <c r="AW486" i="1"/>
  <c r="AY486" i="1" s="1"/>
  <c r="AW406" i="1"/>
  <c r="AY406" i="1" s="1"/>
  <c r="AW438" i="1"/>
  <c r="AY438" i="1" s="1"/>
  <c r="AW390" i="1"/>
  <c r="AX390" i="1" s="1"/>
  <c r="AW28" i="1"/>
  <c r="AY28" i="1" s="1"/>
  <c r="AW539" i="1"/>
  <c r="AY539" i="1" s="1"/>
  <c r="AW243" i="1"/>
  <c r="AY243" i="1" s="1"/>
  <c r="AW418" i="1"/>
  <c r="AY418" i="1" s="1"/>
  <c r="AW458" i="1"/>
  <c r="AY458" i="1" s="1"/>
  <c r="AY247" i="1"/>
  <c r="AX247" i="1"/>
  <c r="AW552" i="1"/>
  <c r="AX552" i="1" s="1"/>
  <c r="AW298" i="1"/>
  <c r="AY298" i="1" s="1"/>
  <c r="AW135" i="1"/>
  <c r="AY135" i="1" s="1"/>
  <c r="AW551" i="1"/>
  <c r="AY551" i="1" s="1"/>
  <c r="AW432" i="1"/>
  <c r="AY432" i="1" s="1"/>
  <c r="AW271" i="1"/>
  <c r="AY271" i="1" s="1"/>
  <c r="AW134" i="1"/>
  <c r="AY134" i="1" s="1"/>
  <c r="AW56" i="1"/>
  <c r="AY56" i="1" s="1"/>
  <c r="AY94" i="1"/>
  <c r="AW34" i="1"/>
  <c r="AW365" i="1"/>
  <c r="AY365" i="1" s="1"/>
  <c r="AW364" i="1"/>
  <c r="AY364" i="1" s="1"/>
  <c r="AW402" i="1"/>
  <c r="AW362" i="1"/>
  <c r="AY362" i="1" s="1"/>
  <c r="AW154" i="1"/>
  <c r="AY154" i="1" s="1"/>
  <c r="AW361" i="1"/>
  <c r="AX361" i="1" s="1"/>
  <c r="AW44" i="1"/>
  <c r="AW526" i="1"/>
  <c r="AY526" i="1" s="1"/>
  <c r="AW217" i="1"/>
  <c r="AY217" i="1" s="1"/>
  <c r="AW79" i="1"/>
  <c r="AY79" i="1" s="1"/>
  <c r="AW392" i="1"/>
  <c r="AX392" i="1" s="1"/>
  <c r="AW445" i="1"/>
  <c r="AY445" i="1" s="1"/>
  <c r="AW472" i="1"/>
  <c r="AX472" i="1" s="1"/>
  <c r="AW353" i="1"/>
  <c r="AY353" i="1" s="1"/>
  <c r="AW538" i="1"/>
  <c r="AY538" i="1" s="1"/>
  <c r="AW495" i="1"/>
  <c r="AY495" i="1" s="1"/>
  <c r="AW83" i="1"/>
  <c r="AY83" i="1" s="1"/>
  <c r="AW536" i="1"/>
  <c r="AX536" i="1" s="1"/>
  <c r="AW349" i="1"/>
  <c r="AY349" i="1" s="1"/>
  <c r="AW207" i="1"/>
  <c r="AY207" i="1" s="1"/>
  <c r="AW109" i="1"/>
  <c r="AY109" i="1" s="1"/>
  <c r="AW67" i="1"/>
  <c r="AW469" i="1"/>
  <c r="AX469" i="1" s="1"/>
  <c r="AW310" i="1"/>
  <c r="AY310" i="1" s="1"/>
  <c r="AW206" i="1"/>
  <c r="AY206" i="1" s="1"/>
  <c r="AW31" i="1"/>
  <c r="AY31" i="1" s="1"/>
  <c r="AW404" i="1"/>
  <c r="AX404" i="1" s="1"/>
  <c r="AW394" i="1"/>
  <c r="AY394" i="1" s="1"/>
  <c r="AW273" i="1"/>
  <c r="AY273" i="1" s="1"/>
  <c r="AW448" i="1"/>
  <c r="AW549" i="1"/>
  <c r="AX549" i="1" s="1"/>
  <c r="AW499" i="1"/>
  <c r="AW333" i="1"/>
  <c r="AY333" i="1" s="1"/>
  <c r="AW459" i="1"/>
  <c r="AY459" i="1" s="1"/>
  <c r="AW447" i="1"/>
  <c r="AY447" i="1" s="1"/>
  <c r="AW421" i="1"/>
  <c r="AX421" i="1" s="1"/>
  <c r="AW383" i="1"/>
  <c r="AY383" i="1" s="1"/>
  <c r="AW345" i="1"/>
  <c r="AW332" i="1"/>
  <c r="AY332" i="1" s="1"/>
  <c r="AW320" i="1"/>
  <c r="AY320" i="1" s="1"/>
  <c r="AW256" i="1"/>
  <c r="AY256" i="1" s="1"/>
  <c r="AW244" i="1"/>
  <c r="AX244" i="1" s="1"/>
  <c r="AW116" i="1"/>
  <c r="AX116" i="1" s="1"/>
  <c r="AW65" i="1"/>
  <c r="AY65" i="1" s="1"/>
  <c r="AW118" i="1"/>
  <c r="AW398" i="1"/>
  <c r="AY398" i="1" s="1"/>
  <c r="AW484" i="1"/>
  <c r="AX484" i="1" s="1"/>
  <c r="AW420" i="1"/>
  <c r="AX420" i="1" s="1"/>
  <c r="AW357" i="1"/>
  <c r="AX357" i="1" s="1"/>
  <c r="AW319" i="1"/>
  <c r="AY319" i="1" s="1"/>
  <c r="AW293" i="1"/>
  <c r="AX293" i="1" s="1"/>
  <c r="AW220" i="1"/>
  <c r="AY220" i="1" s="1"/>
  <c r="AW162" i="1"/>
  <c r="AY162" i="1" s="1"/>
  <c r="AW139" i="1"/>
  <c r="AY139" i="1" s="1"/>
  <c r="AW19" i="1"/>
  <c r="AW346" i="1"/>
  <c r="AW397" i="1"/>
  <c r="AY397" i="1" s="1"/>
  <c r="AW292" i="1"/>
  <c r="AX292" i="1" s="1"/>
  <c r="AW232" i="1"/>
  <c r="AY232" i="1" s="1"/>
  <c r="AW197" i="1"/>
  <c r="AY197" i="1" s="1"/>
  <c r="AW165" i="1"/>
  <c r="AW512" i="1"/>
  <c r="AY512" i="1" s="1"/>
  <c r="AW246" i="1"/>
  <c r="AW130" i="1"/>
  <c r="AY130" i="1" s="1"/>
  <c r="AX9" i="1"/>
  <c r="AW457" i="1"/>
  <c r="AW444" i="1"/>
  <c r="AY444" i="1" s="1"/>
  <c r="AW380" i="1"/>
  <c r="AY380" i="1" s="1"/>
  <c r="AW343" i="1"/>
  <c r="AW291" i="1"/>
  <c r="AW279" i="1"/>
  <c r="AW208" i="1"/>
  <c r="AY208" i="1" s="1"/>
  <c r="AW184" i="1"/>
  <c r="AY184" i="1" s="1"/>
  <c r="AW161" i="1"/>
  <c r="AY161" i="1" s="1"/>
  <c r="AW149" i="1"/>
  <c r="AY149" i="1" s="1"/>
  <c r="AW33" i="1"/>
  <c r="AW511" i="1"/>
  <c r="AY511" i="1" s="1"/>
  <c r="AW405" i="1"/>
  <c r="AX405" i="1" s="1"/>
  <c r="AW368" i="1"/>
  <c r="AY368" i="1" s="1"/>
  <c r="AW329" i="1"/>
  <c r="AW316" i="1"/>
  <c r="AY316" i="1" s="1"/>
  <c r="AW218" i="1"/>
  <c r="AW461" i="1"/>
  <c r="AY461" i="1" s="1"/>
  <c r="AW410" i="1"/>
  <c r="AW360" i="1"/>
  <c r="AX360" i="1" s="1"/>
  <c r="AW431" i="1"/>
  <c r="AY431" i="1" s="1"/>
  <c r="AW393" i="1"/>
  <c r="AW328" i="1"/>
  <c r="AX328" i="1" s="1"/>
  <c r="AW277" i="1"/>
  <c r="AY277" i="1" s="1"/>
  <c r="AW252" i="1"/>
  <c r="AY252" i="1" s="1"/>
  <c r="AW124" i="1"/>
  <c r="AY124" i="1" s="1"/>
  <c r="AW73" i="1"/>
  <c r="AY73" i="1" s="1"/>
  <c r="AW61" i="1"/>
  <c r="AX61" i="1" s="1"/>
  <c r="AW460" i="1"/>
  <c r="AY460" i="1" s="1"/>
  <c r="AW176" i="1"/>
  <c r="AY176" i="1" s="1"/>
  <c r="AW378" i="1"/>
  <c r="AW170" i="1"/>
  <c r="AW97" i="1"/>
  <c r="AY97" i="1" s="1"/>
  <c r="AW296" i="1"/>
  <c r="AW525" i="1"/>
  <c r="AY525" i="1" s="1"/>
  <c r="AW258" i="1"/>
  <c r="AW480" i="1"/>
  <c r="AY480" i="1" s="1"/>
  <c r="AW453" i="1"/>
  <c r="AX453" i="1" s="1"/>
  <c r="AW391" i="1"/>
  <c r="AX391" i="1" s="1"/>
  <c r="AW314" i="1"/>
  <c r="AW302" i="1"/>
  <c r="AY302" i="1" s="1"/>
  <c r="AW228" i="1"/>
  <c r="AX228" i="1" s="1"/>
  <c r="AW193" i="1"/>
  <c r="AY193" i="1" s="1"/>
  <c r="AW181" i="1"/>
  <c r="AY181" i="1" s="1"/>
  <c r="AW96" i="1"/>
  <c r="AX96" i="1" s="1"/>
  <c r="AW200" i="1"/>
  <c r="AW474" i="1"/>
  <c r="AW257" i="1"/>
  <c r="AY257" i="1" s="1"/>
  <c r="AW141" i="1"/>
  <c r="AY141" i="1" s="1"/>
  <c r="AW491" i="1"/>
  <c r="AY491" i="1" s="1"/>
  <c r="AW479" i="1"/>
  <c r="AY479" i="1" s="1"/>
  <c r="AW452" i="1"/>
  <c r="AX452" i="1" s="1"/>
  <c r="AW441" i="1"/>
  <c r="AW428" i="1"/>
  <c r="AY428" i="1" s="1"/>
  <c r="AW263" i="1"/>
  <c r="AX263" i="1" s="1"/>
  <c r="AW204" i="1"/>
  <c r="AY204" i="1" s="1"/>
  <c r="AW192" i="1"/>
  <c r="AY192" i="1" s="1"/>
  <c r="AW282" i="1"/>
  <c r="AW152" i="1"/>
  <c r="AY152" i="1" s="1"/>
  <c r="AX147" i="1"/>
  <c r="AW427" i="1"/>
  <c r="AY427" i="1" s="1"/>
  <c r="AW351" i="1"/>
  <c r="AY351" i="1" s="1"/>
  <c r="AW324" i="1"/>
  <c r="AX324" i="1" s="1"/>
  <c r="AW300" i="1"/>
  <c r="AY300" i="1" s="1"/>
  <c r="AW203" i="1"/>
  <c r="AY203" i="1" s="1"/>
  <c r="AW156" i="1"/>
  <c r="AY156" i="1" s="1"/>
  <c r="AW81" i="1"/>
  <c r="AY81" i="1" s="1"/>
  <c r="AW36" i="1"/>
  <c r="AY36" i="1" s="1"/>
  <c r="AW309" i="1"/>
  <c r="AX309" i="1" s="1"/>
  <c r="AW270" i="1"/>
  <c r="AY270" i="1" s="1"/>
  <c r="AW245" i="1"/>
  <c r="AW117" i="1"/>
  <c r="AY117" i="1" s="1"/>
  <c r="AW106" i="1"/>
  <c r="AW388" i="1"/>
  <c r="AX388" i="1" s="1"/>
  <c r="AW375" i="1"/>
  <c r="AW299" i="1"/>
  <c r="AY299" i="1" s="1"/>
  <c r="AW286" i="1"/>
  <c r="AY286" i="1" s="1"/>
  <c r="AW261" i="1"/>
  <c r="AY261" i="1" s="1"/>
  <c r="AW69" i="1"/>
  <c r="AY69" i="1" s="1"/>
  <c r="AW58" i="1"/>
  <c r="AY58" i="1" s="1"/>
  <c r="AW385" i="1"/>
  <c r="AW129" i="1"/>
  <c r="AW487" i="1"/>
  <c r="AW464" i="1"/>
  <c r="AY464" i="1" s="1"/>
  <c r="AW412" i="1"/>
  <c r="AY412" i="1" s="1"/>
  <c r="AW260" i="1"/>
  <c r="AY260" i="1" s="1"/>
  <c r="AW248" i="1"/>
  <c r="AY248" i="1" s="1"/>
  <c r="AW144" i="1"/>
  <c r="AY144" i="1" s="1"/>
  <c r="AW132" i="1"/>
  <c r="AX132" i="1" s="1"/>
  <c r="AW68" i="1"/>
  <c r="AY68" i="1" s="1"/>
  <c r="AW46" i="1"/>
  <c r="AY46" i="1" s="1"/>
  <c r="AW334" i="1"/>
  <c r="AW21" i="1"/>
  <c r="AW384" i="1"/>
  <c r="AY384" i="1" s="1"/>
  <c r="AW425" i="1"/>
  <c r="AW348" i="1"/>
  <c r="AY348" i="1" s="1"/>
  <c r="AW336" i="1"/>
  <c r="AY336" i="1" s="1"/>
  <c r="AW311" i="1"/>
  <c r="AW284" i="1"/>
  <c r="AY284" i="1" s="1"/>
  <c r="AW224" i="1"/>
  <c r="AY224" i="1" s="1"/>
  <c r="AW93" i="1"/>
  <c r="AY93" i="1" s="1"/>
  <c r="AW359" i="1"/>
  <c r="AW164" i="1"/>
  <c r="AX60" i="1"/>
  <c r="AW437" i="1"/>
  <c r="AX437" i="1" s="1"/>
  <c r="AW372" i="1"/>
  <c r="AX372" i="1" s="1"/>
  <c r="AW297" i="1"/>
  <c r="AW235" i="1"/>
  <c r="AY235" i="1" s="1"/>
  <c r="AW223" i="1"/>
  <c r="AW188" i="1"/>
  <c r="AY188" i="1" s="1"/>
  <c r="AY42" i="1"/>
  <c r="AX42" i="1"/>
  <c r="AX146" i="1"/>
  <c r="AX127" i="1"/>
  <c r="AY533" i="1"/>
  <c r="AX350" i="1"/>
  <c r="AX23" i="1"/>
  <c r="AX493" i="1"/>
  <c r="AP6" i="1" l="1"/>
  <c r="AP4" i="1" s="1"/>
  <c r="AW64" i="1"/>
  <c r="AW16" i="1"/>
  <c r="AX16" i="1" s="1"/>
  <c r="AW14" i="1"/>
  <c r="AW38" i="1"/>
  <c r="AW78" i="1"/>
  <c r="AY78" i="1" s="1"/>
  <c r="AW108" i="1"/>
  <c r="AW48" i="1"/>
  <c r="AY67" i="1"/>
  <c r="AX67" i="1"/>
  <c r="AW18" i="1"/>
  <c r="AY500" i="1"/>
  <c r="AX138" i="1"/>
  <c r="AX399" i="1"/>
  <c r="AY308" i="1"/>
  <c r="AX157" i="1"/>
  <c r="AX524" i="1"/>
  <c r="AX466" i="1"/>
  <c r="AX259" i="1"/>
  <c r="AY542" i="1"/>
  <c r="AX419" i="1"/>
  <c r="AX142" i="1"/>
  <c r="AX530" i="1"/>
  <c r="AX403" i="1"/>
  <c r="AX191" i="1"/>
  <c r="AX304" i="1"/>
  <c r="AY321" i="1"/>
  <c r="AX492" i="1"/>
  <c r="AY456" i="1"/>
  <c r="AX322" i="1"/>
  <c r="AX541" i="1"/>
  <c r="AX434" i="1"/>
  <c r="AY163" i="1"/>
  <c r="AX163" i="1"/>
  <c r="AX341" i="1"/>
  <c r="AY341" i="1"/>
  <c r="AY463" i="1"/>
  <c r="AX463" i="1"/>
  <c r="AY43" i="1"/>
  <c r="AX43" i="1"/>
  <c r="AY429" i="1"/>
  <c r="AX429" i="1"/>
  <c r="AX207" i="1"/>
  <c r="AX126" i="1"/>
  <c r="AX155" i="1"/>
  <c r="AY373" i="1"/>
  <c r="AX269" i="1"/>
  <c r="AX72" i="1"/>
  <c r="AY411" i="1"/>
  <c r="AX411" i="1"/>
  <c r="AY335" i="1"/>
  <c r="AX335" i="1"/>
  <c r="AY562" i="1"/>
  <c r="AX562" i="1"/>
  <c r="AY400" i="1"/>
  <c r="AX400" i="1"/>
  <c r="AY522" i="1"/>
  <c r="AX522" i="1"/>
  <c r="AY242" i="1"/>
  <c r="AX242" i="1"/>
  <c r="AX151" i="1"/>
  <c r="AY151" i="1"/>
  <c r="AY231" i="1"/>
  <c r="AX231" i="1"/>
  <c r="AY557" i="1"/>
  <c r="AX557" i="1"/>
  <c r="AY556" i="1"/>
  <c r="AX556" i="1"/>
  <c r="AY337" i="1"/>
  <c r="AX337" i="1"/>
  <c r="AY483" i="1"/>
  <c r="AX483" i="1"/>
  <c r="AY477" i="1"/>
  <c r="AX477" i="1"/>
  <c r="AY40" i="1"/>
  <c r="AX40" i="1"/>
  <c r="AX532" i="1"/>
  <c r="AY532" i="1"/>
  <c r="AY559" i="1"/>
  <c r="AX559" i="1"/>
  <c r="AY543" i="1"/>
  <c r="AX543" i="1"/>
  <c r="AY185" i="1"/>
  <c r="AX185" i="1"/>
  <c r="AX554" i="1"/>
  <c r="AX413" i="1"/>
  <c r="AY293" i="1"/>
  <c r="AY376" i="1"/>
  <c r="AY408" i="1"/>
  <c r="AX178" i="1"/>
  <c r="AX183" i="1"/>
  <c r="AY481" i="1"/>
  <c r="AX481" i="1"/>
  <c r="AY540" i="1"/>
  <c r="AX540" i="1"/>
  <c r="AY370" i="1"/>
  <c r="AX370" i="1"/>
  <c r="AX177" i="1"/>
  <c r="AY177" i="1"/>
  <c r="AY234" i="1"/>
  <c r="AX234" i="1"/>
  <c r="AY555" i="1"/>
  <c r="AX555" i="1"/>
  <c r="AY125" i="1"/>
  <c r="AX125" i="1"/>
  <c r="AY507" i="1"/>
  <c r="AX507" i="1"/>
  <c r="AY426" i="1"/>
  <c r="AX426" i="1"/>
  <c r="AY201" i="1"/>
  <c r="AX201" i="1"/>
  <c r="AY546" i="1"/>
  <c r="AX546" i="1"/>
  <c r="AY198" i="1"/>
  <c r="AX198" i="1"/>
  <c r="AY509" i="1"/>
  <c r="AX509" i="1"/>
  <c r="AY506" i="1"/>
  <c r="AX506" i="1"/>
  <c r="AY508" i="1"/>
  <c r="AX508" i="1"/>
  <c r="AX548" i="1"/>
  <c r="AY548" i="1"/>
  <c r="AY515" i="1"/>
  <c r="AX515" i="1"/>
  <c r="AY327" i="1"/>
  <c r="AX327" i="1"/>
  <c r="AY169" i="1"/>
  <c r="AX169" i="1"/>
  <c r="AX342" i="1"/>
  <c r="AY342" i="1"/>
  <c r="AY301" i="1"/>
  <c r="AX301" i="1"/>
  <c r="AY476" i="1"/>
  <c r="AX476" i="1"/>
  <c r="AY443" i="1"/>
  <c r="AX443" i="1"/>
  <c r="AX516" i="1"/>
  <c r="AY516" i="1"/>
  <c r="AX517" i="1"/>
  <c r="AY517" i="1"/>
  <c r="AY396" i="1"/>
  <c r="AX396" i="1"/>
  <c r="AX501" i="1"/>
  <c r="AY501" i="1"/>
  <c r="AX344" i="1"/>
  <c r="AY344" i="1"/>
  <c r="AX553" i="1"/>
  <c r="AY553" i="1"/>
  <c r="AY251" i="1"/>
  <c r="AX251" i="1"/>
  <c r="AX521" i="1"/>
  <c r="AY521" i="1"/>
  <c r="AX468" i="1"/>
  <c r="AY468" i="1"/>
  <c r="AY544" i="1"/>
  <c r="AX544" i="1"/>
  <c r="AX294" i="1"/>
  <c r="AY294" i="1"/>
  <c r="AY510" i="1"/>
  <c r="AX510" i="1"/>
  <c r="AY175" i="1"/>
  <c r="AX175" i="1"/>
  <c r="AY367" i="1"/>
  <c r="AX367" i="1"/>
  <c r="AY90" i="1"/>
  <c r="AX90" i="1"/>
  <c r="AX276" i="1"/>
  <c r="AY276" i="1"/>
  <c r="AY317" i="1"/>
  <c r="AX317" i="1"/>
  <c r="AY513" i="1"/>
  <c r="AX513" i="1"/>
  <c r="AY528" i="1"/>
  <c r="AX528" i="1"/>
  <c r="AY66" i="1"/>
  <c r="AX66" i="1"/>
  <c r="AY354" i="1"/>
  <c r="AX354" i="1"/>
  <c r="AY527" i="1"/>
  <c r="AX527" i="1"/>
  <c r="AX285" i="1"/>
  <c r="AX211" i="1"/>
  <c r="AX145" i="1"/>
  <c r="AX547" i="1"/>
  <c r="AX435" i="1"/>
  <c r="AY496" i="1"/>
  <c r="AX189" i="1"/>
  <c r="AY377" i="1"/>
  <c r="AX105" i="1"/>
  <c r="AX560" i="1"/>
  <c r="AX137" i="1"/>
  <c r="AX158" i="1"/>
  <c r="AY537" i="1"/>
  <c r="AY564" i="1"/>
  <c r="AX174" i="1"/>
  <c r="AX482" i="1"/>
  <c r="AX22" i="1"/>
  <c r="AX239" i="1"/>
  <c r="AX115" i="1"/>
  <c r="AX71" i="1"/>
  <c r="AX318" i="1"/>
  <c r="AX545" i="1"/>
  <c r="AX275" i="1"/>
  <c r="AX432" i="1"/>
  <c r="AX523" i="1"/>
  <c r="AY424" i="1"/>
  <c r="AY422" i="1"/>
  <c r="AX111" i="1"/>
  <c r="AX262" i="1"/>
  <c r="AX227" i="1"/>
  <c r="AX159" i="1"/>
  <c r="AX531" i="1"/>
  <c r="AY244" i="1"/>
  <c r="AX490" i="1"/>
  <c r="AX382" i="1"/>
  <c r="AX257" i="1"/>
  <c r="AX255" i="1"/>
  <c r="AX381" i="1"/>
  <c r="AX454" i="1"/>
  <c r="AY278" i="1"/>
  <c r="AX278" i="1"/>
  <c r="AY558" i="1"/>
  <c r="AX558" i="1"/>
  <c r="AY467" i="1"/>
  <c r="AX467" i="1"/>
  <c r="AY195" i="1"/>
  <c r="AX195" i="1"/>
  <c r="AY289" i="1"/>
  <c r="AX289" i="1"/>
  <c r="AY498" i="1"/>
  <c r="AX498" i="1"/>
  <c r="AY153" i="1"/>
  <c r="AX153" i="1"/>
  <c r="AY233" i="1"/>
  <c r="AX233" i="1"/>
  <c r="AY249" i="1"/>
  <c r="AX249" i="1"/>
  <c r="AY150" i="1"/>
  <c r="AX150" i="1"/>
  <c r="AY433" i="1"/>
  <c r="AX433" i="1"/>
  <c r="AY32" i="1"/>
  <c r="AX32" i="1"/>
  <c r="AY462" i="1"/>
  <c r="AX462" i="1"/>
  <c r="AX387" i="1"/>
  <c r="AX502" i="1"/>
  <c r="AX238" i="1"/>
  <c r="AX253" i="1"/>
  <c r="AX254" i="1"/>
  <c r="AY505" i="1"/>
  <c r="AX268" i="1"/>
  <c r="AX202" i="1"/>
  <c r="AX274" i="1"/>
  <c r="AX306" i="1"/>
  <c r="AX166" i="1"/>
  <c r="AX295" i="1"/>
  <c r="AX110" i="1"/>
  <c r="AX123" i="1"/>
  <c r="AX450" i="1"/>
  <c r="AY417" i="1"/>
  <c r="AX417" i="1"/>
  <c r="AY355" i="1"/>
  <c r="AX355" i="1"/>
  <c r="AY74" i="1"/>
  <c r="AX74" i="1"/>
  <c r="AY12" i="1"/>
  <c r="AX12" i="1"/>
  <c r="AX371" i="1"/>
  <c r="AY371" i="1"/>
  <c r="AY471" i="1"/>
  <c r="AX471" i="1"/>
  <c r="AY535" i="1"/>
  <c r="AX535" i="1"/>
  <c r="AY497" i="1"/>
  <c r="AX497" i="1"/>
  <c r="AY131" i="1"/>
  <c r="AX131" i="1"/>
  <c r="AX340" i="1"/>
  <c r="AY340" i="1"/>
  <c r="AY219" i="1"/>
  <c r="AX219" i="1"/>
  <c r="AY366" i="1"/>
  <c r="AX366" i="1"/>
  <c r="AY451" i="1"/>
  <c r="AX451" i="1"/>
  <c r="AY113" i="1"/>
  <c r="AX113" i="1"/>
  <c r="AY529" i="1"/>
  <c r="AX529" i="1"/>
  <c r="AY179" i="1"/>
  <c r="AX179" i="1"/>
  <c r="AY414" i="1"/>
  <c r="AX414" i="1"/>
  <c r="AY465" i="1"/>
  <c r="AX465" i="1"/>
  <c r="AY386" i="1"/>
  <c r="AX386" i="1"/>
  <c r="AY114" i="1"/>
  <c r="AX114" i="1"/>
  <c r="AX326" i="1"/>
  <c r="AY326" i="1"/>
  <c r="AY430" i="1"/>
  <c r="AX430" i="1"/>
  <c r="AY446" i="1"/>
  <c r="AX446" i="1"/>
  <c r="AY210" i="1"/>
  <c r="AX210" i="1"/>
  <c r="AY478" i="1"/>
  <c r="AX478" i="1"/>
  <c r="AY226" i="1"/>
  <c r="AX226" i="1"/>
  <c r="AY494" i="1"/>
  <c r="AX494" i="1"/>
  <c r="AY290" i="1"/>
  <c r="AX290" i="1"/>
  <c r="AY98" i="1"/>
  <c r="AX98" i="1"/>
  <c r="AX205" i="1"/>
  <c r="AX514" i="1"/>
  <c r="AY119" i="1"/>
  <c r="AY519" i="1"/>
  <c r="AX20" i="1"/>
  <c r="AY409" i="1"/>
  <c r="AX89" i="1"/>
  <c r="AX27" i="1"/>
  <c r="AX82" i="1"/>
  <c r="AX561" i="1"/>
  <c r="AX221" i="1"/>
  <c r="AX237" i="1"/>
  <c r="AY356" i="1"/>
  <c r="AX353" i="1"/>
  <c r="AY504" i="1"/>
  <c r="AX401" i="1"/>
  <c r="AY520" i="1"/>
  <c r="AX418" i="1"/>
  <c r="AX333" i="1"/>
  <c r="AX455" i="1"/>
  <c r="AX281" i="1"/>
  <c r="AX70" i="1"/>
  <c r="AX39" i="1"/>
  <c r="AX95" i="1"/>
  <c r="AX154" i="1"/>
  <c r="AX230" i="1"/>
  <c r="AY148" i="1"/>
  <c r="AX214" i="1"/>
  <c r="AX503" i="1"/>
  <c r="AY312" i="1"/>
  <c r="AY489" i="1"/>
  <c r="AX209" i="1"/>
  <c r="AY405" i="1"/>
  <c r="AX369" i="1"/>
  <c r="AX349" i="1"/>
  <c r="AY472" i="1"/>
  <c r="AX358" i="1"/>
  <c r="AX182" i="1"/>
  <c r="AX121" i="1"/>
  <c r="AX267" i="1"/>
  <c r="AX368" i="1"/>
  <c r="AX449" i="1"/>
  <c r="AX486" i="1"/>
  <c r="AX59" i="1"/>
  <c r="AX168" i="1"/>
  <c r="AX303" i="1"/>
  <c r="AX330" i="1"/>
  <c r="AX141" i="1"/>
  <c r="AX173" i="1"/>
  <c r="AX272" i="1"/>
  <c r="AX394" i="1"/>
  <c r="AX458" i="1"/>
  <c r="AX470" i="1"/>
  <c r="AY440" i="1"/>
  <c r="AY361" i="1"/>
  <c r="AX320" i="1"/>
  <c r="AY484" i="1"/>
  <c r="AX315" i="1"/>
  <c r="AX222" i="1"/>
  <c r="AY263" i="1"/>
  <c r="AY534" i="1"/>
  <c r="AX160" i="1"/>
  <c r="AY488" i="1"/>
  <c r="AX526" i="1"/>
  <c r="AX28" i="1"/>
  <c r="AY469" i="1"/>
  <c r="AX81" i="1"/>
  <c r="AY132" i="1"/>
  <c r="AX518" i="1"/>
  <c r="AY212" i="1"/>
  <c r="AX99" i="1"/>
  <c r="AX184" i="1"/>
  <c r="AX431" i="1"/>
  <c r="AX438" i="1"/>
  <c r="AX473" i="1"/>
  <c r="AX143" i="1"/>
  <c r="AY61" i="1"/>
  <c r="AX298" i="1"/>
  <c r="AX187" i="1"/>
  <c r="AX380" i="1"/>
  <c r="AY453" i="1"/>
  <c r="AX412" i="1"/>
  <c r="AY485" i="1"/>
  <c r="AX319" i="1"/>
  <c r="AY536" i="1"/>
  <c r="AX338" i="1"/>
  <c r="AY550" i="1"/>
  <c r="AX65" i="1"/>
  <c r="AX299" i="1"/>
  <c r="AX406" i="1"/>
  <c r="AY199" i="1"/>
  <c r="AX120" i="1"/>
  <c r="AY324" i="1"/>
  <c r="AX136" i="1"/>
  <c r="AX265" i="1"/>
  <c r="AX459" i="1"/>
  <c r="AX495" i="1"/>
  <c r="AX26" i="1"/>
  <c r="AX511" i="1"/>
  <c r="AX280" i="1"/>
  <c r="AX162" i="1"/>
  <c r="AX83" i="1"/>
  <c r="AX423" i="1"/>
  <c r="AX365" i="1"/>
  <c r="AY390" i="1"/>
  <c r="AX539" i="1"/>
  <c r="AX94" i="1"/>
  <c r="AX374" i="1"/>
  <c r="AX397" i="1"/>
  <c r="AX379" i="1"/>
  <c r="AX512" i="1"/>
  <c r="AX288" i="1"/>
  <c r="AY549" i="1"/>
  <c r="AX24" i="1"/>
  <c r="AX551" i="1"/>
  <c r="AX479" i="1"/>
  <c r="AX235" i="1"/>
  <c r="AX124" i="1"/>
  <c r="AX193" i="1"/>
  <c r="AX73" i="1"/>
  <c r="AY391" i="1"/>
  <c r="AY29" i="1"/>
  <c r="AX427" i="1"/>
  <c r="AX525" i="1"/>
  <c r="AX172" i="1"/>
  <c r="AX252" i="1"/>
  <c r="AX112" i="1"/>
  <c r="AX93" i="1"/>
  <c r="AX300" i="1"/>
  <c r="AX109" i="1"/>
  <c r="AY404" i="1"/>
  <c r="AX224" i="1"/>
  <c r="AX260" i="1"/>
  <c r="AX348" i="1"/>
  <c r="AX273" i="1"/>
  <c r="AX31" i="1"/>
  <c r="AX475" i="1"/>
  <c r="AX364" i="1"/>
  <c r="AY452" i="1"/>
  <c r="AX305" i="1"/>
  <c r="AY360" i="1"/>
  <c r="AX97" i="1"/>
  <c r="AX447" i="1"/>
  <c r="AX181" i="1"/>
  <c r="AX445" i="1"/>
  <c r="AX206" i="1"/>
  <c r="AX336" i="1"/>
  <c r="AY392" i="1"/>
  <c r="AX261" i="1"/>
  <c r="AX538" i="1"/>
  <c r="AX140" i="1"/>
  <c r="AY196" i="1"/>
  <c r="AX302" i="1"/>
  <c r="AX135" i="1"/>
  <c r="AX310" i="1"/>
  <c r="AY167" i="1"/>
  <c r="AX167" i="1"/>
  <c r="AX215" i="1"/>
  <c r="AY215" i="1"/>
  <c r="AY402" i="1"/>
  <c r="AX402" i="1"/>
  <c r="AY34" i="1"/>
  <c r="AX34" i="1"/>
  <c r="AY283" i="1"/>
  <c r="AX283" i="1"/>
  <c r="AX36" i="1"/>
  <c r="AY420" i="1"/>
  <c r="AX225" i="1"/>
  <c r="AY552" i="1"/>
  <c r="AX271" i="1"/>
  <c r="AX352" i="1"/>
  <c r="AX241" i="1"/>
  <c r="AX134" i="1"/>
  <c r="AX80" i="1"/>
  <c r="AX362" i="1"/>
  <c r="AX69" i="1"/>
  <c r="AX107" i="1"/>
  <c r="AX395" i="1"/>
  <c r="AX444" i="1"/>
  <c r="AX384" i="1"/>
  <c r="AY35" i="1"/>
  <c r="AX35" i="1"/>
  <c r="AY44" i="1"/>
  <c r="AX44" i="1"/>
  <c r="AX139" i="1"/>
  <c r="AY122" i="1"/>
  <c r="AX363" i="1"/>
  <c r="AX152" i="1"/>
  <c r="AX188" i="1"/>
  <c r="AX351" i="1"/>
  <c r="AX92" i="1"/>
  <c r="AX464" i="1"/>
  <c r="AY323" i="1"/>
  <c r="AX323" i="1"/>
  <c r="AX171" i="1"/>
  <c r="AX220" i="1"/>
  <c r="AX56" i="1"/>
  <c r="AX286" i="1"/>
  <c r="AX217" i="1"/>
  <c r="AX236" i="1"/>
  <c r="AY325" i="1"/>
  <c r="AX383" i="1"/>
  <c r="AX128" i="1"/>
  <c r="AX130" i="1"/>
  <c r="AX79" i="1"/>
  <c r="AX41" i="1"/>
  <c r="AX133" i="1"/>
  <c r="AX232" i="1"/>
  <c r="AX203" i="1"/>
  <c r="AX491" i="1"/>
  <c r="AX144" i="1"/>
  <c r="AX149" i="1"/>
  <c r="AX248" i="1"/>
  <c r="AY292" i="1"/>
  <c r="AX176" i="1"/>
  <c r="AY389" i="1"/>
  <c r="AX213" i="1"/>
  <c r="AX316" i="1"/>
  <c r="AX194" i="1"/>
  <c r="AX243" i="1"/>
  <c r="AX229" i="1"/>
  <c r="AX332" i="1"/>
  <c r="AY421" i="1"/>
  <c r="AX58" i="1"/>
  <c r="AY347" i="1"/>
  <c r="AX347" i="1"/>
  <c r="AY282" i="1"/>
  <c r="AX282" i="1"/>
  <c r="AY129" i="1"/>
  <c r="AX129" i="1"/>
  <c r="AY448" i="1"/>
  <c r="AX448" i="1"/>
  <c r="AX296" i="1"/>
  <c r="AY296" i="1"/>
  <c r="AY165" i="1"/>
  <c r="AX165" i="1"/>
  <c r="AY385" i="1"/>
  <c r="AX385" i="1"/>
  <c r="AY33" i="1"/>
  <c r="AX33" i="1"/>
  <c r="AY346" i="1"/>
  <c r="AX346" i="1"/>
  <c r="AY21" i="1"/>
  <c r="AX21" i="1"/>
  <c r="AX164" i="1"/>
  <c r="AY164" i="1"/>
  <c r="AY334" i="1"/>
  <c r="AX334" i="1"/>
  <c r="AY245" i="1"/>
  <c r="AX245" i="1"/>
  <c r="AY223" i="1"/>
  <c r="AX223" i="1"/>
  <c r="AY359" i="1"/>
  <c r="AX359" i="1"/>
  <c r="AY200" i="1"/>
  <c r="AX200" i="1"/>
  <c r="AY291" i="1"/>
  <c r="AX291" i="1"/>
  <c r="AX197" i="1"/>
  <c r="AX461" i="1"/>
  <c r="AX398" i="1"/>
  <c r="AX161" i="1"/>
  <c r="AX329" i="1"/>
  <c r="AY329" i="1"/>
  <c r="AX68" i="1"/>
  <c r="AX331" i="1"/>
  <c r="AX284" i="1"/>
  <c r="AX416" i="1"/>
  <c r="AY487" i="1"/>
  <c r="AX487" i="1"/>
  <c r="AX441" i="1"/>
  <c r="AY441" i="1"/>
  <c r="AY407" i="1"/>
  <c r="AX407" i="1"/>
  <c r="AX425" i="1"/>
  <c r="AY425" i="1"/>
  <c r="AX393" i="1"/>
  <c r="AY393" i="1"/>
  <c r="AX345" i="1"/>
  <c r="AY345" i="1"/>
  <c r="AY180" i="1"/>
  <c r="AY45" i="1"/>
  <c r="AX313" i="1"/>
  <c r="AY313" i="1"/>
  <c r="AY250" i="1"/>
  <c r="AX250" i="1"/>
  <c r="AX258" i="1"/>
  <c r="AY258" i="1"/>
  <c r="AX277" i="1"/>
  <c r="AX192" i="1"/>
  <c r="AY19" i="1"/>
  <c r="AX19" i="1"/>
  <c r="AX30" i="1"/>
  <c r="AY96" i="1"/>
  <c r="AX216" i="1"/>
  <c r="AX208" i="1"/>
  <c r="AX480" i="1"/>
  <c r="AY25" i="1"/>
  <c r="AX25" i="1"/>
  <c r="AY314" i="1"/>
  <c r="AX314" i="1"/>
  <c r="AY378" i="1"/>
  <c r="AX378" i="1"/>
  <c r="AY246" i="1"/>
  <c r="AX246" i="1"/>
  <c r="AY186" i="1"/>
  <c r="AX186" i="1"/>
  <c r="AX46" i="1"/>
  <c r="AX54" i="1"/>
  <c r="AY228" i="1"/>
  <c r="AY439" i="1"/>
  <c r="AX439" i="1"/>
  <c r="AY339" i="1"/>
  <c r="AX339" i="1"/>
  <c r="AX457" i="1"/>
  <c r="AY457" i="1"/>
  <c r="AX240" i="1"/>
  <c r="AY328" i="1"/>
  <c r="AY375" i="1"/>
  <c r="AX375" i="1"/>
  <c r="AY106" i="1"/>
  <c r="AX106" i="1"/>
  <c r="AY442" i="1"/>
  <c r="AX442" i="1"/>
  <c r="AY118" i="1"/>
  <c r="AX118" i="1"/>
  <c r="AX264" i="1"/>
  <c r="AX270" i="1"/>
  <c r="AX287" i="1"/>
  <c r="AX256" i="1"/>
  <c r="AY499" i="1"/>
  <c r="AX499" i="1"/>
  <c r="AX156" i="1"/>
  <c r="AX415" i="1"/>
  <c r="AX117" i="1"/>
  <c r="AY116" i="1"/>
  <c r="AX428" i="1"/>
  <c r="AY309" i="1"/>
  <c r="AY218" i="1"/>
  <c r="AX218" i="1"/>
  <c r="AY563" i="1"/>
  <c r="AX563" i="1"/>
  <c r="AY266" i="1"/>
  <c r="AX266" i="1"/>
  <c r="AY307" i="1"/>
  <c r="AX307" i="1"/>
  <c r="AX204" i="1"/>
  <c r="AX460" i="1"/>
  <c r="AY372" i="1"/>
  <c r="AY357" i="1"/>
  <c r="AX91" i="1"/>
  <c r="AX57" i="1"/>
  <c r="AY437" i="1"/>
  <c r="AY474" i="1"/>
  <c r="AX474" i="1"/>
  <c r="AY279" i="1"/>
  <c r="AX279" i="1"/>
  <c r="AY343" i="1"/>
  <c r="AX343" i="1"/>
  <c r="AY388" i="1"/>
  <c r="AX297" i="1"/>
  <c r="AY297" i="1"/>
  <c r="AY311" i="1"/>
  <c r="AX311" i="1"/>
  <c r="AY170" i="1"/>
  <c r="AX170" i="1"/>
  <c r="AY410" i="1"/>
  <c r="AX410" i="1"/>
  <c r="AX78" i="1" l="1"/>
  <c r="AQ6" i="1"/>
  <c r="AR1" i="1" s="1"/>
  <c r="AY16" i="1"/>
  <c r="AW63" i="1"/>
  <c r="AY63" i="1" s="1"/>
  <c r="AY14" i="1"/>
  <c r="AX14" i="1"/>
  <c r="AW17" i="1"/>
  <c r="AW77" i="1"/>
  <c r="AY77" i="1" s="1"/>
  <c r="AW55" i="1"/>
  <c r="AW62" i="1"/>
  <c r="AW15" i="1"/>
  <c r="AY108" i="1"/>
  <c r="AX108" i="1"/>
  <c r="AY48" i="1"/>
  <c r="AX48" i="1"/>
  <c r="AY18" i="1"/>
  <c r="AX18" i="1"/>
  <c r="AN4" i="1"/>
  <c r="AW37" i="1" l="1"/>
  <c r="AR6" i="1"/>
  <c r="AW75" i="1"/>
  <c r="AY75" i="1" s="1"/>
  <c r="AW76" i="1"/>
  <c r="AW50" i="1"/>
  <c r="AY50" i="1" s="1"/>
  <c r="AX63" i="1"/>
  <c r="AW52" i="1"/>
  <c r="AY17" i="1"/>
  <c r="AX17" i="1"/>
  <c r="AY62" i="1"/>
  <c r="AX62" i="1"/>
  <c r="AW53" i="1"/>
  <c r="AX50" i="1"/>
  <c r="AY15" i="1"/>
  <c r="AX15" i="1"/>
  <c r="AW49" i="1"/>
  <c r="AX77" i="1"/>
  <c r="AW51" i="1"/>
  <c r="AY55" i="1"/>
  <c r="AX55" i="1"/>
  <c r="AW88" i="1"/>
  <c r="AQ4" i="1"/>
  <c r="AO6" i="1"/>
  <c r="AO4" i="1" s="1"/>
  <c r="AL6" i="1"/>
  <c r="AL4" i="1" s="1"/>
  <c r="AK4" i="1"/>
  <c r="U6" i="1"/>
  <c r="V3" i="1"/>
  <c r="AX75" i="1" l="1"/>
  <c r="AS6" i="1"/>
  <c r="AX76" i="1"/>
  <c r="AY76" i="1"/>
  <c r="AX52" i="1"/>
  <c r="AY52" i="1"/>
  <c r="AY53" i="1"/>
  <c r="AX53" i="1"/>
  <c r="AY88" i="1"/>
  <c r="AX88" i="1"/>
  <c r="AY51" i="1"/>
  <c r="AX51" i="1"/>
  <c r="AY49" i="1"/>
  <c r="AX49" i="1"/>
  <c r="V6" i="1"/>
  <c r="Y6" i="1"/>
  <c r="AT6" i="1" l="1"/>
  <c r="X6" i="1"/>
  <c r="W6" i="1"/>
  <c r="AI6" i="1"/>
  <c r="AU6" i="1" l="1"/>
  <c r="AS4" i="1"/>
  <c r="AR4" i="1"/>
  <c r="BE6" i="1" l="1"/>
  <c r="BE4" i="1" s="1"/>
  <c r="BF6" i="1"/>
  <c r="BF4" i="1" s="1"/>
  <c r="AW47" i="1"/>
  <c r="AT4" i="1"/>
  <c r="AY47" i="1" l="1"/>
  <c r="AX47" i="1"/>
  <c r="AU4" i="1"/>
  <c r="AV6" i="1" l="1"/>
  <c r="AV4" i="1" s="1"/>
  <c r="BG6" i="1"/>
  <c r="BG4" i="1" s="1"/>
  <c r="AW13" i="1" l="1"/>
  <c r="AY13" i="1" s="1"/>
  <c r="AW11" i="1"/>
  <c r="AW6" i="1" s="1"/>
  <c r="AY11" i="1" l="1"/>
  <c r="AX13" i="1"/>
  <c r="AX11" i="1"/>
  <c r="AX6" i="1" s="1"/>
  <c r="AY6" i="1" l="1"/>
  <c r="AY4" i="1" s="1"/>
  <c r="AW4" i="1"/>
  <c r="AQ6" i="14" l="1"/>
  <c r="AQ4" i="14" s="1"/>
  <c r="AW6" i="14" l="1"/>
  <c r="AW4" i="14" s="1"/>
  <c r="AR1"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Luyen</author>
    <author>tc={F4839EDB-4467-4CD5-8854-3DCCAF54E1C8}</author>
    <author>Anne Shirley</author>
    <author>Vinatech</author>
    <author>Đỗ Đồng</author>
  </authors>
  <commentList>
    <comment ref="X7" authorId="0" shapeId="0" xr:uid="{3ED4620E-49E6-42E8-9E97-D9E0012CD4F0}">
      <text>
        <r>
          <rPr>
            <sz val="9"/>
            <color indexed="81"/>
            <rFont val="Tahoma"/>
            <family val="2"/>
          </rPr>
          <t xml:space="preserve">
chú ý trường hợp đất</t>
        </r>
      </text>
    </comment>
    <comment ref="W9" authorId="0" shapeId="0" xr:uid="{5E918F91-810D-444A-B37D-AAB5FEE5CC5B}">
      <text>
        <r>
          <rPr>
            <b/>
            <sz val="9"/>
            <color indexed="81"/>
            <rFont val="Tahoma"/>
            <family val="2"/>
          </rPr>
          <t xml:space="preserve">
Năm 2017 và năm 2018- tương ứng phần Building đã khấu hao = 86575893</t>
        </r>
      </text>
    </comment>
    <comment ref="X9" authorId="0" shapeId="0" xr:uid="{F41EC963-A935-4124-B25E-77194FA30B84}">
      <text>
        <r>
          <rPr>
            <sz val="13"/>
            <color indexed="81"/>
            <rFont val="Tahoma"/>
            <family val="2"/>
          </rPr>
          <t xml:space="preserve">
Vì tách từ năm 2019 lại=&gt; Tam thời ghi theo giá trị còn lại: Nhà cửa = 1196029925. quyền sử dụng đất = 19326599621
=&gt; NG ban đầu = 22,008,181,818-với số khấu hao năm 2017 và 2018 là (605225000+880327272 )
=&gt; giá trị còn llại đến 01/01/2019 =20,522,629,546
Note: Số đã phân bổ phần Building đã phân bổ năm 2017 và năm 2018 là 86 575 893</t>
        </r>
      </text>
    </comment>
    <comment ref="AD9" authorId="0" shapeId="0" xr:uid="{06432D06-F552-4B91-A10E-879812A0500D}">
      <text>
        <r>
          <rPr>
            <b/>
            <sz val="9"/>
            <color indexed="81"/>
            <rFont val="Tahoma"/>
            <family val="2"/>
          </rPr>
          <t>Luyen:</t>
        </r>
        <r>
          <rPr>
            <sz val="9"/>
            <color indexed="81"/>
            <rFont val="Tahoma"/>
            <family val="2"/>
          </rPr>
          <t xml:space="preserve">
01/01/2018</t>
        </r>
      </text>
    </comment>
    <comment ref="Q10" authorId="1" shapeId="0" xr:uid="{F4839EDB-4467-4CD5-8854-3DCCAF54E1C8}">
      <text>
        <t>[Threaded comment]
Your version of Excel allows you to read this threaded comment; however, any edits to it will get removed if the file is opened in a newer version of Excel. Learn more: https://go.microsoft.com/fwlink/?linkid=870924
Comment:
    75 tr là chi phí lập báo cáo tác động môi trg</t>
      </text>
    </comment>
    <comment ref="Y17" authorId="0" shapeId="0" xr:uid="{B9637553-696B-4E68-AC47-77B8C2935034}">
      <text>
        <r>
          <rPr>
            <sz val="9"/>
            <color indexed="81"/>
            <rFont val="Tahoma"/>
            <family val="2"/>
          </rPr>
          <t xml:space="preserve">
Thanh lý  năm 2018. đã ghi giảm 01/01/2019</t>
        </r>
      </text>
    </comment>
    <comment ref="AD17" authorId="0" shapeId="0" xr:uid="{A0E7834B-AE46-4B39-9906-4248FFF89E92}">
      <text>
        <r>
          <rPr>
            <sz val="9"/>
            <color indexed="81"/>
            <rFont val="Tahoma"/>
            <family val="2"/>
          </rPr>
          <t xml:space="preserve">
ngày thôi KH note từ 01/01/2019</t>
        </r>
      </text>
    </comment>
    <comment ref="Y18" authorId="0" shapeId="0" xr:uid="{FF1693BF-7626-489D-81C3-480A1D0BF670}">
      <text>
        <r>
          <rPr>
            <b/>
            <sz val="9"/>
            <color indexed="81"/>
            <rFont val="Tahoma"/>
            <family val="2"/>
          </rPr>
          <t>Luyen:</t>
        </r>
        <r>
          <rPr>
            <sz val="9"/>
            <color indexed="81"/>
            <rFont val="Tahoma"/>
            <family val="2"/>
          </rPr>
          <t xml:space="preserve">
Thanh lý  năm 2018. đã ghi giảm 01/01/2019</t>
        </r>
      </text>
    </comment>
    <comment ref="AD18" authorId="0" shapeId="0" xr:uid="{819559DE-CC04-4CE2-8AB3-8638D2E14572}">
      <text>
        <r>
          <rPr>
            <sz val="9"/>
            <color indexed="81"/>
            <rFont val="Tahoma"/>
            <family val="2"/>
          </rPr>
          <t xml:space="preserve">
ngày thôi KH note từ 01/01/2019</t>
        </r>
      </text>
    </comment>
    <comment ref="BB41" authorId="2" shapeId="0" xr:uid="{66CBBC12-EDA8-47E6-A160-EB91C5EC6A8F}">
      <text>
        <r>
          <rPr>
            <b/>
            <sz val="9"/>
            <color indexed="81"/>
            <rFont val="Tahoma"/>
            <family val="2"/>
          </rPr>
          <t>Anne Shirley:</t>
        </r>
        <r>
          <rPr>
            <sz val="9"/>
            <color indexed="81"/>
            <rFont val="Tahoma"/>
            <family val="2"/>
          </rPr>
          <t xml:space="preserve">
6274- từ 01/09/2018-31/10/2019</t>
        </r>
      </text>
    </comment>
    <comment ref="Y46" authorId="0" shapeId="0" xr:uid="{AE7DE6E9-835D-4A57-9215-5E6BEC088326}">
      <text>
        <r>
          <rPr>
            <sz val="9"/>
            <color indexed="81"/>
            <rFont val="Tahoma"/>
            <family val="2"/>
          </rPr>
          <t xml:space="preserve">
Máy này được thanh lý ngày 20/02/2019. Đã ghi giảm ngày 20/02/2019. Khi đó giá trị còn lại = 50140137 và đã khấu hao là 3659863</t>
        </r>
      </text>
    </comment>
    <comment ref="Y60" authorId="0" shapeId="0" xr:uid="{9B775AEE-700F-4E4A-97B3-14910695532F}">
      <text>
        <r>
          <rPr>
            <b/>
            <sz val="9"/>
            <color indexed="81"/>
            <rFont val="Tahoma"/>
            <family val="2"/>
          </rPr>
          <t>Luyen:</t>
        </r>
        <r>
          <rPr>
            <sz val="9"/>
            <color indexed="81"/>
            <rFont val="Tahoma"/>
            <family val="2"/>
          </rPr>
          <t xml:space="preserve">
Thanh lý ngày 01/04/2019 -TKHQ số 302443610620
=&gt; Ok ghi Giảm TSCĐ</t>
        </r>
      </text>
    </comment>
    <comment ref="W78" authorId="0" shapeId="0" xr:uid="{56AA2020-2094-40B3-86D0-28A28328610F}">
      <text>
        <r>
          <rPr>
            <b/>
            <sz val="9"/>
            <color indexed="81"/>
            <rFont val="Tahoma"/>
            <family val="2"/>
          </rPr>
          <t xml:space="preserve"> OK due to Creat to replace code</t>
        </r>
      </text>
    </comment>
    <comment ref="J106" authorId="0" shapeId="0" xr:uid="{2C83D5A1-2A45-48BF-B719-C22A03079164}">
      <text>
        <r>
          <rPr>
            <b/>
            <sz val="9"/>
            <color indexed="81"/>
            <rFont val="Tahoma"/>
            <family val="2"/>
          </rPr>
          <t>Luyen:</t>
        </r>
        <r>
          <rPr>
            <sz val="9"/>
            <color indexed="81"/>
            <rFont val="Tahoma"/>
            <family val="2"/>
          </rPr>
          <t xml:space="preserve">
SET= 3 parts</t>
        </r>
      </text>
    </comment>
    <comment ref="BK121" authorId="0" shapeId="0" xr:uid="{922A6DD7-F438-4AE3-99A5-54C68BA6D1B9}">
      <text>
        <r>
          <rPr>
            <b/>
            <sz val="9"/>
            <color indexed="81"/>
            <rFont val="Tahoma"/>
            <family val="2"/>
          </rPr>
          <t>Luyen:</t>
        </r>
        <r>
          <rPr>
            <sz val="9"/>
            <color indexed="81"/>
            <rFont val="Tahoma"/>
            <family val="2"/>
          </rPr>
          <t xml:space="preserve">
sau Sleeve</t>
        </r>
      </text>
    </comment>
    <comment ref="J123" authorId="0" shapeId="0" xr:uid="{A334F155-6FAA-4279-9BF5-71AFC365614E}">
      <text>
        <r>
          <rPr>
            <b/>
            <sz val="9"/>
            <color indexed="81"/>
            <rFont val="Tahoma"/>
            <family val="2"/>
          </rPr>
          <t>Luyen:</t>
        </r>
        <r>
          <rPr>
            <sz val="9"/>
            <color indexed="81"/>
            <rFont val="Tahoma"/>
            <family val="2"/>
          </rPr>
          <t xml:space="preserve">
54.71 m2</t>
        </r>
      </text>
    </comment>
    <comment ref="T134" authorId="0" shapeId="0" xr:uid="{362F3B57-E10A-4C47-8700-02558B505D21}">
      <text>
        <r>
          <rPr>
            <b/>
            <sz val="9"/>
            <color indexed="81"/>
            <rFont val="Tahoma"/>
            <family val="2"/>
          </rPr>
          <t>Luyen:</t>
        </r>
        <r>
          <rPr>
            <sz val="9"/>
            <color indexed="81"/>
            <rFont val="Tahoma"/>
            <family val="2"/>
          </rPr>
          <t xml:space="preserve">
Add ATT expenses chốt T7</t>
        </r>
      </text>
    </comment>
    <comment ref="J138" authorId="0" shapeId="0" xr:uid="{DFEBB7F4-BDA4-4250-9BA1-DD3CBB05FACD}">
      <text>
        <r>
          <rPr>
            <b/>
            <sz val="9"/>
            <color indexed="81"/>
            <rFont val="Tahoma"/>
            <family val="2"/>
          </rPr>
          <t>Luyen:</t>
        </r>
        <r>
          <rPr>
            <sz val="9"/>
            <color indexed="81"/>
            <rFont val="Tahoma"/>
            <family val="2"/>
          </rPr>
          <t xml:space="preserve">
176.7m2</t>
        </r>
      </text>
    </comment>
    <comment ref="H147" authorId="3" shapeId="0" xr:uid="{5414ADB6-85A6-4F99-80B3-945B13832456}">
      <text>
        <r>
          <rPr>
            <b/>
            <sz val="9"/>
            <color indexed="81"/>
            <rFont val="Tahoma"/>
            <family val="2"/>
          </rPr>
          <t>Vinatech:</t>
        </r>
        <r>
          <rPr>
            <sz val="9"/>
            <color indexed="81"/>
            <rFont val="Tahoma"/>
            <family val="2"/>
          </rPr>
          <t xml:space="preserve">
Nâng cấp tài sản cố định </t>
        </r>
      </text>
    </comment>
    <comment ref="W147" authorId="0" shapeId="0" xr:uid="{FB3C921A-E35D-446E-A22D-44826522F38D}">
      <text>
        <r>
          <rPr>
            <b/>
            <sz val="9"/>
            <color indexed="81"/>
            <rFont val="Tahoma"/>
            <family val="2"/>
          </rPr>
          <t xml:space="preserve">
Do tách 2 mã này từ 01/10/2020 trường hợp đặc biệt nên mã này giảm hết để tạo 2 mã thay thế</t>
        </r>
      </text>
    </comment>
    <comment ref="Y147" authorId="3" shapeId="0" xr:uid="{221A52F7-0EE4-4C3B-B332-FD0CBAC460E3}">
      <text>
        <r>
          <rPr>
            <b/>
            <sz val="9"/>
            <color indexed="81"/>
            <rFont val="Tahoma"/>
            <family val="2"/>
          </rPr>
          <t>Vinatech:</t>
        </r>
        <r>
          <rPr>
            <sz val="9"/>
            <color indexed="81"/>
            <rFont val="Tahoma"/>
            <family val="2"/>
          </rPr>
          <t xml:space="preserve">
</t>
        </r>
        <r>
          <rPr>
            <sz val="13"/>
            <color indexed="81"/>
            <rFont val="Tahoma"/>
            <family val="2"/>
          </rPr>
          <t>dừng khấu hao ngày 31/09/2020- tạo 2 mã mới</t>
        </r>
      </text>
    </comment>
    <comment ref="H148" authorId="3" shapeId="0" xr:uid="{CC9B8C92-361E-40AF-A775-E06FEE3E61EC}">
      <text>
        <r>
          <rPr>
            <b/>
            <sz val="9"/>
            <color indexed="81"/>
            <rFont val="Tahoma"/>
            <family val="2"/>
          </rPr>
          <t>Vinatech:</t>
        </r>
        <r>
          <rPr>
            <sz val="9"/>
            <color indexed="81"/>
            <rFont val="Tahoma"/>
            <family val="2"/>
          </rPr>
          <t xml:space="preserve">
Nâng cấp tài sản cố định </t>
        </r>
      </text>
    </comment>
    <comment ref="W148" authorId="0" shapeId="0" xr:uid="{20C2B279-A6A8-4B30-AC15-6FDFAA00D8D6}">
      <text>
        <r>
          <rPr>
            <b/>
            <sz val="9"/>
            <color indexed="81"/>
            <rFont val="Tahoma"/>
            <family val="2"/>
          </rPr>
          <t xml:space="preserve"> Từ 01/09/2019-&gt;01/10/2020
+ Số đã khấu hao  cho 1 máy= 310,541,828.5.Giá trị còn lại cho 1 máy = 1,696,036,124 VND</t>
        </r>
      </text>
    </comment>
    <comment ref="X148" authorId="0" shapeId="0" xr:uid="{E680A49B-79CD-4A26-9410-E8610BD68E3A}">
      <text>
        <r>
          <rPr>
            <b/>
            <sz val="9"/>
            <color indexed="81"/>
            <rFont val="Tahoma"/>
            <family val="2"/>
          </rPr>
          <t xml:space="preserve">Giá trị còn lại lúc tạo mã thay thế là </t>
        </r>
      </text>
    </comment>
    <comment ref="H149" authorId="3" shapeId="0" xr:uid="{8B25F226-1CD4-4623-8A15-78A07A4FBDAF}">
      <text>
        <r>
          <rPr>
            <b/>
            <sz val="9"/>
            <color indexed="81"/>
            <rFont val="Tahoma"/>
            <family val="2"/>
          </rPr>
          <t>Vinatech:</t>
        </r>
        <r>
          <rPr>
            <sz val="9"/>
            <color indexed="81"/>
            <rFont val="Tahoma"/>
            <family val="2"/>
          </rPr>
          <t xml:space="preserve">
Nâng cấp tài sản cố định </t>
        </r>
      </text>
    </comment>
    <comment ref="V149" authorId="0" shapeId="0" xr:uid="{9045FB75-F167-4A82-B4F3-CC8F59210420}">
      <text>
        <r>
          <rPr>
            <b/>
            <sz val="9"/>
            <color indexed="81"/>
            <rFont val="Tahoma"/>
            <family val="2"/>
          </rPr>
          <t xml:space="preserve">
Nâng cấp TSCĐ: 958,500,000 VND -HD 0044819,0044843- CÔNG TY TNHH TAE SEONG EQUIPMENT VINA</t>
        </r>
      </text>
    </comment>
    <comment ref="W149" authorId="0" shapeId="0" xr:uid="{556508C8-374B-43B8-B889-F6D05334577F}">
      <text>
        <r>
          <rPr>
            <b/>
            <sz val="9"/>
            <color indexed="81"/>
            <rFont val="Tahoma"/>
            <family val="2"/>
          </rPr>
          <t xml:space="preserve"> Từ 01/09/2019-&gt;01/10/2020
+ Số đã khấu hao  cho 1 máy= 310,541,828.5.Giá trị còn lại cho 1 máy = 1,696,036,124 VND</t>
        </r>
      </text>
    </comment>
    <comment ref="X149" authorId="3" shapeId="0" xr:uid="{E5B56FF4-B6F9-4C52-991D-6EBE3D31FBB5}">
      <text>
        <r>
          <rPr>
            <b/>
            <sz val="13"/>
            <color indexed="81"/>
            <rFont val="Tahoma"/>
            <family val="2"/>
          </rPr>
          <t>Vinatech:</t>
        </r>
        <r>
          <rPr>
            <sz val="13"/>
            <color indexed="81"/>
            <rFont val="Tahoma"/>
            <family val="2"/>
          </rPr>
          <t xml:space="preserve">
Nâng cấp TSCĐ: 958,500,000 VND -HD 0044819,0044843- CÔNG TY TNHH TAE SEONG</t>
        </r>
        <r>
          <rPr>
            <sz val="9"/>
            <color indexed="81"/>
            <rFont val="Tahoma"/>
            <family val="2"/>
          </rPr>
          <t xml:space="preserve"> EQUIPMENT VINA</t>
        </r>
      </text>
    </comment>
    <comment ref="P178" authorId="0" shapeId="0" xr:uid="{2B6C2B8D-3387-4FBB-A9C6-2F722C762210}">
      <text>
        <r>
          <rPr>
            <b/>
            <sz val="9"/>
            <color indexed="81"/>
            <rFont val="Tahoma"/>
            <family val="2"/>
          </rPr>
          <t>Luyen:</t>
        </r>
        <r>
          <rPr>
            <sz val="9"/>
            <color indexed="81"/>
            <rFont val="Tahoma"/>
            <family val="2"/>
          </rPr>
          <t xml:space="preserve">
23254 (49000 chưa thanh toán lấy tỷ giá theo thông báo hàng đến) và 23257 (21000 USD trả trước tiền tháng 10)</t>
        </r>
      </text>
    </comment>
    <comment ref="P185" authorId="0" shapeId="0" xr:uid="{174E1463-6A99-4CCF-BC29-869DBCA0DC4A}">
      <text>
        <r>
          <rPr>
            <b/>
            <sz val="9"/>
            <color indexed="81"/>
            <rFont val="Tahoma"/>
            <family val="2"/>
          </rPr>
          <t>Luyen:</t>
        </r>
        <r>
          <rPr>
            <sz val="9"/>
            <color indexed="81"/>
            <rFont val="Tahoma"/>
            <family val="2"/>
          </rPr>
          <t xml:space="preserve">
Tỷ giá thanh toán trước từ hà T12.Ok update TS=23252</t>
        </r>
      </text>
    </comment>
    <comment ref="Y207" authorId="3" shapeId="0" xr:uid="{DD295235-A66B-448A-AABF-DE543F37FF02}">
      <text>
        <r>
          <rPr>
            <b/>
            <sz val="9"/>
            <color indexed="81"/>
            <rFont val="Tahoma"/>
            <family val="2"/>
          </rPr>
          <t>Thanh lý ngày 27/03/2021 TKHQ: 303862341331
Amount: 60,000*22978= 1,378,680,000 VNĐ</t>
        </r>
      </text>
    </comment>
    <comment ref="R236" authorId="0" shapeId="0" xr:uid="{888212E1-DB29-4B30-8446-752EED7DE278}">
      <text>
        <r>
          <rPr>
            <b/>
            <sz val="9"/>
            <color indexed="81"/>
            <rFont val="Tahoma"/>
            <family val="2"/>
          </rPr>
          <t>16003143 là thuế TTĐB</t>
        </r>
      </text>
    </comment>
    <comment ref="R237" authorId="0" shapeId="0" xr:uid="{7006D20E-9C4A-44BA-8CA7-1F5455C2DF0F}">
      <text>
        <r>
          <rPr>
            <b/>
            <sz val="9"/>
            <color indexed="81"/>
            <rFont val="Tahoma"/>
            <family val="2"/>
          </rPr>
          <t>16003143 là thuế TTĐB</t>
        </r>
      </text>
    </comment>
    <comment ref="H239" authorId="3" shapeId="0" xr:uid="{B87F7512-DD95-4F04-ADEA-438A7794AE1F}">
      <text>
        <r>
          <rPr>
            <b/>
            <sz val="9"/>
            <color indexed="81"/>
            <rFont val="Tahoma"/>
            <family val="2"/>
          </rPr>
          <t>Vinatech:</t>
        </r>
        <r>
          <rPr>
            <sz val="9"/>
            <color indexed="81"/>
            <rFont val="Tahoma"/>
            <family val="2"/>
          </rPr>
          <t xml:space="preserve">
Chuyển từ nhà máy 1-&gt; nhà máy 2 từ ngày 01/09/2020</t>
        </r>
      </text>
    </comment>
    <comment ref="BB243" authorId="0" shapeId="0" xr:uid="{5C70C525-3C83-482E-AFD1-A46EBFB463F7}">
      <text>
        <r>
          <rPr>
            <b/>
            <sz val="9"/>
            <color indexed="81"/>
            <rFont val="Tahoma"/>
            <family val="2"/>
          </rPr>
          <t>Từ tháng 10 khấu hao chuyển sang 6274 do máy đã sửa chữa hoàn thành</t>
        </r>
      </text>
    </comment>
    <comment ref="Q245" authorId="3" shapeId="0" xr:uid="{1BC5E3B4-61E1-4C2D-B204-E78B62CFD71B}">
      <text>
        <r>
          <rPr>
            <b/>
            <sz val="9"/>
            <color indexed="81"/>
            <rFont val="Tahoma"/>
            <family val="2"/>
          </rPr>
          <t>Vinatech:</t>
        </r>
        <r>
          <rPr>
            <sz val="9"/>
            <color indexed="81"/>
            <rFont val="Tahoma"/>
            <family val="2"/>
          </rPr>
          <t xml:space="preserve">
=19200*23228+44800*23315
Do trả trước 2 lần, 
Lần 1: 19200
Lần 2: 44800</t>
        </r>
      </text>
    </comment>
    <comment ref="M246" authorId="3" shapeId="0" xr:uid="{EC8A1EB5-6655-4754-8D50-DC72532A5B6A}">
      <text>
        <r>
          <rPr>
            <sz val="9"/>
            <color indexed="81"/>
            <rFont val="Tahoma"/>
            <family val="2"/>
          </rPr>
          <t xml:space="preserve">
</t>
        </r>
        <r>
          <rPr>
            <sz val="15"/>
            <color indexed="81"/>
            <rFont val="Tahoma"/>
            <family val="2"/>
          </rPr>
          <t>Releasing SLOT DIE to warranty/ Xuất Bộ phận máy đi bảo hành theo TK số 303531158730 ( ngày 20/10/2020)- Invocie no KR201019-05 ( ngày 19/10/2020) @23480   (23,000usd)
04/11/2020 TK 103636529950  INVOICE NOV. 02, 2020 confluent/ NHẬP LẠI SLOT DIE</t>
        </r>
      </text>
    </comment>
    <comment ref="M247" authorId="3" shapeId="0" xr:uid="{1495AAF2-4697-4EE8-AA94-08F1CF3B6D64}">
      <text>
        <r>
          <rPr>
            <b/>
            <sz val="9"/>
            <color indexed="81"/>
            <rFont val="Tahoma"/>
            <family val="2"/>
          </rPr>
          <t>Vinatech:</t>
        </r>
        <r>
          <rPr>
            <sz val="9"/>
            <color indexed="81"/>
            <rFont val="Tahoma"/>
            <family val="2"/>
          </rPr>
          <t xml:space="preserve">
Vẫn còn chi phí T05 về, </t>
        </r>
      </text>
    </comment>
    <comment ref="M248" authorId="3" shapeId="0" xr:uid="{1F1EE9F1-8BCB-45BC-ABF6-7324D77096FE}">
      <text>
        <r>
          <rPr>
            <b/>
            <sz val="9"/>
            <color indexed="81"/>
            <rFont val="Tahoma"/>
            <family val="2"/>
          </rPr>
          <t>Vinatech:</t>
        </r>
        <r>
          <rPr>
            <sz val="9"/>
            <color indexed="81"/>
            <rFont val="Tahoma"/>
            <family val="2"/>
          </rPr>
          <t xml:space="preserve">
Vẫn còn chi phí</t>
        </r>
      </text>
    </comment>
    <comment ref="M249" authorId="3" shapeId="0" xr:uid="{BA33743E-B1C3-428D-948C-4D27E84E0BC7}">
      <text>
        <r>
          <rPr>
            <b/>
            <sz val="9"/>
            <color indexed="81"/>
            <rFont val="Tahoma"/>
            <family val="2"/>
          </rPr>
          <t>Vinatech:</t>
        </r>
        <r>
          <rPr>
            <sz val="9"/>
            <color indexed="81"/>
            <rFont val="Tahoma"/>
            <family val="2"/>
          </rPr>
          <t xml:space="preserve">
Vẫn còn chi phí T05 về, </t>
        </r>
      </text>
    </comment>
    <comment ref="Q250" authorId="3" shapeId="0" xr:uid="{596D26F4-E001-4920-8836-0169836E9B12}">
      <text>
        <r>
          <rPr>
            <b/>
            <sz val="9"/>
            <color indexed="81"/>
            <rFont val="Tahoma"/>
            <family val="2"/>
          </rPr>
          <t>Vinatech:</t>
        </r>
        <r>
          <rPr>
            <sz val="9"/>
            <color indexed="81"/>
            <rFont val="Tahoma"/>
            <family val="2"/>
          </rPr>
          <t xml:space="preserve">
=21000*23242+49000*23570
Trả trước: 21000
</t>
        </r>
      </text>
    </comment>
    <comment ref="U254" authorId="3" shapeId="0" xr:uid="{D953EE9D-B523-4FFC-B03F-C9D159B708A6}">
      <text>
        <r>
          <rPr>
            <b/>
            <sz val="9"/>
            <color indexed="81"/>
            <rFont val="Tahoma"/>
            <family val="2"/>
          </rPr>
          <t>Vinatech:</t>
        </r>
        <r>
          <rPr>
            <sz val="9"/>
            <color indexed="81"/>
            <rFont val="Tahoma"/>
            <family val="2"/>
          </rPr>
          <t xml:space="preserve">
Hóa đơn 0000242 hóa đơn tháng 6 nhưng tờ khai về tháng 5
</t>
        </r>
      </text>
    </comment>
    <comment ref="U255" authorId="3" shapeId="0" xr:uid="{F754B697-5FA1-4F31-8B53-96FBB21253BA}">
      <text>
        <r>
          <rPr>
            <b/>
            <sz val="9"/>
            <color indexed="81"/>
            <rFont val="Tahoma"/>
            <family val="2"/>
          </rPr>
          <t>Vinatech:</t>
        </r>
        <r>
          <rPr>
            <sz val="9"/>
            <color indexed="81"/>
            <rFont val="Tahoma"/>
            <family val="2"/>
          </rPr>
          <t xml:space="preserve">
Hóa đơn 0000242 hóa đơn tháng 6 nhưng tờ khai về tháng 5
</t>
        </r>
      </text>
    </comment>
    <comment ref="U256" authorId="3" shapeId="0" xr:uid="{81AB18F7-BBEE-4098-80C4-6E3DA4DF87B9}">
      <text>
        <r>
          <rPr>
            <b/>
            <sz val="9"/>
            <color indexed="81"/>
            <rFont val="Tahoma"/>
            <family val="2"/>
          </rPr>
          <t>Vinatech:</t>
        </r>
        <r>
          <rPr>
            <sz val="9"/>
            <color indexed="81"/>
            <rFont val="Tahoma"/>
            <family val="2"/>
          </rPr>
          <t xml:space="preserve">
Hóa đơn 0000242 hóa đơn tháng 6 nhưng tờ khai về tháng 5
</t>
        </r>
      </text>
    </comment>
    <comment ref="U257" authorId="3" shapeId="0" xr:uid="{EC8126E6-706F-4862-906D-B83ADAD10290}">
      <text>
        <r>
          <rPr>
            <b/>
            <sz val="9"/>
            <color indexed="81"/>
            <rFont val="Tahoma"/>
            <family val="2"/>
          </rPr>
          <t>Vinatech:</t>
        </r>
        <r>
          <rPr>
            <sz val="9"/>
            <color indexed="81"/>
            <rFont val="Tahoma"/>
            <family val="2"/>
          </rPr>
          <t xml:space="preserve">
Hóa đơn 0000242 hóa đơn tháng 6 nhưng tờ khai về tháng 5
</t>
        </r>
      </text>
    </comment>
    <comment ref="U258" authorId="3" shapeId="0" xr:uid="{780454D8-85FA-4AF8-9BCE-3273E0A412DA}">
      <text>
        <r>
          <rPr>
            <b/>
            <sz val="9"/>
            <color indexed="81"/>
            <rFont val="Tahoma"/>
            <family val="2"/>
          </rPr>
          <t>Vinatech:</t>
        </r>
        <r>
          <rPr>
            <sz val="9"/>
            <color indexed="81"/>
            <rFont val="Tahoma"/>
            <family val="2"/>
          </rPr>
          <t xml:space="preserve">
Hóa đơn 0000242 hóa đơn tháng 6 nhưng tờ khai về tháng 5
</t>
        </r>
      </text>
    </comment>
    <comment ref="U259" authorId="3" shapeId="0" xr:uid="{9E8C7CEC-E783-4051-A8B6-B0B4346C9345}">
      <text>
        <r>
          <rPr>
            <b/>
            <sz val="9"/>
            <color indexed="81"/>
            <rFont val="Tahoma"/>
            <family val="2"/>
          </rPr>
          <t>Vinatech:</t>
        </r>
        <r>
          <rPr>
            <sz val="9"/>
            <color indexed="81"/>
            <rFont val="Tahoma"/>
            <family val="2"/>
          </rPr>
          <t xml:space="preserve">
Hóa đơn 0000242 hóa đơn tháng 6 nhưng tờ khai về tháng 5
</t>
        </r>
      </text>
    </comment>
    <comment ref="U260" authorId="3" shapeId="0" xr:uid="{7581B8A1-5843-4383-88D4-86F1F93E7F88}">
      <text>
        <r>
          <rPr>
            <b/>
            <sz val="9"/>
            <color indexed="81"/>
            <rFont val="Tahoma"/>
            <family val="2"/>
          </rPr>
          <t>Vinatech:</t>
        </r>
        <r>
          <rPr>
            <sz val="9"/>
            <color indexed="81"/>
            <rFont val="Tahoma"/>
            <family val="2"/>
          </rPr>
          <t xml:space="preserve">
Hóa đơn 0000242 hóa đơn tháng 6 nhưng tờ khai về tháng 5
</t>
        </r>
      </text>
    </comment>
    <comment ref="P295" authorId="0" shapeId="0" xr:uid="{9DCB6272-88B8-4A40-BF94-B297C1388C97}">
      <text>
        <r>
          <rPr>
            <b/>
            <sz val="9"/>
            <color indexed="81"/>
            <rFont val="Tahoma"/>
            <family val="2"/>
          </rPr>
          <t>(23,389*50,100+23,263*(167,000-50,100))/167,000</t>
        </r>
      </text>
    </comment>
    <comment ref="P296" authorId="0" shapeId="0" xr:uid="{37D7CF79-8587-4257-AB61-B71D1D344483}">
      <text>
        <r>
          <rPr>
            <b/>
            <sz val="9"/>
            <color indexed="81"/>
            <rFont val="Tahoma"/>
            <family val="2"/>
          </rPr>
          <t>(23,389*50,100+23,263*(167,000-50,100))/167,000</t>
        </r>
      </text>
    </comment>
    <comment ref="P297" authorId="0" shapeId="0" xr:uid="{241804C0-4F3F-41D9-9BB1-8AA6E1D00588}">
      <text>
        <r>
          <rPr>
            <b/>
            <sz val="9"/>
            <color indexed="81"/>
            <rFont val="Tahoma"/>
            <family val="2"/>
          </rPr>
          <t>(23,389*50,100+23,263*(167,000-50,100))/167,000</t>
        </r>
      </text>
    </comment>
    <comment ref="P298" authorId="0" shapeId="0" xr:uid="{FCF4CA6F-D654-49D4-8972-2430C893253B}">
      <text>
        <r>
          <rPr>
            <b/>
            <sz val="9"/>
            <color indexed="81"/>
            <rFont val="Tahoma"/>
            <family val="2"/>
          </rPr>
          <t>(23,389*50,100+23,263*(167,000-50,100))/167,000</t>
        </r>
      </text>
    </comment>
    <comment ref="P299" authorId="0" shapeId="0" xr:uid="{61233B33-6654-4B8F-A325-6FAE9677E053}">
      <text>
        <r>
          <rPr>
            <b/>
            <sz val="9"/>
            <color indexed="81"/>
            <rFont val="Tahoma"/>
            <family val="2"/>
          </rPr>
          <t>(23,389*50,100+23,263*(167,000-50,100))/167,000</t>
        </r>
      </text>
    </comment>
    <comment ref="P300" authorId="0" shapeId="0" xr:uid="{00CCAE53-D34F-44EB-8C60-5B507BC3E4E6}">
      <text>
        <r>
          <rPr>
            <b/>
            <sz val="9"/>
            <color indexed="81"/>
            <rFont val="Tahoma"/>
            <family val="2"/>
          </rPr>
          <t>(23,389*50,100+23,263*(167,000-50,100))/167,000</t>
        </r>
      </text>
    </comment>
    <comment ref="P301" authorId="0" shapeId="0" xr:uid="{18C2326B-F5CB-45FC-82E3-BD4C17314700}">
      <text>
        <r>
          <rPr>
            <b/>
            <sz val="9"/>
            <color indexed="81"/>
            <rFont val="Tahoma"/>
            <family val="2"/>
          </rPr>
          <t>(23,389*50,100+23,263*(167,000-50,100))/167,000</t>
        </r>
      </text>
    </comment>
    <comment ref="P302" authorId="0" shapeId="0" xr:uid="{C069BFD1-FB33-45D6-92AB-3E5552D5A755}">
      <text>
        <r>
          <rPr>
            <b/>
            <sz val="9"/>
            <color indexed="81"/>
            <rFont val="Tahoma"/>
            <family val="2"/>
          </rPr>
          <t>(23,389*50,100+23,263*(167,000-50,100))/167,000</t>
        </r>
      </text>
    </comment>
    <comment ref="P303" authorId="0" shapeId="0" xr:uid="{BC3D9403-443B-4741-BE31-2DE013EC8E3D}">
      <text>
        <r>
          <rPr>
            <b/>
            <sz val="9"/>
            <color indexed="81"/>
            <rFont val="Tahoma"/>
            <family val="2"/>
          </rPr>
          <t>(23,389*50,100+23,263*(167,000-50,100))/167,000</t>
        </r>
      </text>
    </comment>
    <comment ref="P304" authorId="0" shapeId="0" xr:uid="{BEEBD428-E3A9-4F94-9155-F26E04A3A9CD}">
      <text>
        <r>
          <rPr>
            <b/>
            <sz val="9"/>
            <color indexed="81"/>
            <rFont val="Tahoma"/>
            <family val="2"/>
          </rPr>
          <t>(23,389*50,100+23,263*(167,000-50,100))/167,000</t>
        </r>
      </text>
    </comment>
    <comment ref="P305" authorId="0" shapeId="0" xr:uid="{547E3C85-6169-42C9-85A6-6566D5CF9CDC}">
      <text>
        <r>
          <rPr>
            <b/>
            <sz val="9"/>
            <color indexed="81"/>
            <rFont val="Tahoma"/>
            <family val="2"/>
          </rPr>
          <t>(23,389*50,100+23,263*(167,000-50,100))/167,000</t>
        </r>
      </text>
    </comment>
    <comment ref="P306" authorId="0" shapeId="0" xr:uid="{33092FBA-67BC-4167-9E33-B5ABA41EA577}">
      <text>
        <r>
          <rPr>
            <b/>
            <sz val="9"/>
            <color indexed="81"/>
            <rFont val="Tahoma"/>
            <family val="2"/>
          </rPr>
          <t>(23,389*50,100+23,263*(167,000-50,100))/167,000</t>
        </r>
      </text>
    </comment>
    <comment ref="P307" authorId="0" shapeId="0" xr:uid="{B752BDAF-230E-4E0A-92E5-7CC0C4847BD8}">
      <text>
        <r>
          <rPr>
            <b/>
            <sz val="9"/>
            <color indexed="81"/>
            <rFont val="Tahoma"/>
            <family val="2"/>
          </rPr>
          <t>(23,389*50,100+23,263*(167,000-50,100))/167,000</t>
        </r>
      </text>
    </comment>
    <comment ref="P308" authorId="0" shapeId="0" xr:uid="{C029B3F9-2761-4D6D-B23D-915576C7B09A}">
      <text>
        <r>
          <rPr>
            <b/>
            <sz val="9"/>
            <color indexed="81"/>
            <rFont val="Tahoma"/>
            <family val="2"/>
          </rPr>
          <t>(23,389*50,100+23,263*(167,000-50,100))/167,000</t>
        </r>
      </text>
    </comment>
    <comment ref="P309" authorId="0" shapeId="0" xr:uid="{1A2FC41E-CEDD-4031-BB76-790241F550D5}">
      <text>
        <r>
          <rPr>
            <b/>
            <sz val="9"/>
            <color indexed="81"/>
            <rFont val="Tahoma"/>
            <family val="2"/>
          </rPr>
          <t>(23,389*50,100+23,263*(167,000-50,100))/167,000</t>
        </r>
      </text>
    </comment>
    <comment ref="P310" authorId="0" shapeId="0" xr:uid="{18728CF2-3166-4963-A985-8EFF3F7B7135}">
      <text>
        <r>
          <rPr>
            <b/>
            <sz val="9"/>
            <color indexed="81"/>
            <rFont val="Tahoma"/>
            <family val="2"/>
          </rPr>
          <t>(23,389*50,100+23,263*(167,000-50,100))/167,000</t>
        </r>
      </text>
    </comment>
    <comment ref="P311" authorId="0" shapeId="0" xr:uid="{07CD59AF-39FB-4DC7-8617-317F2608A75A}">
      <text>
        <r>
          <rPr>
            <b/>
            <sz val="9"/>
            <color indexed="81"/>
            <rFont val="Tahoma"/>
            <family val="2"/>
          </rPr>
          <t>(23,389*50,100+23,263*(167,000-50,100))/167,000</t>
        </r>
      </text>
    </comment>
    <comment ref="P312" authorId="0" shapeId="0" xr:uid="{4491CF21-E946-48A7-B3EF-6016C73BBC05}">
      <text>
        <r>
          <rPr>
            <b/>
            <sz val="9"/>
            <color indexed="81"/>
            <rFont val="Tahoma"/>
            <family val="2"/>
          </rPr>
          <t>(23,389*50,100+23,263*(167,000-50,100))/167,000</t>
        </r>
      </text>
    </comment>
    <comment ref="P313" authorId="0" shapeId="0" xr:uid="{7D08C985-E4CB-40AF-AC4E-3AC2DC824D2F}">
      <text>
        <r>
          <rPr>
            <b/>
            <sz val="9"/>
            <color indexed="81"/>
            <rFont val="Tahoma"/>
            <family val="2"/>
          </rPr>
          <t>(23,389*50,100+23,263*(167,000-50,100))/167,000</t>
        </r>
      </text>
    </comment>
    <comment ref="P314" authorId="0" shapeId="0" xr:uid="{88EE2E41-FE13-4086-BE86-1E244EA2AAE2}">
      <text>
        <r>
          <rPr>
            <b/>
            <sz val="9"/>
            <color indexed="81"/>
            <rFont val="Tahoma"/>
            <family val="2"/>
          </rPr>
          <t>(23,389*50,100+23,263*(167,000-50,100))/167,000</t>
        </r>
      </text>
    </comment>
    <comment ref="P315" authorId="0" shapeId="0" xr:uid="{8F511DA0-1796-45C2-8C21-EB0BB239FBA6}">
      <text>
        <r>
          <rPr>
            <b/>
            <sz val="9"/>
            <color indexed="81"/>
            <rFont val="Tahoma"/>
            <family val="2"/>
          </rPr>
          <t>(23,389*50,100+23,263*(167,000-50,100))/167,000</t>
        </r>
      </text>
    </comment>
    <comment ref="P316" authorId="0" shapeId="0" xr:uid="{AE561D3D-C125-4AB0-BE27-CE8D78D00A98}">
      <text>
        <r>
          <rPr>
            <b/>
            <sz val="9"/>
            <color indexed="81"/>
            <rFont val="Tahoma"/>
            <family val="2"/>
          </rPr>
          <t>(23,389*50,100+23,263*(167,000-50,100))/167,000</t>
        </r>
      </text>
    </comment>
    <comment ref="P317" authorId="0" shapeId="0" xr:uid="{260A867F-CBA2-4C30-A037-91FAB4310DCA}">
      <text>
        <r>
          <rPr>
            <b/>
            <sz val="9"/>
            <color indexed="81"/>
            <rFont val="Tahoma"/>
            <family val="2"/>
          </rPr>
          <t>(23,389*50,100+23,263*(167,000-50,100))/167,000</t>
        </r>
      </text>
    </comment>
    <comment ref="P318" authorId="0" shapeId="0" xr:uid="{242DA9D4-6641-43D5-9B8C-6CD0EA630C7F}">
      <text>
        <r>
          <rPr>
            <b/>
            <sz val="9"/>
            <color indexed="81"/>
            <rFont val="Tahoma"/>
            <family val="2"/>
          </rPr>
          <t>(23,389*50,100+23,263*(167,000-50,100))/167,000</t>
        </r>
      </text>
    </comment>
    <comment ref="P319" authorId="0" shapeId="0" xr:uid="{997A1A2D-654E-4555-BC7B-11D7BA1F659A}">
      <text>
        <r>
          <rPr>
            <b/>
            <sz val="9"/>
            <color indexed="81"/>
            <rFont val="Tahoma"/>
            <family val="2"/>
          </rPr>
          <t>(23,389*50,100+23,263*(167,000-50,100))/167,000</t>
        </r>
      </text>
    </comment>
    <comment ref="P320" authorId="0" shapeId="0" xr:uid="{A6A76344-DB7C-485A-9918-DA0B79A9DA28}">
      <text>
        <r>
          <rPr>
            <b/>
            <sz val="9"/>
            <color indexed="81"/>
            <rFont val="Tahoma"/>
            <family val="2"/>
          </rPr>
          <t>(23,389*50,100+23,263*(167,000-50,100))/167,000</t>
        </r>
      </text>
    </comment>
    <comment ref="P321" authorId="0" shapeId="0" xr:uid="{EB6F382A-AF95-4628-B203-93E9B08966C1}">
      <text>
        <r>
          <rPr>
            <b/>
            <sz val="9"/>
            <color indexed="81"/>
            <rFont val="Tahoma"/>
            <family val="2"/>
          </rPr>
          <t>(23,389*50,100+23,263*(167,000-50,100))/167,000</t>
        </r>
      </text>
    </comment>
    <comment ref="P322" authorId="0" shapeId="0" xr:uid="{C6707F80-0327-4ABD-B7B7-A3052E249482}">
      <text>
        <r>
          <rPr>
            <b/>
            <sz val="9"/>
            <color indexed="81"/>
            <rFont val="Tahoma"/>
            <family val="2"/>
          </rPr>
          <t>(23,389*50,100+23,263*(167,000-50,100))/167,000</t>
        </r>
      </text>
    </comment>
    <comment ref="S339" authorId="3" shapeId="0" xr:uid="{31454820-DDC4-41BC-872C-1713CF341F5D}">
      <text>
        <r>
          <rPr>
            <b/>
            <sz val="9"/>
            <color indexed="81"/>
            <rFont val="Tahoma"/>
            <family val="2"/>
          </rPr>
          <t>Phí vé máy bay chiều VN-HQ</t>
        </r>
      </text>
    </comment>
    <comment ref="S342" authorId="3" shapeId="0" xr:uid="{67961F63-C28D-4784-90EE-9BEE3A094618}">
      <text>
        <r>
          <rPr>
            <b/>
            <sz val="9"/>
            <color indexed="81"/>
            <rFont val="Tahoma"/>
            <family val="2"/>
          </rPr>
          <t>Phí vé máy bay chiều VN-HQ</t>
        </r>
      </text>
    </comment>
    <comment ref="S343" authorId="3" shapeId="0" xr:uid="{E7777FE1-D47A-4469-A83C-8D0834021824}">
      <text>
        <r>
          <rPr>
            <b/>
            <sz val="9"/>
            <color indexed="81"/>
            <rFont val="Tahoma"/>
            <family val="2"/>
          </rPr>
          <t>Phí vé máy bay chiều VN-HQ</t>
        </r>
      </text>
    </comment>
    <comment ref="S349" authorId="3" shapeId="0" xr:uid="{2F991D6C-4789-4F81-9A13-C32E4DF4F498}">
      <text>
        <r>
          <rPr>
            <sz val="12"/>
            <color indexed="81"/>
            <rFont val="Tahoma"/>
            <family val="2"/>
          </rPr>
          <t xml:space="preserve">Import expenses/ Chi phí nhập khẩu hàng TKHQ số 103629485300A12 ngày 02/11/2020 Invoice no PALBOK2010-001 và Appendix1015 add more packing fee ngày 15/10/2020 @23268 ( chi phí tăng thêm do ko hạch toán năm 2020 và được hạch toán ngày 01/01/2021 vào tk 2411: 5,104.30 usd (119.023,292 vnd) </t>
        </r>
        <r>
          <rPr>
            <sz val="9"/>
            <color indexed="81"/>
            <rFont val="Tahoma"/>
            <family val="2"/>
          </rPr>
          <t xml:space="preserve">
</t>
        </r>
      </text>
    </comment>
    <comment ref="S350" authorId="3" shapeId="0" xr:uid="{0C100D17-0973-4FC6-8F99-7BCEF7F38F60}">
      <text>
        <r>
          <rPr>
            <sz val="12"/>
            <color indexed="81"/>
            <rFont val="Tahoma"/>
            <family val="2"/>
          </rPr>
          <t xml:space="preserve">Import expenses/ Chi phí nhập khẩu hàng TKHQ số 103629485300A12 ngày 02/11/2020 Invoice no PALBOK2010-001 và Appendix1015 add more packing fee ngày 15/10/2020 @23268 ( chi phí tăng thêm do ko hạch toán năm 2020 và được hạch toán ngày 01/01/2021 vào tk 2411: 5,104.30 usd (119.023,292 vnd) </t>
        </r>
        <r>
          <rPr>
            <sz val="9"/>
            <color indexed="81"/>
            <rFont val="Tahoma"/>
            <family val="2"/>
          </rPr>
          <t xml:space="preserve">
</t>
        </r>
      </text>
    </comment>
    <comment ref="S351" authorId="3" shapeId="0" xr:uid="{6A2CB122-770E-4934-A346-4B1C80D38076}">
      <text>
        <r>
          <rPr>
            <sz val="12"/>
            <color indexed="81"/>
            <rFont val="Tahoma"/>
            <family val="2"/>
          </rPr>
          <t xml:space="preserve">Import expenses/ Chi phí nhập khẩu hàng TKHQ số 103629485300A12 ngày 02/11/2020 Invoice no PALBOK2010-001 và Appendix1015 add more packing fee ngày 15/10/2020 @23268 ( chi phí tăng thêm do ko hạch toán năm 2020 và được hạch toán ngày 01/01/2021 vào tk 2411: 5,104.30 usd (119.023,292 vnd) </t>
        </r>
        <r>
          <rPr>
            <sz val="9"/>
            <color indexed="81"/>
            <rFont val="Tahoma"/>
            <family val="2"/>
          </rPr>
          <t xml:space="preserve">
</t>
        </r>
      </text>
    </comment>
    <comment ref="S352" authorId="3" shapeId="0" xr:uid="{BF5014DB-9BFF-4FB4-B126-819EDA73DEC3}">
      <text>
        <r>
          <rPr>
            <sz val="12"/>
            <color indexed="81"/>
            <rFont val="Tahoma"/>
            <family val="2"/>
          </rPr>
          <t xml:space="preserve">Import expenses/ Chi phí nhập khẩu hàng TKHQ số 103629485300A12 ngày 02/11/2020 Invoice no PALBOK2010-001 và Appendix1015 add more packing fee ngày 15/10/2020 @23268 ( chi phí tăng thêm do ko hạch toán năm 2020 và được hạch toán ngày 01/01/2021 vào tk 2411: 5,104.30 usd (119.023,292 vnd) </t>
        </r>
        <r>
          <rPr>
            <sz val="9"/>
            <color indexed="81"/>
            <rFont val="Tahoma"/>
            <family val="2"/>
          </rPr>
          <t xml:space="preserve">
</t>
        </r>
      </text>
    </comment>
    <comment ref="S353" authorId="3" shapeId="0" xr:uid="{F39E7583-B3FC-4517-BDFF-6B0B469A85F3}">
      <text>
        <r>
          <rPr>
            <sz val="12"/>
            <color indexed="81"/>
            <rFont val="Tahoma"/>
            <family val="2"/>
          </rPr>
          <t xml:space="preserve">Import expenses/ Chi phí nhập khẩu hàng TKHQ số 103629485300A12 ngày 02/11/2020 Invoice no PALBOK2010-001 và Appendix1015 add more packing fee ngày 15/10/2020 @23268 ( chi phí tăng thêm do ko hạch toán năm 2020 và được hạch toán ngày 01/01/2021 vào tk 2411: 5,104.30 usd (119.023,292 vnd) </t>
        </r>
        <r>
          <rPr>
            <sz val="9"/>
            <color indexed="81"/>
            <rFont val="Tahoma"/>
            <family val="2"/>
          </rPr>
          <t xml:space="preserve">
</t>
        </r>
      </text>
    </comment>
    <comment ref="S354" authorId="3" shapeId="0" xr:uid="{D16C9A18-87BE-499C-BCCE-8467E45EE867}">
      <text>
        <r>
          <rPr>
            <sz val="12"/>
            <color indexed="81"/>
            <rFont val="Tahoma"/>
            <family val="2"/>
          </rPr>
          <t xml:space="preserve">Import expenses/ Chi phí nhập khẩu hàng TKHQ số 103629485300A12 ngày 02/11/2020 Invoice no PALBOK2010-001 và Appendix1015 add more packing fee ngày 15/10/2020 @23268 ( chi phí tăng thêm do ko hạch toán năm 2020 và được hạch toán ngày 01/01/2021 vào tk 2411: 5,104.30 usd (119.023,292 vnd) </t>
        </r>
        <r>
          <rPr>
            <sz val="9"/>
            <color indexed="81"/>
            <rFont val="Tahoma"/>
            <family val="2"/>
          </rPr>
          <t xml:space="preserve">
</t>
        </r>
      </text>
    </comment>
    <comment ref="Q425" authorId="0" shapeId="0" xr:uid="{ABAB753E-6E37-43EC-B6DD-691E4CA2B5AC}">
      <text>
        <r>
          <rPr>
            <b/>
            <sz val="9"/>
            <color indexed="81"/>
            <rFont val="Tahoma"/>
            <family val="2"/>
          </rPr>
          <t xml:space="preserve">
Máy chiếu+giá treo+ dây cap nguồn HDMI loại 20 Mét</t>
        </r>
      </text>
    </comment>
    <comment ref="K436" authorId="0" shapeId="0" xr:uid="{EE68A004-3778-4D02-88E1-AEFCBEC51800}">
      <text>
        <r>
          <rPr>
            <b/>
            <sz val="9"/>
            <color indexed="81"/>
            <rFont val="Tahoma"/>
            <family val="2"/>
          </rPr>
          <t xml:space="preserve">
3 part</t>
        </r>
      </text>
    </comment>
    <comment ref="Z436" authorId="2" shapeId="0" xr:uid="{96FB4C1E-A5A5-4E97-97A9-9483113336AB}">
      <text>
        <r>
          <rPr>
            <b/>
            <sz val="9"/>
            <color indexed="81"/>
            <rFont val="Tahoma"/>
            <family val="2"/>
          </rPr>
          <t>Anne Shirley:</t>
        </r>
        <r>
          <rPr>
            <sz val="9"/>
            <color indexed="81"/>
            <rFont val="Tahoma"/>
            <family val="2"/>
          </rPr>
          <t xml:space="preserve">
3 parts</t>
        </r>
      </text>
    </comment>
    <comment ref="BB436" authorId="0" shapeId="0" xr:uid="{763A3812-7597-4C20-B8F0-D561834850E3}">
      <text>
        <r>
          <rPr>
            <b/>
            <sz val="9"/>
            <color indexed="81"/>
            <rFont val="Tahoma"/>
            <family val="2"/>
          </rPr>
          <t>Từ 01/10/2021-13/10/2021- Khấu hao 6274 còn từ 13/10/2021- khi nhận lại sửa chữa sẽ khấu hao ở 811</t>
        </r>
        <r>
          <rPr>
            <sz val="9"/>
            <color indexed="81"/>
            <rFont val="Tahoma"/>
            <family val="2"/>
          </rPr>
          <t xml:space="preserve">
</t>
        </r>
      </text>
    </comment>
    <comment ref="BD436" authorId="0" shapeId="0" xr:uid="{E6480DA0-4C9A-4CAB-9C60-785DD3C369C5}">
      <text>
        <r>
          <rPr>
            <b/>
            <sz val="9"/>
            <color indexed="81"/>
            <rFont val="Tahoma"/>
            <family val="2"/>
          </rPr>
          <t>Từ 01/10/2021-13/10/2021- Khấu hao 6274 còn từ 13/10/2021- khi nhận lại sửa chữa sẽ khấu hao ở 811</t>
        </r>
        <r>
          <rPr>
            <sz val="9"/>
            <color indexed="81"/>
            <rFont val="Tahoma"/>
            <family val="2"/>
          </rPr>
          <t xml:space="preserve">
</t>
        </r>
      </text>
    </comment>
    <comment ref="L437" authorId="0" shapeId="0" xr:uid="{928E50C1-81BF-444F-AB34-CB210AE1A39A}">
      <text>
        <r>
          <rPr>
            <b/>
            <sz val="9"/>
            <color indexed="81"/>
            <rFont val="Tahoma"/>
            <family val="2"/>
          </rPr>
          <t>Purchase form Sense i/o Vinatech</t>
        </r>
      </text>
    </comment>
    <comment ref="P437" authorId="0" shapeId="0" xr:uid="{7652A70F-1881-4CCD-A087-317501ABE629}">
      <text>
        <r>
          <rPr>
            <b/>
            <sz val="9"/>
            <color indexed="81"/>
            <rFont val="Tahoma"/>
            <family val="2"/>
          </rPr>
          <t xml:space="preserve">
Tỷ giá trả trước</t>
        </r>
      </text>
    </comment>
    <comment ref="L438" authorId="0" shapeId="0" xr:uid="{6FC05CF9-67FF-4574-A592-5D98C784648C}">
      <text>
        <r>
          <rPr>
            <b/>
            <sz val="9"/>
            <color indexed="81"/>
            <rFont val="Tahoma"/>
            <family val="2"/>
          </rPr>
          <t>Purchase form Sense i/o Vinatech</t>
        </r>
      </text>
    </comment>
    <comment ref="L439" authorId="0" shapeId="0" xr:uid="{F81F7036-0816-43E0-ADD2-A7669F3033CE}">
      <text>
        <r>
          <rPr>
            <b/>
            <sz val="9"/>
            <color indexed="81"/>
            <rFont val="Tahoma"/>
            <family val="2"/>
          </rPr>
          <t>Purchase form Sense i/o Vinatech</t>
        </r>
      </text>
    </comment>
    <comment ref="L440" authorId="0" shapeId="0" xr:uid="{ED28729D-CA10-4191-A68D-FD2FAE02478C}">
      <text>
        <r>
          <rPr>
            <b/>
            <sz val="9"/>
            <color indexed="81"/>
            <rFont val="Tahoma"/>
            <family val="2"/>
          </rPr>
          <t>Purchase form Sense i/o Vinatech</t>
        </r>
      </text>
    </comment>
    <comment ref="L441" authorId="0" shapeId="0" xr:uid="{877FF3CD-FE43-4030-9B08-7B6176DB0AE2}">
      <text>
        <r>
          <rPr>
            <b/>
            <sz val="9"/>
            <color indexed="81"/>
            <rFont val="Tahoma"/>
            <family val="2"/>
          </rPr>
          <t>Purchase form Sense i/o Vinatech</t>
        </r>
      </text>
    </comment>
    <comment ref="L442" authorId="0" shapeId="0" xr:uid="{A53F0930-5F08-4CC1-A3D8-B5FA4FA61829}">
      <text>
        <r>
          <rPr>
            <b/>
            <sz val="9"/>
            <color indexed="81"/>
            <rFont val="Tahoma"/>
            <family val="2"/>
          </rPr>
          <t>Purchase form Sense i/o Vinatech</t>
        </r>
      </text>
    </comment>
    <comment ref="P446" authorId="0" shapeId="0" xr:uid="{89F37B9D-3592-44E6-80F4-6C78D4922111}">
      <text>
        <r>
          <rPr>
            <b/>
            <sz val="9"/>
            <color indexed="81"/>
            <rFont val="Tahoma"/>
            <family val="2"/>
          </rPr>
          <t xml:space="preserve">
BQ</t>
        </r>
      </text>
    </comment>
    <comment ref="P474" authorId="0" shapeId="0" xr:uid="{564D865C-479D-4ED1-BD23-65AA1EEC415E}">
      <text>
        <r>
          <rPr>
            <b/>
            <sz val="9"/>
            <color indexed="81"/>
            <rFont val="Tahoma"/>
            <family val="2"/>
          </rPr>
          <t xml:space="preserve">
BQ</t>
        </r>
      </text>
    </comment>
    <comment ref="P475" authorId="0" shapeId="0" xr:uid="{7E6D8E7F-DB5A-4EBC-BA13-11B2C1D669E1}">
      <text>
        <r>
          <rPr>
            <b/>
            <sz val="9"/>
            <color indexed="81"/>
            <rFont val="Tahoma"/>
            <family val="2"/>
          </rPr>
          <t xml:space="preserve"> BQ</t>
        </r>
      </text>
    </comment>
    <comment ref="P476" authorId="0" shapeId="0" xr:uid="{070B65B1-90E5-4723-9A65-F4FC30382BF5}">
      <text>
        <r>
          <rPr>
            <b/>
            <sz val="9"/>
            <color indexed="81"/>
            <rFont val="Tahoma"/>
            <family val="2"/>
          </rPr>
          <t xml:space="preserve">
BQ</t>
        </r>
      </text>
    </comment>
    <comment ref="M491" authorId="3" shapeId="0" xr:uid="{D0CBDBF6-9483-4F53-A24D-7B7272591ACA}">
      <text>
        <r>
          <rPr>
            <b/>
            <sz val="9"/>
            <color indexed="81"/>
            <rFont val="Tahoma"/>
            <family val="2"/>
          </rPr>
          <t>Vinatech:</t>
        </r>
        <r>
          <rPr>
            <sz val="9"/>
            <color indexed="81"/>
            <rFont val="Tahoma"/>
            <family val="2"/>
          </rPr>
          <t xml:space="preserve">
Vẫn còn chi phí T05 về, </t>
        </r>
      </text>
    </comment>
    <comment ref="P497" authorId="0" shapeId="0" xr:uid="{1D82E709-5509-4857-8390-7FC6653A58FE}">
      <text>
        <r>
          <rPr>
            <b/>
            <sz val="9"/>
            <color indexed="81"/>
            <rFont val="Tahoma"/>
            <family val="2"/>
          </rPr>
          <t>trả trước-TGBQ</t>
        </r>
      </text>
    </comment>
    <comment ref="I559" authorId="4" shapeId="0" xr:uid="{E18FA03B-9F10-4E77-9845-75F4772A938A}">
      <text>
        <r>
          <rPr>
            <b/>
            <sz val="9"/>
            <color indexed="81"/>
            <rFont val="Tahoma"/>
            <family val="2"/>
          </rPr>
          <t>Đỗ Đồng:</t>
        </r>
        <r>
          <rPr>
            <sz val="9"/>
            <color indexed="81"/>
            <rFont val="Tahoma"/>
            <family val="2"/>
          </rPr>
          <t xml:space="preserve">
2 máy gộp vào 1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Luyen</author>
    <author>tc={5BF3993B-3D8A-4876-8799-5CC4B1800DC2}</author>
    <author>Anne Shirley</author>
    <author>Vinatech</author>
    <author>Đỗ Đồng</author>
  </authors>
  <commentList>
    <comment ref="X7" authorId="0" shapeId="0" xr:uid="{E769B8A8-CB90-4498-9FD2-DE420413E514}">
      <text>
        <r>
          <rPr>
            <sz val="9"/>
            <color indexed="81"/>
            <rFont val="Tahoma"/>
            <family val="2"/>
          </rPr>
          <t xml:space="preserve">
chú ý trường hợp đất</t>
        </r>
      </text>
    </comment>
    <comment ref="Q9" authorId="1" shapeId="0" xr:uid="{5BF3993B-3D8A-4876-8799-5CC4B1800DC2}">
      <text>
        <t>[Threaded comment]
Your version of Excel allows you to read this threaded comment; however, any edits to it will get removed if the file is opened in a newer version of Excel. Learn more: https://go.microsoft.com/fwlink/?linkid=870924
Comment:
    75 tr là chi phí lập báo cáo tác động môi trg</t>
      </text>
    </comment>
    <comment ref="BB34" authorId="2" shapeId="0" xr:uid="{456FEC87-B7A1-4579-BF7A-0DA3731F7CF1}">
      <text>
        <r>
          <rPr>
            <b/>
            <sz val="9"/>
            <color indexed="81"/>
            <rFont val="Tahoma"/>
            <family val="2"/>
          </rPr>
          <t>Anne Shirley:</t>
        </r>
        <r>
          <rPr>
            <sz val="9"/>
            <color indexed="81"/>
            <rFont val="Tahoma"/>
            <family val="2"/>
          </rPr>
          <t xml:space="preserve">
6274- từ 01/09/2018-31/10/2019</t>
        </r>
      </text>
    </comment>
    <comment ref="J93" authorId="0" shapeId="0" xr:uid="{8D1BAAC4-A4B3-4DE4-A488-F35735809DDA}">
      <text>
        <r>
          <rPr>
            <b/>
            <sz val="9"/>
            <color indexed="81"/>
            <rFont val="Tahoma"/>
            <family val="2"/>
          </rPr>
          <t>Luyen:</t>
        </r>
        <r>
          <rPr>
            <sz val="9"/>
            <color indexed="81"/>
            <rFont val="Tahoma"/>
            <family val="2"/>
          </rPr>
          <t xml:space="preserve">
SET= 3 parts</t>
        </r>
      </text>
    </comment>
    <comment ref="J114" authorId="0" shapeId="0" xr:uid="{7D3DE090-7BCC-4329-AAE8-D3788BADDD8A}">
      <text>
        <r>
          <rPr>
            <b/>
            <sz val="9"/>
            <color indexed="81"/>
            <rFont val="Tahoma"/>
            <family val="2"/>
          </rPr>
          <t>Luyen:</t>
        </r>
        <r>
          <rPr>
            <sz val="9"/>
            <color indexed="81"/>
            <rFont val="Tahoma"/>
            <family val="2"/>
          </rPr>
          <t xml:space="preserve">
54.71 m2</t>
        </r>
      </text>
    </comment>
    <comment ref="J132" authorId="0" shapeId="0" xr:uid="{A05F8274-1AB3-4E23-8B55-368706661DF3}">
      <text>
        <r>
          <rPr>
            <b/>
            <sz val="9"/>
            <color indexed="81"/>
            <rFont val="Tahoma"/>
            <family val="2"/>
          </rPr>
          <t>Luyen:</t>
        </r>
        <r>
          <rPr>
            <sz val="9"/>
            <color indexed="81"/>
            <rFont val="Tahoma"/>
            <family val="2"/>
          </rPr>
          <t xml:space="preserve">
176.7m2</t>
        </r>
      </text>
    </comment>
    <comment ref="H141" authorId="3" shapeId="0" xr:uid="{3F7FA6C4-469B-4BEA-8C15-6A5E8BAB395D}">
      <text>
        <r>
          <rPr>
            <b/>
            <sz val="9"/>
            <color indexed="81"/>
            <rFont val="Tahoma"/>
            <family val="2"/>
          </rPr>
          <t>Vinatech:</t>
        </r>
        <r>
          <rPr>
            <sz val="9"/>
            <color indexed="81"/>
            <rFont val="Tahoma"/>
            <family val="2"/>
          </rPr>
          <t xml:space="preserve">
Nâng cấp tài sản cố định </t>
        </r>
      </text>
    </comment>
    <comment ref="W141" authorId="0" shapeId="0" xr:uid="{8D053BC5-9FB0-4496-8761-6C0B0457A384}">
      <text>
        <r>
          <rPr>
            <b/>
            <sz val="9"/>
            <color indexed="81"/>
            <rFont val="Tahoma"/>
            <family val="2"/>
          </rPr>
          <t xml:space="preserve"> Từ 01/09/2019-&gt;01/10/2020
+ Số đã khấu hao  cho 1 máy= 310,541,828.5.Giá trị còn lại cho 1 máy = 1,696,036,124 VND</t>
        </r>
      </text>
    </comment>
    <comment ref="X141" authorId="0" shapeId="0" xr:uid="{5030977E-1587-470C-B6CA-ED79A7112A77}">
      <text>
        <r>
          <rPr>
            <b/>
            <sz val="9"/>
            <color indexed="81"/>
            <rFont val="Tahoma"/>
            <family val="2"/>
          </rPr>
          <t xml:space="preserve">Giá trị còn lại lúc tạo mã thay thế là </t>
        </r>
      </text>
    </comment>
    <comment ref="H142" authorId="3" shapeId="0" xr:uid="{3C700BD2-38FC-45CA-A5B8-94B98EA7712E}">
      <text>
        <r>
          <rPr>
            <b/>
            <sz val="9"/>
            <color indexed="81"/>
            <rFont val="Tahoma"/>
            <family val="2"/>
          </rPr>
          <t>Vinatech:</t>
        </r>
        <r>
          <rPr>
            <sz val="9"/>
            <color indexed="81"/>
            <rFont val="Tahoma"/>
            <family val="2"/>
          </rPr>
          <t xml:space="preserve">
Nâng cấp tài sản cố định </t>
        </r>
      </text>
    </comment>
    <comment ref="V142" authorId="0" shapeId="0" xr:uid="{B6CCF246-BBD2-496B-A581-9588F66E8DB8}">
      <text>
        <r>
          <rPr>
            <b/>
            <sz val="9"/>
            <color indexed="81"/>
            <rFont val="Tahoma"/>
            <family val="2"/>
          </rPr>
          <t xml:space="preserve">
Nâng cấp TSCĐ: 958,500,000 VND -HD 0044819,0044843- CÔNG TY TNHH TAE SEONG EQUIPMENT VINA</t>
        </r>
      </text>
    </comment>
    <comment ref="W142" authorId="0" shapeId="0" xr:uid="{44D66A68-34FF-4C1D-A13B-7346FB6C9B1A}">
      <text>
        <r>
          <rPr>
            <b/>
            <sz val="9"/>
            <color indexed="81"/>
            <rFont val="Tahoma"/>
            <family val="2"/>
          </rPr>
          <t xml:space="preserve"> Từ 01/09/2019-&gt;01/10/2020
+ Số đã khấu hao  cho 1 máy= 310,541,828.5.Giá trị còn lại cho 1 máy = 1,696,036,124 VND</t>
        </r>
      </text>
    </comment>
    <comment ref="X142" authorId="3" shapeId="0" xr:uid="{ECAE0B6D-D3FF-481A-9FB5-E703478C191A}">
      <text>
        <r>
          <rPr>
            <b/>
            <sz val="13"/>
            <color indexed="81"/>
            <rFont val="Tahoma"/>
            <family val="2"/>
          </rPr>
          <t>Vinatech:</t>
        </r>
        <r>
          <rPr>
            <sz val="13"/>
            <color indexed="81"/>
            <rFont val="Tahoma"/>
            <family val="2"/>
          </rPr>
          <t xml:space="preserve">
Nâng cấp TSCĐ: 958,500,000 VND -HD 0044819,0044843- CÔNG TY TNHH TAE SEONG</t>
        </r>
        <r>
          <rPr>
            <sz val="9"/>
            <color indexed="81"/>
            <rFont val="Tahoma"/>
            <family val="2"/>
          </rPr>
          <t xml:space="preserve"> EQUIPMENT VINA</t>
        </r>
      </text>
    </comment>
    <comment ref="P171" authorId="0" shapeId="0" xr:uid="{90BDD019-8D79-49E5-8493-C8BED0E424F1}">
      <text>
        <r>
          <rPr>
            <b/>
            <sz val="9"/>
            <color indexed="81"/>
            <rFont val="Tahoma"/>
            <family val="2"/>
          </rPr>
          <t>Luyen:</t>
        </r>
        <r>
          <rPr>
            <sz val="9"/>
            <color indexed="81"/>
            <rFont val="Tahoma"/>
            <family val="2"/>
          </rPr>
          <t xml:space="preserve">
23254 (49000 chưa thanh toán lấy tỷ giá theo thông báo hàng đến) và 23257 (21000 USD trả trước tiền tháng 10)</t>
        </r>
      </text>
    </comment>
    <comment ref="P178" authorId="0" shapeId="0" xr:uid="{E5000E30-B0F1-4886-BAAE-95C2635283FA}">
      <text>
        <r>
          <rPr>
            <b/>
            <sz val="9"/>
            <color indexed="81"/>
            <rFont val="Tahoma"/>
            <family val="2"/>
          </rPr>
          <t>Luyen:</t>
        </r>
        <r>
          <rPr>
            <sz val="9"/>
            <color indexed="81"/>
            <rFont val="Tahoma"/>
            <family val="2"/>
          </rPr>
          <t xml:space="preserve">
Tỷ giá thanh toán trước từ hà T12.Ok update TS=23252</t>
        </r>
      </text>
    </comment>
    <comment ref="R227" authorId="0" shapeId="0" xr:uid="{113A378F-33F6-4DBA-A8BE-971B3C1D5B6A}">
      <text>
        <r>
          <rPr>
            <b/>
            <sz val="9"/>
            <color indexed="81"/>
            <rFont val="Tahoma"/>
            <family val="2"/>
          </rPr>
          <t>16003143 là thuế TTĐB</t>
        </r>
      </text>
    </comment>
    <comment ref="R228" authorId="0" shapeId="0" xr:uid="{4F8F8262-E0D1-4DD7-BEEE-7B5DB794AD5C}">
      <text>
        <r>
          <rPr>
            <b/>
            <sz val="9"/>
            <color indexed="81"/>
            <rFont val="Tahoma"/>
            <family val="2"/>
          </rPr>
          <t>16003143 là thuế TTĐB</t>
        </r>
      </text>
    </comment>
    <comment ref="H230" authorId="3" shapeId="0" xr:uid="{6F157A5C-8595-44B8-B40B-4FEF4537A4A3}">
      <text>
        <r>
          <rPr>
            <b/>
            <sz val="9"/>
            <color indexed="81"/>
            <rFont val="Tahoma"/>
            <family val="2"/>
          </rPr>
          <t>Vinatech:</t>
        </r>
        <r>
          <rPr>
            <sz val="9"/>
            <color indexed="81"/>
            <rFont val="Tahoma"/>
            <family val="2"/>
          </rPr>
          <t xml:space="preserve">
Chuyển từ nhà máy 1-&gt; nhà máy 2 từ ngày 01/09/2020</t>
        </r>
      </text>
    </comment>
    <comment ref="BB234" authorId="0" shapeId="0" xr:uid="{21C9CCD6-5D60-43FC-96F4-8C2B1356EEB6}">
      <text>
        <r>
          <rPr>
            <b/>
            <sz val="9"/>
            <color indexed="81"/>
            <rFont val="Tahoma"/>
            <family val="2"/>
          </rPr>
          <t>Từ tháng 10 khấu hao chuyển sang 6274 do máy đã sửa chữa hoàn thành</t>
        </r>
      </text>
    </comment>
    <comment ref="Q236" authorId="3" shapeId="0" xr:uid="{DB370E77-1993-4718-86CD-EF5922B0A739}">
      <text>
        <r>
          <rPr>
            <b/>
            <sz val="9"/>
            <color indexed="81"/>
            <rFont val="Tahoma"/>
            <family val="2"/>
          </rPr>
          <t>Vinatech:</t>
        </r>
        <r>
          <rPr>
            <sz val="9"/>
            <color indexed="81"/>
            <rFont val="Tahoma"/>
            <family val="2"/>
          </rPr>
          <t xml:space="preserve">
=19200*23228+44800*23315
Do trả trước 2 lần, 
Lần 1: 19200
Lần 2: 44800</t>
        </r>
      </text>
    </comment>
    <comment ref="M237" authorId="3" shapeId="0" xr:uid="{E9926F65-42F3-4841-B102-7A8E5C4A30FC}">
      <text>
        <r>
          <rPr>
            <sz val="9"/>
            <color indexed="81"/>
            <rFont val="Tahoma"/>
            <family val="2"/>
          </rPr>
          <t xml:space="preserve">
</t>
        </r>
        <r>
          <rPr>
            <sz val="15"/>
            <color indexed="81"/>
            <rFont val="Tahoma"/>
            <family val="2"/>
          </rPr>
          <t>Releasing SLOT DIE to warranty/ Xuất Bộ phận máy đi bảo hành theo TK số 303531158730 ( ngày 20/10/2020)- Invocie no KR201019-05 ( ngày 19/10/2020) @23480   (23,000usd)
04/11/2020 TK 103636529950  INVOICE NOV. 02, 2020 confluent/ NHẬP LẠI SLOT DIE</t>
        </r>
      </text>
    </comment>
    <comment ref="M238" authorId="3" shapeId="0" xr:uid="{02C3373A-707D-4DFC-B16C-5A30145D2B35}">
      <text>
        <r>
          <rPr>
            <b/>
            <sz val="9"/>
            <color indexed="81"/>
            <rFont val="Tahoma"/>
            <family val="2"/>
          </rPr>
          <t>Vinatech:</t>
        </r>
        <r>
          <rPr>
            <sz val="9"/>
            <color indexed="81"/>
            <rFont val="Tahoma"/>
            <family val="2"/>
          </rPr>
          <t xml:space="preserve">
Vẫn còn chi phí T05 về, </t>
        </r>
      </text>
    </comment>
    <comment ref="Q239" authorId="3" shapeId="0" xr:uid="{6E53DF9E-473F-4CD2-82BB-1017F7FA8E1D}">
      <text>
        <r>
          <rPr>
            <b/>
            <sz val="9"/>
            <color indexed="81"/>
            <rFont val="Tahoma"/>
            <family val="2"/>
          </rPr>
          <t>Vinatech:</t>
        </r>
        <r>
          <rPr>
            <sz val="9"/>
            <color indexed="81"/>
            <rFont val="Tahoma"/>
            <family val="2"/>
          </rPr>
          <t xml:space="preserve">
=21000*23242+49000*23570
Trả trước: 21000
</t>
        </r>
      </text>
    </comment>
    <comment ref="U243" authorId="3" shapeId="0" xr:uid="{85F0AE28-08FE-4BA2-8AE8-1DC27D55757A}">
      <text>
        <r>
          <rPr>
            <b/>
            <sz val="9"/>
            <color indexed="81"/>
            <rFont val="Tahoma"/>
            <family val="2"/>
          </rPr>
          <t>Vinatech:</t>
        </r>
        <r>
          <rPr>
            <sz val="9"/>
            <color indexed="81"/>
            <rFont val="Tahoma"/>
            <family val="2"/>
          </rPr>
          <t xml:space="preserve">
Hóa đơn 0000242 hóa đơn tháng 6 nhưng tờ khai về tháng 5
</t>
        </r>
      </text>
    </comment>
    <comment ref="U244" authorId="3" shapeId="0" xr:uid="{F6EFB0BA-E40B-4665-B4E4-3561FB8C1EB7}">
      <text>
        <r>
          <rPr>
            <b/>
            <sz val="9"/>
            <color indexed="81"/>
            <rFont val="Tahoma"/>
            <family val="2"/>
          </rPr>
          <t>Vinatech:</t>
        </r>
        <r>
          <rPr>
            <sz val="9"/>
            <color indexed="81"/>
            <rFont val="Tahoma"/>
            <family val="2"/>
          </rPr>
          <t xml:space="preserve">
Hóa đơn 0000242 hóa đơn tháng 6 nhưng tờ khai về tháng 5
</t>
        </r>
      </text>
    </comment>
    <comment ref="U245" authorId="3" shapeId="0" xr:uid="{2EEF52B1-91F6-4178-A566-89E06C04DFD1}">
      <text>
        <r>
          <rPr>
            <b/>
            <sz val="9"/>
            <color indexed="81"/>
            <rFont val="Tahoma"/>
            <family val="2"/>
          </rPr>
          <t>Vinatech:</t>
        </r>
        <r>
          <rPr>
            <sz val="9"/>
            <color indexed="81"/>
            <rFont val="Tahoma"/>
            <family val="2"/>
          </rPr>
          <t xml:space="preserve">
Hóa đơn 0000242 hóa đơn tháng 6 nhưng tờ khai về tháng 5
</t>
        </r>
      </text>
    </comment>
    <comment ref="U246" authorId="3" shapeId="0" xr:uid="{1465B0DE-954F-42B4-AC71-D87417905684}">
      <text>
        <r>
          <rPr>
            <b/>
            <sz val="9"/>
            <color indexed="81"/>
            <rFont val="Tahoma"/>
            <family val="2"/>
          </rPr>
          <t>Vinatech:</t>
        </r>
        <r>
          <rPr>
            <sz val="9"/>
            <color indexed="81"/>
            <rFont val="Tahoma"/>
            <family val="2"/>
          </rPr>
          <t xml:space="preserve">
Hóa đơn 0000242 hóa đơn tháng 6 nhưng tờ khai về tháng 5
</t>
        </r>
      </text>
    </comment>
    <comment ref="U247" authorId="3" shapeId="0" xr:uid="{D84A1855-8006-4F33-9375-65AB9A9C8B2B}">
      <text>
        <r>
          <rPr>
            <b/>
            <sz val="9"/>
            <color indexed="81"/>
            <rFont val="Tahoma"/>
            <family val="2"/>
          </rPr>
          <t>Vinatech:</t>
        </r>
        <r>
          <rPr>
            <sz val="9"/>
            <color indexed="81"/>
            <rFont val="Tahoma"/>
            <family val="2"/>
          </rPr>
          <t xml:space="preserve">
Hóa đơn 0000242 hóa đơn tháng 6 nhưng tờ khai về tháng 5
</t>
        </r>
      </text>
    </comment>
    <comment ref="U248" authorId="3" shapeId="0" xr:uid="{F2CF4B59-0CF5-4CAA-885B-7DEEA4AC653D}">
      <text>
        <r>
          <rPr>
            <b/>
            <sz val="9"/>
            <color indexed="81"/>
            <rFont val="Tahoma"/>
            <family val="2"/>
          </rPr>
          <t>Vinatech:</t>
        </r>
        <r>
          <rPr>
            <sz val="9"/>
            <color indexed="81"/>
            <rFont val="Tahoma"/>
            <family val="2"/>
          </rPr>
          <t xml:space="preserve">
Hóa đơn 0000242 hóa đơn tháng 6 nhưng tờ khai về tháng 5
</t>
        </r>
      </text>
    </comment>
    <comment ref="U249" authorId="3" shapeId="0" xr:uid="{A75BC7BD-81E0-4687-B007-FD39C724F00E}">
      <text>
        <r>
          <rPr>
            <b/>
            <sz val="9"/>
            <color indexed="81"/>
            <rFont val="Tahoma"/>
            <family val="2"/>
          </rPr>
          <t>Vinatech:</t>
        </r>
        <r>
          <rPr>
            <sz val="9"/>
            <color indexed="81"/>
            <rFont val="Tahoma"/>
            <family val="2"/>
          </rPr>
          <t xml:space="preserve">
Hóa đơn 0000242 hóa đơn tháng 6 nhưng tờ khai về tháng 5
</t>
        </r>
      </text>
    </comment>
    <comment ref="P284" authorId="0" shapeId="0" xr:uid="{FDE75B6A-C21E-4FFD-B7F5-74D607C55A6A}">
      <text>
        <r>
          <rPr>
            <b/>
            <sz val="9"/>
            <color indexed="81"/>
            <rFont val="Tahoma"/>
            <family val="2"/>
          </rPr>
          <t>(23,389*50,100+23,263*(167,000-50,100))/167,000</t>
        </r>
      </text>
    </comment>
    <comment ref="P285" authorId="0" shapeId="0" xr:uid="{954F0FCA-A4AD-4BE3-8C91-9B1E18902B40}">
      <text>
        <r>
          <rPr>
            <b/>
            <sz val="9"/>
            <color indexed="81"/>
            <rFont val="Tahoma"/>
            <family val="2"/>
          </rPr>
          <t>(23,389*50,100+23,263*(167,000-50,100))/167,000</t>
        </r>
      </text>
    </comment>
    <comment ref="P286" authorId="0" shapeId="0" xr:uid="{5BEC70FD-CFCB-4367-98C2-6BC9F668927C}">
      <text>
        <r>
          <rPr>
            <b/>
            <sz val="9"/>
            <color indexed="81"/>
            <rFont val="Tahoma"/>
            <family val="2"/>
          </rPr>
          <t>(23,389*50,100+23,263*(167,000-50,100))/167,000</t>
        </r>
      </text>
    </comment>
    <comment ref="P287" authorId="0" shapeId="0" xr:uid="{7E28492C-E1DC-463A-8E47-2ECFC2C53549}">
      <text>
        <r>
          <rPr>
            <b/>
            <sz val="9"/>
            <color indexed="81"/>
            <rFont val="Tahoma"/>
            <family val="2"/>
          </rPr>
          <t>(23,389*50,100+23,263*(167,000-50,100))/167,000</t>
        </r>
      </text>
    </comment>
    <comment ref="P288" authorId="0" shapeId="0" xr:uid="{D2558A50-4319-4D67-8DE2-726A5A468824}">
      <text>
        <r>
          <rPr>
            <b/>
            <sz val="9"/>
            <color indexed="81"/>
            <rFont val="Tahoma"/>
            <family val="2"/>
          </rPr>
          <t>(23,389*50,100+23,263*(167,000-50,100))/167,000</t>
        </r>
      </text>
    </comment>
    <comment ref="P289" authorId="0" shapeId="0" xr:uid="{81A118A8-640C-427D-97D6-43651DBCA2CD}">
      <text>
        <r>
          <rPr>
            <b/>
            <sz val="9"/>
            <color indexed="81"/>
            <rFont val="Tahoma"/>
            <family val="2"/>
          </rPr>
          <t>(23,389*50,100+23,263*(167,000-50,100))/167,000</t>
        </r>
      </text>
    </comment>
    <comment ref="P290" authorId="0" shapeId="0" xr:uid="{DF844D90-0998-438E-8019-8ED85ADCDD82}">
      <text>
        <r>
          <rPr>
            <b/>
            <sz val="9"/>
            <color indexed="81"/>
            <rFont val="Tahoma"/>
            <family val="2"/>
          </rPr>
          <t>(23,389*50,100+23,263*(167,000-50,100))/167,000</t>
        </r>
      </text>
    </comment>
    <comment ref="P291" authorId="0" shapeId="0" xr:uid="{B7D426D7-50EA-4A78-80CD-F99C90910F66}">
      <text>
        <r>
          <rPr>
            <b/>
            <sz val="9"/>
            <color indexed="81"/>
            <rFont val="Tahoma"/>
            <family val="2"/>
          </rPr>
          <t>(23,389*50,100+23,263*(167,000-50,100))/167,000</t>
        </r>
      </text>
    </comment>
    <comment ref="P292" authorId="0" shapeId="0" xr:uid="{5204B50F-1AC6-4FEA-9937-938FFF716513}">
      <text>
        <r>
          <rPr>
            <b/>
            <sz val="9"/>
            <color indexed="81"/>
            <rFont val="Tahoma"/>
            <family val="2"/>
          </rPr>
          <t>(23,389*50,100+23,263*(167,000-50,100))/167,000</t>
        </r>
      </text>
    </comment>
    <comment ref="P293" authorId="0" shapeId="0" xr:uid="{A217B382-7533-43E9-A96C-42798A489669}">
      <text>
        <r>
          <rPr>
            <b/>
            <sz val="9"/>
            <color indexed="81"/>
            <rFont val="Tahoma"/>
            <family val="2"/>
          </rPr>
          <t>(23,389*50,100+23,263*(167,000-50,100))/167,000</t>
        </r>
      </text>
    </comment>
    <comment ref="P294" authorId="0" shapeId="0" xr:uid="{A946550B-792F-474E-97EE-434759554A77}">
      <text>
        <r>
          <rPr>
            <b/>
            <sz val="9"/>
            <color indexed="81"/>
            <rFont val="Tahoma"/>
            <family val="2"/>
          </rPr>
          <t>(23,389*50,100+23,263*(167,000-50,100))/167,000</t>
        </r>
      </text>
    </comment>
    <comment ref="P295" authorId="0" shapeId="0" xr:uid="{4C91C239-2838-48F2-8E58-634D5CF0F260}">
      <text>
        <r>
          <rPr>
            <b/>
            <sz val="9"/>
            <color indexed="81"/>
            <rFont val="Tahoma"/>
            <family val="2"/>
          </rPr>
          <t>(23,389*50,100+23,263*(167,000-50,100))/167,000</t>
        </r>
      </text>
    </comment>
    <comment ref="P296" authorId="0" shapeId="0" xr:uid="{89BF078A-99C2-4334-A5E0-4449D8A1D164}">
      <text>
        <r>
          <rPr>
            <b/>
            <sz val="9"/>
            <color indexed="81"/>
            <rFont val="Tahoma"/>
            <family val="2"/>
          </rPr>
          <t>(23,389*50,100+23,263*(167,000-50,100))/167,000</t>
        </r>
      </text>
    </comment>
    <comment ref="P297" authorId="0" shapeId="0" xr:uid="{5A30A01A-8D93-4D6C-AEA6-043C4DB122F6}">
      <text>
        <r>
          <rPr>
            <b/>
            <sz val="9"/>
            <color indexed="81"/>
            <rFont val="Tahoma"/>
            <family val="2"/>
          </rPr>
          <t>(23,389*50,100+23,263*(167,000-50,100))/167,000</t>
        </r>
      </text>
    </comment>
    <comment ref="P298" authorId="0" shapeId="0" xr:uid="{B2EC7FB4-E924-4A19-89EB-A1EDB33E14E3}">
      <text>
        <r>
          <rPr>
            <b/>
            <sz val="9"/>
            <color indexed="81"/>
            <rFont val="Tahoma"/>
            <family val="2"/>
          </rPr>
          <t>(23,389*50,100+23,263*(167,000-50,100))/167,000</t>
        </r>
      </text>
    </comment>
    <comment ref="P299" authorId="0" shapeId="0" xr:uid="{49332602-4374-4CC9-8FDB-37B36824EAFC}">
      <text>
        <r>
          <rPr>
            <b/>
            <sz val="9"/>
            <color indexed="81"/>
            <rFont val="Tahoma"/>
            <family val="2"/>
          </rPr>
          <t>(23,389*50,100+23,263*(167,000-50,100))/167,000</t>
        </r>
      </text>
    </comment>
    <comment ref="P300" authorId="0" shapeId="0" xr:uid="{1B5B8AB9-C66F-4586-A25F-6381192CCE5E}">
      <text>
        <r>
          <rPr>
            <b/>
            <sz val="9"/>
            <color indexed="81"/>
            <rFont val="Tahoma"/>
            <family val="2"/>
          </rPr>
          <t>(23,389*50,100+23,263*(167,000-50,100))/167,000</t>
        </r>
      </text>
    </comment>
    <comment ref="P301" authorId="0" shapeId="0" xr:uid="{9AFF9334-6691-4F42-AC24-205B6B1F055A}">
      <text>
        <r>
          <rPr>
            <b/>
            <sz val="9"/>
            <color indexed="81"/>
            <rFont val="Tahoma"/>
            <family val="2"/>
          </rPr>
          <t>(23,389*50,100+23,263*(167,000-50,100))/167,000</t>
        </r>
      </text>
    </comment>
    <comment ref="P302" authorId="0" shapeId="0" xr:uid="{68EF25C8-B298-42BB-9B47-87EB0AFE7890}">
      <text>
        <r>
          <rPr>
            <b/>
            <sz val="9"/>
            <color indexed="81"/>
            <rFont val="Tahoma"/>
            <family val="2"/>
          </rPr>
          <t>(23,389*50,100+23,263*(167,000-50,100))/167,000</t>
        </r>
      </text>
    </comment>
    <comment ref="P303" authorId="0" shapeId="0" xr:uid="{3616E631-EAAC-439D-9D15-6BC740DCCCE1}">
      <text>
        <r>
          <rPr>
            <b/>
            <sz val="9"/>
            <color indexed="81"/>
            <rFont val="Tahoma"/>
            <family val="2"/>
          </rPr>
          <t>(23,389*50,100+23,263*(167,000-50,100))/167,000</t>
        </r>
      </text>
    </comment>
    <comment ref="P304" authorId="0" shapeId="0" xr:uid="{DB53B3E4-F803-43C9-B635-6F88AED60310}">
      <text>
        <r>
          <rPr>
            <b/>
            <sz val="9"/>
            <color indexed="81"/>
            <rFont val="Tahoma"/>
            <family val="2"/>
          </rPr>
          <t>(23,389*50,100+23,263*(167,000-50,100))/167,000</t>
        </r>
      </text>
    </comment>
    <comment ref="P305" authorId="0" shapeId="0" xr:uid="{A2374194-F76E-4B91-A22C-6A670B8218D3}">
      <text>
        <r>
          <rPr>
            <b/>
            <sz val="9"/>
            <color indexed="81"/>
            <rFont val="Tahoma"/>
            <family val="2"/>
          </rPr>
          <t>(23,389*50,100+23,263*(167,000-50,100))/167,000</t>
        </r>
      </text>
    </comment>
    <comment ref="P306" authorId="0" shapeId="0" xr:uid="{BDAFD7BC-9177-469B-9E18-17D03E8A8244}">
      <text>
        <r>
          <rPr>
            <b/>
            <sz val="9"/>
            <color indexed="81"/>
            <rFont val="Tahoma"/>
            <family val="2"/>
          </rPr>
          <t>(23,389*50,100+23,263*(167,000-50,100))/167,000</t>
        </r>
      </text>
    </comment>
    <comment ref="P307" authorId="0" shapeId="0" xr:uid="{58B05412-27C0-49D6-B130-AC30A6F38AA2}">
      <text>
        <r>
          <rPr>
            <b/>
            <sz val="9"/>
            <color indexed="81"/>
            <rFont val="Tahoma"/>
            <family val="2"/>
          </rPr>
          <t>(23,389*50,100+23,263*(167,000-50,100))/167,000</t>
        </r>
      </text>
    </comment>
    <comment ref="P308" authorId="0" shapeId="0" xr:uid="{33F696DB-853A-4665-A0C4-57DAE35302F7}">
      <text>
        <r>
          <rPr>
            <b/>
            <sz val="9"/>
            <color indexed="81"/>
            <rFont val="Tahoma"/>
            <family val="2"/>
          </rPr>
          <t>(23,389*50,100+23,263*(167,000-50,100))/167,000</t>
        </r>
      </text>
    </comment>
    <comment ref="P309" authorId="0" shapeId="0" xr:uid="{A110AA35-2428-4820-A9E7-F5A120330BD0}">
      <text>
        <r>
          <rPr>
            <b/>
            <sz val="9"/>
            <color indexed="81"/>
            <rFont val="Tahoma"/>
            <family val="2"/>
          </rPr>
          <t>(23,389*50,100+23,263*(167,000-50,100))/167,000</t>
        </r>
      </text>
    </comment>
    <comment ref="P310" authorId="0" shapeId="0" xr:uid="{3B46CD54-BB1E-4D83-950F-761D3AF73DBB}">
      <text>
        <r>
          <rPr>
            <b/>
            <sz val="9"/>
            <color indexed="81"/>
            <rFont val="Tahoma"/>
            <family val="2"/>
          </rPr>
          <t>(23,389*50,100+23,263*(167,000-50,100))/167,000</t>
        </r>
      </text>
    </comment>
    <comment ref="P311" authorId="0" shapeId="0" xr:uid="{A33C2474-2208-4A2B-BA60-4B336FD35A31}">
      <text>
        <r>
          <rPr>
            <b/>
            <sz val="9"/>
            <color indexed="81"/>
            <rFont val="Tahoma"/>
            <family val="2"/>
          </rPr>
          <t>(23,389*50,100+23,263*(167,000-50,100))/167,000</t>
        </r>
      </text>
    </comment>
    <comment ref="S324" authorId="3" shapeId="0" xr:uid="{44A42131-9980-43CA-8FD1-DEB02CDA7690}">
      <text>
        <r>
          <rPr>
            <b/>
            <sz val="9"/>
            <color indexed="81"/>
            <rFont val="Tahoma"/>
            <family val="2"/>
          </rPr>
          <t>Phí vé máy bay chiều VN-HQ</t>
        </r>
      </text>
    </comment>
    <comment ref="S327" authorId="3" shapeId="0" xr:uid="{0DAF42D6-7438-4C9C-B8AB-4F11BCEB93DD}">
      <text>
        <r>
          <rPr>
            <b/>
            <sz val="9"/>
            <color indexed="81"/>
            <rFont val="Tahoma"/>
            <family val="2"/>
          </rPr>
          <t>Phí vé máy bay chiều VN-HQ</t>
        </r>
      </text>
    </comment>
    <comment ref="S328" authorId="3" shapeId="0" xr:uid="{B21D9300-A064-4EB8-A07B-92D8F89D83B8}">
      <text>
        <r>
          <rPr>
            <b/>
            <sz val="9"/>
            <color indexed="81"/>
            <rFont val="Tahoma"/>
            <family val="2"/>
          </rPr>
          <t>Phí vé máy bay chiều VN-HQ</t>
        </r>
      </text>
    </comment>
    <comment ref="S334" authorId="3" shapeId="0" xr:uid="{531B417D-AC66-4A7D-9980-3A29471C6E9E}">
      <text>
        <r>
          <rPr>
            <sz val="12"/>
            <color indexed="81"/>
            <rFont val="Tahoma"/>
            <family val="2"/>
          </rPr>
          <t xml:space="preserve">Import expenses/ Chi phí nhập khẩu hàng TKHQ số 103629485300A12 ngày 02/11/2020 Invoice no PALBOK2010-001 và Appendix1015 add more packing fee ngày 15/10/2020 @23268 ( chi phí tăng thêm do ko hạch toán năm 2020 và được hạch toán ngày 01/01/2021 vào tk 2411: 5,104.30 usd (119.023,292 vnd) </t>
        </r>
        <r>
          <rPr>
            <sz val="9"/>
            <color indexed="81"/>
            <rFont val="Tahoma"/>
            <family val="2"/>
          </rPr>
          <t xml:space="preserve">
</t>
        </r>
      </text>
    </comment>
    <comment ref="S335" authorId="3" shapeId="0" xr:uid="{3E9EB8E1-5299-4752-A8CF-0DD168CCEC58}">
      <text>
        <r>
          <rPr>
            <sz val="12"/>
            <color indexed="81"/>
            <rFont val="Tahoma"/>
            <family val="2"/>
          </rPr>
          <t xml:space="preserve">Import expenses/ Chi phí nhập khẩu hàng TKHQ số 103629485300A12 ngày 02/11/2020 Invoice no PALBOK2010-001 và Appendix1015 add more packing fee ngày 15/10/2020 @23268 ( chi phí tăng thêm do ko hạch toán năm 2020 và được hạch toán ngày 01/01/2021 vào tk 2411: 5,104.30 usd (119.023,292 vnd) </t>
        </r>
        <r>
          <rPr>
            <sz val="9"/>
            <color indexed="81"/>
            <rFont val="Tahoma"/>
            <family val="2"/>
          </rPr>
          <t xml:space="preserve">
</t>
        </r>
      </text>
    </comment>
    <comment ref="S336" authorId="3" shapeId="0" xr:uid="{B1C3A44A-8F7F-494A-B059-DCED65514BEE}">
      <text>
        <r>
          <rPr>
            <sz val="12"/>
            <color indexed="81"/>
            <rFont val="Tahoma"/>
            <family val="2"/>
          </rPr>
          <t xml:space="preserve">Import expenses/ Chi phí nhập khẩu hàng TKHQ số 103629485300A12 ngày 02/11/2020 Invoice no PALBOK2010-001 và Appendix1015 add more packing fee ngày 15/10/2020 @23268 ( chi phí tăng thêm do ko hạch toán năm 2020 và được hạch toán ngày 01/01/2021 vào tk 2411: 5,104.30 usd (119.023,292 vnd) </t>
        </r>
        <r>
          <rPr>
            <sz val="9"/>
            <color indexed="81"/>
            <rFont val="Tahoma"/>
            <family val="2"/>
          </rPr>
          <t xml:space="preserve">
</t>
        </r>
      </text>
    </comment>
    <comment ref="S337" authorId="3" shapeId="0" xr:uid="{DD67586A-3B3A-4331-AAD9-9D9BD21E7665}">
      <text>
        <r>
          <rPr>
            <sz val="12"/>
            <color indexed="81"/>
            <rFont val="Tahoma"/>
            <family val="2"/>
          </rPr>
          <t xml:space="preserve">Import expenses/ Chi phí nhập khẩu hàng TKHQ số 103629485300A12 ngày 02/11/2020 Invoice no PALBOK2010-001 và Appendix1015 add more packing fee ngày 15/10/2020 @23268 ( chi phí tăng thêm do ko hạch toán năm 2020 và được hạch toán ngày 01/01/2021 vào tk 2411: 5,104.30 usd (119.023,292 vnd) </t>
        </r>
        <r>
          <rPr>
            <sz val="9"/>
            <color indexed="81"/>
            <rFont val="Tahoma"/>
            <family val="2"/>
          </rPr>
          <t xml:space="preserve">
</t>
        </r>
      </text>
    </comment>
    <comment ref="Q406" authorId="0" shapeId="0" xr:uid="{03AB1FBC-9BCE-4E3F-9CBB-B0C47171AF93}">
      <text>
        <r>
          <rPr>
            <b/>
            <sz val="9"/>
            <color indexed="81"/>
            <rFont val="Tahoma"/>
            <family val="2"/>
          </rPr>
          <t xml:space="preserve">
Máy chiếu+giá treo+ dây cap nguồn HDMI loại 20 Mét</t>
        </r>
      </text>
    </comment>
    <comment ref="L417" authorId="0" shapeId="0" xr:uid="{845D3EA2-0867-4F92-B7EA-393ADAEC327B}">
      <text>
        <r>
          <rPr>
            <b/>
            <sz val="9"/>
            <color indexed="81"/>
            <rFont val="Tahoma"/>
            <family val="2"/>
          </rPr>
          <t>Purchase form Sense i/o Vinatech</t>
        </r>
      </text>
    </comment>
    <comment ref="P417" authorId="0" shapeId="0" xr:uid="{50A41CCB-4A59-42D3-8986-29EBDF3EEBD9}">
      <text>
        <r>
          <rPr>
            <b/>
            <sz val="9"/>
            <color indexed="81"/>
            <rFont val="Tahoma"/>
            <family val="2"/>
          </rPr>
          <t xml:space="preserve">
Tỷ giá trả trước</t>
        </r>
      </text>
    </comment>
    <comment ref="L418" authorId="0" shapeId="0" xr:uid="{EB94801D-D97F-4B86-834E-6E60912FFD84}">
      <text>
        <r>
          <rPr>
            <b/>
            <sz val="9"/>
            <color indexed="81"/>
            <rFont val="Tahoma"/>
            <family val="2"/>
          </rPr>
          <t>Purchase form Sense i/o Vinatech</t>
        </r>
      </text>
    </comment>
    <comment ref="L419" authorId="0" shapeId="0" xr:uid="{3C374E14-92D7-4416-AFE7-3FB8271949D0}">
      <text>
        <r>
          <rPr>
            <b/>
            <sz val="9"/>
            <color indexed="81"/>
            <rFont val="Tahoma"/>
            <family val="2"/>
          </rPr>
          <t>Purchase form Sense i/o Vinatech</t>
        </r>
      </text>
    </comment>
    <comment ref="L420" authorId="0" shapeId="0" xr:uid="{7D734381-887D-44F7-BFD8-EE23D70F352A}">
      <text>
        <r>
          <rPr>
            <b/>
            <sz val="9"/>
            <color indexed="81"/>
            <rFont val="Tahoma"/>
            <family val="2"/>
          </rPr>
          <t>Purchase form Sense i/o Vinatech</t>
        </r>
      </text>
    </comment>
    <comment ref="L421" authorId="0" shapeId="0" xr:uid="{5AA95FD9-8555-437A-9267-455889A6694C}">
      <text>
        <r>
          <rPr>
            <b/>
            <sz val="9"/>
            <color indexed="81"/>
            <rFont val="Tahoma"/>
            <family val="2"/>
          </rPr>
          <t>Purchase form Sense i/o Vinatech</t>
        </r>
      </text>
    </comment>
    <comment ref="L422" authorId="0" shapeId="0" xr:uid="{2792F7A6-B837-4BA5-8713-D6856E7629C6}">
      <text>
        <r>
          <rPr>
            <b/>
            <sz val="9"/>
            <color indexed="81"/>
            <rFont val="Tahoma"/>
            <family val="2"/>
          </rPr>
          <t>Purchase form Sense i/o Vinatech</t>
        </r>
      </text>
    </comment>
    <comment ref="P426" authorId="0" shapeId="0" xr:uid="{8ADF0CB7-C972-40D0-B16D-654C7E42F56B}">
      <text>
        <r>
          <rPr>
            <b/>
            <sz val="9"/>
            <color indexed="81"/>
            <rFont val="Tahoma"/>
            <family val="2"/>
          </rPr>
          <t xml:space="preserve">
BQ</t>
        </r>
      </text>
    </comment>
    <comment ref="P454" authorId="0" shapeId="0" xr:uid="{BBE29731-E72D-45A1-942D-086AEC782B33}">
      <text>
        <r>
          <rPr>
            <b/>
            <sz val="9"/>
            <color indexed="81"/>
            <rFont val="Tahoma"/>
            <family val="2"/>
          </rPr>
          <t xml:space="preserve">
BQ</t>
        </r>
      </text>
    </comment>
    <comment ref="P455" authorId="0" shapeId="0" xr:uid="{414CEF10-0306-4770-B80D-B898082B88DE}">
      <text>
        <r>
          <rPr>
            <b/>
            <sz val="9"/>
            <color indexed="81"/>
            <rFont val="Tahoma"/>
            <family val="2"/>
          </rPr>
          <t xml:space="preserve"> BQ</t>
        </r>
      </text>
    </comment>
    <comment ref="P456" authorId="0" shapeId="0" xr:uid="{B891C324-C126-44A2-9FD8-B25082FA5AD3}">
      <text>
        <r>
          <rPr>
            <b/>
            <sz val="9"/>
            <color indexed="81"/>
            <rFont val="Tahoma"/>
            <family val="2"/>
          </rPr>
          <t xml:space="preserve">
BQ</t>
        </r>
      </text>
    </comment>
    <comment ref="M471" authorId="3" shapeId="0" xr:uid="{1CB25DAA-6D99-4417-969B-D2F7D5148BFA}">
      <text>
        <r>
          <rPr>
            <b/>
            <sz val="9"/>
            <color indexed="81"/>
            <rFont val="Tahoma"/>
            <family val="2"/>
          </rPr>
          <t>Vinatech:</t>
        </r>
        <r>
          <rPr>
            <sz val="9"/>
            <color indexed="81"/>
            <rFont val="Tahoma"/>
            <family val="2"/>
          </rPr>
          <t xml:space="preserve">
Vẫn còn chi phí T05 về, </t>
        </r>
      </text>
    </comment>
    <comment ref="P477" authorId="0" shapeId="0" xr:uid="{6267990F-58B1-437D-A534-F6FA1DAB7EB6}">
      <text>
        <r>
          <rPr>
            <b/>
            <sz val="9"/>
            <color indexed="81"/>
            <rFont val="Tahoma"/>
            <family val="2"/>
          </rPr>
          <t>trả trước-TGBQ</t>
        </r>
      </text>
    </comment>
    <comment ref="I539" authorId="4" shapeId="0" xr:uid="{E1961157-0B83-4EC1-8118-A04B87F01269}">
      <text>
        <r>
          <rPr>
            <b/>
            <sz val="9"/>
            <color indexed="81"/>
            <rFont val="Tahoma"/>
            <family val="2"/>
          </rPr>
          <t>Đỗ Đồng:</t>
        </r>
        <r>
          <rPr>
            <sz val="9"/>
            <color indexed="81"/>
            <rFont val="Tahoma"/>
            <family val="2"/>
          </rPr>
          <t xml:space="preserve">
2 máy gộp vào 1
</t>
        </r>
      </text>
    </comment>
  </commentList>
</comments>
</file>

<file path=xl/sharedStrings.xml><?xml version="1.0" encoding="utf-8"?>
<sst xmlns="http://schemas.openxmlformats.org/spreadsheetml/2006/main" count="18785" uniqueCount="2268">
  <si>
    <t>(Currency : VND)</t>
  </si>
  <si>
    <t>6274</t>
  </si>
  <si>
    <t>6424</t>
  </si>
  <si>
    <t>8118</t>
  </si>
  <si>
    <t xml:space="preserve">hạch toán </t>
  </si>
  <si>
    <t>sử dụng</t>
  </si>
  <si>
    <t>2021- tháng ghi tăng</t>
  </si>
  <si>
    <t>NOTE</t>
  </si>
  <si>
    <t>FACTORY No</t>
  </si>
  <si>
    <t>ITEM ACCOUNT</t>
  </si>
  <si>
    <t>CODE</t>
  </si>
  <si>
    <t>NAME OF ASSETS</t>
  </si>
  <si>
    <t>QUANTITY</t>
  </si>
  <si>
    <t>UNIT</t>
  </si>
  <si>
    <t>SELLER
(NHÀ CUNG CẤP)</t>
  </si>
  <si>
    <t>DOCUMENT NO
(SỐ HIỆU CHỨNG TỪ)</t>
  </si>
  <si>
    <t>INVOICE/ CDS DATE</t>
  </si>
  <si>
    <t>PURCHASE 
(GIÁ MUA)
USD</t>
  </si>
  <si>
    <t>FX RATE</t>
  </si>
  <si>
    <t>PURCHASE 
(GIÁ MUA)
VND TƯƠNG ĐƯƠNG</t>
  </si>
  <si>
    <t>IMPORTATION TAX
(THUẾ NHẬP KHẨU+TTĐB)</t>
  </si>
  <si>
    <t>SETUP FEE</t>
  </si>
  <si>
    <t>HANDLING FEE</t>
  </si>
  <si>
    <t>HANDLING FEE INV. NO</t>
  </si>
  <si>
    <t>AQUISITION VALUE (trước deduct)
(Increase 211)</t>
  </si>
  <si>
    <t>NOTE- Special</t>
  </si>
  <si>
    <t>Formulas- DEP 
(Giá trị dùng phân bổ)</t>
  </si>
  <si>
    <t>AQUISITION VALUE
(DEDUCT 211)</t>
  </si>
  <si>
    <t>Q'TY
(DEDUCT)</t>
  </si>
  <si>
    <t>DEDUCT (DATE)</t>
  </si>
  <si>
    <t>REASON of Deduct</t>
  </si>
  <si>
    <t>Date of Using</t>
  </si>
  <si>
    <t>Date of Finishing</t>
  </si>
  <si>
    <t>DURABLE PERIOD
(Year)</t>
  </si>
  <si>
    <t>DURABLE PERIOD
(Month)</t>
  </si>
  <si>
    <t>MONTH DEPRE
(VND)</t>
  </si>
  <si>
    <t>Accumulated Depreciation until present</t>
  </si>
  <si>
    <t>CLASSIFICATION 
(LOẠI TSCĐ)</t>
  </si>
  <si>
    <t>RATE EXPENSES</t>
  </si>
  <si>
    <t>Vị trí sử dụng</t>
  </si>
  <si>
    <t>FAST
 (BPHT)</t>
  </si>
  <si>
    <t>FAST
(BPSD)</t>
  </si>
  <si>
    <t>GTCL giảm do thanh lý
(từ T9/2021)</t>
  </si>
  <si>
    <t>.</t>
  </si>
  <si>
    <t>Đ+CT</t>
  </si>
  <si>
    <t>Đ</t>
  </si>
  <si>
    <t>CT</t>
  </si>
  <si>
    <t>Remark</t>
  </si>
  <si>
    <t>Done</t>
  </si>
  <si>
    <t>FI</t>
  </si>
  <si>
    <t>VINA00001A2</t>
  </si>
  <si>
    <t>Building (Admin and apart of Factory)/Nhà cửa vật kiến trúc (giá trị hợp đồng chuyển nhượng tài sản trên đất gắn liền với QSD đất;hóa đơn 0111 ngày 05/7/2017 - Cty Vinaco)</t>
  </si>
  <si>
    <t>Cty CP ĐT&amp;XD VINACO</t>
  </si>
  <si>
    <t>0000111;0000121</t>
  </si>
  <si>
    <t>2018</t>
  </si>
  <si>
    <t>Deduct để chuyển sang 24222</t>
  </si>
  <si>
    <t>Building</t>
  </si>
  <si>
    <t>Factory 1</t>
  </si>
  <si>
    <t>CPC</t>
  </si>
  <si>
    <t>FACTORY</t>
  </si>
  <si>
    <t>VINA00000M</t>
  </si>
  <si>
    <t>Building (Admin and apart of Factory)/Nhà cửa, vật kiến trúc</t>
  </si>
  <si>
    <t>CÔNG TY CỔ PHẦN TƯ VẤN THIẾT KẾ VÀ XÂY DỰNG VINAINCON</t>
  </si>
  <si>
    <t>0000427, 0000460,0000482;0000099;0000356 công nghệ Xanh 75tr</t>
  </si>
  <si>
    <t>VINA00002M</t>
  </si>
  <si>
    <t>Building (Admin and apart of Factory)/Giá trị phần thiết kế</t>
  </si>
  <si>
    <t>0000281</t>
  </si>
  <si>
    <t>2019</t>
  </si>
  <si>
    <t>VINA00003M</t>
  </si>
  <si>
    <t>Thiết kế và thi công toàn bộ nội thất văn phòng theo hợp đồng kinh tế số 2407/HĐKT/2018/VINA-ATH/Thiết kế và thi công toàn bộ nội thất văn phòng theo hợp đồng kinh tế số 2407/HĐKT/2018/VINA-ATH</t>
  </si>
  <si>
    <t>Công ty cổ phần ATH</t>
  </si>
  <si>
    <t>000718;0000731;0000766</t>
  </si>
  <si>
    <t>VINA0004M</t>
  </si>
  <si>
    <t xml:space="preserve">Supervisor and Management construciton service/Chi phí giám sát </t>
  </si>
  <si>
    <t>Myungil co.,ltd</t>
  </si>
  <si>
    <t>VINA00003</t>
  </si>
  <si>
    <t>Washing Shower/Tủ rửa Rack DOOR dùng để chứa rửa sản phẩm,kt:700x 650x 1350cm,mới 100%</t>
  </si>
  <si>
    <t>VINA TECH CO., LTD</t>
  </si>
  <si>
    <t>102123180355</t>
  </si>
  <si>
    <t>Tools</t>
  </si>
  <si>
    <t>Manual line F1</t>
  </si>
  <si>
    <t>CURLING</t>
  </si>
  <si>
    <t>VINA00004</t>
  </si>
  <si>
    <t>Vacuum Impregnation Device/Thiết bị dùng trong phòng khô:thiết bị tạo môi trường chân không,model:S_0813,nguồn điện 1 pha 220V,hãng sản xuất Mecha Solution,năm 2018,mới 100%</t>
  </si>
  <si>
    <t>Dryroom F1</t>
  </si>
  <si>
    <t>BEADING</t>
  </si>
  <si>
    <t>VINA00005</t>
  </si>
  <si>
    <t>VINA00006</t>
  </si>
  <si>
    <t>Vacuum Impregnation Device/Thiết bị dùng trong phòng khô:thiết bị tạo môi trường chân không,model:S_1025, nguồn điện 1 pha 220V,hãng sản xuất Mecha Solution,mới 100%</t>
  </si>
  <si>
    <t>Liquidate All</t>
  </si>
  <si>
    <t>Đã Thanh lý hết</t>
  </si>
  <si>
    <t>VINA00007</t>
  </si>
  <si>
    <t>Vacuum Impregnation Device/Thiết bị dùng trong phòng khô:thiết bị tạo môi trường chân không,model:S_1025,nguồn điện 1 pha 220V,hãng sản xuất Mecha Solution,năm 2018,mới 100%</t>
  </si>
  <si>
    <t>VINA00008</t>
  </si>
  <si>
    <t>Cold Trap/Thiết bị dùng trong phòng khô:Thiết bị ngưng tụ hơi nước,model CTB-10,nguồn điện 1 pha 220V,công suất 2.8kw,hãng sản xuất JEIO TECH,năm 2018,hàng mới 100%</t>
  </si>
  <si>
    <t>VINA00009</t>
  </si>
  <si>
    <t>Sleeve Cutter M/C/Máy cắt ống,dùng cắt sản phẩm,model:MCS-2018,nguồn điện 220V,công suất motor 2200,hãng sản xuât Mecha Solution,năm 2018,mới 100%</t>
  </si>
  <si>
    <t>Machinery and Equipment</t>
  </si>
  <si>
    <t>SLEEVE</t>
  </si>
  <si>
    <t>VINA00010</t>
  </si>
  <si>
    <t>Slitting M/C DLSC-1023/Máy cắt cuộn,xẻ dọc hoạt động bằng điện,dùng cắt sản phẩm bằng cao su,model:DLSC-1023,nguồn điện 3 pha, 220V,công suất 7.6KW,hãng sản xuất Wize ENG,năm 2018,mới 100%</t>
  </si>
  <si>
    <t>Electrode line F1</t>
  </si>
  <si>
    <t xml:space="preserve">FII_ELECTRODE   </t>
  </si>
  <si>
    <t>VINA00011</t>
  </si>
  <si>
    <t>Manual Beading M/C/Máy ép tạo biên dưới,dùng tạo hình cho sản phẩm,model: MSC-2018BD, nguồn điện 1 pha 220V,hãng sản xuất Mecha Solution,năm 2018,mới 100%</t>
  </si>
  <si>
    <t>VINA00012</t>
  </si>
  <si>
    <t>01/12/2020: TSCĐ không dùng chuyển kho dabaco 6274-&gt; 8118</t>
  </si>
  <si>
    <t>DABACO-&gt; Kho cạnh cty</t>
  </si>
  <si>
    <t>VINA00013</t>
  </si>
  <si>
    <t>VINA00014</t>
  </si>
  <si>
    <t>Manual Beading M/C/Máy ép tạo biên dưới,dùng tạo hình cho sản phẩm,model: MSC-2018BD,nguồn điện 1 pha 220V,hãng sản xuất Mecha Solution,năm 2018,mới 100%</t>
  </si>
  <si>
    <t>VINA00015</t>
  </si>
  <si>
    <t>Manual Curling M/C/Máy ép tạo biên dưới,dùng tạo hình cho sản phẩm,model: MSC-2018-CUR,nguồn điện 220V,hãng sản xuất Mecha Solution,năm 2018,mới 100%</t>
  </si>
  <si>
    <t>VINA00016</t>
  </si>
  <si>
    <t>VINA00017</t>
  </si>
  <si>
    <t>VINA00018</t>
  </si>
  <si>
    <t>Manual Shrink Tunnel/Máy ép vỏ sản phẩm,model:KP-T50D,nguồn điện 220V,công suất 50HP ,hãng sản xuất Gwanglin Power Pack,năm 2018,mới 100%</t>
  </si>
  <si>
    <t>MODUL</t>
  </si>
  <si>
    <t>VINA00019</t>
  </si>
  <si>
    <t>VINA00020</t>
  </si>
  <si>
    <t>Stripping M/C/Máy mài điện cực,nguồn điện 1 pha 220V,công suất 4KW ,model MCS-2012-ST,công suất 1kw,hãng sản xuất Mecha Solution,năm 2018,mới 100%</t>
  </si>
  <si>
    <t>WINDING</t>
  </si>
  <si>
    <t>VINA00021</t>
  </si>
  <si>
    <t>Manual Rubber Inserting M/C/máy chèn cao su dùng để cho cao su vào sản phẩm,model:S_1025,công suất 1kw,hãng sản xuất Mecha Solution,năm 2018,hàng mới 100%</t>
  </si>
  <si>
    <t>RUBBER</t>
  </si>
  <si>
    <t>VINA00022</t>
  </si>
  <si>
    <t>Manual Rubber Inserting Jig/máy chèn cao su dùng để cho cao su vào sản phẩm,model:SJ_0820 công suất 1kw,hãng sản xuất Mecha Solution,hàng mới 100%</t>
  </si>
  <si>
    <t>VINA00023</t>
  </si>
  <si>
    <t>Manual Rubber Inserting Jig/máy chèn cao su dùng để cho cao su vào sản phẩm,model:SJ_0820 công suất 1kw,hãng sản xuất Mecha Solution,năm 2018,hàng mới 100%</t>
  </si>
  <si>
    <t>VINA00024</t>
  </si>
  <si>
    <t>Vacuum Oven Set/Thiết bị dùng trong phòng khô:lò sấy chân không,model OV-12, nguồn điện 1220V,công suất 1.5kw,hãng sản xuất JEIO TECH,năm 2018,hàng mới 100%</t>
  </si>
  <si>
    <t>Cell 3(1), Cell4(3), Cell 10 (3)+ Cell 16 (1)+Cell 18(2)</t>
  </si>
  <si>
    <t>VINA00025</t>
  </si>
  <si>
    <t>Impusle Sealer/Máy ép nhiệt,model:Gl 300-10,nguộn điện 220V,công suất 4.5kw,hãng sản xuất Common,năm 2018,mới 100%</t>
  </si>
  <si>
    <t>000172; 000999</t>
  </si>
  <si>
    <t>Warehouse F1</t>
  </si>
  <si>
    <t>PACKING</t>
  </si>
  <si>
    <t>VINA00026</t>
  </si>
  <si>
    <t>Dehumidifier Device_1R Type/Thiết bị hút ẩm dùng trong nhà máy hãng sản xuất AT ENG Dehumidifier Device_1R Type,model:DHU-3583,nguồn điện 220V,công suất 13kw,hãng sản xuât AT ENG, năm 2011, Hàng đã qua sử dụng</t>
  </si>
  <si>
    <t>102123194245</t>
  </si>
  <si>
    <t>Utilily F1</t>
  </si>
  <si>
    <t>VINA00027</t>
  </si>
  <si>
    <t>Dehumidifier Device_1R Type/Thiết bị hút ẩm dùng trong nhà máy hãng sản xuất AT ENG Dehumidifier Device_2R Type,model:GDRT-3052,nguồn điện 220V,công suất 15kw,hãng sản xuất AT ENG, năm 2011, Hàng đã qua sử dụng</t>
  </si>
  <si>
    <t>THANH LÝ</t>
  </si>
  <si>
    <t>VINA00028</t>
  </si>
  <si>
    <t>Short Test/Máy đo ngắn mạch,model 19073,,hãng sản xuât Chroma,năm 2018,mới 100%</t>
  </si>
  <si>
    <t/>
  </si>
  <si>
    <t>VINA00029</t>
  </si>
  <si>
    <t>Rubber Inserting Machines/Máy chèn cao su thủ công, năm sản xuất: 2015, điện trở: 220V,  hàng đã qua sử dụng, công suất: 3KW</t>
  </si>
  <si>
    <t>102158913955</t>
  </si>
  <si>
    <t>0046648; 0046649;0041642;0046706</t>
  </si>
  <si>
    <t>VINA00030</t>
  </si>
  <si>
    <t>Stiching &amp; Winding Machines/Máy tiếp nguyên liệu, model: SPM600, năm sản xuất: 2012, điện trở: 220V,  hàng đã qua sử dụng, công suất: 3KW</t>
  </si>
  <si>
    <t>CD Co dien BN</t>
  </si>
  <si>
    <t>VINA00031</t>
  </si>
  <si>
    <t>Stiching &amp; Winding Machines/Máy dập và cuốn nguyên liệu,hoạt động bằng điện, Model: SPM-600W,220V, 60Hz, 3 pha, hàng đã qua sử dụng, sản xuất năm 2012.</t>
  </si>
  <si>
    <t>102158952017</t>
  </si>
  <si>
    <t>VINA00032</t>
  </si>
  <si>
    <t>Small Type Charger / Discharger/Bộ nạp điện và phóng điện loại nhỏ, chức năng: Nạp điện và xả điện vào tụ điện, model: N8761A, năm sản xuất: 2012,điện áp: 220V,  hàng đã qua sử dụng</t>
  </si>
  <si>
    <t>QC</t>
  </si>
  <si>
    <t>VINA00033</t>
  </si>
  <si>
    <t>Auto SolderM/C/Máy hàn tự động, chức năng: Hàn tụ điện, năm sản xuất: 2010, điện áp: 380V, 50/60Hz, 37KVA, model: SAS-680L, hàng đã qua sử dụng</t>
  </si>
  <si>
    <t>6274-&gt; 8118 : Do chuyển kho dabaco do không sử dụng 
 ngày 01/09/2020</t>
  </si>
  <si>
    <t>VINA00034</t>
  </si>
  <si>
    <t>Air Compressor/Cung cấp và lắp đặt hệ thống máy nén khí tại nhà máy Vinatech Vina theo hợp đồng số YJC/VTV-147</t>
  </si>
  <si>
    <t>Chi nhánh công ty TNHH Yujin Compressor Việt Nam</t>
  </si>
  <si>
    <t>0000499</t>
  </si>
  <si>
    <t>VINA00035</t>
  </si>
  <si>
    <t>Transformer/Biến áp 3K252M2YH5YT</t>
  </si>
  <si>
    <t>Công ty TNHH sản xuất và thương mại Ổn áp Nhật Linh</t>
  </si>
  <si>
    <t>1846</t>
  </si>
  <si>
    <t>VINA00036</t>
  </si>
  <si>
    <t>Auto Sleeving M/C/Máy bọc vỏ tự động, Model: VMS-200, Công dụng: Bọc vỏ sản phẩm, điện áp: 220V, Công suất: 920W, Năm sản xuất: 2017, Hàng đã qua sử dụng</t>
  </si>
  <si>
    <t>102206739722</t>
  </si>
  <si>
    <t>00005758; 0005759;0006440;0072040;0072048; 0017375; 0017398;0017448;0019469</t>
  </si>
  <si>
    <t>VINA00037</t>
  </si>
  <si>
    <t>Sleeving Cutting M/C/Máy cắt vỏ bọc tụ điện bằng nhựa, Model: VMS-500, công dụng: cắt vỏ sản phẩm, điện áp : 220V, Công suất: 470W, Năm sản xuất: 2013, Hàng đã qua sử dụng</t>
  </si>
  <si>
    <t>VINA00038</t>
  </si>
  <si>
    <t>AUTO-WINDING MACHINE/Máy cuốn tự động, Model: KS-500SA, điện áp: 220V, công suất: 1900W, năm sản xuất: 2017, Hàng đã qua sử dụng</t>
  </si>
  <si>
    <t>VINA00039</t>
  </si>
  <si>
    <t>DUST COLLECTOR/Máy hút bụi của máy cuốn, Model: MSR-429, điện áp: 220V, Công suất: 530W, Năm sản xuất: 2017. Hàng đã qua sử dụng</t>
  </si>
  <si>
    <t>VINA00040</t>
  </si>
  <si>
    <t>Charge &amp; Discharge Device/Thiết bị kiểm tra nạp và phóng điện, Model: VNBTS0606, điện áp: 220V, công suất: 1200W, năm sản xuất: 2016, Hàng đã qua sử dụng</t>
  </si>
  <si>
    <t>Aging F1</t>
  </si>
  <si>
    <t>VINA00042</t>
  </si>
  <si>
    <t>Voltage titration device model MKC-710S /Thiết bị chuẩn độ điện thế model MKC-710S (bao gồm dung dịch Anolyte AGE, CGE)</t>
  </si>
  <si>
    <t>CÔNG TY TNHH NI VINA</t>
  </si>
  <si>
    <t>0000682</t>
  </si>
  <si>
    <t>Dryroom F2</t>
  </si>
  <si>
    <t>VINA00043</t>
  </si>
  <si>
    <t>Hioki battery testing device, battery Model BT3526/Thiết bị kiểm tra ắc quy, pin Model BT3526 hãng Hioki</t>
  </si>
  <si>
    <t>Cell 1</t>
  </si>
  <si>
    <t>VINA00044</t>
  </si>
  <si>
    <t>2D meter Model VMS-1510G voltage 100-240v 50 / 60Hz/Máy đo 2D Model VMS-1510G điện áp 100-240v 50/60Hz công suất: 50W</t>
  </si>
  <si>
    <t>VINA00045</t>
  </si>
  <si>
    <t>Multipurpose measuring device including Recorder device, to measure or check current voltage, resistance or capacity of Model LR 8400-20 Hioki /Thiết bị đo đa năng bao gồm thiết bị Ghi, để đo hoặc kiểm tra điện áp dòng điện, điện trở hoặc công suất Model LR 8400-20 hãng sản xuất Hioki (bao gồm card 2G)</t>
  </si>
  <si>
    <t>VINA00046</t>
  </si>
  <si>
    <t>USED AUTO.STITCHING &amp; WINDING MACHINE (SIZE 0813)/Máy cuốn dùng cuốn sản phẩm, USED AUTO STITCHING &amp; WINDING MACHINE (SIZE 0813), model: SPM-600N  ,nguồn điện 220V,60Hz,công suất: 1 KW, năm sản xuất: 2011, hàng đã qua sử dụng</t>
  </si>
  <si>
    <t>SHYH HORNG MACHINERY INDUSTRIAL CO., LTD=&gt; VINATECH., LTD</t>
  </si>
  <si>
    <t>102237861243</t>
  </si>
  <si>
    <t>000208</t>
  </si>
  <si>
    <t>VINA00047</t>
  </si>
  <si>
    <t>USED AUTO.STITCHING &amp; WINDING MACHINE (SIZE 1030)/Máy cuốn dùng cuốn sản phẩm, USED AUTO STITCHING &amp; WINDING MACHINE (SIZE 1030), model: SPM-600W , nguồn điện 220V,60Hz,công suất: 1 KW, năm sản xuất: 2014, hàng đã qua sử dụng</t>
  </si>
  <si>
    <t>VINA00048</t>
  </si>
  <si>
    <t>CUTTING UNIT/Máy cắt chân điện cực, model: VEC 3R0 156 HG-B( Toshiba),  hoạt động bằng khí nén, Hàng mới 100%</t>
  </si>
  <si>
    <t>102250026100</t>
  </si>
  <si>
    <t>VINA00049</t>
  </si>
  <si>
    <t>Clean&amp;Dry M/C/Máy làm sạch và sấy khô tụ điện Clean&amp;Dry M/C,Hoạt động bằng điện, Model: CD450, Công suất: 6 KW , điện áp: 220V, năm sản xuất: 09.2018, hàng mới 100%</t>
  </si>
  <si>
    <t>102273204830</t>
  </si>
  <si>
    <t>000272</t>
  </si>
  <si>
    <t>VINA00050</t>
  </si>
  <si>
    <t>Manual Curling M/C/Máy ép tạo biên dưới,dùng tạo hình cho sản phẩm, model: VMS-001, nguồn điện 1 pha 220V, 60Hz. năm sản xuất: 2016, hãng sản xuất: VinaTech, Hàng đã qua sử dụng</t>
  </si>
  <si>
    <t>102303192723</t>
  </si>
  <si>
    <t>0000391;0489944</t>
  </si>
  <si>
    <t>VINA00051</t>
  </si>
  <si>
    <t>Manual Beading M/C/Máy ép tạo biên dưới,dùng tạo hình cho sản phẩm, model: VMS-002, nguồn điện 1 pha 220V, 60Hz. năm sản xuất: 2016, hãng sản xuất: VinaTech, Hàng đã qua sử dụng</t>
  </si>
  <si>
    <t>VINA00052</t>
  </si>
  <si>
    <t>FOR CAPACITOR MACHINE REGISSTER METER/Thiết bị đo điện trở FOR CAPACITOR MACHINE REGISSTER METER, Model: RM3544-01, công suất: 15VA, điện áp: 220V, hàng mới 100%</t>
  </si>
  <si>
    <t>LEADERS WORLD CO.,LTD</t>
  </si>
  <si>
    <t>102319962140</t>
  </si>
  <si>
    <t>000391</t>
  </si>
  <si>
    <t>VINA00053</t>
  </si>
  <si>
    <t>VINA00054</t>
  </si>
  <si>
    <t>Stripping &amp; Attached Parts/Máy mài điện cực Stripping &amp; Attached Parts, model: MCS-2018-ST,công suất: 4KW, điện áp: 220V, 50/60 Hz, năm sản xuất: 10.2018, hàng mới 100%</t>
  </si>
  <si>
    <t>102322604421</t>
  </si>
  <si>
    <t>Liquisition- TK xuất 304706444400 ngày 27/04/2022</t>
  </si>
  <si>
    <t>Cell7</t>
  </si>
  <si>
    <t>VINA00055</t>
  </si>
  <si>
    <t>Small type auto assembly M/C/Máy ngâm tẩm tụ điện và lắp ráp tự động Small type auto assembly M/C, công suất: 5KW, Model: VMS-600, 60Hz , điện áp: 220V, năm sản xuất: 10.2018, hàng mới 100%</t>
  </si>
  <si>
    <t>Cell 1,2,3</t>
  </si>
  <si>
    <t>VINA00056</t>
  </si>
  <si>
    <t>SLEEVE MARKING MACHINE/Máy dập chìm ngày, tháng, năm lên sản phẩm, model: VMS-800, nguồn điện 1 pha 220V, 50/60Hz, năm sản xuất: 2017. Hàng đã qua sử dụng</t>
  </si>
  <si>
    <t>102331909262</t>
  </si>
  <si>
    <t>VINA00058</t>
  </si>
  <si>
    <t>AUTOMATIC WINDING MACHINE/Máy cuốn tụ điện , AUTOMATIC WINDING MACHINE Model: XCJ-820, điện áp: 220V, công suất: 1.5KW, năm sản xuất: 2018,  hàng mới 100%</t>
  </si>
  <si>
    <t>102334493221</t>
  </si>
  <si>
    <t>Liquisition- TK xuất 304222575330- 1/4</t>
  </si>
  <si>
    <t>Cell 1,2,3,4</t>
  </si>
  <si>
    <t>VINA00060</t>
  </si>
  <si>
    <t>SLEEVE HEATING M/C/Máy bọc vỏ, Model: VMS-1200, Công dụng: Bọc vỏ sản phẩm, điện áp : 220V, 50/60Hz, Công suất: 1.2KW, Năm sản xuất: 08.2015, hãng sản xuất: VinaTech, Hàng đã qua sử dụng</t>
  </si>
  <si>
    <t>102342692061</t>
  </si>
  <si>
    <t>0065593;0065874;000391</t>
  </si>
  <si>
    <t>Manual line F2</t>
  </si>
  <si>
    <t>VINA00061</t>
  </si>
  <si>
    <t>SLEEVE HEATING M/C/Máy bọc vỏ, Model: VMS-1200, Công dụng: Bọc vỏ sản phẩm, điện áp : 220V, 50/60Hz, Công suất: 1.2KW, Năm sản xuất: 10.2015, hãng sản xuất: VinaTech, Hàng đã qua sử dụng</t>
  </si>
  <si>
    <t>VINA00062</t>
  </si>
  <si>
    <t>SLEEVE HEATING M/C/Máy bọc vỏ, Model: VMS-1200, Công dụng: Bọc vỏ sản phẩm, điện áp : 220V, 50/60Hz, Công suất: 1.2KW, Năm sản xuất: 11.2015, hãng sản xuất: VinaTech, Hàng đã qua sử dụng</t>
  </si>
  <si>
    <t>VINA00063</t>
  </si>
  <si>
    <t>Vacuum Pump/Thiết bị dùng trong phòng khô: bơm hút không khí Vacuum Pump, model W2V20 điện áp: 220V, công suất 0.4KW, năm sản xuất: 2018, hàng mới 100%</t>
  </si>
  <si>
    <t>102358549640</t>
  </si>
  <si>
    <t>0067999;0068182;000391</t>
  </si>
  <si>
    <t>Liquidate 5/6</t>
  </si>
  <si>
    <t>VINA00064</t>
  </si>
  <si>
    <t>Vacuum Oven/Thiết bị dùng trong phòng khô: lò sấy chân không Vacuum Oven, model: OV-12, điện áp: 230V,công suất 6.1A, năm sản xuất: 2018, hàng mới 100%</t>
  </si>
  <si>
    <t>VINA00065</t>
  </si>
  <si>
    <t>Forced Convection Oven/Lò sấy tụ điện sau khi rửa Forced Convection Oven, model: OF-22GW, điện áp: 230V, 50Hz, công suất: 7.4A, năm sản xuất: 2018, hàng mới 100%</t>
  </si>
  <si>
    <t>VINA00066</t>
  </si>
  <si>
    <t>Charge &amp; Discharge Device/Thiết bị kiểm tra dung lượng tụ điện và điện áp nạp xả, model: 6V 6A _ 48CH, điện áp: 220V, công suất: 70A, năm sản xuất: 2017, hàng mới 100%</t>
  </si>
  <si>
    <t>102360775531</t>
  </si>
  <si>
    <t>000391;68380;68470</t>
  </si>
  <si>
    <t>VINA00067</t>
  </si>
  <si>
    <t>HITESTER ESR/Thiết bị đo điện trở HITESTER ESR, model: RS-232C, điện áp: 240V, 50/60Hz, công suất: 30VA, năm sản xuất: 2018, hàng mới 100%</t>
  </si>
  <si>
    <t>102371673722</t>
  </si>
  <si>
    <t>VINA00068</t>
  </si>
  <si>
    <t>HITESTER ESR CHECK ZIG/Thiết bị kiểm tra điện trở bằng tay HITESTER ESR CHECK ZIG, hàng mới 100%</t>
  </si>
  <si>
    <t>VINA00072</t>
  </si>
  <si>
    <t>MODULE CUTTING M/C/Máy cắt chân tụ điện MODULE CUTTING M/C, Model: VMS-1700, Công dụng: Cắt chân tụ điện, điện áp : 220V, 60Hz, Công suất: 1 KW, Năm sản xuất: 04.2014, hãng sản xuất: VinaTech, Hàng đã qua sử dụng</t>
  </si>
  <si>
    <t>102396959822</t>
  </si>
  <si>
    <t>000499</t>
  </si>
  <si>
    <t>VINA00073</t>
  </si>
  <si>
    <t xml:space="preserve">Fork lift car/Xe nâng hàng </t>
  </si>
  <si>
    <t>PCS</t>
  </si>
  <si>
    <t>Công ty cổ phần đầu tư và thương mại quốc tế Vilegend</t>
  </si>
  <si>
    <t>0000141</t>
  </si>
  <si>
    <t>Replace by VINA00073R do thay đổi thời gian khấu hao tại ngày 31/03/2020. Đã có bút toán điều chỉnh liên quan năm 2020</t>
  </si>
  <si>
    <t>Means of transport, conveyance</t>
  </si>
  <si>
    <t>VINA00073R</t>
  </si>
  <si>
    <t>VINA00074</t>
  </si>
  <si>
    <t>CLEAN AND DRY M/C/Máy làm sạch và sấy khô tụ điện Clean&amp;Dry M/C,Hoạt động bằng điện, Model: CD450, Công suất: 6 KW , điện áp: 220V, năm sản xuất: 09.2018, hàng mới 100%</t>
  </si>
  <si>
    <t>102465373030</t>
  </si>
  <si>
    <t>0007348;0000628</t>
  </si>
  <si>
    <t>Cell 2,3,4</t>
  </si>
  <si>
    <t>VINA00075</t>
  </si>
  <si>
    <t>RUBBER INSERT M/C/Máy đóng nắp cao su RUBBER INSERT M/C, Model: VMS-001, để đóng cao su vào tụ điện, điện áp: 220V, 60Hz, Công suất: 1KW, Năm sản xuất: 2014, Hàng đã qua sử dụng</t>
  </si>
  <si>
    <t>102419529663</t>
  </si>
  <si>
    <t>0045766;0055184;0000626</t>
  </si>
  <si>
    <t>VINA00076</t>
  </si>
  <si>
    <t>S/D CHECK M/C/Máy kiểm tra ngắn mạch S/D CHECK M/C, Model: VMS-003, điện áp: 220V 60Hz, công suất: 0.75KW, năm sản xuất: 2018. Hàng mới 100%</t>
  </si>
  <si>
    <t>VINA00077</t>
  </si>
  <si>
    <t>XCJ880T AUTO SLEEVE MACHINE/Máy bọc vỏ tự động, Model: XCJ880T, Công dụng: Bọc vỏ sản phẩm, điện áp: 220V, Công suất: 1.5KW, Năm sản xuất: 2018, Hàng mới 100%</t>
  </si>
  <si>
    <t>102431979050</t>
  </si>
  <si>
    <t>VINA00078</t>
  </si>
  <si>
    <t>XCJ-F AUTO CAPPER MACHINE/Máy ép tạo biên dưới tự động, dùng tạo hình cho sản phẩm, model: XCJ-F,điện áp: 220V, Công suất: 1.5KW, Năm sản xuất: 2018, Hàng mới 100%</t>
  </si>
  <si>
    <t>VINA00079</t>
  </si>
  <si>
    <t>CHARGE &amp; DISCHARGE TESTER,/Thiết bị nạp điện vào tụ điện CHARGE &amp; DISCHARGE TESTER, Model: 6V 6A_48CH, điện áp: 220V, công suất: 1200W, năm sản xuất: 2016, hãng sản xuất EGpower, Hàng đã qua sử dụng</t>
  </si>
  <si>
    <t>102514967334</t>
  </si>
  <si>
    <t>0102803;0000889</t>
  </si>
  <si>
    <t>VINA00080</t>
  </si>
  <si>
    <t>ELECTRODE GRINDING MACHINE/Máy mài điện cực, model: MCS-2019-ST,công suất: 4KW, điện áp: 220V, 50/60 Hz, năm sản xuất: 2019, hàng mới 100%</t>
  </si>
  <si>
    <t>102548984200</t>
  </si>
  <si>
    <t>0129302;0126061;0000890</t>
  </si>
  <si>
    <t>STRIPPING</t>
  </si>
  <si>
    <t>VINA00081</t>
  </si>
  <si>
    <t>Transformer/Biến áp 250 cách ly ngâm dầu - HĐ số 0000217 ngày 12/01/2019</t>
  </si>
  <si>
    <t>CÔNG TY TNHH HÙNG LUẬN</t>
  </si>
  <si>
    <t>0000217</t>
  </si>
  <si>
    <t>VINA0007M</t>
  </si>
  <si>
    <t>Volume completed/ Khối lượng hoàn thành đợt 5 dự án xây dựng Nhà Máy Siêu Tụ điện giải pháp năng lượng Việt Nam theo Hợp Đồng số 0912/2017/HĐKT - Hóa Đơn số 0000338 (Ngày 28/02/2019)</t>
  </si>
  <si>
    <t>0000338</t>
  </si>
  <si>
    <t>VINA00082</t>
  </si>
  <si>
    <t>Small type auto assembly M/C/Máy ngâm tẩm tụ điện và lắp ráp tự động Small type auto assembly M/C, công suất: 5KW, Model: VMS-700, 50Hz, nha sx: VINATECH, điện áp: 380V, năm sản xuất: 2018, hàng mới 100%</t>
  </si>
  <si>
    <t>102566955301</t>
  </si>
  <si>
    <t>0004382;0048747;0011474;0028961;0000995</t>
  </si>
  <si>
    <t>Cell 4, 5,6</t>
  </si>
  <si>
    <t>VINA00083</t>
  </si>
  <si>
    <t>Portable dewpoint hygrometer/Máy đo độ ẩm, Model: SN191102, điện áp: 220V, năm sản xuất: 2019, hãng sản xuất: KOMETS, hàng mới 100%</t>
  </si>
  <si>
    <t>102577494021</t>
  </si>
  <si>
    <t>0134670;0134098;0000985</t>
  </si>
  <si>
    <t>VINA00084</t>
  </si>
  <si>
    <t>VACUUM LINE/Thiết bị hút chân không VACUUM LINE, Model: HD-05A, công suất:  3.7KW, nha sx: CHILLER, điện áp: 380V, năm sản xuất: 2019, hàng mới 100%</t>
  </si>
  <si>
    <t>102581797513</t>
  </si>
  <si>
    <t>0029598;0189315;0032070;0049994</t>
  </si>
  <si>
    <t>VINA00085</t>
  </si>
  <si>
    <t>CONTRACTION MACHINE/Máy bọc vỏ bằng tay CONTRACTION MACHINE, Model: CM-100, Công dụng: Bọc vỏ sản phẩm, điện áp: 220V, 60Hz hãng VINATECH , Công suất:1.2KW,SN: VNEP0347003 (2013), SN:VNEP0347004(2016),Hàng đã qua sử dụng</t>
  </si>
  <si>
    <t>VINA00086</t>
  </si>
  <si>
    <t>LEAD CUTTING MACHINE/Máy cắt chân tụ điện LEAD CUTTING MACHINE, model: BT-08-50, công suất 100W, điện áp: 220V, 60Hz, hãng VINATECH, SN:VNEP0347004, năm 2016, hàng đã qua sử dụng</t>
  </si>
  <si>
    <t>manual line F1</t>
  </si>
  <si>
    <t>VINA00087</t>
  </si>
  <si>
    <t>SLEEVE CUTTING MACHINE/Máy cắt vỏ bọc tụ điện bằng nhựa,  SLEEVE CUTTING MACHINE, model: VSM-101, SN: VNEP0347005 . công suất: 660W, điện áp: 220V, năm sản xuất: 2015, hãng: VINATECH , hàng đã qua sử dụng</t>
  </si>
  <si>
    <t>VINA00089</t>
  </si>
  <si>
    <t>Condencing Unit/Thiết bị dùng trong phòng khô: Thiết bị ngưng tụ hơi nước Condencing Unit, dùng để tách hơi nước từ không khí, Model: DCS-400, công suất: 0.75KW, điện áp: 380V, 50Hz, năm sx: 2019, mới 100%</t>
  </si>
  <si>
    <t>102583071251</t>
  </si>
  <si>
    <t>0029597;0189325;0032071;0050033;0050087;0050035;0050021;0049963;0050066;0050197;13950600</t>
  </si>
  <si>
    <t>VINA00090</t>
  </si>
  <si>
    <t>Dehumidifier Unit/Thiết bị dùng trong phòng khô: Bộ khử ẩm không khí, dùng để tách hơi ẩm từ không khí, Model: ST1903025, công suất: 7.5 KW, điện áp: 380V, năm sản xuất: 2019, hãng: Cksolution, hàng mới 100%</t>
  </si>
  <si>
    <t>VINA00091</t>
  </si>
  <si>
    <t>Vacuum Oven/Lò sấy chân không Vacuum Oven, model: SBVO-03HDAP điện áp: 380V,công suất 5.5 KW, hãng: WUJIANG năm sản xuất: 2019, hàng mới 100%</t>
  </si>
  <si>
    <t>102584722660</t>
  </si>
  <si>
    <t>0032253;0097603;0000995</t>
  </si>
  <si>
    <t xml:space="preserve"> Dry room 2 (3), Dry room 1 (1)</t>
  </si>
  <si>
    <t>VINA00092</t>
  </si>
  <si>
    <t>STRIPPING MACHINE/Máy mài điện cực STRIPPING MACHINE, model: MCS-2019-ST,công suất: 4KW, điện áp: 220V, 50/60 Hz, năm sản xuất: 2019, MAKER: MECHASOLUTION, hàng mới 100%</t>
  </si>
  <si>
    <t>102592248250</t>
  </si>
  <si>
    <t>0000944</t>
  </si>
  <si>
    <t>Cell 2</t>
  </si>
  <si>
    <t>VINA00093</t>
  </si>
  <si>
    <t>Electrode slitting Machine Parts /Gá đỡ dao cắt Slitter Unit Parts, chất liệu: Thép, (bộ phận của máy rạch điện cực), hàng đã qua sử dụng/Bộ dao cắt 1 Slitter Knife UNit -01 (bộ phận của máy rạch điện cực), hàng đã qua sử dụng/Bộ dao cắt 2 Slitter Knife UNit -02 (bộ phận của máy rạch điện cực), hàng đã qua sử dụng</t>
  </si>
  <si>
    <t>102607427162</t>
  </si>
  <si>
    <t>0055728;0197782;0197783;0012676;0012755;0012677;0012756;0052220;0000944</t>
  </si>
  <si>
    <t>ROLL_PRESSING</t>
  </si>
  <si>
    <t>VINA00096</t>
  </si>
  <si>
    <t>Roll Pressing Machine/Máy ép cuộn điện cực Roll Pressing Machine, Model:2RM-800DRR,Công dụng:Ép bột than lên tấm nhôm thành cuộn điện cực,hãng ONO JAPAN,Công suất: 350KVA,220V, SN:VNEP01206,năm: 2013, hàng đã qua sử dụng</t>
  </si>
  <si>
    <t>VINA00097</t>
  </si>
  <si>
    <t>Slitter Cleaner/Bộ phận của máy hút bụi sử dụng trong máy rạch điện cực Slitter Cleaner (ống dẫn bụi), hàng đã qua sử dụng</t>
  </si>
  <si>
    <t>VINA00098</t>
  </si>
  <si>
    <t>Electrode Slitting Machine Parts/Máy rạch cuộn điện cực Electrode Slitting Machine Parts điều khiển số, hoạt động bằng điện, model: DLSC-1023, công suất:100KVA,220V,hãng NISHIMURA, năm 2013, hàng đã qua sử dụng</t>
  </si>
  <si>
    <t>102607453801</t>
  </si>
  <si>
    <t>0075968;0052485;0037044;0000944</t>
  </si>
  <si>
    <t>VINA00099</t>
  </si>
  <si>
    <t>AUTOMATIC WINDING MACHINE/Máy cuốn tụ điện , AUTOMATIC WINDING MACHINE Model: XCJ-820, điện áp: 220V, công suất: 1.5KW, năm sản xuất: 2019,  hàng mới 100%</t>
  </si>
  <si>
    <t>102610043101</t>
  </si>
  <si>
    <t>Cell 5,6,7</t>
  </si>
  <si>
    <t>VINA00100</t>
  </si>
  <si>
    <t>Transformer/Máy biến áp 350 cách ly ngâm dầu</t>
  </si>
  <si>
    <t>0000267</t>
  </si>
  <si>
    <t>VINA00101</t>
  </si>
  <si>
    <t>Monorail 10T/Cổng trục kéo tay 10 tấn</t>
  </si>
  <si>
    <t>CÔNG TY CỔ PHẦN THIỆT BỊ NÂNG HẠ VÀ XÂY LẮP CÔNG NGHIỆP HÀ NỘI</t>
  </si>
  <si>
    <t>0000035</t>
  </si>
  <si>
    <t>VINA00102</t>
  </si>
  <si>
    <t>CLEAN AND DRY M/C/Máy làm sạch và sấy khô tụ điện Clean&amp;Dry M/C, hoạt động bằng điện, Model: CD450, công suất: 6 KW, điện áp: 220V, nhà sản xuất: AZTEK, năm sản xuất: 2019,  hàng mới 100%</t>
  </si>
  <si>
    <t>102616985220</t>
  </si>
  <si>
    <t>0000098;0041849;0013601;0013327;0013467;0054447;0081228;</t>
  </si>
  <si>
    <t>Cell 5,6,7,8,13</t>
  </si>
  <si>
    <t>VINA00103</t>
  </si>
  <si>
    <t>AC/DC/IR HIPOT TESTER/Máy đo ngắn mạch, model: 19073, công suất 300W, dòng điện: 100V/120V/220V/240V -50/60Hz, hãng sản xuât Chroma, năm 2019, mới 100%</t>
  </si>
  <si>
    <t>102636335540</t>
  </si>
  <si>
    <t>0000096;0032347</t>
  </si>
  <si>
    <t>VINA00104</t>
  </si>
  <si>
    <t>ESR TESTER/Thiết bị đo điện trở ESR TESTER, model: BT3562, phạm vi đo điện áp: 6V/60V, dòng điện:100-240V, công suất: 30VA-50/60HZ, năm sản xuất 2019, hàng mới 100%</t>
  </si>
  <si>
    <t>VINA00105</t>
  </si>
  <si>
    <t>Bead Machine/Máy uốn tạo biên dạng dưới Bead Machine ( dùng để tạo biên dưới cho tụ điện), Model: VMS-005, điện áp: 220V, công suất: 0.5 KW, nhà sản xuất: VINATECH, năm sản xuất :2015, hàng đã qua sử dụng</t>
  </si>
  <si>
    <t>102653962942</t>
  </si>
  <si>
    <t>0000098;0063570;0011305</t>
  </si>
  <si>
    <t>VINA00106</t>
  </si>
  <si>
    <t>Beading Machine/Máy uốn tạo biên dạng dưới Beading Machine ( dùng để tạo biên dưới cho tụ điện),Model: VMS-001, điện áp: 220, công suất: 0.5 KW, nhà sản xuất: VINATECH, năm sản xuất: 2016, hàng đã qua sử dụng</t>
  </si>
  <si>
    <t>VINA00107</t>
  </si>
  <si>
    <t>Curling Machine/Máy uốn tạo biên dạng trên Curling Machine( dùng để tạo biên trên cho tụ điện), Model: VMS-007, điện áp: 220V, công suất: 0.5 KW nhà sản xuất: VINATECH, năm sản xuất :2015, hàng đã qua sử dụng</t>
  </si>
  <si>
    <t>VINA00108</t>
  </si>
  <si>
    <t>Auto Curling Machine/Máy uốn tạo biên dạng trên tự động Auto Curling Machine ( dùng để tạo biên trên cho tụ điện), model:VMS-018,điện áp:220V, công suất:1,5KW,nhà sản xuất:Vinatech, năm sản xuất:2015, hàng đã qua sử dụng</t>
  </si>
  <si>
    <t>VINA00109</t>
  </si>
  <si>
    <t>AC/DC/IR HIPOT TESTER/Máy kiểm tra điện cao áp, chức năng chính: đo ngắn mạch cho tụ điện, model: 19073, công suất: 300W, dòng điện: 100V/120V/220V/240V, 50/60Hz, hãng sản xuât: Chroma, năm 2019, hàng mới 100%</t>
  </si>
  <si>
    <t>102664194511</t>
  </si>
  <si>
    <t>0000097;0026129</t>
  </si>
  <si>
    <t>FI-&gt; FII NGÀY 01/06/2020</t>
  </si>
  <si>
    <t>VINA00110</t>
  </si>
  <si>
    <t>AUTO BENDING MACHINE/Máy uốn chân điện cực (của tụ điện) tự động AUTO BENDING MACHINE , model: VMS-200, điện áp: 220V, 60Hz, công suất: 0.5KW, năm sản xuất: 2018, nhà sản xuất: VINATECH, hàng đã qua sử dụng</t>
  </si>
  <si>
    <t>102671804321</t>
  </si>
  <si>
    <t>0000098</t>
  </si>
  <si>
    <t>FII_SLEEVE</t>
  </si>
  <si>
    <t>VINA00111</t>
  </si>
  <si>
    <t>Washing machine/Máy rửa bát</t>
  </si>
  <si>
    <t>CÔNG TY TNHH ĐẦU TƯ SẢN XUẤT VÀ THƯƠNG MẠI DỊCH VỤ ANH CƯỜNG</t>
  </si>
  <si>
    <t>0000490</t>
  </si>
  <si>
    <t>VINA00112</t>
  </si>
  <si>
    <t>Wooden box frame shock level/Khung hộp gỗ giật cấp</t>
  </si>
  <si>
    <t>0000836</t>
  </si>
  <si>
    <t>VINA00113</t>
  </si>
  <si>
    <t>AUTO SLEEVING MACHINE/Máy bọc vỏ tự động, công dụng: Bọc vỏ sản phẩm, model: VMSC-701, công suất: 5KW, điện áp: 220V, 60Hz, năm sản xuất: 2014, nhà sản xuất: VINATECH, hàng đã qua sử dụng</t>
  </si>
  <si>
    <t>102725150731</t>
  </si>
  <si>
    <t>0000210;0057413;0082209;0001495;0001503;0002884</t>
  </si>
  <si>
    <t>Cell 8</t>
  </si>
  <si>
    <t>VINA00114</t>
  </si>
  <si>
    <t>AUTO CLEAN MACHINE/Máy làm sạch (tụ điện) tự động, model: VMSC-501, công suất: 10KW, điện áp: 220V, 60Hz, năm sản xuất: 2014, nhà sản xuất: VINATECH, hàng đã qua sử dụng</t>
  </si>
  <si>
    <t>Cell 9</t>
  </si>
  <si>
    <t>VINA00115</t>
  </si>
  <si>
    <t>AUTO CURLING MACHINE/Máy uốn tạo biên dạng trên tự động ( dùng để tạo biên trên cho tụ điện), model: VMSC-601, công suất: 3KW, điện áp: 220V, 60Hz, năm sản xuất: 2015, nhà sản xuất: VINATECH, hàng đã qua sử dụng</t>
  </si>
  <si>
    <t>VINA00116</t>
  </si>
  <si>
    <t>AUTO STRIPPING MACHINE/Máy mài điện cực tự động (công dụng: mài chân điện cho tụ), model:VMSC-101, công suất: 3KW, điện áp: 220V, 60Hz, năm sản xuất: 2012, nhà sản xuất: VINATECH, hàng đã qua sử dụng</t>
  </si>
  <si>
    <t>Liquisition- TK xuất 304222575330-All</t>
  </si>
  <si>
    <t>Cell 3</t>
  </si>
  <si>
    <t>VINA00117</t>
  </si>
  <si>
    <t>AUTO RUBBER INSERT MACHINE VNEP0254/Máy chèn cao su tự động ( công dụng: chèn cao su cho tụ điện), model: VMSC-301, công suất: 5KW, điện áp: 220V, 60Hz, năm sản xuất: 2017, nhà sản xuất: VINATECH, hàng đã qua sử dụng</t>
  </si>
  <si>
    <t>VINA00118</t>
  </si>
  <si>
    <t>AUTO WINDING MACHINE/Máy cuốn tụ điện tự động, (dùng để cuốn tụ), model: VMSC-201, công suất: 5KW, điện áp: 220V, 60Hz, năm sản xuất: 2017, nhà sản xuất: VINATECH, hàng đã qua sử dụng</t>
  </si>
  <si>
    <t>VINA00119</t>
  </si>
  <si>
    <t>AUTO ASSEMBLY MACHINE/Máy lắp ráp tụ điện tự động (dùng để tự động), model: VMSC-401, công suất: 5KW, điện áp: 220V, 60Hz, năm sản xuất: 2014, nhà sản xuất: VINATECH, hàng đã qua sử dụng</t>
  </si>
  <si>
    <t>Cell 7</t>
  </si>
  <si>
    <t>VINA00120</t>
  </si>
  <si>
    <t>VACCUM OVEN OV-12/Lò sấy chân không, ( dùng để sấy khô tụ điện), model: OV-12, điện áp: 220V, 60Hz, công suất: 1.3KW, hãng: JEIO TECH, năm sản xuất: 2014, hàng đã qua sử dụng</t>
  </si>
  <si>
    <t>Cell 5 (2)+  Cell 18(2)</t>
  </si>
  <si>
    <t>VINA00121</t>
  </si>
  <si>
    <t>DUROMETER STAND (T-GS-612)/Thiết bị kiểm tra độ cứng cao su (T-GS-612), chạy bằng pin, hàng mới 100%</t>
  </si>
  <si>
    <t>102721744420</t>
  </si>
  <si>
    <t>0000209;0044078</t>
  </si>
  <si>
    <t>VINA00122</t>
  </si>
  <si>
    <t>AUTO RUBBER PLUG MACHINE/Máy đóng nắp cao su tự động AUTO RUBBER PLUG MACHINE ( đóng nắp cao su của tụ điện), model: XCJ2500R, công suất: 2 KW, điện áp: 220V, năm sản xuất: 2019, xuất xứ: China, hàng mới 100%</t>
  </si>
  <si>
    <t>102696225661</t>
  </si>
  <si>
    <t>VINA00123</t>
  </si>
  <si>
    <t>AUTOMATIC WINDING MACHINE Model: XCJ-3800/Máy cuốn tụ điện , AUTOMATIC WINDING MACHINE Model: XCJ-3800, điện áp: 380V, 3 pha, công suất: 8KW, năm sản xuất: 2019,  hàng mới 100%</t>
  </si>
  <si>
    <t>102683195310</t>
  </si>
  <si>
    <t>0000304</t>
  </si>
  <si>
    <t>VINA00124</t>
  </si>
  <si>
    <t>Wire SD charger/Thiết bị kiểm tra tính năng tụ (nạp/ xả điện) Wire SD charger, năm sản xuất: 2018,  hàng đã qua sử dụng</t>
  </si>
  <si>
    <t>102678335062</t>
  </si>
  <si>
    <t>0000208;0038189</t>
  </si>
  <si>
    <t>Aging F2</t>
  </si>
  <si>
    <t>VINA00125</t>
  </si>
  <si>
    <t>Dishwasher/Máy rửa bát</t>
  </si>
  <si>
    <t>CÔNG TY CỔ PHẦN ĐẦU TU LIÊN HỢP VINALINK</t>
  </si>
  <si>
    <t>0000279</t>
  </si>
  <si>
    <t>Nhà bếp</t>
  </si>
  <si>
    <t>VINA00126</t>
  </si>
  <si>
    <t>Stone table/Tủ bàn đá chạy dài giữa nhà</t>
  </si>
  <si>
    <t>VINA00127</t>
  </si>
  <si>
    <t>the value of the balance sheet of the economic contract No. 1207/HDKT/GD5/2019/VINA-ATH/Thiết kế và thi công nội thất khu văn phòng và khu nhà máy giai đoạn V theo hợp đồng kinh tế số 1207/HDKT/GD5/2019/VINA-ATH</t>
  </si>
  <si>
    <t>0000851</t>
  </si>
  <si>
    <t>Văn phòng</t>
  </si>
  <si>
    <t>VINA00128</t>
  </si>
  <si>
    <t>S/D CHECK MACHINE/Máy kiểm tra ngắn mạch S/D CHECK M/C, Model: VMS-003, điện áp: 220V 60Hz, công suất: 0.75KW, nhà sản xuất: VINATECH, năm sản xuất: 2018. Hàng mới 100%</t>
  </si>
  <si>
    <t>102739419750</t>
  </si>
  <si>
    <t>0046566</t>
  </si>
  <si>
    <t>VINA00129</t>
  </si>
  <si>
    <t>AL CASE HYDRAURLICS TESTER/Máy kiểm tra áp lực dầu vỏ nhôm AL CASE HYDRAURLICS TESTER, Model: HE-1901, điện áp: 220V, 50/60Hz,  công suất: 250W, nhà SX: Hanam Electronics, năm sản xuất: 2019, hàng mới 100%</t>
  </si>
  <si>
    <t>102782858950</t>
  </si>
  <si>
    <t>0079509;0000304</t>
  </si>
  <si>
    <t>IQC</t>
  </si>
  <si>
    <t>VINA00130</t>
  </si>
  <si>
    <t>AUTO SLEEVING MACHINE/Máy bọc vỏ tự động, công dụng: Bọc vỏ sản phẩm, model: VMSC-701, công suất: 5KW, điện áp: 220V, 60Hz, năm sản xuất: 2018, nhà sản xuất: VINATECH, hàng đã qua sử dụng</t>
  </si>
  <si>
    <t>Sets</t>
  </si>
  <si>
    <t>102790068403</t>
  </si>
  <si>
    <t>0006417;0006390;0006391;0005095;0016212;0016083;0000447</t>
  </si>
  <si>
    <t>VINA00131</t>
  </si>
  <si>
    <t>AUTO CURLING MACHINE/Máy uốn tạo biên dạng trên tụ điện tự động, model: VMSC-601, công suất: 2.2KW, điện áp: 220V, 60Hz, năm sản xuất: 2015, nhà sản xuất: VINATECH, hàng đã qua sử dụng</t>
  </si>
  <si>
    <t>Cell 7,8</t>
  </si>
  <si>
    <t>VINA00132</t>
  </si>
  <si>
    <t>AUTO STRIPPING MACHINE/Máy mài điện cực tự động (công dụng: mài chân điện cho tụ), model: VMSC-101, công suất: 4KW, điện áp: 220V, 60Hz, năm sản xuất: 2012, nhà sản xuất: VINATECH, hàng đã qua sử dụng</t>
  </si>
  <si>
    <t>Cell 4</t>
  </si>
  <si>
    <t>VINA00133</t>
  </si>
  <si>
    <t>AUTO STRIPPING MACHINE/Máy mài điện cực tự động (công dụng: mài chân điện cho tụ), model:VMSC-101, công suất: 4KW, điện áp: 220V, 60Hz, năm sản xuất: 2013, nhà sản xuất: VINATECH, hàng đã qua sử dụng</t>
  </si>
  <si>
    <t>Cell 5</t>
  </si>
  <si>
    <t>VINA00134</t>
  </si>
  <si>
    <t>Cell 9,10</t>
  </si>
  <si>
    <t>VINA00135</t>
  </si>
  <si>
    <t>AUTO CLEAN MACHINE/Máy làm sạch (tụ điện) tự động, model: VMSC-501, công suất: 11KW, điện áp: 220V, 60Hz, năm sản xuất: 2014, nhà sản xuất: VINATECH, hàng đã qua sử dụng</t>
  </si>
  <si>
    <t>01/02/2021: TSCĐ không dùng chuyển kho dabaco 6274-&gt; 8118</t>
  </si>
  <si>
    <t>VINA00136</t>
  </si>
  <si>
    <t>AUTO ASSEMBLY MACHINE/Máy lắp ráp tụ điện tự động (dùng để tự động), model: VMSC-401, công suất: 5KW, điện áp: 220V, 60Hz, năm sản xuất: 2015, nhà sản xuất: VINATECH, hàng đã qua sử dụng</t>
  </si>
  <si>
    <t>Replace by VINA00136A and VINA00136B</t>
  </si>
  <si>
    <t>Đã có mã thay thế</t>
  </si>
  <si>
    <t>VINA00136A</t>
  </si>
  <si>
    <t>Cell 10</t>
  </si>
  <si>
    <t>VINA00136B</t>
  </si>
  <si>
    <t>102790068403, 0044819,0044843</t>
  </si>
  <si>
    <t>VINA00137</t>
  </si>
  <si>
    <t>VACCUM OVEN OV-12/Lò sấy chân không, ( dùng để sấy khô tụ điện), model: OV-12, Công suất: 1.3KW, điện áp: 220V, 60Hz,  hãng: JEIO TECH, năm sản xuất: 2014,  hàng đã qua sử dụng</t>
  </si>
  <si>
    <t>VINA00138</t>
  </si>
  <si>
    <t>VACCUM OVEN OV-12/Lò sấy chân không, ( dùng để sấy khô tụ điện), model: OV-12, Công suất: 1.3KW, điện áp: 220V, 60Hz, hãng: JEIO TECH, năm sản xuất: 2013, hàng đã qua sử dụng</t>
  </si>
  <si>
    <t>Cell 6</t>
  </si>
  <si>
    <t>VINA00139</t>
  </si>
  <si>
    <t>VACCUM OVEN OV-12/Lò sấy chân không, (dùng để sấy khô tụ điện), model: OV-12, Công suất: 1.3KW, điện áp: 220V, 60Hz,  hãng: JEIO TECH, năm sản xuất: 2012, hàng đã qua sử dụng</t>
  </si>
  <si>
    <t>VINA00140</t>
  </si>
  <si>
    <t>VACCUM OVEN OV-12/Lò sấy chân không, (dùng để sấy khô tụ điện), model: OV-12, Công suất: 1.3KW, điện áp: 220V, 60Hz,  hãng: JEIO TECH, năm sản xuất: 2014,  hàng đã qua sử dụng</t>
  </si>
  <si>
    <t>VINA00141</t>
  </si>
  <si>
    <t>VACCUM OVEN OV-12/Lò sấy chân không, (dùng để sấy khô tụ điện), model: OV-12, Công suất: 1.3KW, điện áp: 220V, 60Hz,  hãng: JEIO TECH, năm sản xuất: 2014, hàng đã qua sử dụng</t>
  </si>
  <si>
    <t>VINA00142</t>
  </si>
  <si>
    <t>VACCUM OVEN OV-12/Lò sấy chân không, (dùng để sấy khô tụ điện), model: OV-12, Công suất: 1.3KW, điện áp: 220V, 60Hz, hãng: JEIO TECH, năm sản xuất: 2014, hàng đã qua sử dụng</t>
  </si>
  <si>
    <t>VINA00143</t>
  </si>
  <si>
    <t>AUTO SLEEVING MACHINE/Máy bọc vỏ tự động AUTO SLEEVING MACHINE, công dụng: Bọc vỏ sản phẩm, model: VMSC-701, công suất: 6.6 KW, điện áp: 220V, 60Hz, năm sản xuất: 2014, nhà sản xuất: VINATECH, hàng đã qua sử dụng</t>
  </si>
  <si>
    <t>102813523851</t>
  </si>
  <si>
    <t>0008323;0025557;0052507;0000447</t>
  </si>
  <si>
    <t>VINA00144</t>
  </si>
  <si>
    <t>LEAD CUTTING MACHINE/Máy cắt chân điện cực của tụ điện LEAD CUTTING MACHINE, model: VSM-201, điện áp 220V công suất 0.3KW, nằm sản xuất 2018, nhà sản xuất: VINATECH,  hàng đã qua sử dụng</t>
  </si>
  <si>
    <t>VINA00145</t>
  </si>
  <si>
    <t>AUTO STRIPPING MACHINE/Máy mài điện cực tự động (công dụng: mài chân điện cho tụ) AUTO STRIPPING MACHINE, model:VMSC-101, công suất: 4KW, điện áp: 220V, 60Hz, năm sản xuất: 2012, nhà sản xuất: VINATECH, hàng đã qua sử dụng</t>
  </si>
  <si>
    <t>FII</t>
  </si>
  <si>
    <t>VINA00146</t>
  </si>
  <si>
    <t>AUTO CURLING MACHINE/Máy uốn tạo biên dạng trên tự động cho tụ điện AUTO CURLING MACHINE , model:VMS-070, công suất:2.2KW, điện áp: 220V,60Hz, năm sản xuất:2015, nhà sản xuất: VINATECH, hàng đã qua sử dụng</t>
  </si>
  <si>
    <t>102847259762</t>
  </si>
  <si>
    <t>0026320;0038175;0010199;0004079;0000559</t>
  </si>
  <si>
    <t xml:space="preserve">FII_CURLING     </t>
  </si>
  <si>
    <t>FA190901</t>
  </si>
  <si>
    <t>AUTO RUBBER INSERT MACHINE/Máy đóng nắp cao su tự động AUTO RUBBER INSERT MACHINE (đóng nắp cao su của tụ điện), model: VMS-325, công suất: 4KW,điện áp: 220V 60 Hz, năm sản xuất: 2015, nhà sản xuất:VINATECH, hàng đã qua sử dụng</t>
  </si>
  <si>
    <t>FA190902</t>
  </si>
  <si>
    <t>AUTOMATIC WINDING MACHINE/Máy cuốn tụ điện, AUTOMATIC WINDING MACHINE, Model: XCJ-5600, điện áp: 220V, công suất: 15 KW, nhà sx: SHEN ZHEN SHI XING CHENGJIE PRECISE EQUIPMENT CO., LTD, năm sản xuất: 2019,  hàng mới 100%</t>
  </si>
  <si>
    <t>102849119810</t>
  </si>
  <si>
    <t>0000559</t>
  </si>
  <si>
    <t>FA190903</t>
  </si>
  <si>
    <t>CLEANING MACHINE/Máy rửa tự động ( dùng để làm sạch tụ), model: XCJ2510QX, điện áp: 220V, công suất 5KW, năm sản xuất: 2019,  hàng mới 100%</t>
  </si>
  <si>
    <t>102851799040</t>
  </si>
  <si>
    <t>FA190904</t>
  </si>
  <si>
    <t>AUTOMATIC WINDING MACHINE/Máy cuốn tụ điện , AUTOMATIC WINDING MACHINE, model: VMSC-201, Công suất: 5KW, dòng điện: 220V, năm sản xuất: 2017, nhà sản xuất: VINATECH, hàng đã qua sử dụng</t>
  </si>
  <si>
    <t>102852556002</t>
  </si>
  <si>
    <t>0112770;0000556</t>
  </si>
  <si>
    <t>Cell 11</t>
  </si>
  <si>
    <t>FA190906</t>
  </si>
  <si>
    <t>AUTO WINDING MACHINE/Máy cuốn tụ điện tự động, AUTO WINDING MACHINE, Model: SPH-3500D,  điện áp: 220V, công suất: 3.7KW, năm sản xuất: 2015, nhà sản xuất: VINATECH, hàng đã qua sử dụng</t>
  </si>
  <si>
    <t>102872963763</t>
  </si>
  <si>
    <t>0046517;0011797;0056599;0000559</t>
  </si>
  <si>
    <t>FA190905</t>
  </si>
  <si>
    <t>AUTO CURLING &amp; SLEEVE MACHINE/Máy tự động uốn tạo biên dạng trên và bọc vỏ cho tụ điện, AUTO CURLING &amp; SLEEVE MACHINE, model: VMCS-001, công suất: 10 KW, điện áp: 220V, năm sx: 2019 nhà sản xuất: VINATECH, hàng mới 100%</t>
  </si>
  <si>
    <t>Cell 4,5</t>
  </si>
  <si>
    <t>FA191001</t>
  </si>
  <si>
    <t>TUNNEL HEATER CONVEYER/Máy bọc vỏ, Model: CM-100, Công dụng: bọc sản phẩm, điện áp: 220V, 60Hz, công suất 5,2 KW, hãng SVKOREA , năm sản xuất: 2019, hàng đã qua sử dụng</t>
  </si>
  <si>
    <t>102901318922</t>
  </si>
  <si>
    <t>0098120;0014034;0089368;0000726</t>
  </si>
  <si>
    <t>FA191002</t>
  </si>
  <si>
    <t>AUTO WINDING MACHINE/Máy cuốn tụ điện tự động, AUTO WINDING MACHINE, Model: KS-500SA, điện áp: 220V, công suất: 1.9 KW, năm sản xuất: 2017, nhà sản xuất: VINATECH, hàng đã qua sử dụng</t>
  </si>
  <si>
    <t>FA191003</t>
  </si>
  <si>
    <t>AUTO BEAD &amp; CURLING MACHINE (USED)/Máy tự động uốn tạo biên dạng trên và bọc vỏ cho tụ điện, AUTO BEAD&amp;CURLING MACHINE, model: VMBC-001, công suất: 1 KW, điện áp: 220V, năm sx: 2019, nhà sản xuất: VINATECH, hàng đã qua sử dụng</t>
  </si>
  <si>
    <t>FA191004A</t>
  </si>
  <si>
    <t>Conveyor and Working table 1/Bộ băng tải và bàn thao tác W105*L1130*H200mm</t>
  </si>
  <si>
    <t>CÔNG TY TNHH B-TEK</t>
  </si>
  <si>
    <t>0000062</t>
  </si>
  <si>
    <t>FA191004B</t>
  </si>
  <si>
    <t>Conveyor and Working table 2/Bộ băng tải và bàn thao tác W105*L1130*H200mm</t>
  </si>
  <si>
    <t>FA191005</t>
  </si>
  <si>
    <t>Conveyor and Working table 3/Bộ băng tải và bàn thao tác W105*L1330*H200mm</t>
  </si>
  <si>
    <t>FA191101</t>
  </si>
  <si>
    <t>GENERATOR 825kVA/Máy phát điện 825kVA</t>
  </si>
  <si>
    <t>cái</t>
  </si>
  <si>
    <t>0000017</t>
  </si>
  <si>
    <t>OUT FACTORY</t>
  </si>
  <si>
    <t>FA191102</t>
  </si>
  <si>
    <t>ATS panel/Tủ Át</t>
  </si>
  <si>
    <t>FA191103</t>
  </si>
  <si>
    <t>Cable (Cable from Genset to ATS (MDB))/Cáp</t>
  </si>
  <si>
    <t>FA191104</t>
  </si>
  <si>
    <t>Transformer/Máy biến áp 350 KVA</t>
  </si>
  <si>
    <t>0000417</t>
  </si>
  <si>
    <t>FA191105</t>
  </si>
  <si>
    <t>Building (Admin and apart of Factory)-II STAGE/Construction of Fence, Generator room,waster house roof, Noise Panel/ Nhà cửa, vật kiến trúc- Giá trị hoàn thành phần thi công xây dựng hàng rào, phòng máy phát, mái nhà rác, tấm chống ẩm thoe HĐKT số 2905/2019/HĐKT ký ngày 29/05/2019</t>
  </si>
  <si>
    <t>Lần</t>
  </si>
  <si>
    <t>0000016</t>
  </si>
  <si>
    <t>FA191106</t>
  </si>
  <si>
    <t>Moisture Titrator (MKC-710)/Máy kiểm tra độ ẩm dung dịch ( dùng để phân tích nhiểm ẩm của dung dịch chất điện phân), model: MKC-710, dòng điện 220v - hàng mới 100%</t>
  </si>
  <si>
    <t>103002960100</t>
  </si>
  <si>
    <t>0183584;0000956</t>
  </si>
  <si>
    <t>FA191107</t>
  </si>
  <si>
    <t>X-Ray machine/Máy kiểm tra sản phẩm X-ray, model: XSCAN-A130H (công dụng kiểm tra thành phẩm tụ điện) công suất: 130kV, dòng điện 220v, 50-60 Hz, hàng mới 100%</t>
  </si>
  <si>
    <t>XAVIS CO., LTD</t>
  </si>
  <si>
    <t>102978274342</t>
  </si>
  <si>
    <t>0045053;0000797;0005723;0000958</t>
  </si>
  <si>
    <t>FA191108</t>
  </si>
  <si>
    <t>Auto assembly machine (Used)/Máy lắp ráp tụ điện tự động (dùng để lắp tụ tự động), model: VMSC-401, công suất: 5KW, điện áp: 220V, 60Hz, năm sản xuất: 2015, nhà sản xuất: VINATECH, hàng đã qua sử dụng</t>
  </si>
  <si>
    <t>102979638861</t>
  </si>
  <si>
    <t>0045225;0047803;0000958</t>
  </si>
  <si>
    <t>FA191201</t>
  </si>
  <si>
    <t>TAPPING MACHINE/Máy sắp xếp và đóng gói tụ TAPPING MACHINE (dùng để sắp xếp tụ theo thứ tự, đưa vào đóng gói), model: 350, công suất 3KW, điện áp 220V, nhà sản  xuất YUXINCHENG, năm sản xuất:2015,</t>
  </si>
  <si>
    <t>103028427131</t>
  </si>
  <si>
    <t>0001211;0194499;0000099</t>
  </si>
  <si>
    <t>FII_CPC</t>
  </si>
  <si>
    <t>FA191202</t>
  </si>
  <si>
    <t>Vaccum oven Ov-12 (Used)/Lò sấy chân không, ( dùng để sấy khô tụ điện), model: OV-12, điện áp: 220V, 60Hz, công suất: 1.3KW, hãng: JEIO TECH, năm sản xuất: 2012, hàng đã qua sử dụng</t>
  </si>
  <si>
    <t>103040766732</t>
  </si>
  <si>
    <t>0001211;0201064</t>
  </si>
  <si>
    <t>FA191203</t>
  </si>
  <si>
    <t>FA191204</t>
  </si>
  <si>
    <t>FA191205</t>
  </si>
  <si>
    <t>FA191206</t>
  </si>
  <si>
    <t>Panel system Kiosk/Máy tính màn hình cảm ứng (công dụng: Sử dụng để lưu trữ, hiển thị dữ liệu sản xuất), model: NTP21KLF, màn hình :21 inch, Full HD 1920x1080; core: 13, ram 8G, bộ nhớ: 128G, năm sx :2019- hàng mới 100%</t>
  </si>
  <si>
    <t>INEWTEK INC.</t>
  </si>
  <si>
    <t>103045948500</t>
  </si>
  <si>
    <t>0001201;0000970;0001120</t>
  </si>
  <si>
    <t>FA191207</t>
  </si>
  <si>
    <t>FA191208</t>
  </si>
  <si>
    <t>FA191209</t>
  </si>
  <si>
    <t>Room Display (8531.20-1000)/Màn hình hiển thị loại đơn sắc (bộ phận của cảm biến đo điểm sương, model DMT348, NSX: Vaisala Oyj, nhãn hiệu Vaisala) công dụng, hiển thị thông số của cảm biến đo điểm sương, hàng mới 100%</t>
  </si>
  <si>
    <t>CK SOLUTION CO., LTD.</t>
  </si>
  <si>
    <t>103066761012</t>
  </si>
  <si>
    <t>0001207</t>
  </si>
  <si>
    <t>FA191210</t>
  </si>
  <si>
    <t>D.P Sensor (9024.90-1000)/Cảm biến đo điểm sương model DMT348, nhà sản xuất Vaisala Oyj, nhãn hiệu Vaisala, công dụng: đo độ ẩm, nhiệt độ điểm sương, dòng điện 220mA, DC 24A, năm sản xuất: 2019, hàng mới</t>
  </si>
  <si>
    <t>FA200102</t>
  </si>
  <si>
    <t>EVAPORATOR ADP-611/Máy kiểm tra đánh giá độ sạch tụ điện, model: ADP-661, công suất 150W, dòng điện 120-230 VAC, năm sản xuất :2019 , nhà sản xuất : KYOTO, xuất xứ: Nhật Bản - hàng mới 100%</t>
  </si>
  <si>
    <t>103088064702</t>
  </si>
  <si>
    <t>0224009;0223370;0001488</t>
  </si>
  <si>
    <t>FA200103</t>
  </si>
  <si>
    <t>EDLC AGING &amp; SORTING MACHINE FOR ELECTROLYTIC CAPACITOR (MODEL: ECAS-2500)/Máy kiểm tra và phân loại tụ điện dùng để già hóa và phân loại tụ điện, Model: ECAS-2500, công suất 34KW, điện áp 220V, năm Sx: 2016,Nhà sx:SAMHWA ENGINEERING CO.,LTD - hàng đã qua sử dụng</t>
  </si>
  <si>
    <t>SETS</t>
  </si>
  <si>
    <t>103098322462</t>
  </si>
  <si>
    <t>0011405;0028157;0123363;0001491;0000113</t>
  </si>
  <si>
    <t>Trước cửa VP</t>
  </si>
  <si>
    <t>FII_AGING</t>
  </si>
  <si>
    <t>AGING</t>
  </si>
  <si>
    <t>FA200201</t>
  </si>
  <si>
    <t>PANEL SYSTEM/Máy tính công nghiệp (lắp ráp vào dây chuyền, lưu trữ, hiển thị dữ liệu sản xuất, chỉ dùng trong nhà máy), model: NTP21KLF, màn hình:21 inch, core: 13, ram 8G, Nsx: INEWTEK, năm sx :2019, mới 100%</t>
  </si>
  <si>
    <t>103128659541</t>
  </si>
  <si>
    <t>0011444;0001191;0001687;0000140</t>
  </si>
  <si>
    <t>FA200202</t>
  </si>
  <si>
    <t>FA200203</t>
  </si>
  <si>
    <t>FA200204</t>
  </si>
  <si>
    <t>Cell 15</t>
  </si>
  <si>
    <t>FA200205</t>
  </si>
  <si>
    <t>FA200206</t>
  </si>
  <si>
    <t>FA200207</t>
  </si>
  <si>
    <t>FA200208</t>
  </si>
  <si>
    <t>Air compressor and air dryer system/Hệ thống máy nén khí và máy sấy khí</t>
  </si>
  <si>
    <t>CHI NHÁNH CÔNG TY TNHH YUJIN FLUID VIỆT NAM</t>
  </si>
  <si>
    <t>0000305</t>
  </si>
  <si>
    <t>FA200301</t>
  </si>
  <si>
    <t xml:space="preserve">WASHING MACHINE/Máy rửa bằng sóng siêu âm SONIC505
</t>
  </si>
  <si>
    <t>CÔNG TY CỔ PHẦN GTT VIỆT NAM</t>
  </si>
  <si>
    <t>0000456</t>
  </si>
  <si>
    <t>FII_ELECTRODE</t>
  </si>
  <si>
    <t>FA200302</t>
  </si>
  <si>
    <t>I/O PCB BOARD LINK_IO_002 REV04/ Bản mạch đầu vào/ra dùng cho máy winding KS500, hàng mới 100%</t>
  </si>
  <si>
    <t>103195236910</t>
  </si>
  <si>
    <t>0273985;0002012</t>
  </si>
  <si>
    <t>JAVIS-FI</t>
  </si>
  <si>
    <t>FA200303</t>
  </si>
  <si>
    <t>TUNNEL HEATER CONVEYER (CM-100)/Máy bọc vỏ sử dụng trong công đoạn bọc vỏ tụ điện, Model CM-100, công suất 5.2KW, điện áp 1pha, 220V, 50/60Hz, nhà sx HANKOOKPACK, năm sx 2019, hàng đã qua sử dụng</t>
  </si>
  <si>
    <t>103211645132</t>
  </si>
  <si>
    <t>0000170;0018297;0034761;0034747;0009774;0002020</t>
  </si>
  <si>
    <t>FA200304</t>
  </si>
  <si>
    <t>PUNCHING &amp; REVETING M/C (MSC-2011) SOLUTION/Máy dập dùng để dập và tán chân tụ điện, Model MCS-2011, công suất 1KW, điện áp 2pha, 220V, 50/60Hz, nhà sx MECHA, năm sx 2011, hàng đã qua sử dụng</t>
  </si>
  <si>
    <t>FA200305</t>
  </si>
  <si>
    <t>PUNCHING &amp; REVETING M/C (MSC-2011) SOLUTION/Máy bo cổ tụ sử dụng để bo cổ tụ điện, Model MCS-2011, công suất 1KW, điện áp 2pha, 220V, 50/60Hz, nhà sx MECHA,, năm sx 2011, hàng đã qua sử dụng</t>
  </si>
  <si>
    <t>FA200306</t>
  </si>
  <si>
    <t>MANUAL CURLING MACHINE (MSC-1021)/Máy bo cổ tụ sử dụng để bo cổ tụ điện, Model MSC-1021, công suất 1.5KW, điện áp  3pha, 220V, 50/60Hz, nhà sx MECHA SOLUTION, năm sx 2011, hàng đã qua sử dụng</t>
  </si>
  <si>
    <t>FA200307</t>
  </si>
  <si>
    <t>AUTO STRIPPING MACHINE (MLS-2012)/Máy mài sử dụng để mài liệu tụ điện, Model MLS-2012, công suất 4KW, điện áp 2pha, 220V, 50/60Hz, nhà sx MECHA</t>
  </si>
  <si>
    <t>FII_WINDING</t>
  </si>
  <si>
    <t>FA200308</t>
  </si>
  <si>
    <t>AUTO WINDING MACHINE (KS-2260AH) KOEM ENGINEERING CO.,LTD,/Máy cuốn sử dụng trong công đoạn cuốn tụ điện, Model KS-2260AH, công suất 15KW, điện áp  3pha, 220V, 60Hz, nhà sx, năm sx 2013, hàng đã qua sử dụng</t>
  </si>
  <si>
    <t>FA200309</t>
  </si>
  <si>
    <t>AUTO WINDING MACHINE (PCWL-4500) NANTONG TIANHE MECHANICAL TECHNOLOGY CO.,LTD/Máy cuốn sử dụng trong công đoạn cuốn tụ điện, Model PCWL-4500, công suất 8KW, điện áp  3pha, 220V, 50Hz, nhà sx, năm sx 2011, hàng đã qua sử dụng</t>
  </si>
  <si>
    <t>FA200310</t>
  </si>
  <si>
    <t>VIDEO SYSTEM CAMERA (DKVSC-1001)/Máy đo sử dụng để kiểm tra kích thước sản phẩm, Model DKVSC-1001, công suất 0.3KW, điện áp 220V, 2pha, 50/60Hz, nhà sx DK AUTOMATION, năm sx 2017, hàng đã qua sử dụng</t>
  </si>
  <si>
    <t>FA200311</t>
  </si>
  <si>
    <t>VIDEO METER (VMS-1510G)/Máy kiểm tra kích thước sản phẩm, Model VMS-1510G, công suất 0.5KW, điện áp 220V, 2pha, 50/60Hz, nhà sx RATIONAL PRECISION INSTRUMENT CO.,LTD, năm sx 2016, hàng đã qua sử dụng</t>
  </si>
  <si>
    <t>Manual line F2, Phòng KTSP</t>
  </si>
  <si>
    <t>FA200312</t>
  </si>
  <si>
    <t>AUTOMATIC WINDING MACHINE/Máy cuốn tụ điện , AUTOMATIC WINDING MACHINE Model: XCJ-3800, điện áp: 380V, 3 pha, công suất: 10KW, năm sản xuất: 2020,  hàng mới 100%</t>
  </si>
  <si>
    <t>103213106030</t>
  </si>
  <si>
    <t>0000170</t>
  </si>
  <si>
    <t>FA200313</t>
  </si>
  <si>
    <t>SLEEVE CUTTER/Máy cắt dùng để cắt vỏ bọc, Model  ANYCUT-110E, công suất  1.1KW, điện áp 1pha, 220V, 50/60Hz, NSX:ANYTECH, năm sx 2019, hàng đã qua sử dụng</t>
  </si>
  <si>
    <t>103221052432</t>
  </si>
  <si>
    <t>0000170;0020101;0010888;0006350;0002020</t>
  </si>
  <si>
    <t>FA200314</t>
  </si>
  <si>
    <t>AUTOMATIC CURLING MACHINE/Máy bo tụ tự động dùng để bo miệng tụ điện, Model  LCM-700, công suất  2KW, điện áp 3pha, 220V, 60Hz, NSX:SAMHWA ENGINEERING CO.,LTD, năm sx 2012, hàng đã qua sử dụng</t>
  </si>
  <si>
    <t>FA200315</t>
  </si>
  <si>
    <t>AUTOMATIC IVETING MACHINE/Máy tán chân tự động dùng để tán chân tụ điện, Model  LRM-700, công suất  2KW, điện áp 3pha, 220V, 60Hz, NSX:SAMHWA ENGINEERING CO.,LTD, năm sx 2012, hàng đã qua sử dụng</t>
  </si>
  <si>
    <t>FA200316</t>
  </si>
  <si>
    <t>VACUUM OVEN #2/Lò sấy chân không, (dùng để sấy khô tụ điện), Model  OV-12, công suất  1.3KW, điện áp 1pha, 220V, 60Hz, NSX:JEIO TECH, năm sx 2013, hàng đã qua sử dụng</t>
  </si>
  <si>
    <t>FA200317</t>
  </si>
  <si>
    <t>FA200318</t>
  </si>
  <si>
    <t>FA200319</t>
  </si>
  <si>
    <t>VACUUM OVEN #1/Lò sấy chân không, (dùng để sấy khô tụ điện), Model  OV-12, công suất  1.3KW, điện áp 1pha, 220V, 60Hz, NSX:JEIO TECH, năm sx 2014, hàng đã qua sử dụng</t>
  </si>
  <si>
    <t>FA200320</t>
  </si>
  <si>
    <t>FA200321</t>
  </si>
  <si>
    <t>FA200322</t>
  </si>
  <si>
    <t>FA200323</t>
  </si>
  <si>
    <t>FA200324</t>
  </si>
  <si>
    <t>Cell 19</t>
  </si>
  <si>
    <t>FA200325</t>
  </si>
  <si>
    <t>FA200326</t>
  </si>
  <si>
    <t>FA200327</t>
  </si>
  <si>
    <t>FA200328</t>
  </si>
  <si>
    <t>FA200329</t>
  </si>
  <si>
    <t>FA200331</t>
  </si>
  <si>
    <t>CELL VOLTAGE MONITERING M/C/Máy kiểm tra tụ dùng để giám sát điện áp của tụ, Model  DHBTS-0510, công suất  10KW, điện áp 1pha, 220V, 60Hz, NSX:DAE HEUNG Precision Industry Co.,Ltd, năm sx 2012, hàng đã qua sử dụng</t>
  </si>
  <si>
    <t>FA200332</t>
  </si>
  <si>
    <t>HIGH TEMP AGING CHAMBER/Thiết bị kiểm tra chức năng của tụ điện, Model  DHETS-05128, công suất  14KW, điện áp 1pha, 220V, 50/60Hz, NSX:DAE HEUNG Precision Industry Co.,Ltd, năm sx 2013, hàng đã qua sử dụng</t>
  </si>
  <si>
    <t>FA200333</t>
  </si>
  <si>
    <t>HIGH TEMP AGING CHAMBER#1 /Thiết bị kiểm tra chức năng của tụ điện, Model  DYBTS-05128, công suất  25KW, điện áp 3pha, 220V, 60Hz, NSX:DAE HEUNG Precision Industry Co.,Ltd, năm sx 2013, hàng đã qua sử dụng</t>
  </si>
  <si>
    <t>FA200334</t>
  </si>
  <si>
    <t>HIGH TEMP AGING CHAMBER#2/Thiết bị kiểm tra chức năng của tụ điện, Model  DYBTS-05128, công suất 25KW, điện áp 3pha, 220V, 60Hz, NSX:DAE HEUNG Precision Industry Co.,Ltd,năm sx 2013, hàng đã qua sử dụng</t>
  </si>
  <si>
    <t>FA200335</t>
  </si>
  <si>
    <t>BALL MILL TABLE (BMT-0102) /Tủ chứa, dùng để chứa sản phẩm trong sản xuất tụ, Model BMT-0102, nhà sx DAE WHA Tech Co. , năm sx 2019, hàng mới 100%</t>
  </si>
  <si>
    <t>103223396255</t>
  </si>
  <si>
    <t>0000170;0020099;0143698;0007828;0007935;0002020</t>
  </si>
  <si>
    <t>Electrode line F2</t>
  </si>
  <si>
    <t>FA200336</t>
  </si>
  <si>
    <t>VACUUM PUMP (V-VC 75)/Bơm chân không, dùng để tạo áp lực âm, Model V-VC 75, công suất 2.2KW, điện áp  3pha, 220V, 50/60Hz, nhà sx Gardner Denver, năm sx 2019, hàng đã qua sử dụng</t>
  </si>
  <si>
    <t>FII_BEADING</t>
  </si>
  <si>
    <t>FA200337</t>
  </si>
  <si>
    <t>FA200338</t>
  </si>
  <si>
    <t>CHILLER/Máy lạnh, dùng để làm lạnh, Model HD-03A, công suất 3.04KW, điện áp  3pha, 220V, 50Hz, nhà sx HYUNDAI ENG CO,.LTD, năm sx 2020, hàng mới 100%</t>
  </si>
  <si>
    <t>Electrode line F2,Dùng có máy mix 125L</t>
  </si>
  <si>
    <t>FA200339</t>
  </si>
  <si>
    <t>Electrode line F2, Dùng có máy mix 125L</t>
  </si>
  <si>
    <t>FA200340</t>
  </si>
  <si>
    <t>BEADING M/C (TB255)/Máy bo cổ, dùng để bo cổ tụ điện, BEADING M/C, Model TB255, công suất 0.2KW, điện áp  1pha, 220V, 60Hz, nhà sx TECHLAND, năm sx 2016, hàng đã qua sử dụng</t>
  </si>
  <si>
    <t>FI-&gt; FII NGÀY 01/09/2020</t>
  </si>
  <si>
    <t>FA200341</t>
  </si>
  <si>
    <t>RIVETING MACHINE (THM-808)/Máy tán chân, dùng để tán chân trong sản xuất tụ điện, Model THM-808, công suất 1KW, điện áp  2pha, 220V, 50Hz,  nhà sx NANTONG TIANHE MECHANICAL TECHNOLOGY CO.,LTD, năm sx 2011, hàng đã qua sử dụng</t>
  </si>
  <si>
    <t>FA200342</t>
  </si>
  <si>
    <t>PLANETARY DISPER MIXER (PDM 125-15)/Máy trộn, dùng để trộn nguyên vật liệu, Model PDM 125-15, công suất 25KW, điện áp  3pha, 380V, 60Hz, nhà sx SHIN-IL MIXER n MILLS Co. năm sx 2010, hàng đã qua sử dụng</t>
  </si>
  <si>
    <t>FA200343</t>
  </si>
  <si>
    <t>PLANETARY DISPER MIXER (PDM 125-15)/Máy trộn, dùng để trộn nguyên vật liệu, Model PDM 125-15, công suất 25KW, điện áp  3pha, 380V, 60Hz, nhà sx SHIN-IL MIXER n MILLS Co., năm sx 2011, hàng đã qua sử dụng</t>
  </si>
  <si>
    <t>FA200344</t>
  </si>
  <si>
    <t>AUTO WINDING MACHINE (KS2260A)/Máy cuốn tụ điện tự động, AUTO WINDING MACHINE, Model KS-2260A, điện áp  3pha, 220V, 60Hz, 30A, nhà sx KOEM ENGINEERING Co., năm sx 2016, hàng đã qua sử dụng</t>
  </si>
  <si>
    <t>FA200345</t>
  </si>
  <si>
    <t>VISCOMETER (X DV 2 TLV TJ00E00)/ Máy đo độ nhớt dùng để đo độ nhớt dung dịch, Model : DV 2TLV, điện áp 230VAC,  50/60 Hz, kích thước: 56cm(W) x 28cm(L) x 56cm (H), nhà sx DAERYUN INSTRUMENTS, năm sx 2019, hàng mới 100%</t>
  </si>
  <si>
    <t>01/6/2021: Xuất sang Vinatech co.,ltd để sửa chưa theo TK 304047067500-&gt; 01/06/2021: KHTS chuyển từ 6274-&gt;8118. Đến 01/10/2021 nhận về sửa chữa và sử dụng chuyển từ 8118-&gt; 6274</t>
  </si>
  <si>
    <t>Electrode line F2-MIXING</t>
  </si>
  <si>
    <t>FA200346</t>
  </si>
  <si>
    <t>EDLC TESTER CHARGER/ DISCHAGER (BW-BTS0610)/Máy kiểm tra, dùng để kiểm tra chất lượng của tụ điện, Model BW-BTS0610, điện áp  2pha, 220V, 50/60Hz, 20A,  nhà sx BIT&amp;WATT, năm sx 2019, hàng đã qua sử dụng</t>
  </si>
  <si>
    <t>FA200447</t>
  </si>
  <si>
    <t>LUG AUTO CURLING&amp;BEADING M/C (XCJ3500F)/Máy bo cổ và mài miệng tụ điện, Model: XCJ3500F, điện áp: 220V, Công suất: 1.5KW, Năm sản xuất: 2020, Hàng mới 100%</t>
  </si>
  <si>
    <t>SHENZHEN XINGCHUANGJIA TECHNOLOGY COMPANY LIMITED</t>
  </si>
  <si>
    <t>103235362200</t>
  </si>
  <si>
    <t>0000187,0002292,0002304,0010169,0021405,0145298</t>
  </si>
  <si>
    <t>FA200448</t>
  </si>
  <si>
    <t>COATING MACHINE/Dây chuyền tời liệu phủ bột than lên foil điện cực, Model CM-20F485L(N), điện áp 3 pha, 380V, 50/60Hz, Nhà sx: CORN CO.,LTD, năm sx 2020, hàng mới 100%</t>
  </si>
  <si>
    <t>103229012943</t>
  </si>
  <si>
    <t>0002304,0000187,0003231,0003232,0010416,0027956,0036791,0036796,0147600,0147603</t>
  </si>
  <si>
    <t>FA200450</t>
  </si>
  <si>
    <t>AUTOMATIC SLEEVING MACHINE/Máy tự động bọc vỏ loại sản phẩm lớn dùng để bọc vỏ tụ điện loại to Model LSM-700 công suất 15KW, điện áp 3pha, 220V, 60Hz, nhà sx SAMHWA ENGINEERING CO.,LTD, năm sx 2012, hàng đã qua sử dụng</t>
  </si>
  <si>
    <t>103249949611</t>
  </si>
  <si>
    <t>0010417,0010418,0010466,0010467,0011207,0011208,0011305,0025021,0026856,0039214,0147445,0152716,0154093,0154094, 0000206, 0011323, 0195783, 0002535</t>
  </si>
  <si>
    <t>FA200451</t>
  </si>
  <si>
    <t>CONDENCER CLEAN/Máy rửa tự động dùng để làm sạch tụ điện Model DYM-C100 công suất 13KW, điện áp 1pha, 220V, 60Hz, nhà sx Dong Young Machinery Co.,ltd, năm sx 2013, hàng đã qua sử dụng</t>
  </si>
  <si>
    <t>FII_CURLING</t>
  </si>
  <si>
    <t>FA200452</t>
  </si>
  <si>
    <t>EDLC PRODUCT TESTER/Máy kiểm tra chức năng nạp, xả dòng của tụ điện, cỡ lớn, Model HEPT-2235 công suất 80KW, điện áp 3pha, 380V, 60Hz, nhà sx Human instrument, năm sx 2011, hàng đã qua sử dụng</t>
  </si>
  <si>
    <t>FA200453</t>
  </si>
  <si>
    <t>VACUUM SYSTEM 30 USER/Bơm chân không, dùng cho việc sx tụ điện, hàng mới 100%</t>
  </si>
  <si>
    <t>VACSCO CO.,LTD.</t>
  </si>
  <si>
    <t>103267649662</t>
  </si>
  <si>
    <t>0000187,0002292,0002304,0010811,0021277,0033811,0037535</t>
  </si>
  <si>
    <t>FA200454</t>
  </si>
  <si>
    <t>VACUUMS/Máy hút chân không ( máy mới)</t>
  </si>
  <si>
    <t>NGUYỄN VĂN THẮNG</t>
  </si>
  <si>
    <t>0038245</t>
  </si>
  <si>
    <t>FA200455</t>
  </si>
  <si>
    <t>PRODUCT SINK/Bồn rửa sản phẩm</t>
  </si>
  <si>
    <t>CÔNG TY TNHH SX VÀ TM HANA VIỆT NAM</t>
  </si>
  <si>
    <t>0000021</t>
  </si>
  <si>
    <t>FA200456</t>
  </si>
  <si>
    <t>Water filter system PRO-D1-125/Thiết bị hệ thống lọc nước PRO-D1-125</t>
  </si>
  <si>
    <t>CÔNG TY TNHH DỊCH VỤ KỸ THUẬT ALV TECH</t>
  </si>
  <si>
    <t>0009014</t>
  </si>
  <si>
    <t>FA200557</t>
  </si>
  <si>
    <t>VACUUM OVEN/Lò sấy chân không, ( dùng để sấy khô tụ điện), model: OV-JT-64S, điện áp: 380VAC, 60Hz, công suất: 3KW, hãng sx: JEIO TECH, năm sản xuất:2020, hàng mới 100%</t>
  </si>
  <si>
    <t>103306510200</t>
  </si>
  <si>
    <t>0002535, 0025151, 0046086,0000242</t>
  </si>
  <si>
    <t>FA200558</t>
  </si>
  <si>
    <t>FA200559</t>
  </si>
  <si>
    <t>FA200560</t>
  </si>
  <si>
    <t>FA200561</t>
  </si>
  <si>
    <t>FA200562</t>
  </si>
  <si>
    <t>FA200563</t>
  </si>
  <si>
    <t>FA200564</t>
  </si>
  <si>
    <t>CHARACTERISTIC MEASURING M/C/Máy đo dung lượng tụ điện, Model:DHETS-0510, công suất: 11KW, điện áp 220v 60Hz, nhà sx: DAE HEUNG, năm sx: 2013, hàng đã qua sử dụng</t>
  </si>
  <si>
    <t>103324977930</t>
  </si>
  <si>
    <t>0000206, 0002536, 0026983, 0051399</t>
  </si>
  <si>
    <t>Aging</t>
  </si>
  <si>
    <t>FA200565</t>
  </si>
  <si>
    <t>Dew point meter AGK-AMT-SDC/Thiết bị đo điểm sướng AGK-AMT-SDC</t>
  </si>
  <si>
    <t>0000399</t>
  </si>
  <si>
    <t>FA200566</t>
  </si>
  <si>
    <t>SOLIDWORKS PROFESSIONAL/Phần mềm 3D</t>
  </si>
  <si>
    <t>CÔNG TY TNHH SOLID VÀ SOFT</t>
  </si>
  <si>
    <t>0000051</t>
  </si>
  <si>
    <t>FA200667</t>
  </si>
  <si>
    <t>Agricultural dryer MSD-160V6/Máy sấy nông sản MSD500-160V6</t>
  </si>
  <si>
    <t>CÔNG TY CỔ PHẦN CÔNG NGHỆ MACTECH VIỆT NAM</t>
  </si>
  <si>
    <t>0000150</t>
  </si>
  <si>
    <t>FA200668</t>
  </si>
  <si>
    <t>Buy Vacuum packing machine/Mua máy đóng gói hút chân không</t>
  </si>
  <si>
    <t>0045110</t>
  </si>
  <si>
    <t>FA200669</t>
  </si>
  <si>
    <t>CURLING &amp; SLEEVE MACHINE/Máy bo viền và bọc vỏ tự động tụ điện, model: PAL-CS-08, dùng để bo viền và bọc vỏ tự động của tụ điện, công suất 15 kw, điện áp 380v, 50Hz, nhà sx Palbok Industry, năm sx 2020, hàng mới 100%</t>
  </si>
  <si>
    <t>103364398061</t>
  </si>
  <si>
    <t>0002733,0016613,0053909,0062411,0000242</t>
  </si>
  <si>
    <t>FA200670</t>
  </si>
  <si>
    <t>FA200671</t>
  </si>
  <si>
    <t>CURLING &amp; SLEEVE MACHINE/Máy bo viền và bọc vỏ tự động tụ điện, model: PAL-CS-13, dùng để bo viền và bọc vỏ tự động của tụ điện, công suất 15 kw, điện áp 380v 50Hz, nhà sx Palbok Industry, năm sx 2020, hàng mới 100%</t>
  </si>
  <si>
    <t>FA200672</t>
  </si>
  <si>
    <t>CLEAN&amp;DRY M/C/Máy rửa và sấy tụ điện tự động, Model: CD450, dùng để sấy và rửa tụ điện, công suất 8KW, điện áp 380V 50/60Hz, năm sản xuất:2020, nhà sản xuất:  AZTEK.CO.,LTD, hàng mới 100%</t>
  </si>
  <si>
    <t>FA200673</t>
  </si>
  <si>
    <t>FA200674</t>
  </si>
  <si>
    <t>FA200675</t>
  </si>
  <si>
    <t>WINDING MACHINE XCj-820 (USED)/Máy cuốn tụ điện, WINDING MACHINE Model XCJ-820 , công suất 1.5KW , điện áp: 220V, 50Hz, nhà sx Shenzhen Cheng Jie intelligent equipment co.,Ltd, năm sx 2018, hàng đã qua sử dụng</t>
  </si>
  <si>
    <t>103381401801</t>
  </si>
  <si>
    <t>0002733,0008608,0058269,0066355,0000242</t>
  </si>
  <si>
    <t>Cell 16</t>
  </si>
  <si>
    <t>FA200676</t>
  </si>
  <si>
    <t>ASSEMBLY MACHINE PAL-AM-08 N(USED)/Máy lắp ráp tụ điện tự động Model PAL-AM-08, công suất 15KW , điện áp: 220V, 60Hz, nhà sx Palbok Industry, năm sx 2018, hàng đã qua sử dụng</t>
  </si>
  <si>
    <t>FA200677</t>
  </si>
  <si>
    <t>PANEL SYSTEM/Máy tính công nghiệp(lắp ráp vào dây chuyền, hiển thị dữ liệu sản xuất,chỉ dùng trong nhà máy),model:NTP21KLF,màn hình:21inch tích hợp gắn liền với cây,core13,ram 8G,Nsx: INEWTEK,năm sx :2020,mới 100%</t>
  </si>
  <si>
    <t>103351175651</t>
  </si>
  <si>
    <t>0001761,0002732,0019299,0019332,0000242</t>
  </si>
  <si>
    <t>FA200678</t>
  </si>
  <si>
    <t>FA200679</t>
  </si>
  <si>
    <t>Cell 12</t>
  </si>
  <si>
    <t>FA200680</t>
  </si>
  <si>
    <t>Cell 13</t>
  </si>
  <si>
    <t>FA200681</t>
  </si>
  <si>
    <t>FA200782</t>
  </si>
  <si>
    <t>PASS BOX/Thùng chuyển hàng ( có 2 cửa), chất liệu Sắt, kính,  không có bánh xe, kích thước: 805*600*680mm, dùng để vận chuyển hàng hóa trong phòng sấy khô, hàng mới 100%</t>
  </si>
  <si>
    <t>CK CO., LTD.</t>
  </si>
  <si>
    <t>103397470741</t>
  </si>
  <si>
    <t>0000275;0000566;0003005;0003016;0028456;0028460;0028461;0028464;0038874;0055717;0058024;0072938</t>
  </si>
  <si>
    <t>FA200783</t>
  </si>
  <si>
    <t>A/T DOOR/Cửa kín khí, chất liệu: Bằng khung nhôm, 1,800*2,100 mm, để đóng mở phòng sấy khô, hàng mới 100%</t>
  </si>
  <si>
    <t>Dryroom f2</t>
  </si>
  <si>
    <t>FA200784</t>
  </si>
  <si>
    <t>CONDENSER/Thiết bị ngưng tụ hơi nước và làm mát không khí, Model:JAC-PA-100HHD, Điện áp, 380V, Công suất: 68,6 kW , sử dụng gas R22, lượng nạp vào 4.0 kg, Hãng sx: JOONGWON, năm sx 2020, hàng mới 100%</t>
  </si>
  <si>
    <t>FA200785</t>
  </si>
  <si>
    <t>FA200786</t>
  </si>
  <si>
    <t>CONDENSER/Thiết bị ngưng tụ hơi nước và làm mát không khí,Model:JAC-PA-075HHD,Điện áp 380V, Công suất 52kW, sử dụng gas R22, lượng nạp vào 4.0 kg,Hãng sx: JOONGWON, năm sx: 2020, hàng mới 100%</t>
  </si>
  <si>
    <t>FA200787</t>
  </si>
  <si>
    <t>FA200788</t>
  </si>
  <si>
    <t>FA200789</t>
  </si>
  <si>
    <t>FA200790</t>
  </si>
  <si>
    <t>FA200791</t>
  </si>
  <si>
    <t>DEHUMIDIFIER/Máy hút ẩm Model: CDHL 1200-2, Điện áp: 3pha, 380v, 50HZ; công suất: 5300 CMH, Năm sản xuất 2020, dùng để hút ẩm, sấy khô không khí, nhà sản xuất CK Solution, hàng mới 100%</t>
  </si>
  <si>
    <t>Utility F2</t>
  </si>
  <si>
    <t>FA200792</t>
  </si>
  <si>
    <t>CONTROL PANEL/Tủ điện(dùng để phân phối điện cho máy hút ẩm) , điện áp : In AC380V, Out AC110V, dùng để: Điều khiển, cung cấp điện cho máy hút ẩm, Năm sản xuất: 2020, hàng mới 100%</t>
  </si>
  <si>
    <t>FA200793</t>
  </si>
  <si>
    <t>DP SENSOR/Hộp cảm biến, Model : PTU300, điện áp: 10- 35 VDC, 24 VAC+220% , dùng để đo áp suất, đo nhiệt độ, đo độ ẩm trong phòng làm việc, nhà sản xuất: Valsala, hàng mới 100%</t>
  </si>
  <si>
    <t>FA200794</t>
  </si>
  <si>
    <t>AUTOMATIC TAPING MACHINE/Máy sắp xếp và đóng gói tự động tụ AUTOMATIC TAPPING MACHINE (dùng để sắp xếp tụ theo thứ tự,đưa vào đóng gói),model YC-320A,công suất 1.6KW,điện áp 220V,nhà sx Yi Chuan Automatic,năm sx 2020,mới 100%</t>
  </si>
  <si>
    <t>SHENZHEN LEBENYUN SCIENCE CO., LTD</t>
  </si>
  <si>
    <t>103416069040</t>
  </si>
  <si>
    <t>0000275;0000548;0000549;0003017;0038956</t>
  </si>
  <si>
    <t>Trước kho TP</t>
  </si>
  <si>
    <t>FA200795</t>
  </si>
  <si>
    <t>X(S)N-7530(L/R.P.M)KNEADER/Máy nhào và trộn chất điện cực cho tụ điện (trộn cacbon hoạt tính và các chất phụ gia), model: X(S)N-7530(L/R.P.M)KNEADER, nsx DALIAN HUAHAN, điện áp: 380V, công suất 110kW,năm sx:2020, mới 100%</t>
  </si>
  <si>
    <t>DALIAN HUAHAN RUBBER AND PLASTIC MACHINERY CO., LTD</t>
  </si>
  <si>
    <t>103427306840</t>
  </si>
  <si>
    <t>0000275;0000777;0003018;0041382;0059450;0059454;0078207</t>
  </si>
  <si>
    <t>FA200796</t>
  </si>
  <si>
    <t xml:space="preserve"> Install  air compressor Micos 75   and 'Installation Pipe line in compressor room contract No. YJC/VTV-164 dated 06/05/2020/ Lắp đặt hệ thống máy nén khí hợp đồng số: YJC/VTV-163 ngày 06/05/2020 và Lắp đặt đường ống trong phòng máy nén khí hợp đồng YJC/VTV-164 ngày 06/05/2020</t>
  </si>
  <si>
    <t>0000454, 0000455</t>
  </si>
  <si>
    <t>x</t>
  </si>
  <si>
    <t>Factory 2</t>
  </si>
  <si>
    <t>FA200801</t>
  </si>
  <si>
    <t>Minitab Single User Perpetual license/Phần mềm Minitab Single User Perpetual license</t>
  </si>
  <si>
    <t>0000080</t>
  </si>
  <si>
    <t>Factory 1 (KTSP)</t>
  </si>
  <si>
    <t>FA200802</t>
  </si>
  <si>
    <t>JEIO TECH CO.,LTD</t>
  </si>
  <si>
    <t>103484253940</t>
  </si>
  <si>
    <t>0000303;0092934;0012676;0097455;0005642;0003257;0003264</t>
  </si>
  <si>
    <t>FA200803</t>
  </si>
  <si>
    <t>FA200804</t>
  </si>
  <si>
    <t>FA200805</t>
  </si>
  <si>
    <t>FA200806</t>
  </si>
  <si>
    <t>FA200807</t>
  </si>
  <si>
    <t>FA200808</t>
  </si>
  <si>
    <t>FA200809</t>
  </si>
  <si>
    <t>FA200810</t>
  </si>
  <si>
    <t>FA200811</t>
  </si>
  <si>
    <t>FA200812</t>
  </si>
  <si>
    <t>FA200813</t>
  </si>
  <si>
    <t>FA200814</t>
  </si>
  <si>
    <t>FA200815</t>
  </si>
  <si>
    <t>FA200816</t>
  </si>
  <si>
    <t>Cell 14</t>
  </si>
  <si>
    <t>FA200817</t>
  </si>
  <si>
    <t>FA200818</t>
  </si>
  <si>
    <t>FA200819</t>
  </si>
  <si>
    <t>FA200820</t>
  </si>
  <si>
    <t>FA200821</t>
  </si>
  <si>
    <t>FA200822</t>
  </si>
  <si>
    <t>FA200823</t>
  </si>
  <si>
    <t>FA200824</t>
  </si>
  <si>
    <t>FA200825</t>
  </si>
  <si>
    <t>FA200826</t>
  </si>
  <si>
    <t>Cell 17</t>
  </si>
  <si>
    <t>FA200827</t>
  </si>
  <si>
    <t>FA200828</t>
  </si>
  <si>
    <t>FA200829</t>
  </si>
  <si>
    <t>FA200901</t>
  </si>
  <si>
    <t>Chiller water HDW-5RT/HP/Máy làm mát nước 5RT/HP, KT: L1400*W800*H1100, Công suất làm lạnh: 14000 kcal/hr</t>
  </si>
  <si>
    <t>CÔNG TY TNHH CƠ ĐIỆN LẠNH TÙNG NGA</t>
  </si>
  <si>
    <t>0000157</t>
  </si>
  <si>
    <t>Electrode line F2, Dùng có máy mix 200L</t>
  </si>
  <si>
    <t>FA200902</t>
  </si>
  <si>
    <t>Semi-automatic forklift/Xe nâng bán tự động S15J</t>
  </si>
  <si>
    <t>0036076</t>
  </si>
  <si>
    <t>FA200903</t>
  </si>
  <si>
    <t>PD MIXER 200L MACHINE/Máy trộn nguyên liệu điện cực tụ điện, Model:PD Mixer 200 L,Điện áp:380 V (3 pha),công suất:380kW, tần số:60HZ, năm sx:2020,hãng sx:TSI,Hàng mới 100%</t>
  </si>
  <si>
    <t>TSI CO.,LTD</t>
  </si>
  <si>
    <t>103540127502</t>
  </si>
  <si>
    <t>0053105;0000766;0106679;0003518;0003516;0003534;0000335</t>
  </si>
  <si>
    <t>FA201001</t>
  </si>
  <si>
    <t>WINDING MACHINE, Model: XCJ-820D/Máy cuốn tụ điện, WINDING MACHINE, Model: XCJ-820D, điện áp: 220V, công suất: 1.5 KW, nhà sx: SHENZHEN CHENG JIE INTELLIGENT EQUIPMENT STOCK CO.,LTD, năm sản xuất: 2020,  hàng mới 100%</t>
  </si>
  <si>
    <t>SHENZHEN CHENG JIE INTELLIGENT EQUIPMENT STOCK CO., LTD</t>
  </si>
  <si>
    <t>103605349411</t>
  </si>
  <si>
    <t>0003810,0000039</t>
  </si>
  <si>
    <t>FA201002</t>
  </si>
  <si>
    <t>FA201003</t>
  </si>
  <si>
    <t>FA201004</t>
  </si>
  <si>
    <t>FA201005</t>
  </si>
  <si>
    <t>FA201006</t>
  </si>
  <si>
    <t>Cell 18</t>
  </si>
  <si>
    <t>FA201007</t>
  </si>
  <si>
    <t>CLEAN&amp;DRY M/C/Máy làm sạch và sấy khô tụ điện Clean&amp;Dry M/C,Hoạt động bằng điện, Model: CD450, Công suất: 8KW , điện áp: 380V, năm sản xuất:2020 , Nsx: AZTEK.CO.,LTD, mới 100%</t>
  </si>
  <si>
    <t>AZTEK.CO.,LTD.</t>
  </si>
  <si>
    <t>103613623410</t>
  </si>
  <si>
    <t>0000039;0001517;0003802;0003810;0035785;0087755</t>
  </si>
  <si>
    <t>FA201008</t>
  </si>
  <si>
    <t>FA201009</t>
  </si>
  <si>
    <t>FA201010</t>
  </si>
  <si>
    <t>FA201011</t>
  </si>
  <si>
    <t>FA201012</t>
  </si>
  <si>
    <t>FA201013</t>
  </si>
  <si>
    <t>RACKSIDE CONVEYOR/Băng tải con lăn Model CASE CONVEYOR,để vận chuyển trong kho,công suất 1050W,điện áp 220V,size 2400x1000x520 mm,năm sx 2020Nhãn hiệu Daifuku,nsx MAKITA,mới 100%,áp mã máy chính theo DM 09/DMMC-QV/2020</t>
  </si>
  <si>
    <t>DAIFUKU KOREA CO.,LTD</t>
  </si>
  <si>
    <t>103583337912</t>
  </si>
  <si>
    <t>0000039;0001142;0003809;0030873;0110890;0116754;0130816</t>
  </si>
  <si>
    <t>FA201014</t>
  </si>
  <si>
    <t>SAFETY FENCE/Hàng rào bảo vệ kho tự động, chất liệu thép, kích thước bao: 1800 x 1100x 100 mm, năm sx 2020 Nhãn Daifuku, hàng mới 100%</t>
  </si>
  <si>
    <t>103591470361</t>
  </si>
  <si>
    <t>0000039;0003809;0028645;0032476;0042460;0147208</t>
  </si>
  <si>
    <t>FA201015</t>
  </si>
  <si>
    <t>WINDING MACHINE, Model: XCJ-3800/Máy cuốn tụ điện, WINDING MACHINE, Model: XCJ-3800, điện áp: 380V, công suất: 8KW, nhà sx: SHENZHEN CHENG JIE INTELLIGENT EQUIPMENT STOCK CO.,LTD, năm sản xuất: 2020,  hàng mới 100%</t>
  </si>
  <si>
    <t>FA201016</t>
  </si>
  <si>
    <t>RACK/Khung kệ bằng thép mạ kẽm, dùng để lưu trữ hàng hóa kích thước: 425x3505x220 mm, năm sx 2020, Nhãn hiệu: Daifuku, hàng mới 100%</t>
  </si>
  <si>
    <t>FA201017</t>
  </si>
  <si>
    <t>S/R MACHINE/Máy lưu kho và lấy hàng tự động Model R-P10 dùng để lấy/trả hàng tự động trên khung kệ, kích thước 1273x3455x700 mm,điện áp 220V,công suất 4 KW,năm sx 2020 Nhãn hiệu Daifuku, mới 100%,</t>
  </si>
  <si>
    <t>FA201018</t>
  </si>
  <si>
    <t>BCR/BCR/Đầu đọc mã vạch Model CLV650-6120, dùng để nhận dạng mã vạch, trao đổi tín hiệu, kích thước 100x60x42 mm, năm sx 2020 Nhà sản xuất: SICK, mới 100%, ,áp mã máy chính theo DM 09/DMMC-QV/2020</t>
  </si>
  <si>
    <t>FA201019</t>
  </si>
  <si>
    <t>FA201020</t>
  </si>
  <si>
    <t>Chiller water HDW-5RT/HP/ Máy làm mát nước 5RT/HP  HD: 1809/HĐKT/TN-Vinatech vina/2020 ký ngày 21/09/2020 , KT: L1400*W800*H1100, Công suất làm lạnh: 14000 kcal/hr</t>
  </si>
  <si>
    <t>0000160</t>
  </si>
  <si>
    <t>Electrode line F2, Gần máy mixing  kneader</t>
  </si>
  <si>
    <t>FA201021</t>
  </si>
  <si>
    <t xml:space="preserve"> computer/Máy tính Dell Precision 5820 Tower XCTO Base Xeon W-2223 3.6GHz /2x16GB Ram/1TB HDD/Nvidia Quadro P2200, 5GB/DVDRW/Win 10pro </t>
  </si>
  <si>
    <t>CÔNG TY TNHH THƯƠNG MẠI VÀ ĐẦU TƯ TỔNG HỢP ANH PHÁT</t>
  </si>
  <si>
    <t>0000191</t>
  </si>
  <si>
    <t>FA201022</t>
  </si>
  <si>
    <t>Computer/Máy tính xách tay Asus G512L-VAZ068T/17I7-10750H/512G PCIE G3 SSD/8G*2/RTX 2060-6GB/15.6''FHD/WIN10 màu đen</t>
  </si>
  <si>
    <t>CÔNG TY TNHH ĐẦU TƯ VÀ PHÁT TRIỂN CÔNG NGHỆ PHÚC HƯNG</t>
  </si>
  <si>
    <t>0000095</t>
  </si>
  <si>
    <t>FA201101</t>
  </si>
  <si>
    <t>Buy network equipment/ Mua thiết bị chuyển mạch Cisco Catalyst 2960-X48 Gig Em, 4x1G SFP, LAN Base_WS-C2960x-48TS-L hd: 0000776 ngày 19/10/2020</t>
  </si>
  <si>
    <t>CÔNG TY TNHH TRUYỀN SỐ LIỆU LOTTE VIỆT NAM</t>
  </si>
  <si>
    <t>0000776</t>
  </si>
  <si>
    <t>EA</t>
  </si>
  <si>
    <t>FA201102</t>
  </si>
  <si>
    <t>CURLING &amp; SLEEVING M/C:   Máy uốn tạo biên dạng trên và bọc vỏ cho tụ điện, CURLING &amp; SLEEVING M/C, model: PAL-CS-08, công suất 15KW,điện áp 380V, năm sx: 2020 nhà sản xuất: Palbok Industry,mới 100%</t>
  </si>
  <si>
    <t>PALBOK INDUSTRY CO.,LTD.</t>
  </si>
  <si>
    <t>103629485300</t>
  </si>
  <si>
    <t>0000060;0004169;0004180;0037505;0056884;0056889;0089756</t>
  </si>
  <si>
    <t>FA201103</t>
  </si>
  <si>
    <t>FA201104</t>
  </si>
  <si>
    <t>FA201105</t>
  </si>
  <si>
    <t>FA201106</t>
  </si>
  <si>
    <t>CURLING &amp; SLEEVING M/C:   Máy uốn tạo biên dạng trên và bọc vỏ cho tụ điện, CURLING &amp; SLEEVING M/C, model: PAL-CS-10, công suất 15KW, điện áp 380V, năm sx 2020 nhà sản xuất: Palbok Industry,mới 100%</t>
  </si>
  <si>
    <t>FA201107</t>
  </si>
  <si>
    <t>FA201108</t>
  </si>
  <si>
    <t>Automatic Assembly M/C  Máy ngâm tẩm tụ điện và lắp ráp tự động Automatic Assembly M/C, công suất: 15KW, Model: PAL-AM-10, nha sx: Palbok Industry, điện áp: 380V, năm sản xuất: 2020, mới 100%</t>
  </si>
  <si>
    <t>FA201109</t>
  </si>
  <si>
    <t>Cell 18 (cũ)</t>
  </si>
  <si>
    <t>FA201110</t>
  </si>
  <si>
    <t>Auto Assembly M/C (XCJ986) - Máy ngâm tẩm tụ điện và lắp ráp tự động Model XCJ986,công suất 6.0KW, điện áp 220V 50/60HZ, nhà sx Shenzhen Xingchuangjia Technology Co. LTD, năm sx 2020, mới 100%</t>
  </si>
  <si>
    <t>103678163041</t>
  </si>
  <si>
    <t>0000060;0004169;0004181;0050234;0050235;0109267;0162764;0162768</t>
  </si>
  <si>
    <t>FA201111</t>
  </si>
  <si>
    <t>Auto Assembly M/C (XCJ-981A)- Máy ngâm tẩm tụ điện và lắp ráp tự động Model XCJ-981A,công suất 6.0KW điện áp 220V 50/60HZ, nhà sx Shenzhen Xingchuangjia Technology Co. LTD, năm sx 2020, mới 100%</t>
  </si>
  <si>
    <t>FA201112</t>
  </si>
  <si>
    <t>FA201113</t>
  </si>
  <si>
    <t>FA201114</t>
  </si>
  <si>
    <t>FA201115</t>
  </si>
  <si>
    <t>Assembly M/C/Máy ngâm tẩm tụ điện và lắp ráp tự động Assembly M/C, Model: PAL-AM-10, công suất: 15KW, điện áp: 380V, nhà sx: Palbok Industry, năm sx: 2018, hàng đã qua sử dụng</t>
  </si>
  <si>
    <t>103682663562</t>
  </si>
  <si>
    <t>0004181;0027713;0164209;0182101,0000060</t>
  </si>
  <si>
    <t>FA201116</t>
  </si>
  <si>
    <t>AUTO CURLING MACHINE/Máy bo cổ tụ điện tự động AUTO CURLING MACHINE dùng để bo cổ tụ điện, Model VMSC-601, công suất 2.2KW, điện áp 220V 1pha, 60Hz, nhà sx VINATECH, năm sx 2015, hàng đã qua sử dụng</t>
  </si>
  <si>
    <t>FA201118</t>
  </si>
  <si>
    <t xml:space="preserve"> AUTO SLEEVING MACHINE/Máy bọc vỏ tự động, AUTO SLEEVING MACHINE, công dụng: bọc vỏ tụ điện, Model: XCJ880T,điện áp 220V, công suất: 1.5KW, nhà sx Shenzhen Xingchuangjia Technology Co.,Ltd, năm sx 2018, hàng đã qua sd</t>
  </si>
  <si>
    <t>FA201119</t>
  </si>
  <si>
    <t>103682838710</t>
  </si>
  <si>
    <t>0000060;0002800;0004181;0010100</t>
  </si>
  <si>
    <t>FA201120</t>
  </si>
  <si>
    <t>FA201121</t>
  </si>
  <si>
    <t>FA201122</t>
  </si>
  <si>
    <t>FA201123</t>
  </si>
  <si>
    <t>FA201124</t>
  </si>
  <si>
    <t>FA201125</t>
  </si>
  <si>
    <t>FA201126</t>
  </si>
  <si>
    <t>FA201127</t>
  </si>
  <si>
    <t>flooring /lắp dựng lát sàn inox304</t>
  </si>
  <si>
    <t>CÔNG TY CỔ PHẦN TƯ VẤN VÀ XÂY DỰNG HƯNG HÀ</t>
  </si>
  <si>
    <t>0001840</t>
  </si>
  <si>
    <t>FA201128</t>
  </si>
  <si>
    <t>FA201201</t>
  </si>
  <si>
    <t>electrical cabinets/ Lắp đặt tủ điện cho máy nén khí</t>
  </si>
  <si>
    <t>CÔNG TY TNHH CHANGSUNG VINA</t>
  </si>
  <si>
    <t>0000311</t>
  </si>
  <si>
    <t>FA201202</t>
  </si>
  <si>
    <t>Power supply/cấp điện đến tủ điện sản xuất</t>
  </si>
  <si>
    <t>0000249</t>
  </si>
  <si>
    <t>FA201203</t>
  </si>
  <si>
    <t>Expand and Set up the transformer room/Mở rộng và lắp đặt máy biến áp cho nhà máy mới</t>
  </si>
  <si>
    <t>0000134</t>
  </si>
  <si>
    <t>FA201204</t>
  </si>
  <si>
    <t>Building (Admin and apart of Factory)-II STAGE/Xây dựng nhà xưởng 2</t>
  </si>
  <si>
    <t>0000043;0000093;0000165;0000255</t>
  </si>
  <si>
    <t>FA201205</t>
  </si>
  <si>
    <t>Building (Admin and apart of Factory)-II STAGE- Additional appendix/mở rộng Xây dựng nhà xưởng 2</t>
  </si>
  <si>
    <t>0000166;0000256</t>
  </si>
  <si>
    <t>FA201206</t>
  </si>
  <si>
    <t>Building system construction factory/Xây dựng hệ thống xử lý nước thải</t>
  </si>
  <si>
    <t>0000199,0000254</t>
  </si>
  <si>
    <t>FA201207</t>
  </si>
  <si>
    <t>Expansion of factory warehouse 1/mở rộng nhà kho</t>
  </si>
  <si>
    <t>0000198,0000253</t>
  </si>
  <si>
    <t>FA201208</t>
  </si>
  <si>
    <t>Chiller water HDW-3RT/HP/ Máy làm mát nước 3RT/HP, KT: L1000*W750*H800, Công suất làm lạnh: 7200 kcal/hr (chiller for roll press machine)</t>
  </si>
  <si>
    <t>0000171</t>
  </si>
  <si>
    <t>Electrode line F2,Dùng cho máy prees F1</t>
  </si>
  <si>
    <t>FA201209</t>
  </si>
  <si>
    <t>Kệ slective/ lặp kệ cho sản xuất</t>
  </si>
  <si>
    <t>CÔNG TY TNHH THƯƠNG MẠI VÀ DỊCH VỤ MINH XUÂN PHÁT</t>
  </si>
  <si>
    <t>0000102</t>
  </si>
  <si>
    <t>FA201210</t>
  </si>
  <si>
    <t xml:space="preserve">waste water treatment system/ hệ thống xử lý rác thải </t>
  </si>
  <si>
    <t>CÔNG TY TNHH ELEPHANT TRADING VINA</t>
  </si>
  <si>
    <t>0010035</t>
  </si>
  <si>
    <t>FA210201</t>
  </si>
  <si>
    <t>HIGH TEMP AGING CHAMBER/Máy sấy tụ điện, Model: DYBTS-05128, công suất 18KW, điện áp 220V, 60Hz,3pha, NSX: DAE HEUNG Precision Industry Co.,Ltd, Năm sx 2012. Hàng đã qua sử dụng</t>
  </si>
  <si>
    <t>103823387402</t>
  </si>
  <si>
    <t>0000107;0000160;0000739;0000790;0005162;0177441;0217844</t>
  </si>
  <si>
    <t>FA210202</t>
  </si>
  <si>
    <t>HIGH TEMP AGING CHAMBER/Máy cấp nguồn cho tụ điện, Model: DHBTS-05128, công suất 14KW, 220V, 60Hz, NSX: DAE HEUNG Precision Industry Co.,Ltd, Năm sx 2012.Hàng đã qua sử dụng</t>
  </si>
  <si>
    <t>FA210203</t>
  </si>
  <si>
    <t>HIGH TEMP AGING CHAMBER/Máy sấy tụ điện, Model: DYBTS-05128, công suất 18KW, 3pha, 220V, 60Hz, NSX: DAE HEUNG Precision Industry Co.,Ltd, Năm sx 2012. Hàng đã qua sử dụng</t>
  </si>
  <si>
    <t>FA210204</t>
  </si>
  <si>
    <t>FA210205</t>
  </si>
  <si>
    <t>HIGH TEMP AGING CHAMBER/Máy cấp nguồn cho tụ điện, Model: DHBTS-05100, công suất 7KW, điện áp, 220V, 60Hz, NSX: DAE HEUNG Precision Industry Co.,Ltd, Năm sx 2012.Hàng đã qua sử dụng</t>
  </si>
  <si>
    <t>FA210206</t>
  </si>
  <si>
    <t>CAPACITY DCR MEASRING MACHINE/Thiết bị kiểm tra công suất của tụ điện, Model: DHETS-0503, công suất 11KW, điện áp 1pha, 220V, 60Hz, NSX: DAE HEUNG Precision Industry Co.,Ltd, Năm sx 2012. Hàng đã qua sử dụng</t>
  </si>
  <si>
    <t>FA210207</t>
  </si>
  <si>
    <t>FA210208</t>
  </si>
  <si>
    <t>S/D MEASURING MACHINE/Thiết bị kiểm tra chức năng tự xả của tụ điện, Model: VMMA-001, công suất 7KW, điện áp 1pha, 220V, 60Hz, NSX: VINATECH, Năm sx 2016. Hàng đã qua sử dụng</t>
  </si>
  <si>
    <t>FA210301</t>
  </si>
  <si>
    <t>Face recognition terminal/Face recognition terminal/Thiết bị chấm công bằng nhận diện khuôn mặt , Model: GQ-1081D,12V,13.5W. Nhà SX: Dongguan Kingone Electronics Co.,Ltd, SX năm 2020.Hàng mới 100%</t>
  </si>
  <si>
    <t>103877842940</t>
  </si>
  <si>
    <t>0000452;0016569;0017283</t>
  </si>
  <si>
    <t>Cổng Bảo vệ</t>
  </si>
  <si>
    <t>CTY</t>
  </si>
  <si>
    <t>FA210302</t>
  </si>
  <si>
    <t>FA210303</t>
  </si>
  <si>
    <t>FA210304</t>
  </si>
  <si>
    <t>EDLC SD&amp;C TESTER/Thiết bị kiểm tra khả năng nạp và xả của tụ điện, Model: GT-5005V2, điện áp: 220V, 50/60Hz, công suất: 400W, Năm SX 2021, NSX: G-WELL Co.,Ltd, Hàng mới 100%</t>
  </si>
  <si>
    <t>103914965340</t>
  </si>
  <si>
    <t>0000463;0004896;0027474;0205109;0000125</t>
  </si>
  <si>
    <t>SD check F1</t>
  </si>
  <si>
    <t>FA210305</t>
  </si>
  <si>
    <t>FA210306</t>
  </si>
  <si>
    <t>SD check Cell 10,11</t>
  </si>
  <si>
    <t>FA210307</t>
  </si>
  <si>
    <t>SD check Cell 6,8</t>
  </si>
  <si>
    <t>FA210308</t>
  </si>
  <si>
    <t>SD check Cell 12,13</t>
  </si>
  <si>
    <t>FA210309</t>
  </si>
  <si>
    <t>SD check Cell 14,15</t>
  </si>
  <si>
    <t>FA210310</t>
  </si>
  <si>
    <t>SD check Cell 16,17,5</t>
  </si>
  <si>
    <t>FA210311</t>
  </si>
  <si>
    <t>SD check Cell 18,19</t>
  </si>
  <si>
    <t>FA210312</t>
  </si>
  <si>
    <t>SD check Manual line F1</t>
  </si>
  <si>
    <t>FA210313</t>
  </si>
  <si>
    <t>SD check Cell 1,3,4</t>
  </si>
  <si>
    <t>FA210314</t>
  </si>
  <si>
    <t>EDLC SD&amp;C TESTER/Thiết bị kiểm tra khả năng nạp và xả của tụ điện, Model: GT-5012V2, điện áp: 220V, 50/60Hz, công suất: 700W, Năm SX 2021, NSX: G-WELL Co.,Ltd, Hàng mới 100%</t>
  </si>
  <si>
    <t>SD check</t>
  </si>
  <si>
    <t>FA210315</t>
  </si>
  <si>
    <t>CAPACITOR TESTER/Thiết bị kiểm tra khả năng nạp và xả của tụ điện, Model: DHBTS0505-48, điện áp: 220V, 60Hz, công suất: 7KW, Năm SX 2012, HSX: DAE HEUNG, Hàng đã qua sử dụng</t>
  </si>
  <si>
    <t>103870277561</t>
  </si>
  <si>
    <t>0000461;0093410;0192432;0000125</t>
  </si>
  <si>
    <t>FA210316</t>
  </si>
  <si>
    <t>CAPACITOR TESTER/Thiết bị kiểm tra khả năng nạp và xả của tụ điện, Model: DHBTS0606-48, điện áp: 220V, 60Hz, công suất: 7KW, Năm SX 2013, HSX: DAE HEUNG, Hàng đã qua sử dụng</t>
  </si>
  <si>
    <t>FA210317</t>
  </si>
  <si>
    <t>CAPACITOR TESTER/Thiết bị kiểm tra khả năng nạp và xả của tụ điện, Model: VNBTS0606-48, điện áp: 220V, 50/60Hz, công suất: 7KW, Năm SX 2016, Nhà SX: BIT&amp;WATT, Hàng đã qua sử dụng</t>
  </si>
  <si>
    <t>FA210318</t>
  </si>
  <si>
    <t>DIMENSION CHECKING MC/Thiết bị kiểm tra kích thước của tụ điện bằng cách chiếu tia sáng vào tụ điện, Model: DKVSC-1003, điện áp: 220V, 50/60Hz, công suất: 0.3KW, Năm SX 2020, Nhà SX: DK AUTOMATION, Hàng đã qua sử dụng</t>
  </si>
  <si>
    <t>FA210319</t>
  </si>
  <si>
    <t>AUTOMATIC TAPPING MACHINE/Máy sắp xếp và đóng gói tự động (dùng để sắp xếp tụ theo thứ tự,đưa vào đóng gói),model YC-320A,công suất 1.6KW,điện áp 220V,nhà sx Yi Chuan Automatic,năm sx 2020,mới 100%</t>
  </si>
  <si>
    <t>103872782050</t>
  </si>
  <si>
    <t>0000461;0001959;0001960;0013322;0092530;0000125</t>
  </si>
  <si>
    <t>FA210320</t>
  </si>
  <si>
    <t xml:space="preserve">Forklift/ Mua xe nâng tự hành chạy bằng mô tơ điện, nhãn hiệu CLARK, SX năm 2020 mới 100%, model WRX15P, Số khung WRX1500108310KF, Số động cơ 00221298 theo HD số: VINATECH-01, </t>
  </si>
  <si>
    <t>CÔNG TY TNHH CLARK MATERIAL HANDLING VIỆT NAM</t>
  </si>
  <si>
    <t>FA210321</t>
  </si>
  <si>
    <t>Panel door at F.I/ Lắp đặt cửa tự động cửa trượt và vách panel tại xưởng 1 HĐ 0000001-27/03/2021</t>
  </si>
  <si>
    <t>CÔNG TY TNHH THIẾT KẾ VÀ XÂY DỰNG HÀ BẮC</t>
  </si>
  <si>
    <t>0000001</t>
  </si>
  <si>
    <t>F1</t>
  </si>
  <si>
    <t>FA210401</t>
  </si>
  <si>
    <t>Electronic scales/Cân điện tử, model GH-200, Max 220 g, min 0.0001g, kích thước  (217 x 442 x316) mm, đĩa cân 90  mm,  11VA, mới 100%</t>
  </si>
  <si>
    <t>103978334720</t>
  </si>
  <si>
    <t>0000808;0056608;0059046</t>
  </si>
  <si>
    <t>Dry room 1</t>
  </si>
  <si>
    <t>FA210505</t>
  </si>
  <si>
    <t>Chiller water HDW-5RT/HP/Máy làm mát nước 5RT/HP  HD 0000188 ngày 05/05/2021, HD: 2804/HĐKT/TN-Vinatech vina/2021 (chiller for Vaccuum Pump System Factory 1) KT: L1400*W800*H1100, Công suất làm lạnh: 14000 kcal/hr</t>
  </si>
  <si>
    <t>0000188</t>
  </si>
  <si>
    <t>Vacuum pump system F1</t>
  </si>
  <si>
    <t>FA210506</t>
  </si>
  <si>
    <t xml:space="preserve">Dry Oven contract no. 24/04/2021HĐKT/BESTWAY-VINATECH/ Mua tủ sấy đối lưu cưỡng bức Jeiotech model: OF-01E </t>
  </si>
  <si>
    <t>CÔNG TY CỔ PHẦN BESTWAY TECHNOLOGY</t>
  </si>
  <si>
    <t>0000050</t>
  </si>
  <si>
    <t>FA210604</t>
  </si>
  <si>
    <t>Viscometer Machine/Máy đo độ nhớt màn hình cảm ứng brookfied Model: DV2TLVTJ0</t>
  </si>
  <si>
    <t>CÔNG TY CỔ PHẦN EMIN VIỆT NAM - CHI NHÁNH BẮC NINH</t>
  </si>
  <si>
    <t>0001032</t>
  </si>
  <si>
    <t>hsok</t>
  </si>
  <si>
    <t>PKTTS0001/21- thêm T7 đã phôt ct</t>
  </si>
  <si>
    <t>Done Increase T7</t>
  </si>
  <si>
    <t>FA210701</t>
  </si>
  <si>
    <t>Dust collect system (FI)/ Thi công lắp đặt hệ thống lọc bụi theo hợp Đồng kinh tế số 039.04/HĐKT/THVNS-VINATECH/2021</t>
  </si>
  <si>
    <t>Hệ thống</t>
  </si>
  <si>
    <t>CÔNG TY TNHH SẢN XUẤT QUẠT CÔNG NGHIỆP TH VINASUN</t>
  </si>
  <si>
    <t>0000124</t>
  </si>
  <si>
    <t>Sát trạm bình N2</t>
  </si>
  <si>
    <t xml:space="preserve">      PKT3570/20</t>
  </si>
  <si>
    <t>Canteen- Module</t>
  </si>
  <si>
    <t>FA210702</t>
  </si>
  <si>
    <t>Air condition for canteen/ Lắp đặt hệ thống điều hòa cho Module tầng 2 nhà canteen theo hợp đồng số LGHIMHN/SO/2021/0716/VINATECH kí ngày 16/07/2021</t>
  </si>
  <si>
    <t>CÔNG TY TNHH HI-M SOLUTEK VIỆT NAM</t>
  </si>
  <si>
    <t>0000603</t>
  </si>
  <si>
    <t>Tầng 2-Canteen</t>
  </si>
  <si>
    <t>nk</t>
  </si>
  <si>
    <t>TF-&gt; 241</t>
  </si>
  <si>
    <t>Done Increase T7+TF T7</t>
  </si>
  <si>
    <t>FA210601</t>
  </si>
  <si>
    <t>INJECTION PUMP/Bơm định lượng Model D05- bộ phận của máy ngâm tẩm tụ điện và lắp ráp tự động, hoạt động theo kiểu piston, dùng để bơm dung dịch vào con tụ, Nsx 2021, nsx Shenzhen Xingchuangjia Technology, mới 100%</t>
  </si>
  <si>
    <t>104071538650</t>
  </si>
  <si>
    <t>0001517,0013702</t>
  </si>
  <si>
    <t>FA210602</t>
  </si>
  <si>
    <t>Vibrating tub/Bồn rung chia sản phẩm tụ điện- bộ phận của máy tự động uốn tạo biên và bọc vỏ cho tụ điện, chất liệu bằng thép, kích thước 500x500x400 mm, năm sx 2021, mới 100%</t>
  </si>
  <si>
    <t>104109922820</t>
  </si>
  <si>
    <t>0001518;0093470</t>
  </si>
  <si>
    <t>Cell 16- dùng Curling và Sleeve</t>
  </si>
  <si>
    <t xml:space="preserve">      PKTTS001/21</t>
  </si>
  <si>
    <t>Done Increase T8</t>
  </si>
  <si>
    <t>FA210801</t>
  </si>
  <si>
    <t>Odor extraction systems for Module production/ Lắp đặt hệ thống hút mùi Duct theo hợp đồng số 1607/2021/HĐTC/KNM-HS ký ngày 16 tháng 07 năm 2021</t>
  </si>
  <si>
    <t>CÔNG TY TNHH XÂY LẮP VÀ THIẾT BỊ CÔNG NGHIỆP HANBELL SKY</t>
  </si>
  <si>
    <t>0000265</t>
  </si>
  <si>
    <t xml:space="preserve">      PKTTS002/21</t>
  </si>
  <si>
    <t>FI-Slitting</t>
  </si>
  <si>
    <t>FA210802</t>
  </si>
  <si>
    <t>Air condition/ Lắp đặt hệ thống điều hòa theo hợp đồng dịch vụ số 07082021/HĐ DV/VINATECH-SECOTAB ký ngày 07/08/2021</t>
  </si>
  <si>
    <t>CÔNG TY TNHH GIẢI PHÁP KỸ THUẬT VÀ CÔNG NGHỆ SECOTAB</t>
  </si>
  <si>
    <t>0000085</t>
  </si>
  <si>
    <t>Chỗ Sliting xưởng 1</t>
  </si>
  <si>
    <t>Đợi hs</t>
  </si>
  <si>
    <t>PKT3690/20</t>
  </si>
  <si>
    <t>FA210803</t>
  </si>
  <si>
    <t>Washing machine/ Máy rửa 2 khoang KT: 1920x800x1420mm</t>
  </si>
  <si>
    <t>Bộ</t>
  </si>
  <si>
    <t>CÔNG TY TNHH CÔNG NGHỆ HT CNC</t>
  </si>
  <si>
    <t>0000037</t>
  </si>
  <si>
    <t>Factory 2-Mixing</t>
  </si>
  <si>
    <t>hs ok</t>
  </si>
  <si>
    <t>PKT3696/20</t>
  </si>
  <si>
    <t>Canteen- Tầng 1</t>
  </si>
  <si>
    <t>FA210804</t>
  </si>
  <si>
    <t>Projector/ Máy chiếu sony VPL-CXZ10</t>
  </si>
  <si>
    <t>0000002</t>
  </si>
  <si>
    <t>Tấng 1-nhà Canteen để phục vụ họp đầu tháng</t>
  </si>
  <si>
    <t>TF-&gt; 211</t>
  </si>
  <si>
    <t>Done Increase T8+TF T8</t>
  </si>
  <si>
    <t>FA200101</t>
  </si>
  <si>
    <t>SENSOR HL-G125-A-C5/Cảm biến dịch chuyển Laser ( dùng để kiểm tra mực nước trong thiết bị, model: HL-G125-A-C5, xuất xứ: Hàn Quốc) - hàng mới 100%</t>
  </si>
  <si>
    <t>Factory 1- Dryroom 1</t>
  </si>
  <si>
    <t>FA200330</t>
  </si>
  <si>
    <t>VIDEO SYSTEM CAMERA/Máy kiểm tra để kiểm tra kích thước tụ điện, Model  DKVSC-1002, công suất  0.3KW, điện áp 2pha, 220V, 50/60Hz, NSX:DK AUTOMATION, năm sx 2020, hàng mới 100%</t>
  </si>
  <si>
    <t>Cateen- Tầng 2</t>
  </si>
  <si>
    <t>FA210504</t>
  </si>
  <si>
    <t>CAPACITOR TESTER/Máy kiểm tra tụ điện dùng để kiểm tra chức năng nạp xả của tụ điện, đo điện trở, model Capacitor module cycler, công suất 3.7kW, điện áp 1pha, 220V, 60Hz,Nsx AimQ Co.,Ltd.,năm sx 2020,hàng mới 100%</t>
  </si>
  <si>
    <t>104019055933</t>
  </si>
  <si>
    <t>0001183;0009913;0009917;0050007;0241009;0000151</t>
  </si>
  <si>
    <t>Tầng 2 toàn phúc lợi- sx Module</t>
  </si>
  <si>
    <t>hs xem lại</t>
  </si>
  <si>
    <t>FA210603</t>
  </si>
  <si>
    <t xml:space="preserve">Multi-Purpose machine model MP500/ Máy đa năng tiện-khoan-phay </t>
  </si>
  <si>
    <t>CÔNG TY TNHH BÁC CỔ - M</t>
  </si>
  <si>
    <t>Machine Room</t>
  </si>
  <si>
    <t>KYTHUAT</t>
  </si>
  <si>
    <t>PKT3853/20</t>
  </si>
  <si>
    <t>Done ghi tăng</t>
  </si>
  <si>
    <t>FA211001</t>
  </si>
  <si>
    <t xml:space="preserve">Oven/ Tủ Sấy đối lưu cưỡng bức Jeiotech </t>
  </si>
  <si>
    <t>Cái</t>
  </si>
  <si>
    <t>0000081</t>
  </si>
  <si>
    <t>OQC</t>
  </si>
  <si>
    <t>PKTTS1002/21</t>
  </si>
  <si>
    <t>Cateen- Tầng 1</t>
  </si>
  <si>
    <t>FA211002</t>
  </si>
  <si>
    <t>Massage chair/ Ghế massage tính tiền tự động CM-07 WASHIMA</t>
  </si>
  <si>
    <t>Chiếc</t>
  </si>
  <si>
    <t>CÔNG TY CỔ PHẨN ĐẦU TƯ XUẤT NHẬP KHẨU TÚ NAM</t>
  </si>
  <si>
    <t>0000031</t>
  </si>
  <si>
    <t>Canteen-tầng 1</t>
  </si>
  <si>
    <t>FA211003</t>
  </si>
  <si>
    <t>Máy cuốn tụ điện,AUTO WINDING MACHINE, dùng để cuốn tụ điện tự động, Model XCJ-5600D,công suất 8KW, điện áp: AC380V 50HZ, nsx SHENZHEN CHENG JIE INTELLIGENT EQUIPMENT STOCK CO., LTD,nsx 2021, mới 100%</t>
  </si>
  <si>
    <t>104232034540</t>
  </si>
  <si>
    <t>06/09/2021</t>
  </si>
  <si>
    <t>0000203,0002430,0002438,0075757,0024472,0031022</t>
  </si>
  <si>
    <t>FA211004</t>
  </si>
  <si>
    <t>Máy cuốn tụ điện,AUTO WINDING MACHINE, dùng để cuốn tụ điện tự động, Model XCJ-5600D,công suất 8KW , điện áp: AC380V 50HZ, nsx SHENZHEN CHENG JIE INTELLIGENT EQUIPMENT STOCK CO., LTD,nsx 2021,mới 100%</t>
  </si>
  <si>
    <t>FA211006</t>
  </si>
  <si>
    <t>Máy ép cuộn điện cực Roll Press Machine,Model: JYR-680,dùng để ép bột than lên tấm nhôm thành cuộn điện cực,Nsx Jinyong Engineering,công suất 54.5KW, điện áp 380V,50/60Hz,nsx 2012, hàng đã qua sử dụng</t>
  </si>
  <si>
    <t>104232011441</t>
  </si>
  <si>
    <t>0000203,0002438,0082188,0037385,0102033,0000781</t>
  </si>
  <si>
    <t>Electrode area</t>
  </si>
  <si>
    <t>Press</t>
  </si>
  <si>
    <t>HS ok</t>
  </si>
  <si>
    <t>FA211007</t>
  </si>
  <si>
    <t>Install fume extraction systems/ Lắp đặt hệ thống hút khói HĐ.0510/2021/HĐTC/VINATECH-HS 05/10/2021 HĐ 0000290 18/10/2021</t>
  </si>
  <si>
    <t>0000290</t>
  </si>
  <si>
    <t>Tầng 1-Canteen</t>
  </si>
  <si>
    <t>ok</t>
  </si>
  <si>
    <t>TF 211-241</t>
  </si>
  <si>
    <t>VINA00041</t>
  </si>
  <si>
    <t>Aging &amp; Inspection Device/Thiết bị kiểm tra và lưu hóa, Model: VMS-200, điện áp: 220V, Công suất: 1160W, Năm sản xuất: 2010, Hàng đã qua sử dụng</t>
  </si>
  <si>
    <t>Từ 01/10/2021-13/10/2021- Khấu hao 6274 còn từ 13/10/2021 mang đi sửa chữa, khi nhận lại sửa chữa sẽ khấu hao ở 811</t>
  </si>
  <si>
    <t>Pending</t>
  </si>
  <si>
    <t>FA211008</t>
  </si>
  <si>
    <t>DEW POINT MEASUREMENT MACHINE/Máy đo nhiệt độ điểm sương, Model SS2-IS-102, dùng để đo độ ẩm, nhiệt độ điểm sương, điện áp AC85 -265V, 45-65 HZ, năm sx 2021, mới 100%</t>
  </si>
  <si>
    <t>Sense</t>
  </si>
  <si>
    <t>104302884010</t>
  </si>
  <si>
    <t>0002753</t>
  </si>
  <si>
    <t>Cell line 13,14,15,16,19</t>
  </si>
  <si>
    <t>FA211009</t>
  </si>
  <si>
    <t>FA211010</t>
  </si>
  <si>
    <t>FA211011</t>
  </si>
  <si>
    <t>FA211012</t>
  </si>
  <si>
    <t>FA211013</t>
  </si>
  <si>
    <t>F2</t>
  </si>
  <si>
    <t>FA211101</t>
  </si>
  <si>
    <t>Chiller for Mixer/ Máy làm mát nước 5RT  -Tùng Nga;  INV 0000218 30/11/2021</t>
  </si>
  <si>
    <t>Tùng Nga</t>
  </si>
  <si>
    <t>0000218</t>
  </si>
  <si>
    <t>FA211102</t>
  </si>
  <si>
    <t>Buy dishwasher/ Mua máy rửa bát DW-616 số 0000246 ngày 29/11/2021</t>
  </si>
  <si>
    <t>DIWA</t>
  </si>
  <si>
    <t>0000246</t>
  </si>
  <si>
    <t>FA211103</t>
  </si>
  <si>
    <t>Buy dryer/ Mua máy sấy khay DWS-1400L-DIWA INV số 0000246 ngày 29/11/2021</t>
  </si>
  <si>
    <t>warehouse</t>
  </si>
  <si>
    <t>FA211104</t>
  </si>
  <si>
    <t>Robot quấn màng tự động, Model R4, hoạt động bằng pin 24V,(2 pin kết nối nối tiếp 12V 75Ah), nguồn sạc điện áp 220V, 50Hz, tốc độ quấn 35m -80m/min, năm sx 2021, Nsx: SAMWONPACK, hàng mới 100%</t>
  </si>
  <si>
    <t>SAMWONPACK CO., LTD.</t>
  </si>
  <si>
    <t>104337649620</t>
  </si>
  <si>
    <t>08/11/2021</t>
  </si>
  <si>
    <t>0003033;0010753;0056528</t>
  </si>
  <si>
    <t>T12</t>
  </si>
  <si>
    <t>FA211105</t>
  </si>
  <si>
    <t>Lò sấy chân không, ( dùng để sấy khô tụ điện), model: OV-JT-64S, điện áp: 380VAC, 50Hz, công suất: 3KW, hãng sx: JEIO TECH, năm sản xuất:2021, hàng mới 100%</t>
  </si>
  <si>
    <t>PIECES</t>
  </si>
  <si>
    <t>104380944400</t>
  </si>
  <si>
    <t>12/11/2021</t>
  </si>
  <si>
    <t>0003027;0003035;0376228;0139994;0055135;0000238</t>
  </si>
  <si>
    <t>Assembly</t>
  </si>
  <si>
    <t>FA211106</t>
  </si>
  <si>
    <t>FA211107</t>
  </si>
  <si>
    <t>FA211108</t>
  </si>
  <si>
    <t>FA211109</t>
  </si>
  <si>
    <t>FA211110</t>
  </si>
  <si>
    <t>FA211111</t>
  </si>
  <si>
    <t>FA211112</t>
  </si>
  <si>
    <t>FA211113</t>
  </si>
  <si>
    <t>FA211114</t>
  </si>
  <si>
    <t>FA211115</t>
  </si>
  <si>
    <t>Máy trộn nguyên liệu điện cực tụ điện PD Mixer 200 L, Model:PDM-200T ,Điện áp:380 V (3 pha),công suất:380kW, tần số:60HZ, năm sx:2021,hãng sx:TSI,Hàng mới 100%</t>
  </si>
  <si>
    <t>104375748630</t>
  </si>
  <si>
    <t>11/11/2021</t>
  </si>
  <si>
    <t>0003027;0003035;0365813;0442954;0054383;0022926;000238</t>
  </si>
  <si>
    <t>Mixing</t>
  </si>
  <si>
    <t>FA211116</t>
  </si>
  <si>
    <t>Lò sấy chân không Vacuum Oven, model: SBVO-03HDAP điện áp: 380V,công suất 5.5 KW, hãng: WUJIANG năm sản xuất: 2021, hàng mới 100%</t>
  </si>
  <si>
    <t>WUJIANG JIANGLING INSTRUMENT CO.,LTD.</t>
  </si>
  <si>
    <t>104368077660</t>
  </si>
  <si>
    <t>26/10/2021</t>
  </si>
  <si>
    <t>0003027;0003034;0348028;0438368;0018167;0000238</t>
  </si>
  <si>
    <t>FA211201</t>
  </si>
  <si>
    <t xml:space="preserve"> Máy cắt điện cực slitting machine , model UZ500, dùng để cắt cuộn điện cực, công suất định mức 3.7KW, điện áp 380V, nsx Shenzhen Szulter Precision machinery manufacturing CO., Ltd, nsx 2021, mới 100%</t>
  </si>
  <si>
    <t>104385288010</t>
  </si>
  <si>
    <t>0000256</t>
  </si>
  <si>
    <t>FA211208</t>
  </si>
  <si>
    <t>Lò sấy chân không, ( dùng để sấy khô tụ điện), model: OV-JT-64S, điện áp: 220VAC, 60Hz, công suất: 3KW, hãng sx: JEIO TECH, nsx 2016, hàng đã qua sử dụng</t>
  </si>
  <si>
    <t>104395632832</t>
  </si>
  <si>
    <t>08/12/2021</t>
  </si>
  <si>
    <t>408048-56872-56874-22197-0000256-00000278</t>
  </si>
  <si>
    <t>FA211209</t>
  </si>
  <si>
    <t>FA211210</t>
  </si>
  <si>
    <t>FA211211</t>
  </si>
  <si>
    <t>FA211212</t>
  </si>
  <si>
    <t>FA211213</t>
  </si>
  <si>
    <t>Lò sấy chân không, ( dùng để  sấy khô tụ điện), model: OV-JT-64S, điện áp: 220VAC, 60Hz, công suất: 3KW, hãng sx: JEIO TECH, nsx 2016, hàng đã qua sử dụng</t>
  </si>
  <si>
    <t>FA211214</t>
  </si>
  <si>
    <t>FA211215</t>
  </si>
  <si>
    <t>Phòng Gym</t>
  </si>
  <si>
    <t>FA211217</t>
  </si>
  <si>
    <t>Giàn tập đa năng ES3000</t>
  </si>
  <si>
    <t>5C</t>
  </si>
  <si>
    <t>0000005</t>
  </si>
  <si>
    <t>Phòng guym</t>
  </si>
  <si>
    <t>FA211218</t>
  </si>
  <si>
    <t>Máy chạy bộ PT300H sử dụng điện 220V</t>
  </si>
  <si>
    <t>FA211219</t>
  </si>
  <si>
    <t>FA211220</t>
  </si>
  <si>
    <t>FA211221</t>
  </si>
  <si>
    <t>FA211222</t>
  </si>
  <si>
    <t>Xe đạp bước RE500</t>
  </si>
  <si>
    <t>T01</t>
  </si>
  <si>
    <t>FA211117</t>
  </si>
  <si>
    <t>Máy làm sạch và sấy khô tụ điện Clean&amp;Dry M/C,Hoạt động bằng điện, Model: CD450, Công suất: 8KW , điện áp: 380V, năm sản xuất:2021 , Nsx: AZTEK.CO.,LTD, mới 100%</t>
  </si>
  <si>
    <t>104348059210</t>
  </si>
  <si>
    <t>30/09/2021</t>
  </si>
  <si>
    <t>0003026;0003033;0311672;0004985;0132863</t>
  </si>
  <si>
    <t>FA211118</t>
  </si>
  <si>
    <t>Máy ngâm tẩm tụ điện và lắp ráp tự động Automatic Assembly M/C, Model: PAL-AM-18, công suất: 15KW, điện áp: 380V, nhà sx: Palbok Industry, Nsx: 2021, mới 100%</t>
  </si>
  <si>
    <t>104348048011</t>
  </si>
  <si>
    <t>28/10/2021</t>
  </si>
  <si>
    <t>0003026;0003033;0000238</t>
  </si>
  <si>
    <t>FA211119</t>
  </si>
  <si>
    <t>Máy uốn tạo biên dạng trên và bọc vỏ cho tụ điện CURLING &amp; SLEEVE M/C ,model PAL-CS-18,công suất 15KW,điện áp 380V, Nhà sx: Palbok Industry, nsx:2021, mới 100%</t>
  </si>
  <si>
    <t>FA211202</t>
  </si>
  <si>
    <t>Máy cuốn tụ điện, WINDING MACHINE, Model: XCJ-3800, điện áp: 380V, công suất: 8KW, nhà sx: Shenzhen Cheng Jie Intelligent Equipment CO.,LTD, nsx 2018,  hàng đã qua sd</t>
  </si>
  <si>
    <t>FA211203</t>
  </si>
  <si>
    <t>FA211206</t>
  </si>
  <si>
    <t>Máy làm sạch và sấy khô tụ điện Clean&amp;Dry M/C,Hoạt động bằng điện, Model: CD450, Công suất: 8KW , điện áp: 380V, nsx AZTEK.CO.,LTD, nsx 2020, hàng đã qua sd</t>
  </si>
  <si>
    <t>Nhà đa năng</t>
  </si>
  <si>
    <t>FA220106</t>
  </si>
  <si>
    <t>Thi công dự án nhà đa năng xây mới thuộc nhà máy siêu tụ điện giải pháp năng lượng VN theo HD 2611XD/2020/HĐKT-01</t>
  </si>
  <si>
    <t>0000281-0000303-3-4</t>
  </si>
  <si>
    <t>2021+2022</t>
  </si>
  <si>
    <t>FA220107</t>
  </si>
  <si>
    <t>FA220111</t>
  </si>
  <si>
    <t>FA220112</t>
  </si>
  <si>
    <t>FA220113</t>
  </si>
  <si>
    <t>Canteen building/ Lắp đặt trần thạch cao, nội thất cho các phòng họp, nhà ăn, phòng coffee theo hợp đồng 1105/2021/VINATECHVIA-VIKING ngày 15/5/2021, HD 0000309 ngày 30/06/2021</t>
  </si>
  <si>
    <t>VIKING</t>
  </si>
  <si>
    <t>0000309</t>
  </si>
  <si>
    <t>FA220114</t>
  </si>
  <si>
    <t>Mã rèm: WL 205 Sử dụng cho nhà ăn mới Chất liệu: 100% Polyester cao cấp, khả năng cản sáng: 90% hợp đồng 1105/2021/VINATECHVIA-VIKING ngày 15/5/2021, HD 0000309 ngày 30/06/2021</t>
  </si>
  <si>
    <t>FA220115</t>
  </si>
  <si>
    <t>Canteen building/ Thi công lắp đặt khung nhôm vách kính cường lực 12 ly theo hợp đồng số 06/08/2021/HĐKT/TP-Vinatech ký ngày 06 tháng 08 năm 2021</t>
  </si>
  <si>
    <t>TÀI PHÁT</t>
  </si>
  <si>
    <t>0032156</t>
  </si>
  <si>
    <t>GC</t>
  </si>
  <si>
    <t>FA220108</t>
  </si>
  <si>
    <t>Khuôn đột dập model PBMD00-069-10P2S-H</t>
  </si>
  <si>
    <t>TWO-K ENG</t>
  </si>
  <si>
    <t>0000368</t>
  </si>
  <si>
    <t>Nhà gia công</t>
  </si>
  <si>
    <t>FA220109</t>
  </si>
  <si>
    <t>Khuôn đột dập model PBMD00-186-10P2S-I</t>
  </si>
  <si>
    <t>FA220110</t>
  </si>
  <si>
    <t>Cung cấp và lắp đặt thang tải hàng trọng lượng 500kg, hai điểm dừng  INV số 000021 ngày 13/1/2022</t>
  </si>
  <si>
    <t>ACG</t>
  </si>
  <si>
    <t>21</t>
  </si>
  <si>
    <t>VINA00088</t>
  </si>
  <si>
    <t>LEAD SEPARATOR/Máy uốn chân tụ điện LEAD SEPARATOR, công dụng: làm cong chân tụ điện để cắm vào bản mạch, model: BT-08-60, công suất 100W, điện áp: 220V, 60Hz, hãng VINATECH, SN:VNEP0347001, năm 2018, máy cũ</t>
  </si>
  <si>
    <t>Kho cạnh công ty</t>
  </si>
  <si>
    <t>FA200449</t>
  </si>
  <si>
    <t>AUTO SLEEVING MACHINE/Máy bọc vỏ cỡ chung dùng để bọc vỏ tụ điện loại trung bình Model SSB-1800 công suất 6KW, điện áp 3pha, 220V, 60Hz, nhà sx SHYH HORNG MACHINERY INDUSTRIAL CO.,LTD, năm sx 2012, hàng đã qua sử dụng</t>
  </si>
  <si>
    <t>FA201117</t>
  </si>
  <si>
    <t>AUTO SLEEVING MACHINE/Máy bọc vỏ tự động AUTO SLEEVING MACHINE, công dụng: Bọc vỏ tụ điện, model: SSB-1000V, công suất: 6KW, điện áp: 220V, 60Hz,nhà sx SHYH HORNG MACHINERY INDUSTRIAL CO.,LTD, năm sx 2016, hàng đã qua sd</t>
  </si>
  <si>
    <t>FA210101</t>
  </si>
  <si>
    <t>Micro-Profiler/Thiết bị kiểm tra nhiệt độ (Micro-Profiler), hãng SX:SEILIECO. Model: SMP-306 điện áp: DC5V. Sản xuất năm 2020. Hàng đã qua sử dụng</t>
  </si>
  <si>
    <t>103786075300</t>
  </si>
  <si>
    <t>0000013;0482648</t>
  </si>
  <si>
    <t>FA210501</t>
  </si>
  <si>
    <t xml:space="preserve"> EDLC ASSEMBLY M/C/Máy ngâm tẩm tụ điện và lắp ráp tự động EDLC ASSEMBLY M/C, model EAM-10, công suất 14.5KW, điện áp 3pha, 220V, 60Hz, nhà sx SHINJIN ADDtec, năm sx 2019, hàng đã qua sd</t>
  </si>
  <si>
    <t>FA210502</t>
  </si>
  <si>
    <t>EDLC ASSEMBLY M/C/Máy ngâm tẩm tụ điện và lắp ráp tự động EDLC ASSEMBLY M/C, model EAM-16, công suất 14.5KW, điện áp 3pha, 220V, 60Hz, nhà sx SHINJIN ADDtec, năm sx 2019, hàng đã qua sd</t>
  </si>
  <si>
    <t>FA210503</t>
  </si>
  <si>
    <t>EDLC ASSEMBLY M/C/Máy ngâm tẩm tụ điện và lắp ráp tự động EDLC ASSEMBLY M/C, model EAM-18, công suất 14.5KW,  điện áp 3pha, 220V, 60Hz, nhà sx SHINJIN ADDtec, năm sx 2019, hàng đã qua sd</t>
  </si>
  <si>
    <t>FA211005</t>
  </si>
  <si>
    <t>Automatic Assembly M/C- Máy ngâm tẩm tụ điện và lắp ráp tự động Model SG-5800Z,công suất 7.5KW, điện áp 380V, 50/60Hz, dùng để lắp ráp tụ điện tự động, Nsx  VINATECH CO.,LTD, năm sx 2021 , mới 100%</t>
  </si>
  <si>
    <t>DONGGUAN SHIGE ELECTRONICS GROUP CO.,LTD</t>
  </si>
  <si>
    <t>104232055100</t>
  </si>
  <si>
    <t>0000203,0002430,0002438,0075771,0100082,0055018</t>
  </si>
  <si>
    <t>T02</t>
  </si>
  <si>
    <t>FA211204</t>
  </si>
  <si>
    <t>Máy ngâm tẩm tụ điện và lắp ráp tự động Automatic Assembly M/C, Model: PAL-AM-18, công suất: 15KW, điện áp: 380V, nhà sx: Palbok Industry, Nsx: 2021, hàng đã qua sd</t>
  </si>
  <si>
    <t>FA211205</t>
  </si>
  <si>
    <t>Máy ngâm tẩm tụ điện và lắp ráp tự động Automatic Assembly M/C, Model: PAL-AM-13, công suất: 15KW, điện áp: 380V, nhà sx: Palbok Industry, Nsx: 2021, hàng mới 100%</t>
  </si>
  <si>
    <t>FA211207</t>
  </si>
  <si>
    <t>Máy uốn tạo biên dạng trên và bọc vỏ cho tụ điện CURLING &amp; SLEEVE M/C ,model PAL-CS-18,công suất 15KW,điện áp 380V, Nhà sx: Palbok Industry, nsx:2021, hàng đã qua sd</t>
  </si>
  <si>
    <t>Phòng tin cậy</t>
  </si>
  <si>
    <t>FA211216</t>
  </si>
  <si>
    <t>Máy sạc xả điện, Model:6V5A-60CH,  dùng để sạc điện vào tụ sau đó xả điện đi , dòng điện: 220VAC 50/60Hz, công suất: 4.5KW,  nhà sản xuất: WONIK  PNE, năm sản xuất: 2021, hàng mới 100%</t>
  </si>
  <si>
    <t>1</t>
  </si>
  <si>
    <t>WONIK PNE CO., LTD</t>
  </si>
  <si>
    <t>104441214951</t>
  </si>
  <si>
    <t>29/12/2021</t>
  </si>
  <si>
    <t>489780-470309-970-00000279</t>
  </si>
  <si>
    <t>FA220204</t>
  </si>
  <si>
    <t>Phòng cân NVL điện cực</t>
  </si>
  <si>
    <t>BM</t>
  </si>
  <si>
    <t>0000044</t>
  </si>
  <si>
    <t>R&amp;D</t>
  </si>
  <si>
    <t>FA220205</t>
  </si>
  <si>
    <t>installing power supply and electrical cabinets/ Thi công lắp đặt nguồn điện và lắp đặt tủ điện cho phòng R&amp;D HĐ 0000359 28/02/2022</t>
  </si>
  <si>
    <t>Hanbell sky</t>
  </si>
  <si>
    <t>0000359</t>
  </si>
  <si>
    <t>FA220101</t>
  </si>
  <si>
    <t>Máy tính công nghiệp(lắp ráp vào dây chuyền, hiển thị dữ liệu sản xuất,chỉ dùng trong nhà máy),model:NTP21KLF,màn hình:21inch tích hợp gắn liền với cây, core13, ram 8G,Nsx: INEWTEK, nsx:2021, mới 100%</t>
  </si>
  <si>
    <t>104462728750</t>
  </si>
  <si>
    <t>23/12/2021</t>
  </si>
  <si>
    <t>00000074-320-00000079</t>
  </si>
  <si>
    <t>FA220102</t>
  </si>
  <si>
    <t>Cell 20</t>
  </si>
  <si>
    <t>FA220103</t>
  </si>
  <si>
    <t>Cell 21</t>
  </si>
  <si>
    <t>T03</t>
  </si>
  <si>
    <t>FA220104</t>
  </si>
  <si>
    <t>Máy kiểm tra nhiệt độ và độ ẩm,Model: PL-2J, dùng để kiểm tra tụ điện trong môi trường giả định, dòng điện: 380v 3 pha,nhà sản xuất: ESPEC CORP, xuất xứ: Nhật Bản, năm  sản xuất:2021, mới 100%</t>
  </si>
  <si>
    <t>ESPEC CORP.</t>
  </si>
  <si>
    <t>104491374300</t>
  </si>
  <si>
    <t>05/01/2022</t>
  </si>
  <si>
    <t>00001115-00001580-00000281-0000266</t>
  </si>
  <si>
    <t>FA220105</t>
  </si>
  <si>
    <t>FA220201</t>
  </si>
  <si>
    <t>Máy bọc vỏ tự động, Super Capacitor Auto Sleeving M/C , công dụng: bọc vỏ tụ điện, Model: SG-3500T,điện áp 220V, công suất: 5.5KW, nhà sx DONGGUAN SHIGE ELECTRONICS GROUP CO., LTD., nsx 2022, mới 100%</t>
  </si>
  <si>
    <t>104537379000</t>
  </si>
  <si>
    <t>10/02/2022</t>
  </si>
  <si>
    <t>FA220202</t>
  </si>
  <si>
    <t>Máy làm sạch và sấy khô tụ điện Clean and Dry M/C , hoạt động bằng điện, Model: SG-3500QZ, công suất: 15 KW, điện áp: 380V, nhà sản xuất: DONGGUAN SHIGE ELECTRONICS GROUP CO., LTD., nsx 2022, mới 100%</t>
  </si>
  <si>
    <t>FA220203</t>
  </si>
  <si>
    <t>Máy kiểm tra tụ điện-VENT TESTER (số máy:C18010113),dùng để kiểm tra áp lực đáy vỏ nhôm bằng dầu thủy lực,điện áp 220V,công suất 120KW,nsx Shenzhen Xingchuangjia Technology Co.,Ltd., nsx 2022, mới100%</t>
  </si>
  <si>
    <t>104548739850</t>
  </si>
  <si>
    <t>18/01/2022</t>
  </si>
  <si>
    <t>000326-0000327--6089-5315-541</t>
  </si>
  <si>
    <t xml:space="preserve">CPC             </t>
  </si>
  <si>
    <t>T04</t>
  </si>
  <si>
    <t>FA220401</t>
  </si>
  <si>
    <t>Mua  máy rửa và sấy tụ điện model VT2101 theo hóa đơn số 23 ngày 06/04/2022</t>
  </si>
  <si>
    <t>Công ty cổ phần điện máy kỹ thuật</t>
  </si>
  <si>
    <t>23</t>
  </si>
  <si>
    <t>FA220402</t>
  </si>
  <si>
    <t>FA220403</t>
  </si>
  <si>
    <t>Mua Máy đếm tự động theo hóa đơn số 9 ngày 28/04/2022</t>
  </si>
  <si>
    <t>CÔNG TY TNHH BM TECH VINA</t>
  </si>
  <si>
    <t>9</t>
  </si>
  <si>
    <t>FA220405</t>
  </si>
  <si>
    <t>Máy uốn tạo biên dạng trên và bọc vỏ cho tụ điện CURLING &amp; SLEEVE M/C ,model PAL-CS-13,công suất 15KW,điện áp 380V, Nhà sx: Palbok Industry, nsx:2022, mới 100%</t>
  </si>
  <si>
    <t>104642259630</t>
  </si>
  <si>
    <t>17/03/2022</t>
  </si>
  <si>
    <t>00001125-849729+00001120         0000303</t>
  </si>
  <si>
    <t>FA220406</t>
  </si>
  <si>
    <t>T05</t>
  </si>
  <si>
    <t>FA220407</t>
  </si>
  <si>
    <t>Máy cuốn tụ điện , AUTOMATIC WINDING MACHINE Model: XCJ-820-2, điện áp: 220V, công suất: 1.5KW, Nsx Shenzhen Cheng Jie Intelligent Equipment CO.,LTD, nsx: 2021, hàng đã qua sử dụng</t>
  </si>
  <si>
    <t>104647028951</t>
  </si>
  <si>
    <t>01/04/2022</t>
  </si>
  <si>
    <t>11742+0853696+00001125+0000304</t>
  </si>
  <si>
    <t>FA220506</t>
  </si>
  <si>
    <t>Máy cuốn tụ điện, WINDING MACHINE, Model: XCJ-820D, điện áp: 220V, công suất: 1.5 KW, nhà sx: SHENZHEN CHENG JIE INTELLIGENT EQUIPMENT STOCK CO.,LTD, năm sản xuất: 2022,  hàng mới 100%</t>
  </si>
  <si>
    <t>104686225710</t>
  </si>
  <si>
    <t>08/04/2022</t>
  </si>
  <si>
    <t>00015106,0936527,00001428,00001433,00000003</t>
  </si>
  <si>
    <t>FA220507</t>
  </si>
  <si>
    <t>FA220508</t>
  </si>
  <si>
    <t>Auto Assembly M/C (XCJ-986) - Máy ngâm tẩm tụ điện và lắp ráp tự động Model XCJ-986,công suất 6.0KW, điện áp 220V 50/60HZ, nhà sx Shenzhen Xingchuangjia Technology Co. LTD, năm sx 2022, mới 100%</t>
  </si>
  <si>
    <t>104695825030</t>
  </si>
  <si>
    <t>20/04/2022</t>
  </si>
  <si>
    <t>0943810,00010336, 82292,00001428,00001434,00000006</t>
  </si>
  <si>
    <t>FA220509</t>
  </si>
  <si>
    <t>Máy khuấy hóa chất- 001-2022LPC-VINATECH</t>
  </si>
  <si>
    <t>CÔNG TY CỔ PHẦN CƠ KHÍ CHÍNH XÁC VÀ THƯƠNG MẠI LPC</t>
  </si>
  <si>
    <t>00000130</t>
  </si>
  <si>
    <t>MIXING</t>
  </si>
  <si>
    <t>T06</t>
  </si>
  <si>
    <t>FA220603</t>
  </si>
  <si>
    <t>Máy khuấy hóa chất- 002-2022LPC-VINATECH</t>
  </si>
  <si>
    <t>00000142</t>
  </si>
  <si>
    <t>FA220604</t>
  </si>
  <si>
    <t>FA220605</t>
  </si>
  <si>
    <t>FA220606</t>
  </si>
  <si>
    <t>FA220404</t>
  </si>
  <si>
    <t>Cảm biến trọng lượng- Weigh cells, Model: MWC-523-E (integrated in sartorius WZA523-L), bộ phận của cân sử dụng để cân trọng lượng sản phẩm trong máy lắp ráp, Hàng mới 100%</t>
  </si>
  <si>
    <t>104633974760</t>
  </si>
  <si>
    <t>1123</t>
  </si>
  <si>
    <t>FA220502</t>
  </si>
  <si>
    <t>Thiết bị kiểm tra khả năng nạp và xả của tụ điện (công dụng: kiểm tra đặc tính tự xả), model GT-5005V2, ,điện áp 220V, công suất 0.4KW, Nsx G-WELL Co.,LTD, Năm sx 2021, hàng đã qua sử dụng</t>
  </si>
  <si>
    <t>104686286460</t>
  </si>
  <si>
    <t>15/04/2022</t>
  </si>
  <si>
    <t>00014869,0936467,00001433,00000003</t>
  </si>
  <si>
    <t>FA220505</t>
  </si>
  <si>
    <t>T07</t>
  </si>
  <si>
    <t>FA220501</t>
  </si>
  <si>
    <t>Thiết bị kiểm tra khả năng nạp và xả của tụ điện (dùng để kiểm tra đặc tính tự xả, dung lượng), model BW-BTS0606, điện áp 220V, công suất 7KW, Nsx BIT&amp;WATT, Năm sx 2019, hàng đã qua sử dụng</t>
  </si>
  <si>
    <t>FA220503</t>
  </si>
  <si>
    <t>Thiết bị kiểm tra khả năng nạp và xả của tụ điện (dùng để kiểm tra đặc tính tự xả, dung lượng), model EP-BTS0606, điện áp 220V, công suất 7KW, Nsx ejy power, Năm sx 2016, hàng đã qua sử dụng</t>
  </si>
  <si>
    <t>FA220504</t>
  </si>
  <si>
    <t>FA220601</t>
  </si>
  <si>
    <t>Máy ngâm tẩm tụ điện và lắp ráp tự động Automatic Assembly Machine, Model: PAL-AM-08, công suất: 15KW, điện áp: 380V, nhà sx: Palbok Industry, Năm sx: 2022, mới 100%</t>
  </si>
  <si>
    <t>104798078820</t>
  </si>
  <si>
    <t>24/06/2022</t>
  </si>
  <si>
    <t>00000034,1138602,00010341,00001846</t>
  </si>
  <si>
    <t>Line 8</t>
  </si>
  <si>
    <t>FA220602</t>
  </si>
  <si>
    <t>Máy uốn tạo biên dạng trên và bọc vỏ cho tụ điện CURLING &amp; SLEEVE MACHINE, model PAL-CS-08, công suất 15KW, điện áp 380V, nhà sx: Palbok Industry, năm sx:2022, mới 100%</t>
  </si>
  <si>
    <t>FA220703</t>
  </si>
  <si>
    <t>Máy cuốn tụ điện, AUTO WINDING MACHINE, Model: XCJ-820D, điện áp: 220V, công suất: 1.5 KW, nhà sx: SHENZHEN CHENG JIE INTELLIGENT EQUIPMENT STOCK CO.,LTD, năm sản xuất: 2022,  hàng mới 100%</t>
  </si>
  <si>
    <t>104823274030</t>
  </si>
  <si>
    <t>27/06/2022</t>
  </si>
  <si>
    <t>1177805,00051819,00000044,114103, 00002200</t>
  </si>
  <si>
    <t>FA220704</t>
  </si>
  <si>
    <t>Máy uốn chân điện cực (của tụ điện)  tự động AUTO BENDING MACHINE , model: PAL-CF-08, điện áp: 220V, công suất: 5KW, năm sản xuất: 2022, nhà sản xuất: Palbok Industry, mới 100%</t>
  </si>
  <si>
    <t>DOPING</t>
  </si>
  <si>
    <t>Dopping line</t>
  </si>
  <si>
    <t>T08</t>
  </si>
  <si>
    <t>FA220701</t>
  </si>
  <si>
    <t>104823812220</t>
  </si>
  <si>
    <t>Line 6</t>
  </si>
  <si>
    <t>FA220702</t>
  </si>
  <si>
    <t>Máy uốn tạo biên dạng trên và bọc vỏ cho tụ điện CURLING &amp; SLEEVE MACHINE, model PAL-CS-08, công suất 15KW, điện áp 380V, nhà sx: Palbok Industry, năm sx: 2022, mới 100%</t>
  </si>
  <si>
    <t>FA220705</t>
  </si>
  <si>
    <t>Máy sắp xếp và đóng gói tự động tụ Automatic taping machine (dùng để sắp xếp tụ theo thứ tự,đưa vào đóng gói),model YC-320A,công suất 1.6KW,đ/áp 220V, nhà sx:Yi Chuan Automatic, năm sx 2022, mới 100%</t>
  </si>
  <si>
    <t>tapping</t>
  </si>
  <si>
    <t>FA220706</t>
  </si>
  <si>
    <t>Máy sắp xếp và đóng gói tự động tụ Automatic taping machine (dùng để sắp xếp tụ theo thứ tự,đưa vào đóng gói),model YC-320L,công suất 1.6KW,đ/áp 220V, nhà sx:Yi Chuan Automatic, năm sx 2022, mới 100%</t>
  </si>
  <si>
    <t>FA220707</t>
  </si>
  <si>
    <t>Hệ thống hút ẩm không khí công nghiệp CDHL 1200-2 (máy thực hiện chức năng chính: máy hút ẩm không khí), điện áp: 380V, tần số: 50Hz, công suất: 252KW, nhà sx: CK Solution, năm sx: 2022, hàng mới 100%</t>
  </si>
  <si>
    <t>Utility room</t>
  </si>
  <si>
    <t>FA220708</t>
  </si>
  <si>
    <t>Hệ thống hút ẩm không khí công nghiệp CDHL  1500-2 (máy thực hiện chức năng chính: máy hút ẩm không khí), điện áp: 380V, tần số: 50Hz, công suất: 147 KW, năm sx: 2022, nhà sx: CK Solution, mới 100%</t>
  </si>
  <si>
    <t>FA220709</t>
  </si>
  <si>
    <t>Bộ cấp nguyên liệu loại 10x30L, bộ phận của máy ngâm tẩm tụ điện và lắp ráp tự động, chất liệu bằng sắt, năm sx 2022, mới 100%</t>
  </si>
  <si>
    <t>Auto Curling 15</t>
  </si>
  <si>
    <t>FA220710</t>
  </si>
  <si>
    <t>Bộ cấp nguyên liệu loại 10x30L, bộ phận của máy uốn tạo biên dạng trên và bọc vỏ cho tụ điện, chất liệu bằng sắt, năm sx 2022, mới 100%</t>
  </si>
  <si>
    <t>Assembly 14</t>
  </si>
  <si>
    <t>FA220711</t>
  </si>
  <si>
    <t>Auto Curling 14</t>
  </si>
  <si>
    <t>FA220712</t>
  </si>
  <si>
    <t>Tủ chống ẩm Digi Cabi DHC 400l</t>
  </si>
  <si>
    <t>winding</t>
  </si>
  <si>
    <t>FA220801</t>
  </si>
  <si>
    <t>Máy cuốn tụ điện, AUTO WINDING MACHINE, Model: XCJ-820D, điện áp: 220V, công suất: 1.5 KW, nhà sx: SHENZHEN CHENG JIE INTELLIGENT EQUIPMENT STOCK CO.,LTD, năm sản xuất: 2022, hàng mới 100%</t>
  </si>
  <si>
    <t>104905102522</t>
  </si>
  <si>
    <t>1331238 ngày 17/08/2022, 00013657 ngày 19/08/2022,  00034582 ngày 17/08/2022, 00003046 ngày 23/08/2022, 00002532 ngày 31/08/2022, 00000073 ngày 20/08/2022</t>
  </si>
  <si>
    <t>FA220802</t>
  </si>
  <si>
    <t>VPC line</t>
  </si>
  <si>
    <t>FA220803</t>
  </si>
  <si>
    <t>Máy mài điện cực STRIPPING MACHINE &amp; ATTACHED PARTS, dùng để mài cuộn điện cực cho tụ điện, model: MCS-2018-ST,công suất: 4KW, đ/áp: 220V, 50/60 Hz, nhà sx: MECHASOLUTION, năm sx: 2018, hàng đã qua sd</t>
  </si>
  <si>
    <t>Line 17</t>
  </si>
  <si>
    <t>phòng tin cậy</t>
  </si>
  <si>
    <t>FA220804</t>
  </si>
  <si>
    <t>Tủ sấy đối lưu cưỡng bức có cửa Jeiotech On-22GW 135L</t>
  </si>
  <si>
    <t>FA220805</t>
  </si>
  <si>
    <t>Air compressor inverter cabinet/ Tủ biến tần máy nén khí 100HP</t>
  </si>
  <si>
    <t>CÔNG TY CỔ PHẦN ĐẦU TƯ VÀ PHÁT TRIỂN CÔNG NGHIỆP TIẾN ĐẠT</t>
  </si>
  <si>
    <t>475 ngày 19/8/2022</t>
  </si>
  <si>
    <t>FA220806</t>
  </si>
  <si>
    <t>Air compressor inverter cabinet/ Tủ biến tần 2 máy nén khi 50HP</t>
  </si>
  <si>
    <t>FA220807</t>
  </si>
  <si>
    <t>Air compressor inverter cabinet/ Tủ biến tần 2 máy nén khí 30HP</t>
  </si>
  <si>
    <t>T09</t>
  </si>
  <si>
    <t>FA220903</t>
  </si>
  <si>
    <t>Máy Chiller làm lạnh nước  Model : HD10A</t>
  </si>
  <si>
    <t>CÔNG TY TNHH CƠ ĐIỆN LẠNH HOÀNG DƯƠNG</t>
  </si>
  <si>
    <t>00000709</t>
  </si>
  <si>
    <t>FA220904</t>
  </si>
  <si>
    <t>EXHAUST SYSTEM/ Hệ thống quạt hút theo HĐ số 00000083 ngày 24/09/2022</t>
  </si>
  <si>
    <t>00000083</t>
  </si>
  <si>
    <t>FA220408</t>
  </si>
  <si>
    <t>Bơm định lượng Model D05- bộ phận của máy ngâm tẩm tụ điện và lắp ráp tự động,hoạt động kiểu piston,dùng để bơm dung dịch vào con tụ,Nsx 2022, nsx Shenzhen Xingchuangjia Technology,mới 100%</t>
  </si>
  <si>
    <t>104650446240</t>
  </si>
  <si>
    <t>00001123</t>
  </si>
  <si>
    <t>FA220808</t>
  </si>
  <si>
    <t>Moisture analyzer/ Thiết bị phân tích độ ẩm</t>
  </si>
  <si>
    <t>CÔNG TY TNHH VION TEC</t>
  </si>
  <si>
    <t>00000189</t>
  </si>
  <si>
    <t>FA220901</t>
  </si>
  <si>
    <t>Máy cuốn tụ điện, AUTO WINDING MACHINE, Model: XCJ-820D, điện áp: 220V, công suất: 1.5 KW, nhà sx: SHENZHEN CHENG JIE INTELLIGENT EQUIPMENT STOCK CO.,LTD, năm sản xuất: 2022, hàng đã qua sử dụng</t>
  </si>
  <si>
    <t>VINA TECH CO., LTD.</t>
  </si>
  <si>
    <t>104954301062</t>
  </si>
  <si>
    <t>00016490 12/09/2022, 1408745 10/09/2022,00002869 30/09/2022, 0000091 13/09/2022</t>
  </si>
  <si>
    <t>FA220902</t>
  </si>
  <si>
    <t>Bồn chứa nguyên vật liệu của máy trộn - 200L Mixing Tank, chất liệu thép không gỉ, kích thước: 1550x1450x1250 (mm), dùng để chứa vật liệu điện cực cho máy trộn nguyên vật liệu điện cực, hàng mới 100%.</t>
  </si>
  <si>
    <t>TSI CO.,LTD.</t>
  </si>
  <si>
    <t>104993369501</t>
  </si>
  <si>
    <t>T10</t>
  </si>
  <si>
    <t>T11</t>
  </si>
  <si>
    <t>phòng R&amp;D</t>
  </si>
  <si>
    <t>FA221103</t>
  </si>
  <si>
    <t>FA221104</t>
  </si>
  <si>
    <t>Versatile meter and data logger/Máy đo và ghi dữ liệu đa năng HiLOGGER</t>
  </si>
  <si>
    <t>1839</t>
  </si>
  <si>
    <t>Electrode resistance meter system/ Hệ thống máy đo điện trở điện cực RM2610</t>
  </si>
  <si>
    <t>FA221101</t>
  </si>
  <si>
    <t>Máy kiểm tra và phân loại tụ điện dùng để già hóa và phân loại tụ điện, Model: ECAS-2500, công suất 20KW, điện áp 220V, năm sx: 2016, nhà sx: SAMHWA ENGINEERING CO.,LTD, hàng đã qua sử dụng</t>
  </si>
  <si>
    <t>105071215062</t>
  </si>
  <si>
    <t>03/11/2022</t>
  </si>
  <si>
    <t>1612069 ngày 08/11/2022, 235833 ngày 07/11/2022, 00017958 ngày 16/11/2022, 00003500 ngày 30/11/2022, 00000120 ngày 10/11/2022</t>
  </si>
  <si>
    <t>FA221102</t>
  </si>
  <si>
    <t>Bồn chứa nguyên vật liệu của máy trộn- Planetary Disper Mixer 125 L Tank, chất liệu thép không gỉ, kt: 810*830*635 (mm), dùng để chứa vật liệu điện cực cho máy trộn nguyên vật liệu điện cực, mới 100%</t>
  </si>
  <si>
    <t>SHIN-IL MIXER N MILLS CO.,LTD</t>
  </si>
  <si>
    <t>105126207540</t>
  </si>
  <si>
    <t>28/11/2022</t>
  </si>
  <si>
    <t>4461 ngày 29/11/2022, 00003493 ngày 30/11/2022, 00003503 ngày 05/02/2023</t>
  </si>
  <si>
    <t>FA221202</t>
  </si>
  <si>
    <t>Sludge press/ Mua máy ép bùn theo HĐ 21/HĐKT/MARS-VINATECH NGÀY 28/11/2022</t>
  </si>
  <si>
    <t>CÔNG TY TNHH CÔNG NGHỆ MARS VNP</t>
  </si>
  <si>
    <t>0000047</t>
  </si>
  <si>
    <t>FA221203</t>
  </si>
  <si>
    <t xml:space="preserve">Water chiller/ Mua máy làm lạnh nước giải nhiệt gió </t>
  </si>
  <si>
    <t>CÔNG TY TNHH HVAC VINA</t>
  </si>
  <si>
    <t>00000001</t>
  </si>
  <si>
    <t>Điện cực Mixing</t>
  </si>
  <si>
    <t>Phòng xử lý nước thải xưởng 2</t>
  </si>
  <si>
    <t>Bên ngoài xưởng 2, gần khu vực Mixing</t>
  </si>
  <si>
    <t>T12.2022</t>
  </si>
  <si>
    <t>đã thanh lý</t>
  </si>
  <si>
    <t>T01.2023</t>
  </si>
  <si>
    <t>FA221201</t>
  </si>
  <si>
    <t>Bơm tăng áp suất cho hệ thống hút chân không BOOSTER VACUUM PUMP, model: WSBP-300C, điện áp: 220/380V, 1000m3/hr, nhãn hiệu: VACSCO, năm sx: 2022, hàng mới 100%</t>
  </si>
  <si>
    <t>105173349040</t>
  </si>
  <si>
    <t>22/12/2022</t>
  </si>
  <si>
    <t>5132 ngày 23/12/2022, 00003824 ngày 31/12/2022, 00003835 ngày 31/12/2022</t>
  </si>
  <si>
    <t>Phòng Utility xưởng 2, dry room x2</t>
  </si>
  <si>
    <t xml:space="preserve"> </t>
  </si>
  <si>
    <t>01/12/2020: TSCĐ không dùng chuyển kho dabaco 6274-&gt; 8118. chuyển sang 6274 từ 01/01/2023</t>
  </si>
  <si>
    <t>Dự kiến t3 chuyển về hàn cải tiến 2/3/2023</t>
  </si>
  <si>
    <t>ktsp</t>
  </si>
  <si>
    <t>ktsp tháng 3</t>
  </si>
  <si>
    <t>tháng 1</t>
  </si>
  <si>
    <t>tháng 3</t>
  </si>
  <si>
    <t>Từ tháng 1 chuyển sang 642 vì là tài sản của bộ phận R&amp;D</t>
  </si>
  <si>
    <t>Từ tháng 3 chuyển sang 642 vì là tài sản của bộ phận R&amp;D</t>
  </si>
  <si>
    <t>f</t>
  </si>
  <si>
    <t>Kết thúc</t>
  </si>
  <si>
    <t>Bắt đầu</t>
  </si>
  <si>
    <t>T03.2023</t>
  </si>
  <si>
    <t>FA230201</t>
  </si>
  <si>
    <t>Máy trộn điện cực - Lab. Planetary Disper Mixer 5 L  , model: PDM 005-02 , điện áp: 220V, công suất: 2.25kW, nsx: SHIN-IL MIXER n MILLs CO.,LTD, năm sx: 2022, hàng mới 100%</t>
  </si>
  <si>
    <t>105276600330</t>
  </si>
  <si>
    <t>21/02/2023</t>
  </si>
  <si>
    <t>1153 ,00000346 ,00000348, 00000021</t>
  </si>
  <si>
    <t xml:space="preserve">AQUISITION VALUE now (after Liquidation) (Increase 211)
</t>
  </si>
  <si>
    <t>FA230301</t>
  </si>
  <si>
    <t>A.SYS TECHNOLOGY CO., LTD.</t>
  </si>
  <si>
    <t>105310511460</t>
  </si>
  <si>
    <t>FA230302</t>
  </si>
  <si>
    <t>FA230303</t>
  </si>
  <si>
    <t>00000058</t>
  </si>
  <si>
    <t>Stt</t>
  </si>
  <si>
    <t>Số c.từ</t>
  </si>
  <si>
    <t>Ngày c.từ</t>
  </si>
  <si>
    <t>Mã khách</t>
  </si>
  <si>
    <t>Tên khách</t>
  </si>
  <si>
    <t>Diễn giải</t>
  </si>
  <si>
    <t>Tk đ.ứng</t>
  </si>
  <si>
    <t>Ps nợ</t>
  </si>
  <si>
    <t>Ps có</t>
  </si>
  <si>
    <t>Mã dự án</t>
  </si>
  <si>
    <t>Quyển c.từ</t>
  </si>
  <si>
    <t>Mã c.từ</t>
  </si>
  <si>
    <t>Mã ĐVCS</t>
  </si>
  <si>
    <t>331111</t>
  </si>
  <si>
    <t>T04.2023</t>
  </si>
  <si>
    <t>Điện cực</t>
  </si>
  <si>
    <t>1990161 ngày 07/03/2023, 11344 ngày 07/03/2023, 00003206 ngày 08/03/2023, 00000541 ngày 31/03/2023, 00000542 ngày 31/03/2023, 00000037 ngày 00/01/1900</t>
  </si>
  <si>
    <t>Drying oven/Lò sấy gia nhiệt bằng điện trở, để sấy điện cực ở công đoạn sản xuất điện cực, model: DRY OVEN (3M) điện áp: 380V,công suất 32 KW, hãng: A.SYS TECHNOLOGY năm sản xuất: 2023, hàng mới 100%</t>
  </si>
  <si>
    <t>Stirrer/Máy khuấy Vinatech Vina-VN22-001</t>
  </si>
  <si>
    <t>Từ tháng 3.2023 chuyển sang 8118 do chuyển sang hàn để cải tạo
Từ tháng 5.2023 chuyển lại 6274 do đã sửa xong và nhập máy lại Vinatech Vina</t>
  </si>
  <si>
    <t>tháng 3.2023</t>
  </si>
  <si>
    <t>Chuyển sang J-TECH ngày 12/05/2023</t>
  </si>
  <si>
    <t>T05.2023</t>
  </si>
  <si>
    <t>FA230410</t>
  </si>
  <si>
    <t>Thiết bị đo lực kéo nén hiển thị điện tử hãng AND. Model: MCT-1150</t>
  </si>
  <si>
    <t>FA230412</t>
  </si>
  <si>
    <t>Máy tính xách tay LG Gram 17Z90Q-G.AH78A5  HĐ 00000306 date 26/04/2023</t>
  </si>
  <si>
    <t>00000306</t>
  </si>
  <si>
    <t>A Junki dùng</t>
  </si>
  <si>
    <t>A Junki</t>
  </si>
  <si>
    <t>VINATECH CO.,LTD</t>
  </si>
  <si>
    <t>MECHA SOLUTION CO.,LTD</t>
  </si>
  <si>
    <t>CÔNG TY CỔ PHẦN CHẾ TẠO MÁY AUTOTECH VIỆT NAM</t>
  </si>
  <si>
    <t>Máy kiểm tra điện trở tụ điện (Sản phẩm áp dụng: 0813, 0820, 0825, 1020, 1025) Model: ATT-VVC RMM01 Số serial: VVC220001.01-NO.01 (RESISTOR MEASURING MACHINE) hđ 00000073 31/05/2023</t>
  </si>
  <si>
    <t>PN1</t>
  </si>
  <si>
    <t>FA230401</t>
  </si>
  <si>
    <t>FA230402</t>
  </si>
  <si>
    <t>FA230403</t>
  </si>
  <si>
    <t>FA230404</t>
  </si>
  <si>
    <t>FA230405</t>
  </si>
  <si>
    <t>FA230406</t>
  </si>
  <si>
    <t>FA230407</t>
  </si>
  <si>
    <t>FA230408</t>
  </si>
  <si>
    <t>FA230411</t>
  </si>
  <si>
    <t>FA230503</t>
  </si>
  <si>
    <t>Auto Assembly Machine/Máy ngâm tẩm tụ điện và lắp ráp tự động Auto Assembly M/C, model XCJ-981A,công suất 6.0KW, điện áp 220V, nhà sx Shenzhen Xingchuangjia Technology Co. LTD, năm sx 2020, hàng đã qua sử dụng</t>
  </si>
  <si>
    <t>Auto Assembly Machine/Máy ngâm tẩm tụ điện và lắp ráp tự động Automatic Assembly Machine, Model: PAL-AM-08, công suất: 15KW, điện áp: 380V, nhà sx: Palbok Industry, Nsx: 2022, hàng đã qua sử dụng</t>
  </si>
  <si>
    <t>CLEAN &amp; DRY MACHINE/Máy làm sạch và sấy khô tụ điện Clean&amp;Dry M/C,Hoạt động bằng điện, Model: CD450, Công suất: 8KW , điện áp: 380V, năm sản xuất:2020 , Nsx: AZTEK.CO.,LTD, hàng đã qua sử dụng</t>
  </si>
  <si>
    <t>CLEAN &amp; DRY MACHINE/Máy làm sạch và sấy khô tụ điện Clean&amp;Dry M/C,Hoạt động bằng điện, Model: CD450, Công suất: 8KW , điện áp: 220V, năm sản xuất:2022 , Nsx: AZTEK.CO.,LTD, hàng đã qua sử dụng</t>
  </si>
  <si>
    <t>CURLING &amp; SLEEVING MACHINE/Máy uốn tạo biên dạng trên và bọc vỏ cho tụ điện, CURLING &amp; SLEEVING MACHINE, model: PAL-CS-08, công suất 15KW,điện áp 380V, năm sx: 2020 nhà sản xuất: Palbok Industry, hàng đã qua sử dụng</t>
  </si>
  <si>
    <t xml:space="preserve">LAB. COATING MACHINE/Máy phủ phụ gia dẫn điện lên điện cực của siêu tụ điện LAB. COATING MACHINE , model: MCS-2023-CT, điện áp: 220-380V, công suất tổng: 28kW, hãng sx: Mecha Solution Co., Ltd, năm sx: 2023, mới 100% </t>
  </si>
  <si>
    <t>SET</t>
  </si>
  <si>
    <t>105392615902</t>
  </si>
  <si>
    <t>105435924200</t>
  </si>
  <si>
    <t>00000073</t>
  </si>
  <si>
    <t>T06.2023</t>
  </si>
  <si>
    <t>2129410 ngày 17/04/2023;00015780 ngày 18/04/2023;229 ngày 20/04/2023;91081 ngày 21/04/2023;00000787 ngày 29/04/2023</t>
  </si>
  <si>
    <t>16452 ngày 10/05/2023;0247829 ngày 09/05/2023;00000981 ngày 31/05/2023;00000986 ngày 31/05/2023;00000082 ngày 15/05/2023</t>
  </si>
  <si>
    <t>Thiết bị đo điện trở, điện cảm, điện dung, mã IM3536. Hãng sản xuất: HIOKI HĐ số 1473 ngày 14/06/2023</t>
  </si>
  <si>
    <t>Dụng cụ kiểm tra để cố định tế bào điện cực và máy đo, mã SA9002. Hãng sản xuất HIOKI. HĐ số 1473 ngày 14/06/2023</t>
  </si>
  <si>
    <t>PALBOK INDUSTRY CO.,LTD</t>
  </si>
  <si>
    <t>PL Tech Co.,Ltd</t>
  </si>
  <si>
    <t>Máy hút chân không vòi ngoài DZT800 theo HĐ số 00000056 ngày 27/06/2023</t>
  </si>
  <si>
    <t>FA230605</t>
  </si>
  <si>
    <t>Máy hàn Laser kim loại, model F2000-RM-FT, điện áp 3phase 380V, công suất 7.1 kW (hoạt động theo nguyên lý sử dụng tia laser làm nóng chảy kim loại). SX năm 2023. NSX : PL Tech Co., Ltd. Hàng mới 100%</t>
  </si>
  <si>
    <t>105524079510</t>
  </si>
  <si>
    <t>22551 ngày 21/06/2023; 00001205 ngày 30/06/2023; 00001210 ngày 30/06/2023; 00000110 ngày 30/06/2023</t>
  </si>
  <si>
    <t>T072023</t>
  </si>
  <si>
    <t>CÔNG TY TNHH DUY ANH AVM VINA</t>
  </si>
  <si>
    <t>FA230409</t>
  </si>
  <si>
    <t>CURLING &amp; SLEEVING MACHINE/Máy uốn tạo biên dạng trên và bọc vỏ cho tụ điện, CURLING &amp; SLEEVE MACHINE, model: PAL-CS-08, công suất 15KW,điện áp 380V, năm sx: 2022 nhà sản xuất: Palbok Industry, hàng đã qua sử dụng</t>
  </si>
  <si>
    <t>FA230501</t>
  </si>
  <si>
    <t>Auto Vision Machine/Máy kiểm tra ngoại quan tụ điện để kiểm tra bề ngoài sản phẩm tụ điện, Model: VA-VI-13-01, điện áp, công suất: 3KW, AC220V , năm sx: 2023, nhà sx: VINATech Co., Ltd , hàng mới 100%</t>
  </si>
  <si>
    <t>FA230502</t>
  </si>
  <si>
    <t>Auto Vision Machine/Máy kiểm tra ngoại quan tụ điện Model: VA-VI-08-02 (kiểm tra bề ngoài của tụ điện về kích thước, màu sắc,dị vật...), điện áp AC220V công suất 3kW, năm sx: 2023, nhà sx: VINATECH CO., LTD, mới 100%</t>
  </si>
  <si>
    <t>FA230601</t>
  </si>
  <si>
    <t>FA230602</t>
  </si>
  <si>
    <t>FA230603</t>
  </si>
  <si>
    <t>Máy uốn tạo biên dạng trên và bọc vỏ cho tụ điện, CURLING AND SLEEVING MACHINE, model: PAL-CS-08, công suất 15KW,điện áp 380V, năm sx: 2023 nhà sản xuất: PALBOK INDUSTRY CO.,LTD., hàng mới 100%</t>
  </si>
  <si>
    <t>FA230604</t>
  </si>
  <si>
    <t>Máy uốn tạo biên dạng trên và bọc vỏ cho tụ điện, CURLING AND SLEEVING MACHINE, model: PAL-CS-10, công suất 15KW,điện áp 380V, năm sx: 2023 nhà sản xuất: PALBOK INDUSTRY CO.,LTD., hàng mới 100%</t>
  </si>
  <si>
    <t>FA230606</t>
  </si>
  <si>
    <t>105462692050</t>
  </si>
  <si>
    <t>105473039560</t>
  </si>
  <si>
    <t>105527021130</t>
  </si>
  <si>
    <t>00000056</t>
  </si>
  <si>
    <t>00000986 ngày 31/05/2023</t>
  </si>
  <si>
    <t>00000088 ngày 25/05/2023; 4799 ngày 23/05/2023; 4810 ngày 23/05/2023; 0253829 ngày 19/05/2023; 00000986 ngày 31/05/2023</t>
  </si>
  <si>
    <t>5036 ngày 26/05/2023; 00000986 ngày 31/05/2023</t>
  </si>
  <si>
    <t>2359990 ngày 21/06/2023; 107391 ngày 21/06/2023; 7191 ngày 22/06/2023; 107830 ngày 22/06/2023;00001205 ngày 30/06/2023; 00001210 ngày 30/06/2023</t>
  </si>
  <si>
    <t>R&amp;D room</t>
  </si>
  <si>
    <t>Facrory 1</t>
  </si>
  <si>
    <t>T082023</t>
  </si>
  <si>
    <t>FA230701</t>
  </si>
  <si>
    <t>Tủ sấy 150 lít cưỡng bức Model: LDO-150F
Hãng sản xuất: Labtech/ Hàn Quốc</t>
  </si>
  <si>
    <t>66</t>
  </si>
  <si>
    <t>iNewtek Inc.</t>
  </si>
  <si>
    <t>CÔNG TY CỔ PHẦN TƯ VẤN THIẾT KẾ VÀ XÂY DỰNG INDECONS VIỆT NAM</t>
  </si>
  <si>
    <t>CK SOLUTION CO.,LTD</t>
  </si>
  <si>
    <t>Đế gá đồng hồ đo độ cứng TECLOCK GS-612 Model: GS-612
Hãng sản xuất: TECLOCK
Xuất xứ: NhậtBản
Bảo hành: 12 tháng HĐ số 00001265 ngày 26/09/2023</t>
  </si>
  <si>
    <t>Cân phân tích semi-micro Balances A&amp;D GR-200 (210 x
0.0001g) Model: GR-200
Hãng sản xuất: AND HĐ số 00001265 ngày 26/09/2023</t>
  </si>
  <si>
    <t>Cân phân tích ẩm A&amp;D MX-50 Model: MX-50
Hãng sản xuất: AND
Xuất xứ: NhậtBản HĐ số 00001265 ngày 26/09/2023</t>
  </si>
  <si>
    <t>A. SYS TECHNOLOGY CO.,LTD</t>
  </si>
  <si>
    <t>Máy tính công nghiệp(lắp ráp vào dây chuyền, hiển thị dữ liệu sản xuất,chỉ dùng trong nhà máy),model:NTP21KLF,màn hình:21inch tích hợp gắn liền với cây,core13,ram 8G,Nsx: INEWTEK,năm sx :2023,mới 100%</t>
  </si>
  <si>
    <t>Máy làm sạch và sấy khô tụ điện Clean&amp;Dry Hoạt động bằng điện, Model: CD450, Công suất: 8KW , điện áp: 220V, năm sản xuất:2022 , Nsx: AZTEK.CO.,LTD, hàng đã qua sử dụng</t>
  </si>
  <si>
    <t>Máy làm sạch và sấy khô tụ điện Clean&amp;Dry ,Hoạt động bằng điện, Model: CD450, Công suất: 8KW , điện áp: 220V, năm sản xuất:2022 , Nsx: AZTEK.CO.,LTD, hàng đã qua sử dụng</t>
  </si>
  <si>
    <t>Máy làm sạch và sấy khô tụ điện Clean&amp;Dry,Hoạt động bằng điện, Model: CD450, Công suất: 8KW , điện áp: 220V, năm sản xuất:2022 , Nsx: AZTEK.CO.,LTD, hàng đã qua sử dụng</t>
  </si>
  <si>
    <t>Máy uốn tạo biên dạng trên và bọc vỏ cho tụ điện CURLING &amp; SLEEVE MACHINE, model PAL-CS-08, công suất 15KW, điện áp 380V, nhà sx: Palbok Industry, năm sx:2022,  hàng đã qua sử dụng</t>
  </si>
  <si>
    <t>Hệ thống hút ẩm không khí công nghiệp CDHL 1500-4, điện áp: 380V, tần số: 50Hz, công suất: 318KW, năm sản xuất: 2023, nhà sản xuất: CK Solution Co., LTD, hàng mới 100%</t>
  </si>
  <si>
    <t>Máy ngâm tẩm tụ điện và lắp ráp tự động Automatic Assembly Machine, Model: PAL-AM-08, công suất: 15KW, điện áp: 380V, nhà sx: Palbok Industry, Nsx: 2021, hàng đã qua sử dụng</t>
  </si>
  <si>
    <t>Máy ngâm tẩm tụ điện và lắp ráp tự động Model XCJ-981A,công suất 8.0KW điện áp 220V 50/60HZ, nhà sx Shenzhen Xingchuangjia Technology Co. LTD, năm sx 2018, hàng đã qua sử dụng</t>
  </si>
  <si>
    <t>Máy phủ điện cực dùng để sản xuất điện cực EDLC DIE COATER , model: ACM-300S, điện áp: 380V, công suất tổng: 300kW, hãng sx:A.SYS TECHNOLOGY CO,, Ltd, năm sx: 2023, mới 100%</t>
  </si>
  <si>
    <t xml:space="preserve">Sd cho loại hàng </t>
  </si>
  <si>
    <t>Administration</t>
  </si>
  <si>
    <t>Small size</t>
  </si>
  <si>
    <t>Medium size</t>
  </si>
  <si>
    <t>Electrode</t>
  </si>
  <si>
    <t>#7</t>
  </si>
  <si>
    <t>Overhead</t>
  </si>
  <si>
    <t>Big size</t>
  </si>
  <si>
    <t>#2</t>
  </si>
  <si>
    <t>Module</t>
  </si>
  <si>
    <t>#1</t>
  </si>
  <si>
    <t>#4</t>
  </si>
  <si>
    <t>#14</t>
  </si>
  <si>
    <t>#5</t>
  </si>
  <si>
    <t>#10</t>
  </si>
  <si>
    <t>#19</t>
  </si>
  <si>
    <t>#9</t>
  </si>
  <si>
    <t>#6</t>
  </si>
  <si>
    <t>#13</t>
  </si>
  <si>
    <t>#8</t>
  </si>
  <si>
    <t>#3</t>
  </si>
  <si>
    <t>#11</t>
  </si>
  <si>
    <t>#17</t>
  </si>
  <si>
    <t>#16</t>
  </si>
  <si>
    <t>#12</t>
  </si>
  <si>
    <t>#15</t>
  </si>
  <si>
    <t>#20</t>
  </si>
  <si>
    <t>#18</t>
  </si>
  <si>
    <t>#21</t>
  </si>
  <si>
    <t>CÔNG TY TNHH THƯƠNG MẠI VÀ KỸ THUẬT ANTEK</t>
  </si>
  <si>
    <t>CONG TY CO PHAN BESTWAY TECHNOLOGY</t>
  </si>
  <si>
    <t>Tủ chống ẩm Digi Cabi DHC 450 HĐ 1140 ngày 18/10/2023</t>
  </si>
  <si>
    <t>Tủ chống ẩm Digi Cabi DHC 400 HĐ 1140 ngày 18/10/2023</t>
  </si>
  <si>
    <t>Máy đo 2D model VMS-21510G, điện áp 100-220V, nsx: RAtional HĐ 101 ngày 25/10/2023</t>
  </si>
  <si>
    <t>Máy mài điện cực STRIPPING MACHINE, model: MCS-2022-ST,công suất: 4KW, điện áp: 220V, 50/60 Hz, năm sản xuất: 2022, MAKER: MECHASOLUTION, hàng đã qua sử dụng</t>
  </si>
  <si>
    <t>Máy cuốn tụ điện,AUTO WINDING MACHINE, Model: XCJ-820D, điện áp: 220V, công suất: 1.5 KW, nhà sx: SHENZHEN CHENG JIE INTELLIGENT EQUIPMENT STOCK CO.,LTD, năm sản xuất: 2020,  hàng đã qua sử dụng</t>
  </si>
  <si>
    <t>Máy cuốn tụ điện,AUTO WINDING MACHINE, Model: XCJ-820D, điện áp: 220V, công suất: 1.5 KW, nhà sx: SHENZHEN CHENG JIE INTELLIGENT EQUIPMENT STOCK CO.,LTD, năm sản xuất: 2021,  hàng đã qua sử dụng</t>
  </si>
  <si>
    <t>Máy cuốn tụ điện,AUTO WINDING MACHINE, Model: XCJ-820D, điện áp: 220V, công suất: 1.5 KW, nhà sx: SHENZHEN CHENG JIE INTELLIGENT EQUIPMENT STOCK CO.,LTD, năm sản xuất: 2022,  hàng đã qua sử dụng</t>
  </si>
  <si>
    <t>Máy cuốn tụ điện,AUTO WINDING MACHINE, Model: XCJ-820, điện áp: 220V, công suất: 1.5 KW, nhà sx: SHENZHEN CHENG JIE INTELLIGENT EQUIPMENT STOCK CO.,LTD, năm sản xuất: 2018, hàng đã qua sử dụng</t>
  </si>
  <si>
    <t>Lò sấy chân không, ( dùng để sấy khô tụ điện), model: OV-JT-64S, điện áp: 380VAC, 60Hz, công suất: 3KW, hãng sx: JEIO TECH, năm sản xuất : 2022, hàng đã qua sử dụng</t>
  </si>
  <si>
    <t>Lò sấy chân không, ( dùng để sấy khô tụ điện), model: OV-JT-64S, điện áp: 380VAC, 60Hz, công suất: 3KW, hãng sx: JEIO TECH, năm sản xuất : 2021, hàng đã qua sử dụng</t>
  </si>
  <si>
    <t>Máy nạp tụ điện và phân loại tụ điện, Model: HVD-300, điện áp: 380V, 50/60hz, 3 pha, công suất 3KW, nhà sx: HIKO CO.,LTD, năm sản xuất: 2022,hàng đã qua sử dụng</t>
  </si>
  <si>
    <t>Máy kiểm tra ngoại quan tự động ( tự động chụp ảnh và kiểm tra lỗi ngoại quan của tụ điện), model:VA-VI-08-05, điện áp 220v, nhà sx: VINATECH, năm sản xuất: 2023, hàng  mới 100%</t>
  </si>
  <si>
    <t>31PACK</t>
  </si>
  <si>
    <t>Robot quấn màng tự động, Model R4, hoạt động bằng pin 24V, nguồn sạc điện áp 220V, 50Hz, tốc độ quấn 35m -80m/min, năm sx 2023, Nsx: 31PACK, hàng mới 100%</t>
  </si>
  <si>
    <t>XAVIS CO.,LTD</t>
  </si>
  <si>
    <t>Ghi chú line</t>
  </si>
  <si>
    <t>T11.2023</t>
  </si>
  <si>
    <t>FA231101</t>
  </si>
  <si>
    <t>FA231102</t>
  </si>
  <si>
    <t>FA231103</t>
  </si>
  <si>
    <t>FA231104</t>
  </si>
  <si>
    <t>FA231105</t>
  </si>
  <si>
    <t>FA231106</t>
  </si>
  <si>
    <t>FA231107</t>
  </si>
  <si>
    <t>FA231108</t>
  </si>
  <si>
    <t>FA231109</t>
  </si>
  <si>
    <t>FA231110</t>
  </si>
  <si>
    <t>FA231111</t>
  </si>
  <si>
    <t>FA231112</t>
  </si>
  <si>
    <t>105780143712</t>
  </si>
  <si>
    <t>1140</t>
  </si>
  <si>
    <t>Hóa đơn số 2770369 ngày 11/10/2023, 112712 ngày 12/10/2023, 12444 ngày 16/10/2023, 12551 ngày 18/10/2023, 00002266 ngày 31/10/2023</t>
  </si>
  <si>
    <t>Auto vision check/Máy kiểm tra ngoại quan tự đông</t>
  </si>
  <si>
    <t>105750926150</t>
  </si>
  <si>
    <t>FA231201</t>
  </si>
  <si>
    <t>849</t>
  </si>
  <si>
    <t>CÔNG TY TNHH KOVIFA VINA</t>
  </si>
  <si>
    <t>865</t>
  </si>
  <si>
    <t>Hóa đơn số 00073649 ngày 27/09/2023, 00001994 ngày 30/09/2023</t>
  </si>
  <si>
    <t>FA231202</t>
  </si>
  <si>
    <t>FA231203</t>
  </si>
  <si>
    <t>FA231204</t>
  </si>
  <si>
    <t>FA231205</t>
  </si>
  <si>
    <t>T12.2023</t>
  </si>
  <si>
    <t>CÔNG TY TNHH HANSHIN</t>
  </si>
  <si>
    <t>Buy absorption air dryer/Bộ máy sấy khí hấp thụ HĐ 485 ngày 23/11/2023</t>
  </si>
  <si>
    <t>Máy đánh dấu vỏ tụ điện model XML-093 dùng tia Laser để khắc theo hình dạng mong muốn vào vỏ của sản phẩm. công suất:2KW,điện áp:220V,năm sản xuất: 2022, hãng sx iMECHA. hàng đã qua sử dụng</t>
  </si>
  <si>
    <t>FA231206</t>
  </si>
  <si>
    <t>105711294731</t>
  </si>
  <si>
    <t>Hóa đơn số 37 ngày 12/09/2023, 9466 ngày 14/09/2023, 00001994 ngày 30/09/2023</t>
  </si>
  <si>
    <t>Cell 22, thay cho máy NG ở line #3</t>
  </si>
  <si>
    <t>Máy kiểm tra sản phẩm X-ray, model: XSCAN-A130H (công dụng chụp xuyên thấu sản phảm để kiểm tra phần bên trong sản phẩm) công suất:130kV, sx 2023,nhà sx XAVIS CO., LTD hàng mới 100%</t>
  </si>
  <si>
    <t>CÔNG TY TNHH DỊCH VỤ CÔNG NGHỆ VIETSTANDARD</t>
  </si>
  <si>
    <t>Xe nâng hàng và di chuyển bằng điện Electric Reach Truck Model CQD15S, tải trọng 1500kg, hiệu IMOW, số khung 9321900065 số máy TDQ2309040071, hàng mới 100%, chưa qua sử dụng HĐ số 161 ngày 13/12/2023</t>
  </si>
  <si>
    <t>THANH LÝ từ T4/2023</t>
  </si>
  <si>
    <t>Thanh lý từ T5/2023</t>
  </si>
  <si>
    <t>Liquidate 2/4 từ T10/2023</t>
  </si>
  <si>
    <t>KTSP tầng 2 canteen</t>
  </si>
  <si>
    <t>Module tầng 2</t>
  </si>
  <si>
    <t>thanh lý tháng 01/2024</t>
  </si>
  <si>
    <t>FIXED ASSETS 2024</t>
  </si>
  <si>
    <t xml:space="preserve">Accumulated Depreciation until 31/12/2023
</t>
  </si>
  <si>
    <t>REMAINING IN 31/12/2023
(AMOUNT)</t>
  </si>
  <si>
    <t>TOTAL DEP
IN 2024</t>
  </si>
  <si>
    <t>REMAIN AMOUNT IN 2024
(VND)</t>
  </si>
  <si>
    <t>REMAIN Q'TY IN 2024
(Q'TY)</t>
  </si>
  <si>
    <t>T1.2024</t>
  </si>
  <si>
    <t>BG</t>
  </si>
  <si>
    <t>FA240101</t>
  </si>
  <si>
    <t>Nhập khẩu hàng TKHQ số 105682819800A12 ngày 30/08/2023 Nk tủ điều hòa Invoice no 00000098 ngày 29/08/2023</t>
  </si>
  <si>
    <t>Công ty TNHH Liantech</t>
  </si>
  <si>
    <t>98</t>
  </si>
  <si>
    <t>FA240102</t>
  </si>
  <si>
    <t>FA240103</t>
  </si>
  <si>
    <t>105724048364</t>
  </si>
  <si>
    <t>FA240104</t>
  </si>
  <si>
    <t>FA240105</t>
  </si>
  <si>
    <t>FA240106</t>
  </si>
  <si>
    <t>FA240107</t>
  </si>
  <si>
    <t>FA240108</t>
  </si>
  <si>
    <t>FA240109</t>
  </si>
  <si>
    <t>FA2401010</t>
  </si>
  <si>
    <t>FA2401011</t>
  </si>
  <si>
    <t>FA2401012</t>
  </si>
  <si>
    <t>FA2401013</t>
  </si>
  <si>
    <t>FA2401014</t>
  </si>
  <si>
    <t>105710423601</t>
  </si>
  <si>
    <t>FA2401015</t>
  </si>
  <si>
    <t>FA2401016</t>
  </si>
  <si>
    <t>FA2401017</t>
  </si>
  <si>
    <t>FA2401018</t>
  </si>
  <si>
    <t>FA2401019</t>
  </si>
  <si>
    <t>105728164952</t>
  </si>
  <si>
    <t>FA240120</t>
  </si>
  <si>
    <t>BN</t>
  </si>
  <si>
    <t>FA240121</t>
  </si>
  <si>
    <t>FA240122</t>
  </si>
  <si>
    <t>FA240123</t>
  </si>
  <si>
    <t>FA240124</t>
  </si>
  <si>
    <t>1256</t>
  </si>
  <si>
    <t>BG_CPC</t>
  </si>
  <si>
    <t>BG_CURLING</t>
  </si>
  <si>
    <t>FA240125</t>
  </si>
  <si>
    <t>105744924941</t>
  </si>
  <si>
    <t>Hóa đơn số 2740971 ngày 03/10/2023; 50790 ngày 04/10/2023; 41767 ngày 07/10/2023; 830 ngày 10/10/2023;  41768 ngày 07/10/2023; 00016026 ngày 05/10/2023; 00015896 ngày 03/10/2023; 00002266 ngày 31/10/2023</t>
  </si>
  <si>
    <t>FA240126</t>
  </si>
  <si>
    <t>FA240127</t>
  </si>
  <si>
    <t>FA240128</t>
  </si>
  <si>
    <t>FA240129</t>
  </si>
  <si>
    <t>FA240130</t>
  </si>
  <si>
    <t>FA240131</t>
  </si>
  <si>
    <t>FA240132</t>
  </si>
  <si>
    <t>FA240133</t>
  </si>
  <si>
    <t>FA240134</t>
  </si>
  <si>
    <t>FA240135</t>
  </si>
  <si>
    <t>FA240136</t>
  </si>
  <si>
    <t>FA240137</t>
  </si>
  <si>
    <t>FA240138</t>
  </si>
  <si>
    <t>FA240139</t>
  </si>
  <si>
    <t>FA240140</t>
  </si>
  <si>
    <t>FA240141</t>
  </si>
  <si>
    <t>FA240142</t>
  </si>
  <si>
    <t>FA240143</t>
  </si>
  <si>
    <t>FA240144</t>
  </si>
  <si>
    <t>FA240145</t>
  </si>
  <si>
    <t>FA240146</t>
  </si>
  <si>
    <t>FA240147</t>
  </si>
  <si>
    <t>FA240148</t>
  </si>
  <si>
    <t>FA240149</t>
  </si>
  <si>
    <t>FA240150</t>
  </si>
  <si>
    <t>FA240151</t>
  </si>
  <si>
    <t xml:space="preserve">Hóa đơn số 2770369 ngày 11/10/2023; 112712 ngày 12/10/2023; </t>
  </si>
  <si>
    <t>FA240152</t>
  </si>
  <si>
    <t>105810764360</t>
  </si>
  <si>
    <t>Hóa đơn số 00017059 ngày 26/10/2023; 7238 ngày 26/10/2023; 00002263 ngày 31/10/2023; 00002266 ngày 31/10/2023</t>
  </si>
  <si>
    <t>FA240153</t>
  </si>
  <si>
    <t>101</t>
  </si>
  <si>
    <t>FA240154</t>
  </si>
  <si>
    <t>Dust filtering system/Cung cấp và lắp đặt hệ thống lọc bụi  37 kw theo HĐ số 035.03/HĐKT/THVNS-ViNATECH/2023 ngày 21/04/2023, HĐ 311 ngày 26/10/2023</t>
  </si>
  <si>
    <t>311</t>
  </si>
  <si>
    <t>FA240155</t>
  </si>
  <si>
    <t>Buy air compressor system and pressure tank/Hệ thống máy nén khí và Bình áp lực HĐ HC-3034-VINATECH-230329 ngày 29/03/2023, HĐ số 560, 562 ngày 10/11/2023</t>
  </si>
  <si>
    <t>560; 562</t>
  </si>
  <si>
    <t>FA240157</t>
  </si>
  <si>
    <t>105891625232</t>
  </si>
  <si>
    <t>HĐ số 2412 ngày 30/11/2023; 7790 ngày 27/11/2023; 18700 ngày 27/11/2023; 345988 ngày 24/11/2023; 209 ngày 28/11/2023</t>
  </si>
  <si>
    <t>FA240158</t>
  </si>
  <si>
    <t>485</t>
  </si>
  <si>
    <t>FA240159</t>
  </si>
  <si>
    <t>161</t>
  </si>
  <si>
    <t>BG_WINDING</t>
  </si>
  <si>
    <t>BG_BEADING</t>
  </si>
  <si>
    <t>BG_DOPING</t>
  </si>
  <si>
    <t>BG_SLEEVE</t>
  </si>
  <si>
    <t>FA240160</t>
  </si>
  <si>
    <t>105837396933</t>
  </si>
  <si>
    <t>105746138961</t>
  </si>
  <si>
    <t>FA240161</t>
  </si>
  <si>
    <t>HĐ 14 ngày 15/09/2023; HĐ 17 ngày 28/10/2023; HĐ 01 ngày 20/01/2024</t>
  </si>
  <si>
    <t>Vinatech Vina factory Nham Son, Yen Lu,Bac Giang/Công trình nhà máy Vinatech Nham Sơn, Yên Lư" HĐ số 01/2023/HĐTC/Vinatech-Indecons ngày 29/07/2023 biên bản nghiệm thu đợt 1 ngày 15/09/2023 HĐ 14 ngày 15/09/2023, biên bản nghiệm thu đợt 2 ngày 28/10/2023 HĐ 17 ngày 28/10/2023, biên bản nghiệm thu đưa vào sử dụng đợt 3 ngày 20/01/2024</t>
  </si>
  <si>
    <t>BG_FACTORY</t>
  </si>
  <si>
    <t>VINA00091A</t>
  </si>
  <si>
    <t>VINA00091B</t>
  </si>
  <si>
    <t>VINA00091C</t>
  </si>
  <si>
    <t>VINA00091D</t>
  </si>
  <si>
    <t>GIẢM ĐỂ TẠO 4 MÃ MỚI VINA00091A,VINA00091B,VINA00091C,VINA00091D NGÀY 01/02/2024</t>
  </si>
  <si>
    <t>VINA00078C</t>
  </si>
  <si>
    <t>VINA00078B</t>
  </si>
  <si>
    <t>VINA00078A</t>
  </si>
  <si>
    <t>GIẢM ĐỂ TẠO 3 MÃ MỚI VINA00078A,VINA00078B,VINA00078C NGÀY 01/02/2024</t>
  </si>
  <si>
    <t>FA240201</t>
  </si>
  <si>
    <t>hệ thống camera và âm thanh Vinatech vina Bắc Giang theo hợp đồng kinh tế số 1812/2023/VINATECH VINA-HTM, phụ lục số 01 số 1812/2023PL ký ngày 18/12/2023</t>
  </si>
  <si>
    <t>bộ</t>
  </si>
  <si>
    <t>CÔNG TY XÂY DỰNG VÀ DỊCH VỤ KỸ THUẬT HTM</t>
  </si>
  <si>
    <t>FA240202</t>
  </si>
  <si>
    <t xml:space="preserve">Hệ thống điều hòa nhà máy Vinatech Vina Bắc Giang theo Số hợp đồng: 18/12/2023/VINATECH VINA-THIÊN PHÚC </t>
  </si>
  <si>
    <t>Gói</t>
  </si>
  <si>
    <t>CÔNG TY CỔ PHẦN ĐẦU TƯ VÀ XÂY DỰNG CÔNG TRÌNH THIÊN PHÚC</t>
  </si>
  <si>
    <t>FA240203</t>
  </si>
  <si>
    <t>Thiết bị và hệ thống chân không trung tâm theo HĐ số 10042023 ngày 26/01/2024</t>
  </si>
  <si>
    <t>CÔNG TY TNHH XUẤT NHẬP KHẨU VÀ THƯƠNG MẠI G PLUS</t>
  </si>
  <si>
    <t>FA240204</t>
  </si>
  <si>
    <t>Máy sắp xếp và đóng gói tự động tụ Automatic taping machine(dùng để sắp xếp tụ theo thứ tự,đưa vào đóng gói),modelYC-320A,côngsuất1.6KW,đ/áp220V,nsx:Shenzhen Lebenyun Science Co.,Ltd,nsx 2024,mới 100%</t>
  </si>
  <si>
    <t>FA240205</t>
  </si>
  <si>
    <t>Lắp đặt hệ thống đường ống hút bụi theo hợp đồng số 08.23/HĐKT-VĐ/VINATECH ngày 23.08.23 HĐ 4 ngày 20/01/2024</t>
  </si>
  <si>
    <t>CÔNG TY CỔ PHẦN CƠ ĐIỆN VẠN ĐẠT</t>
  </si>
  <si>
    <t>FA240206</t>
  </si>
  <si>
    <t>Khung nhôm cho máy trong phòng sạch KT: 5400*1600*2200mm</t>
  </si>
  <si>
    <t>Khung</t>
  </si>
  <si>
    <t>CÔNG TY TNHH KL TECH VINA</t>
  </si>
  <si>
    <t>FA240207</t>
  </si>
  <si>
    <t xml:space="preserve"> Lắp đặt nội thất (bàn, ghế..) theo hợp đồng 1812/2023/VINATECH VINA-VIKING ký ngày 18/12/2023 HĐ 34 ngày 30/01/2024</t>
  </si>
  <si>
    <t>CÔNG TY CỔ PHẦN CƠ ĐIỆN VIKING</t>
  </si>
  <si>
    <t>34</t>
  </si>
  <si>
    <t>106057383352</t>
  </si>
  <si>
    <t>Hóa đơn số 169 ngày 31/01/2024; 171 ngày 31/01/2024; 514 ngày 31/01/2024</t>
  </si>
  <si>
    <t>T2.2024</t>
  </si>
  <si>
    <t>VINA00036A</t>
  </si>
  <si>
    <t>VINA00036B</t>
  </si>
  <si>
    <t>VINA00065A</t>
  </si>
  <si>
    <t>VINA00065B</t>
  </si>
  <si>
    <t>VINA00066A</t>
  </si>
  <si>
    <t>VINA00066B</t>
  </si>
  <si>
    <t>VINA00077A</t>
  </si>
  <si>
    <t>VINA00077B</t>
  </si>
  <si>
    <t>VINA00077C</t>
  </si>
  <si>
    <t>VINA00102A</t>
  </si>
  <si>
    <t>VINA00102B</t>
  </si>
  <si>
    <t>VINA00102C</t>
  </si>
  <si>
    <t>VINA00102D</t>
  </si>
  <si>
    <t>VINA00102E</t>
  </si>
  <si>
    <t>VINA00102F</t>
  </si>
  <si>
    <t>VINA00120A</t>
  </si>
  <si>
    <t>VINA00120B</t>
  </si>
  <si>
    <t>VINA00120C</t>
  </si>
  <si>
    <t>VINA00120D</t>
  </si>
  <si>
    <t>VINA00123A</t>
  </si>
  <si>
    <t>VINA00123B</t>
  </si>
  <si>
    <t>VINA00131A</t>
  </si>
  <si>
    <t>VINA00131B</t>
  </si>
  <si>
    <t>BG_RUBBER</t>
  </si>
  <si>
    <t>PKT02</t>
  </si>
  <si>
    <t>Máy ngâm tẩm tụ điện và lắp ráp tự động Automatic Assembly Machine, Model: PAL-AM-08, công suất: 15KW, điện áp: 380V, nhà sx: Palbok Industry, Nsx: 2022, hàng đã qua sử dụng</t>
  </si>
  <si>
    <t>Máy uốn tạo biên dạng trên và bọc vỏ cho tụ điện CURLING &amp; SLEEVE MACHINE, model PAL-CS-08, công suất 15KW, điện áp 380V, nhà sx: Palbok Industry, năm sx:2021,  hàng đã qua sử dụng</t>
  </si>
  <si>
    <t>Máy đo 2D model VMS-1510G, điện áp 100-220V, nsx: RAtional HĐ 101 ngày 25/10/2023</t>
  </si>
  <si>
    <t>Máy kiểm tra độ ẩm dung dịch, model MKC-710, Điện áp 100-240V +/- 10%, dùng để phân tích nhiểm ẩm của dung dịch chất điện phân, nsx : KYOTO ELECTRONICS MANUFACTURING CO., LTD Hàng mới 100%</t>
  </si>
  <si>
    <t>Máy cuốn tự động dùng để cuốn tụ điện AUTO WINDING MACHINE Model:XCJ-3900,công suất:8KW,điện áp:380V,50Hz,năm sx:2022, Nsx:SHENZHEN CHENG JIE INTELLIGENT EQUIPMENT STOCK CO.,LTD.hàng đã qua sử dụng</t>
  </si>
  <si>
    <t>Máy cuốn tự động dùng để cuốn tụ điện AUTO WINDING MACHINE Model:XCJ-3900,công suất:8KW,điện áp: 380V,50Hz,năm sxt:2021,Nsx:SHENZHEN CHENG JIE INTELLIGENT EQUIPMENT STOCK CO.,LTD.hàng đã qua sử dụng</t>
  </si>
  <si>
    <t>Máy lắp ráp tụ điện tự động AUTO ASSEMBLY MACHINE Model : CAM-AM-13, công suất 15Kw, điện áp : 220V, 60Hz. Năm sản xuất 2016, NSx :VINATECH.hàng đã qua sử dụng</t>
  </si>
  <si>
    <t>Máy lắp ráp tụ điện tự động Automatic Assembly Machine Model : PAL-AM-10, công suất 15Kw, điện áp : 380V, 50Hz. Năm sản xuất 2020, Maker : Palbok Industry.hàng đã qua sử dụng</t>
  </si>
  <si>
    <t>Máy rửa và sấy tụ điện tự động CLEAN &amp; DRY Model : CD450, công suất 8Kw, điện áp : 380V. Năm sản xuất 2020, Maker : AZTEK CO,.LTD.hàng đã qua sử dụng</t>
  </si>
  <si>
    <t>Máy rửa và sấy tụ điện tự động CLEAN &amp; DRY Model : CD450, công suất 8Kw, điện áp : 220V. Năm sản xuất 2022, Maker : AZTEK CO,.LTD.hàng đã qua sử dụng</t>
  </si>
  <si>
    <t>Máy bo cổ tụ điện CURLING &amp; SLEEVING MACHINE, Model : PAL-CS-10, công suất 15Kw, điện áp : 380V 50HZ. Năm sản xuất 2020, Maker: Palbok Industry.hàng đã qua sử dụng</t>
  </si>
  <si>
    <t>Máy bo viền và bọc vỏ tự động tụ điện, CURLING AND SLEEVING MACHINE, model: PAL-CS-16, công suất 15KW,điện áp 380V, năm sx: 2023 nhà sản xuất: PALBOK INDUSTRY CO.,LTD., hàng mới 100%</t>
  </si>
  <si>
    <t>Máy bo cổ tụ điện Curling&amp;Sleeving Machine Model: JD-CS-01, điện áp: 220V, 60hz, 3 pha, công suất 10KW, nhà sx: JungDo Technology, năm sản xuất: 2022,hàng đã qua sử dụng</t>
  </si>
  <si>
    <t>Máy uốn chân điện cực tự động AUTO BENDING MACHINE Model:PAL-CF-08, điện áp:220V, công suất:5KW, năm sản xuất: 2021, nhà sản xuất:Palbok Industry, năm sản xuất:2021,hàng đã qua sử dụng</t>
  </si>
  <si>
    <t>Máy nạp tụ điện và phân loại tụ điện VPC DOPING&amp;SELECTION M/C,Model: HVD-300,điệnáp:380V,50/60hz,3 pha,công suất3KW,nsx:HIKO CO.,LTD,sxn:2022,hàng đã qua sử dụng(máy gồm 9 phần được đóng trong 5 kiện)</t>
  </si>
  <si>
    <t>T4.2024</t>
  </si>
  <si>
    <t>cung cấp vật tư và thi công đường ống phụ trợ cho nhà máy VINATECH VINA BẮC GIANG hợp đồng số 14082023/VINATECH/CSV</t>
  </si>
  <si>
    <t>17</t>
  </si>
  <si>
    <t>16</t>
  </si>
  <si>
    <t>Máy tính công nghiệp lắp vào dây truyền chỉ dùng trong nhà máy(bao gồm:thân máy tính, giá đỡ kiosk,Wifi,Antenna,bàn phím),model:NTP21KLF,màn hình:21 inch,core:13,ram8G,Nsx:INEWTEK,năm sx:2024,mới 100%</t>
  </si>
  <si>
    <t>Máy khuấy nguyên vật liệu điện cực,Serinal No:SEORD000585-01 khuấyđềucác thành phần nguyenvậtliệu để sảnxuấtđiệncựcchotụđiện,380VAC,50Hz, 62KW,nsx 2024 NSX:DONGGUAN KERUI INTELLIGENT EQUIP CO.LTD</t>
  </si>
  <si>
    <t>Máy nghiền nguyên vật liệu điện cực,Serinal No:SEORD000585-02,Điện áp 380VAC, 50Hz,cs 62KW, nămsx 2024,NSX:DONGGUAN KERUI INTELLIGENT EQUIPMENT CO., LTD,mới 100% ( bao gồm thân máy và tủ điện)</t>
  </si>
  <si>
    <t>Thiết bị khuấy điện cực ( dạng thùng khuấy),Serinal No:SEORD000585-03,điện áp 380VAC, 50Hz,công suất 2.2KW,Năm sx 2024,NSX:DONGGUAN KERUI INTELLIGENT EQUIPMENT CO., LTD, hàng mới 100%</t>
  </si>
  <si>
    <t>FA240401</t>
  </si>
  <si>
    <t>FA240402</t>
  </si>
  <si>
    <t>FA240403</t>
  </si>
  <si>
    <t>FA240405</t>
  </si>
  <si>
    <t>DONGGUAN KERUI INTELLIGENT EQUIPMENT CO., LTD</t>
  </si>
  <si>
    <t>3404</t>
  </si>
  <si>
    <t>T5.2024</t>
  </si>
  <si>
    <t>Hóa đơn số 643 ngày 30/04/2024; 33 ngày 09/04/2024; 4171 ngày 09/04/2024</t>
  </si>
  <si>
    <t>HĐ số 461,464 ngày 31/3/2024, HĐ 1066,396067 ngày 11/3/2024</t>
  </si>
  <si>
    <t>HĐ 464 ngà 31/3/2024, HĐ 3344154,44227 ngày 18/3/2024, HĐ 6276 ngày 19/3/2024</t>
  </si>
  <si>
    <t>HĐ 464 ngày 31/3/2024, HĐ 3305981,14414 ngày 7/3/2024, HĐ 4148,4147 ngày 11/3/2024</t>
  </si>
  <si>
    <t>HĐ 644 ngày 30/4/2024</t>
  </si>
  <si>
    <t>HĐ 464 ngày 31/3/2024</t>
  </si>
  <si>
    <t>106221811951/106221824110</t>
  </si>
  <si>
    <t>106192258540</t>
  </si>
  <si>
    <t>V</t>
  </si>
  <si>
    <t>FA240404</t>
  </si>
  <si>
    <t>FA240406</t>
  </si>
  <si>
    <t>FA240407</t>
  </si>
  <si>
    <t>FA240408</t>
  </si>
  <si>
    <t>FA240409</t>
  </si>
  <si>
    <t>FA240410</t>
  </si>
  <si>
    <t>FA240411</t>
  </si>
  <si>
    <t>Buy Car/ Mua xe ô tô tải (thùng kín) 1,900 kg hiệu KIA FRONTIER K200 KF39B27R131-K11 HĐ 6697 ngày 30/03/2024</t>
  </si>
  <si>
    <t>xe</t>
  </si>
  <si>
    <t>CÔNG TY TNHH MỘT THÀNH VIÊN BẮC NINH TRƯỜNG HẢI</t>
  </si>
  <si>
    <t>6697</t>
  </si>
  <si>
    <t>FA240412</t>
  </si>
  <si>
    <t>3104</t>
  </si>
  <si>
    <t>FA240415</t>
  </si>
  <si>
    <t>FA240413</t>
  </si>
  <si>
    <t>FA240414</t>
  </si>
  <si>
    <t>FA240416</t>
  </si>
  <si>
    <t>FA240417</t>
  </si>
  <si>
    <t>FA240418</t>
  </si>
  <si>
    <t>FA240419</t>
  </si>
  <si>
    <t>FA240420</t>
  </si>
  <si>
    <t>FA240421</t>
  </si>
  <si>
    <t>FA240422</t>
  </si>
  <si>
    <t>FA240423</t>
  </si>
  <si>
    <t>FA240424</t>
  </si>
  <si>
    <t>FA240425</t>
  </si>
  <si>
    <t>FA240426</t>
  </si>
  <si>
    <t>TSCD VÔ HÌNH</t>
  </si>
  <si>
    <t>Giá trị quyết toán của HĐ tư vấn thiết kế công trình và xin cấp phép dự án "Nhà máy Vinatech Nham Sơn, Yên Lư" HĐ số 01/2023/HĐTC/Vinatech-Indecons ngày 23/01/2024 HĐ 15 ngày 02/05/2024</t>
  </si>
  <si>
    <t>P000778</t>
  </si>
  <si>
    <t>PKT1189/24</t>
  </si>
  <si>
    <t>PKT10012/20</t>
  </si>
  <si>
    <t>P000874</t>
  </si>
  <si>
    <t>CÔNG TY TRÁCH NHIỆM HỮU HẠN LIAN TECH YÊN DŨNG</t>
  </si>
  <si>
    <t>30% giá trị hợp đồng chuyển nhượng tài sản gắn liền với đất thuê tại Lô CN07-Cụm công nghiệp Nham Sơn - Yên Lư, huyện Yên Dũng, tỉnh Bắc Giang, theo Hợp đồng chuyển nhượng số 0601/2023/HĐMBTSGLVD ngày 30/06/2023</t>
  </si>
  <si>
    <t>PKT01</t>
  </si>
  <si>
    <t>PKT550/24</t>
  </si>
  <si>
    <t>20% giá trị hợp đồng chuyển nhượng tài sản gắn liền với đất thuê tại Lô CN07-Cụm công nghiệp Nham Sơn - Yên Lư, huyện Yên Dũng, tỉnh Bắc Giang, theo Hợp đồng chuyển nhượng số 0601/2023/HĐMBTSGLVD ngày 30/06/2023 HĐ số 2 ngày 30/03/2024</t>
  </si>
  <si>
    <t>PKT952/24</t>
  </si>
  <si>
    <t>Giá trị quyết toán của HĐ tư vấn thiết kế công trình và xin cấp phép dự án "Nhà máy Vinatech Nham Sơn, Yên Lư" HĐ số 01/2023/HĐTC/Vinatech-Indecons ngày 24/08/2022 HĐ 14 ngày 26/04/2024</t>
  </si>
  <si>
    <t>PKT951/24</t>
  </si>
  <si>
    <t>50% giá trị hợp đồng chuyển nhượng tài sản gắn liền với đất thuê tại Lô CN07-Cụm công nghiệp Nham Sơn - Yên Lư, huyện Yên Dũng, tỉnh Bắc Giang, theo Hợp đồng chuyển nhượng số 0601/2023/HĐMBTSGLVD ngày 30/06/2023 HĐ số 3 ngày 28/04/2024</t>
  </si>
  <si>
    <t>FA240427</t>
  </si>
  <si>
    <t>FA240428</t>
  </si>
  <si>
    <t>gói</t>
  </si>
  <si>
    <t>14</t>
  </si>
  <si>
    <t>15</t>
  </si>
  <si>
    <t>BG FACTORY</t>
  </si>
  <si>
    <t>Giá trị nghiệm thu hoàn thành hạng mục công trình đợt 2 của công trình "Nhà máy Vinatech Nham Sơn, Yên Lư" HĐ số 01/2023/HĐTC/Vinatech-Indecons ngày 29/07/2023 biên bản nghiệm thu đợt 2 ngày 28/10/2023 HĐ 17 ngày 28/10/2023</t>
  </si>
  <si>
    <t>Phải trả ngắn hạn người bán: HĐ SXKD (VND)</t>
  </si>
  <si>
    <t>Giá trị nghiệm thu hoàn thành hạng mục công trình đợt 1 của công trình "Nhà máy Vinatech Nham Sơn, Yên Lư" HĐ số 01/2023/HĐTC/Vinatech-Indecons ngày 29/07/2023 biên bản nghiệm thu đợt 1 ngày 15/09/2023 HĐ 14 ngày 15/09/2023</t>
  </si>
  <si>
    <t>PKT100152/20</t>
  </si>
  <si>
    <t>Số dư đầu kỳ:</t>
  </si>
  <si>
    <t>Số dư cuối kỳ:</t>
  </si>
  <si>
    <t>Tổng phát sinh trong kỳ:</t>
  </si>
  <si>
    <t>PK1</t>
  </si>
  <si>
    <t>Nhà cửa, vật kiến trúc</t>
  </si>
  <si>
    <t>2111</t>
  </si>
  <si>
    <t>FA240428 Giá trị quyết toán của HĐ tư vấn thiết kế công trình và xin cấp phép dự án "Nhà máy Vinatech Nham Sơn, Yên Lư" HĐ số 01/2023/HĐTC/Vinatech-Indecons ngày 23/01/2024 HĐ 15 ngày 02/05/2024</t>
  </si>
  <si>
    <t>PKT141TS/24</t>
  </si>
  <si>
    <t>FA240427 Giá trị quyết toán của HĐ tư vấn thiết kế công trình và xin cấp phép dự án "Nhà máy Vinatech Nham Sơn, Yên Lư" HĐ số 01/2023/HĐTC/Vinatech-Indecons ngày 24/08/2022 HĐ 14 ngày 26/04/2024</t>
  </si>
  <si>
    <t>PKT140TS/24</t>
  </si>
  <si>
    <t>Chi phí trả trước dài hạn: công cụ, dụng cụ xuất dùng</t>
  </si>
  <si>
    <t>24222</t>
  </si>
  <si>
    <t>Giá trị hợp đồng chuyển nhượng tài sản gắn liền với đất thuê tại Lô CN07-Cụm công nghiệp Nham Sơn - Yên Lư, huyện Yên Dũng, tỉnh Bắc Giang, theo Hợp đồng chuyển nhượng số 0601/2023/HĐMBTSGLVD ngày 30/06/2023</t>
  </si>
  <si>
    <t>CÔNG TY TNHH LIAN TECH</t>
  </si>
  <si>
    <t>P000907</t>
  </si>
  <si>
    <t>PKT1655/24</t>
  </si>
  <si>
    <t>FA240161/Vinatech Vina factory Nham Son, Yen Lu,Bac Giang/Công trình nhà máy Vinatech Nham Sơn, Yên Lư" HĐ số 01/2023/HĐTC/Vinatech-Indecons ngày 29/07/2023</t>
  </si>
  <si>
    <t>PKT106TS/24</t>
  </si>
  <si>
    <t>Giá trị nghiệm thu hoàn thành hạng mục của công trình "Nhà máy Vinatech Nham Sơn, Yên Lư" HĐ số 01/2023/HĐTC/Vinatech-Indecons ngày 29/07/2023 biên bản nghiệm thu đưa vào sử dụng đợt 3 ngày 20/01/2024 HĐ 01</t>
  </si>
  <si>
    <t>PKT34/24</t>
  </si>
  <si>
    <t>PKT100322/20</t>
  </si>
  <si>
    <t>Tên tk đối ứng</t>
  </si>
  <si>
    <t>FA240501</t>
  </si>
  <si>
    <t>Máy ngâm tẩm tụ điện và lắp ráp tự động AUTO ASSEMBLY MACHINE Model : PAL-AM-13, công suất 15Kw, điện áp : 380V, 50Hz. Năm sản xuất 2024, NSx :Palbok Industry-hàng đã qua sử dụng</t>
  </si>
  <si>
    <t>Máy sắp xếp và đóng gói tự động tụ Automatic taping machine,dùng sắp xếp và đóng gói tụ điện ,model:YC-320A,côngsuất1.6KW,220V,nsx:Shenzhen Lebenyun Science Co.,Ltd,nsx 2024, hàng mới 100%</t>
  </si>
  <si>
    <t>FA240502</t>
  </si>
  <si>
    <t>FA240503</t>
  </si>
  <si>
    <t>T06.2024</t>
  </si>
  <si>
    <t>106245755823</t>
  </si>
  <si>
    <t>106275021161</t>
  </si>
  <si>
    <t>Xe ô tô con 7 chỗ CARNIVAL KA4 2.2 AT FL7 HĐ 9883 ngày 15/05/2024</t>
  </si>
  <si>
    <t>FA240504</t>
  </si>
  <si>
    <t>Xe</t>
  </si>
  <si>
    <t>9883</t>
  </si>
  <si>
    <t>HĐ 841 ngày 31/5/2024, 3535685 ngày 6/5/2024, 79985 ngày 7/5/2024, 11002 ngày 9/5/2024</t>
  </si>
  <si>
    <t>HĐ 841,839 ngày 31/5/2024, HĐ 3568416 ngày 14/05/2024, 82783 ngày 16/5/2024</t>
  </si>
  <si>
    <t>Tủ chống ấm  HĐ số 00000369 ngày 30/06/2024</t>
  </si>
  <si>
    <t>Tủ chống ấm  HĐ số 00000366 ngày 30/06/2024</t>
  </si>
  <si>
    <t>Máy in Laser Videojet 3140  HĐ số 1182 ngày 18/06/2024</t>
  </si>
  <si>
    <t>CÔNG TY CỔ PHẦN ẤN HỒNG</t>
  </si>
  <si>
    <t>Connect utility for machine Line Auto 3562, Aging Machine, Cell Line 17,18, 19,20,21,23, VPC line. HĐ số 48 ngày 14/06/2024</t>
  </si>
  <si>
    <t>Connect utility for machine Line Auto 3562, Aging Machine, Cell Line 17,18, 19,20,21,23, VPC line. HĐ số 47 ngày 14/06/2024</t>
  </si>
  <si>
    <t>Bộ máy tính công nghiệp IPC HĐ 102 ngày 14/06/2024</t>
  </si>
  <si>
    <t>CÔNG TY CỔ PHẦN CÔNG NGHỆ HOÀNG KIM VKP</t>
  </si>
  <si>
    <t>f1</t>
  </si>
  <si>
    <t>SHENZHEN XINGCHUANGJIA TECHNOLOGY CO., LTD</t>
  </si>
  <si>
    <t>Máy cuốn tụ điện phi 4-6,WINDING MACHINE, Model: XCJ600DJ, đ/áp: 220V, c/suất: 5.5 KW, nhà sx:SHENZHEN XINGCHUANGJIA TECHNOLOGY CO., LTD, năm sx:2024 (gồm: thân máy cuốn, bộ phận tời liệu 2 bên)</t>
  </si>
  <si>
    <t>T07.2024</t>
  </si>
  <si>
    <t>SHENZHEN JINGJIENENG ELECTRONICS CO., LTD</t>
  </si>
  <si>
    <t>Máy kiểm tra dung lượng, điện áp của tụ điện,Model:JN-INV-V5C6D6 ,điện áp 3 pha 380v,c/suất 19kw,nhà sx:Shenzhen Jingjieneng,năm sx: 2024,(gồm:thân máy, bộ phận điều kiển và bộ phận hiệu chỉnh máy)</t>
  </si>
  <si>
    <t>VINATECH CO., LTD</t>
  </si>
  <si>
    <t>Máy khắc mã Barcode bằng tia lazer dùng để khắc barcode vào vỏ tụ điện. Model VN-MK-01, điện áp 220V, công suất : 3.5KW Năm sản xuất 2023, NSx :Vinatech CO., LTD hàng đã qua sử dụng</t>
  </si>
  <si>
    <t>106333216140</t>
  </si>
  <si>
    <t>106327997860</t>
  </si>
  <si>
    <t>FA240601</t>
  </si>
  <si>
    <t>FA240602</t>
  </si>
  <si>
    <t>FA240603</t>
  </si>
  <si>
    <t>NOTE-tháng ghi nhận tăng</t>
  </si>
  <si>
    <t>FA240604A</t>
  </si>
  <si>
    <t>BỘ</t>
  </si>
  <si>
    <t>FA240604C</t>
  </si>
  <si>
    <t>FA240604D</t>
  </si>
  <si>
    <t>FA240604B</t>
  </si>
  <si>
    <t>FA240604E</t>
  </si>
  <si>
    <t>FA240604F</t>
  </si>
  <si>
    <t>FA240604G</t>
  </si>
  <si>
    <t>FA240604H</t>
  </si>
  <si>
    <t>FA240604I</t>
  </si>
  <si>
    <t>FA240604K</t>
  </si>
  <si>
    <t>FA240604L</t>
  </si>
  <si>
    <t>FA240605A</t>
  </si>
  <si>
    <t>FA240605B</t>
  </si>
  <si>
    <t>CÁI</t>
  </si>
  <si>
    <t>FA240606</t>
  </si>
  <si>
    <t>FA240607</t>
  </si>
  <si>
    <t>FA240608</t>
  </si>
  <si>
    <t>FA240609</t>
  </si>
  <si>
    <t>FA240610</t>
  </si>
  <si>
    <t>FA240611</t>
  </si>
  <si>
    <t>FA240612</t>
  </si>
  <si>
    <t>FA240613</t>
  </si>
  <si>
    <t>FA240614</t>
  </si>
  <si>
    <t>FA240615</t>
  </si>
  <si>
    <t>FA240616</t>
  </si>
  <si>
    <t>FA240617</t>
  </si>
  <si>
    <t>FA240618</t>
  </si>
  <si>
    <t>FA240619</t>
  </si>
  <si>
    <t>FA240620</t>
  </si>
  <si>
    <t>FA240621</t>
  </si>
  <si>
    <t>FA240622</t>
  </si>
  <si>
    <t>FA240623</t>
  </si>
  <si>
    <t>FA240624</t>
  </si>
  <si>
    <t>FA240625</t>
  </si>
  <si>
    <t>FA240626</t>
  </si>
  <si>
    <t>Cung cấp và lắp đặt máy điều hòa xưởng 1 và 2 HĐ 924 ngày 25/07/2024</t>
  </si>
  <si>
    <t>T08.2024</t>
  </si>
  <si>
    <t>Máy đo nhiệt độ điểm sương dùng để đo nhiệt độ và điểm sương lắp đặt bên trong máy Lắp ráp tụ điện, nhà sản xuất SSENES, điện áp 220V, sản xuất 2024 mới 100%</t>
  </si>
  <si>
    <t>Máy quay tự động Auto Vision Machine kết nối với máy tính để hoạt động,không có bộ lưu trữ model acA2440-20gc, công suất 2,8-3,5W, điện áp 12-24 VDC, nhà sx : Basler, năm sx 2024, mới 100%</t>
  </si>
  <si>
    <t>FA240703</t>
  </si>
  <si>
    <t>FA240701A</t>
  </si>
  <si>
    <t>FA240701B</t>
  </si>
  <si>
    <t>FA240701C</t>
  </si>
  <si>
    <t>FA240702A</t>
  </si>
  <si>
    <t>FA240702B</t>
  </si>
  <si>
    <t>FA240702C</t>
  </si>
  <si>
    <t>FA240702D</t>
  </si>
  <si>
    <t>FA240702E</t>
  </si>
  <si>
    <t>FA240702F</t>
  </si>
  <si>
    <t>FA240702G</t>
  </si>
  <si>
    <t>FA240702H</t>
  </si>
  <si>
    <t>FA240702I</t>
  </si>
  <si>
    <t>FA240702K</t>
  </si>
  <si>
    <t>FA240702L</t>
  </si>
  <si>
    <t>HĐ 1224 NGÀY 31/7/2024, HĐ 61106 NGÀY 15/7/2024, HĐ 62108 NGÀY 17/7/2024</t>
  </si>
  <si>
    <t>SETUP FEE( + FCT IF HAVE)</t>
  </si>
  <si>
    <t>GÓI</t>
  </si>
  <si>
    <t>Payment by</t>
  </si>
  <si>
    <t>Payment date</t>
  </si>
  <si>
    <t>VND</t>
  </si>
  <si>
    <t>USD</t>
  </si>
  <si>
    <t>10th of every month.</t>
  </si>
  <si>
    <t>20th of every month.</t>
  </si>
  <si>
    <t>30th of every month.</t>
  </si>
  <si>
    <t>26th of every month.</t>
  </si>
  <si>
    <t xml:space="preserve">a </t>
  </si>
  <si>
    <t>Calculate asset depreciation by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</si>
</sst>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0.00_-;\-* #,##0.00_-;_-* &quot;-&quot;??_-;_-@_-"/>
    <numFmt numFmtId="164" formatCode="_(* #,##0.00_);_(* \(#,##0.00\);_(* &quot;-&quot;??_);_(@_)"/>
    <numFmt numFmtId="165" formatCode="_(* #,##0_);_(* \(#,##0\);_(* &quot;-&quot;??_);_(@_)"/>
    <numFmt numFmtId="166" formatCode="#,##0_ "/>
    <numFmt numFmtId="167" formatCode="_-* #,##0.00\ _₫_-;\-* #,##0.00\ _₫_-;_-* &quot;-&quot;??\ _₫_-;_-@_-"/>
    <numFmt numFmtId="168" formatCode="_(* #,##0.0_);_(* \(#,##0.0\);_(* &quot;-&quot;??_);_(@_)"/>
    <numFmt numFmtId="169" formatCode="#,##0.0_ "/>
    <numFmt numFmtId="170" formatCode="0.000"/>
    <numFmt numFmtId="171" formatCode="[$-1010000]d/m/yyyy;@"/>
    <numFmt numFmtId="172" formatCode="#,##0.000_ "/>
    <numFmt numFmtId="173" formatCode="#,##0.00_ "/>
    <numFmt numFmtId="174" formatCode="0.0"/>
    <numFmt numFmtId="175" formatCode="dd\/mm\/yyyy"/>
    <numFmt numFmtId="176" formatCode="_(* #,##0.000000_);_(* \(#,##0.000000\);_(* &quot;-&quot;??_);_(@_)"/>
    <numFmt numFmtId="177" formatCode="############"/>
    <numFmt numFmtId="178" formatCode="_-* #,##0\ _₫_-;\-* #,##0\ _₫_-;_-* &quot;-&quot;??\ _₫_-;_-@_-"/>
    <numFmt numFmtId="179" formatCode="###,###,###,##0.0###"/>
    <numFmt numFmtId="180" formatCode="#,##0.00000"/>
  </numFmts>
  <fonts count="39">
    <font>
      <sz val="11"/>
      <color theme="1"/>
      <name val="Calibri"/>
      <family val="2"/>
      <scheme val="minor"/>
    </font>
    <font>
      <sz val="11"/>
      <color theme="1"/>
      <name val="Calibri"/>
      <family val="2"/>
      <scheme val="minor"/>
    </font>
    <font>
      <sz val="10"/>
      <name val="Calibri"/>
      <family val="2"/>
      <scheme val="minor"/>
    </font>
    <font>
      <b/>
      <sz val="10"/>
      <name val="Calibri"/>
      <family val="2"/>
      <scheme val="minor"/>
    </font>
    <font>
      <sz val="12"/>
      <name val=".VnTime"/>
      <family val="2"/>
    </font>
    <font>
      <sz val="11"/>
      <color theme="1"/>
      <name val="Calibri"/>
      <family val="3"/>
      <charset val="129"/>
      <scheme val="minor"/>
    </font>
    <font>
      <b/>
      <i/>
      <sz val="10"/>
      <name val="Calibri"/>
      <family val="2"/>
      <scheme val="minor"/>
    </font>
    <font>
      <i/>
      <sz val="10"/>
      <name val="Calibri"/>
      <family val="2"/>
      <scheme val="minor"/>
    </font>
    <font>
      <sz val="11"/>
      <color theme="1"/>
      <name val="Calibri"/>
      <family val="2"/>
    </font>
    <font>
      <b/>
      <sz val="9"/>
      <color indexed="81"/>
      <name val="Tahoma"/>
      <family val="2"/>
    </font>
    <font>
      <sz val="9"/>
      <color indexed="81"/>
      <name val="Tahoma"/>
      <family val="2"/>
    </font>
    <font>
      <sz val="13"/>
      <color indexed="81"/>
      <name val="Tahoma"/>
      <family val="2"/>
    </font>
    <font>
      <b/>
      <sz val="13"/>
      <color indexed="81"/>
      <name val="Tahoma"/>
      <family val="2"/>
    </font>
    <font>
      <sz val="15"/>
      <color indexed="81"/>
      <name val="Tahoma"/>
      <family val="2"/>
    </font>
    <font>
      <sz val="12"/>
      <color indexed="81"/>
      <name val="Tahoma"/>
      <family val="2"/>
    </font>
    <font>
      <sz val="9"/>
      <color theme="1"/>
      <name val="Verdana"/>
      <family val="2"/>
    </font>
    <font>
      <sz val="10"/>
      <name val="Arial"/>
      <family val="2"/>
    </font>
    <font>
      <sz val="8"/>
      <name val="Calibri"/>
      <family val="2"/>
      <scheme val="minor"/>
    </font>
    <font>
      <sz val="10"/>
      <color rgb="FFFF0000"/>
      <name val="Calibri"/>
      <family val="2"/>
      <scheme val="minor"/>
    </font>
    <font>
      <sz val="10"/>
      <color rgb="FFFAC090"/>
      <name val="Arial"/>
      <family val="2"/>
    </font>
    <font>
      <sz val="10"/>
      <color rgb="FF000000"/>
      <name val="Arial"/>
      <family val="2"/>
    </font>
    <font>
      <sz val="10"/>
      <name val="Arial"/>
      <family val="2"/>
    </font>
    <font>
      <sz val="10"/>
      <name val="Arial"/>
      <family val="2"/>
    </font>
    <font>
      <sz val="10"/>
      <name val="Arial"/>
      <family val="2"/>
    </font>
    <font>
      <sz val="10"/>
      <name val="Arial"/>
      <family val="2"/>
    </font>
    <font>
      <sz val="10"/>
      <name val="Arial"/>
      <family val="2"/>
    </font>
    <font>
      <sz val="10"/>
      <color theme="1"/>
      <name val="Times New Roman"/>
      <family val="1"/>
    </font>
    <font>
      <sz val="10"/>
      <color theme="1"/>
      <name val="Calibri"/>
      <family val="2"/>
      <scheme val="minor"/>
    </font>
    <font>
      <b/>
      <sz val="10"/>
      <color theme="1"/>
      <name val="Calibri"/>
      <family val="2"/>
      <scheme val="minor"/>
    </font>
    <font>
      <sz val="11"/>
      <name val="Times New Roman"/>
      <family val="1"/>
    </font>
    <font>
      <sz val="11"/>
      <color indexed="8"/>
      <name val="Times New Roman"/>
      <family val="1"/>
    </font>
    <font>
      <sz val="10"/>
      <name val="Times New Roman"/>
      <family val="1"/>
    </font>
    <font>
      <b/>
      <sz val="10"/>
      <name val="Arial"/>
      <family val="2"/>
    </font>
    <font>
      <sz val="10"/>
      <name val="Arial"/>
      <family val="2"/>
    </font>
    <font>
      <sz val="10"/>
      <name val="Arial"/>
      <family val="2"/>
    </font>
    <font>
      <b/>
      <sz val="10"/>
      <name val="Arial"/>
      <family val="2"/>
    </font>
    <font>
      <sz val="10"/>
      <name val="Arial"/>
      <family val="2"/>
    </font>
    <font>
      <sz val="10"/>
      <name val="Arial"/>
    </font>
    <font>
      <sz val="11"/>
      <color theme="1"/>
      <name val="Times New Roman"/>
      <family val="1"/>
    </font>
  </fonts>
  <fills count="12">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theme="8" tint="0.39997558519241921"/>
        <bgColor indexed="64"/>
      </patternFill>
    </fill>
    <fill>
      <patternFill patternType="solid">
        <fgColor theme="0"/>
        <bgColor indexed="9"/>
      </patternFill>
    </fill>
  </fills>
  <borders count="12">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rgb="FFABABAB"/>
      </right>
      <top/>
      <bottom/>
      <diagonal/>
    </border>
    <border>
      <left style="thin">
        <color rgb="FF000000"/>
      </left>
      <right style="thin">
        <color rgb="FF000000"/>
      </right>
      <top style="thin">
        <color rgb="FF000000"/>
      </top>
      <bottom style="thin">
        <color rgb="FF000000"/>
      </bottom>
      <diagonal/>
    </border>
    <border>
      <left style="thin">
        <color indexed="8"/>
      </left>
      <right/>
      <top style="thin">
        <color indexed="8"/>
      </top>
      <bottom/>
      <diagonal/>
    </border>
  </borders>
  <cellStyleXfs count="26">
    <xf numFmtId="0" fontId="0" fillId="0" borderId="0"/>
    <xf numFmtId="164" fontId="1" fillId="0" borderId="0" applyFont="0" applyFill="0" applyBorder="0" applyAlignment="0" applyProtection="0"/>
    <xf numFmtId="0" fontId="4" fillId="0" borderId="0"/>
    <xf numFmtId="0" fontId="5" fillId="0" borderId="0">
      <alignment vertical="center"/>
    </xf>
    <xf numFmtId="43" fontId="8" fillId="0" borderId="0" applyFont="0" applyFill="0" applyBorder="0" applyAlignment="0" applyProtection="0"/>
    <xf numFmtId="0" fontId="1" fillId="0" borderId="0">
      <alignment vertical="center"/>
    </xf>
    <xf numFmtId="0" fontId="16" fillId="0" borderId="0"/>
    <xf numFmtId="0" fontId="21" fillId="0" borderId="0"/>
    <xf numFmtId="0" fontId="22" fillId="0" borderId="0"/>
    <xf numFmtId="0" fontId="23" fillId="0" borderId="0"/>
    <xf numFmtId="0" fontId="24" fillId="0" borderId="0"/>
    <xf numFmtId="0" fontId="25" fillId="0" borderId="0"/>
    <xf numFmtId="0" fontId="33" fillId="0" borderId="0"/>
    <xf numFmtId="0" fontId="16" fillId="0" borderId="0"/>
    <xf numFmtId="0" fontId="1" fillId="0" borderId="0"/>
    <xf numFmtId="43" fontId="1" fillId="0" borderId="0" applyFont="0" applyFill="0" applyBorder="0" applyAlignment="0" applyProtection="0"/>
    <xf numFmtId="43" fontId="8"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34" fillId="0" borderId="0"/>
    <xf numFmtId="43" fontId="16" fillId="0" borderId="0" applyFont="0" applyFill="0" applyBorder="0" applyAlignment="0" applyProtection="0"/>
    <xf numFmtId="0" fontId="36" fillId="0" borderId="0"/>
    <xf numFmtId="0" fontId="37" fillId="0" borderId="0"/>
  </cellStyleXfs>
  <cellXfs count="283">
    <xf numFmtId="0" fontId="0" fillId="0" borderId="0" xfId="0"/>
    <xf numFmtId="0" fontId="2" fillId="0" borderId="0" xfId="0" applyFont="1"/>
    <xf numFmtId="165" fontId="2" fillId="0" borderId="0" xfId="1" applyNumberFormat="1" applyFont="1" applyFill="1" applyAlignment="1"/>
    <xf numFmtId="164" fontId="2" fillId="0" borderId="0" xfId="1" applyFont="1" applyFill="1" applyAlignment="1"/>
    <xf numFmtId="0" fontId="3" fillId="0" borderId="0" xfId="0" applyFont="1"/>
    <xf numFmtId="4" fontId="2" fillId="0" borderId="0" xfId="0" applyNumberFormat="1" applyFont="1"/>
    <xf numFmtId="166" fontId="2" fillId="0" borderId="0" xfId="0" applyNumberFormat="1" applyFont="1"/>
    <xf numFmtId="167" fontId="2" fillId="0" borderId="0" xfId="0" applyNumberFormat="1" applyFont="1"/>
    <xf numFmtId="164" fontId="2" fillId="0" borderId="0" xfId="1" applyFont="1" applyFill="1" applyBorder="1" applyAlignment="1"/>
    <xf numFmtId="1" fontId="2" fillId="0" borderId="0" xfId="2" applyNumberFormat="1" applyFont="1"/>
    <xf numFmtId="22" fontId="2" fillId="0" borderId="0" xfId="0" applyNumberFormat="1" applyFont="1"/>
    <xf numFmtId="166" fontId="3" fillId="0" borderId="0" xfId="0" applyNumberFormat="1" applyFont="1"/>
    <xf numFmtId="14" fontId="2" fillId="0" borderId="0" xfId="2" applyNumberFormat="1" applyFont="1"/>
    <xf numFmtId="43" fontId="2" fillId="0" borderId="0" xfId="0" applyNumberFormat="1" applyFont="1"/>
    <xf numFmtId="165" fontId="2" fillId="0" borderId="0" xfId="0" applyNumberFormat="1" applyFont="1"/>
    <xf numFmtId="168" fontId="2" fillId="0" borderId="0" xfId="1" applyNumberFormat="1" applyFont="1" applyFill="1" applyBorder="1" applyAlignment="1"/>
    <xf numFmtId="166" fontId="3" fillId="0" borderId="1" xfId="2" applyNumberFormat="1" applyFont="1" applyBorder="1"/>
    <xf numFmtId="168" fontId="3" fillId="0" borderId="1" xfId="1" applyNumberFormat="1" applyFont="1" applyFill="1" applyBorder="1" applyAlignment="1"/>
    <xf numFmtId="164" fontId="3" fillId="0" borderId="0" xfId="1" quotePrefix="1" applyFont="1" applyFill="1" applyBorder="1" applyAlignment="1">
      <alignment wrapText="1"/>
    </xf>
    <xf numFmtId="0" fontId="2" fillId="0" borderId="2" xfId="0" applyFont="1" applyBorder="1"/>
    <xf numFmtId="1" fontId="6" fillId="0" borderId="2" xfId="3" quotePrefix="1" applyNumberFormat="1" applyFont="1" applyBorder="1" applyAlignment="1"/>
    <xf numFmtId="1" fontId="7" fillId="0" borderId="2" xfId="3" quotePrefix="1" applyNumberFormat="1" applyFont="1" applyBorder="1" applyAlignment="1"/>
    <xf numFmtId="165" fontId="6" fillId="0" borderId="2" xfId="1" quotePrefix="1" applyNumberFormat="1" applyFont="1" applyFill="1" applyBorder="1" applyAlignment="1"/>
    <xf numFmtId="1" fontId="6" fillId="0" borderId="0" xfId="3" quotePrefix="1" applyNumberFormat="1" applyFont="1" applyAlignment="1"/>
    <xf numFmtId="4" fontId="2" fillId="0" borderId="2" xfId="4" applyNumberFormat="1" applyFont="1" applyFill="1" applyBorder="1" applyAlignment="1"/>
    <xf numFmtId="165" fontId="2" fillId="0" borderId="2" xfId="1" applyNumberFormat="1" applyFont="1" applyFill="1" applyBorder="1" applyAlignment="1"/>
    <xf numFmtId="168" fontId="2" fillId="0" borderId="2" xfId="1" applyNumberFormat="1" applyFont="1" applyFill="1" applyBorder="1" applyAlignment="1"/>
    <xf numFmtId="164" fontId="2" fillId="0" borderId="2" xfId="1" applyFont="1" applyFill="1" applyBorder="1" applyAlignment="1"/>
    <xf numFmtId="164" fontId="2" fillId="0" borderId="0" xfId="2" quotePrefix="1" applyNumberFormat="1" applyFont="1"/>
    <xf numFmtId="0" fontId="2" fillId="0" borderId="0" xfId="2" quotePrefix="1" applyFont="1"/>
    <xf numFmtId="165" fontId="3" fillId="0" borderId="2" xfId="1" applyNumberFormat="1" applyFont="1" applyFill="1" applyBorder="1" applyAlignment="1"/>
    <xf numFmtId="166" fontId="2" fillId="0" borderId="0" xfId="2" quotePrefix="1" applyNumberFormat="1" applyFont="1"/>
    <xf numFmtId="3" fontId="2" fillId="0" borderId="2" xfId="4" applyNumberFormat="1" applyFont="1" applyFill="1" applyBorder="1" applyAlignment="1"/>
    <xf numFmtId="1" fontId="2" fillId="0" borderId="2" xfId="1" quotePrefix="1" applyNumberFormat="1" applyFont="1" applyFill="1" applyBorder="1" applyAlignment="1"/>
    <xf numFmtId="168" fontId="2" fillId="0" borderId="0" xfId="1" applyNumberFormat="1" applyFont="1" applyFill="1" applyAlignment="1"/>
    <xf numFmtId="0" fontId="2" fillId="2" borderId="0" xfId="0" applyFont="1" applyFill="1"/>
    <xf numFmtId="0" fontId="2" fillId="3" borderId="0" xfId="0" applyFont="1" applyFill="1"/>
    <xf numFmtId="166" fontId="2" fillId="3" borderId="0" xfId="0" applyNumberFormat="1" applyFont="1" applyFill="1"/>
    <xf numFmtId="166" fontId="3" fillId="3" borderId="1" xfId="2" applyNumberFormat="1" applyFont="1" applyFill="1" applyBorder="1"/>
    <xf numFmtId="1" fontId="6" fillId="3" borderId="2" xfId="3" quotePrefix="1" applyNumberFormat="1" applyFont="1" applyFill="1" applyBorder="1" applyAlignment="1"/>
    <xf numFmtId="164" fontId="2" fillId="0" borderId="0" xfId="1" applyFont="1"/>
    <xf numFmtId="0" fontId="2" fillId="5" borderId="0" xfId="0" applyFont="1" applyFill="1"/>
    <xf numFmtId="14" fontId="2" fillId="0" borderId="2" xfId="1" applyNumberFormat="1" applyFont="1" applyFill="1" applyBorder="1" applyAlignment="1"/>
    <xf numFmtId="4" fontId="15" fillId="0" borderId="3" xfId="4" applyNumberFormat="1" applyFont="1" applyFill="1" applyBorder="1" applyAlignment="1">
      <alignment vertical="center"/>
    </xf>
    <xf numFmtId="165" fontId="3" fillId="0" borderId="1" xfId="1" applyNumberFormat="1" applyFont="1" applyBorder="1"/>
    <xf numFmtId="166" fontId="2" fillId="0" borderId="0" xfId="2" applyNumberFormat="1" applyFont="1"/>
    <xf numFmtId="166" fontId="6" fillId="0" borderId="2" xfId="3" quotePrefix="1" applyNumberFormat="1" applyFont="1" applyBorder="1" applyAlignment="1"/>
    <xf numFmtId="165" fontId="2" fillId="0" borderId="0" xfId="1" applyNumberFormat="1" applyFont="1"/>
    <xf numFmtId="0" fontId="2" fillId="6" borderId="0" xfId="2" quotePrefix="1" applyFont="1" applyFill="1"/>
    <xf numFmtId="0" fontId="2" fillId="6" borderId="0" xfId="0" applyFont="1" applyFill="1"/>
    <xf numFmtId="164" fontId="2" fillId="0" borderId="0" xfId="0" applyNumberFormat="1" applyFont="1"/>
    <xf numFmtId="3" fontId="19" fillId="0" borderId="0" xfId="0" applyNumberFormat="1" applyFont="1" applyAlignment="1">
      <alignment horizontal="right" vertical="center" wrapText="1"/>
    </xf>
    <xf numFmtId="3" fontId="20" fillId="0" borderId="0" xfId="0" applyNumberFormat="1" applyFont="1" applyAlignment="1">
      <alignment horizontal="right" vertical="center" wrapText="1"/>
    </xf>
    <xf numFmtId="3" fontId="2" fillId="0" borderId="0" xfId="0" applyNumberFormat="1" applyFont="1"/>
    <xf numFmtId="4" fontId="2" fillId="0" borderId="0" xfId="2" applyNumberFormat="1" applyFont="1"/>
    <xf numFmtId="164" fontId="2" fillId="3" borderId="0" xfId="1" applyFont="1" applyFill="1" applyAlignment="1"/>
    <xf numFmtId="0" fontId="2" fillId="4" borderId="2" xfId="0" applyFont="1" applyFill="1" applyBorder="1"/>
    <xf numFmtId="164" fontId="3" fillId="4" borderId="2" xfId="1" quotePrefix="1" applyFont="1" applyFill="1" applyBorder="1" applyAlignment="1">
      <alignment wrapText="1"/>
    </xf>
    <xf numFmtId="165" fontId="3" fillId="4" borderId="2" xfId="1" quotePrefix="1" applyNumberFormat="1" applyFont="1" applyFill="1" applyBorder="1" applyAlignment="1">
      <alignment wrapText="1"/>
    </xf>
    <xf numFmtId="14" fontId="3" fillId="4" borderId="2" xfId="1" quotePrefix="1" applyNumberFormat="1" applyFont="1" applyFill="1" applyBorder="1" applyAlignment="1">
      <alignment wrapText="1"/>
    </xf>
    <xf numFmtId="164" fontId="3" fillId="4" borderId="2" xfId="1" quotePrefix="1" applyFont="1" applyFill="1" applyBorder="1" applyAlignment="1"/>
    <xf numFmtId="0" fontId="2" fillId="0" borderId="0" xfId="0" applyFont="1" applyAlignment="1">
      <alignment wrapText="1"/>
    </xf>
    <xf numFmtId="0" fontId="2" fillId="0" borderId="2" xfId="2" applyFont="1" applyBorder="1"/>
    <xf numFmtId="14" fontId="2" fillId="0" borderId="2" xfId="2" quotePrefix="1" applyNumberFormat="1" applyFont="1" applyBorder="1"/>
    <xf numFmtId="166" fontId="2" fillId="0" borderId="2" xfId="2" applyNumberFormat="1" applyFont="1" applyBorder="1"/>
    <xf numFmtId="14" fontId="2" fillId="0" borderId="2" xfId="2" applyNumberFormat="1" applyFont="1" applyBorder="1"/>
    <xf numFmtId="0" fontId="2" fillId="0" borderId="2" xfId="2" applyFont="1" applyBorder="1" applyAlignment="1">
      <alignment wrapText="1"/>
    </xf>
    <xf numFmtId="165" fontId="2" fillId="0" borderId="2" xfId="1" applyNumberFormat="1" applyFont="1" applyFill="1" applyBorder="1" applyAlignment="1">
      <alignment wrapText="1"/>
    </xf>
    <xf numFmtId="0" fontId="2" fillId="0" borderId="2" xfId="2" quotePrefix="1" applyFont="1" applyBorder="1"/>
    <xf numFmtId="0" fontId="2" fillId="0" borderId="2" xfId="2" quotePrefix="1" applyFont="1" applyBorder="1" applyAlignment="1">
      <alignment vertical="center"/>
    </xf>
    <xf numFmtId="4" fontId="2" fillId="0" borderId="2" xfId="0" applyNumberFormat="1" applyFont="1" applyBorder="1"/>
    <xf numFmtId="0" fontId="2" fillId="0" borderId="2" xfId="2" quotePrefix="1" applyFont="1" applyBorder="1" applyAlignment="1">
      <alignment horizontal="left"/>
    </xf>
    <xf numFmtId="0" fontId="15" fillId="0" borderId="2" xfId="2" quotePrefix="1" applyFont="1" applyBorder="1" applyAlignment="1">
      <alignment horizontal="left" vertical="center"/>
    </xf>
    <xf numFmtId="165" fontId="2" fillId="0" borderId="2" xfId="1" applyNumberFormat="1" applyFont="1" applyFill="1" applyBorder="1"/>
    <xf numFmtId="165" fontId="3" fillId="0" borderId="2" xfId="0" applyNumberFormat="1" applyFont="1" applyBorder="1"/>
    <xf numFmtId="166" fontId="2" fillId="0" borderId="2" xfId="0" applyNumberFormat="1" applyFont="1" applyBorder="1"/>
    <xf numFmtId="0" fontId="2" fillId="2" borderId="2" xfId="2" applyFont="1" applyFill="1" applyBorder="1"/>
    <xf numFmtId="165" fontId="2" fillId="2" borderId="2" xfId="1" applyNumberFormat="1" applyFont="1" applyFill="1" applyBorder="1" applyAlignment="1"/>
    <xf numFmtId="4" fontId="2" fillId="2" borderId="2" xfId="1" applyNumberFormat="1" applyFont="1" applyFill="1" applyBorder="1" applyAlignment="1"/>
    <xf numFmtId="164" fontId="2" fillId="2" borderId="2" xfId="1" applyFont="1" applyFill="1" applyBorder="1" applyAlignment="1"/>
    <xf numFmtId="0" fontId="2" fillId="2" borderId="2" xfId="2" applyFont="1" applyFill="1" applyBorder="1" applyAlignment="1">
      <alignment wrapText="1"/>
    </xf>
    <xf numFmtId="0" fontId="2" fillId="2" borderId="2" xfId="2" quotePrefix="1" applyFont="1" applyFill="1" applyBorder="1"/>
    <xf numFmtId="0" fontId="25" fillId="0" borderId="9" xfId="0" applyFont="1" applyBorder="1"/>
    <xf numFmtId="0" fontId="2" fillId="0" borderId="0" xfId="0" applyFont="1" applyAlignment="1">
      <alignment horizontal="center" vertical="center"/>
    </xf>
    <xf numFmtId="164" fontId="3" fillId="4" borderId="2" xfId="1" quotePrefix="1" applyFont="1" applyFill="1" applyBorder="1" applyAlignment="1">
      <alignment horizontal="center" vertical="center" wrapText="1"/>
    </xf>
    <xf numFmtId="1" fontId="6" fillId="0" borderId="2" xfId="3" quotePrefix="1" applyNumberFormat="1" applyFont="1" applyBorder="1" applyAlignment="1">
      <alignment horizontal="center" vertical="center"/>
    </xf>
    <xf numFmtId="0" fontId="2" fillId="0" borderId="2" xfId="0" applyFont="1" applyBorder="1" applyAlignment="1">
      <alignment horizontal="center" vertical="center"/>
    </xf>
    <xf numFmtId="166" fontId="2" fillId="2" borderId="0" xfId="0" applyNumberFormat="1" applyFont="1" applyFill="1"/>
    <xf numFmtId="165" fontId="2" fillId="2" borderId="0" xfId="1" applyNumberFormat="1" applyFont="1" applyFill="1" applyAlignment="1"/>
    <xf numFmtId="166" fontId="3" fillId="2" borderId="1" xfId="2" applyNumberFormat="1" applyFont="1" applyFill="1" applyBorder="1"/>
    <xf numFmtId="164" fontId="3" fillId="2" borderId="2" xfId="1" quotePrefix="1" applyFont="1" applyFill="1" applyBorder="1" applyAlignment="1">
      <alignment wrapText="1"/>
    </xf>
    <xf numFmtId="1" fontId="6" fillId="2" borderId="2" xfId="3" quotePrefix="1" applyNumberFormat="1" applyFont="1" applyFill="1" applyBorder="1" applyAlignment="1"/>
    <xf numFmtId="4" fontId="2" fillId="2" borderId="2" xfId="0" applyNumberFormat="1" applyFont="1" applyFill="1" applyBorder="1"/>
    <xf numFmtId="14" fontId="3" fillId="2" borderId="2" xfId="1" quotePrefix="1" applyNumberFormat="1" applyFont="1" applyFill="1" applyBorder="1" applyAlignment="1">
      <alignment wrapText="1"/>
    </xf>
    <xf numFmtId="164" fontId="2" fillId="2" borderId="0" xfId="1" applyFont="1" applyFill="1" applyAlignment="1"/>
    <xf numFmtId="164" fontId="2" fillId="2" borderId="0" xfId="1" applyFont="1" applyFill="1" applyBorder="1" applyAlignment="1"/>
    <xf numFmtId="165" fontId="2" fillId="2" borderId="0" xfId="1" applyNumberFormat="1" applyFont="1" applyFill="1" applyBorder="1" applyAlignment="1"/>
    <xf numFmtId="175" fontId="2" fillId="0" borderId="2" xfId="1" applyNumberFormat="1" applyFont="1" applyFill="1" applyBorder="1" applyAlignment="1"/>
    <xf numFmtId="49" fontId="26" fillId="0" borderId="2" xfId="2" applyNumberFormat="1" applyFont="1" applyBorder="1" applyAlignment="1">
      <alignment horizontal="left" vertical="center"/>
    </xf>
    <xf numFmtId="0" fontId="27" fillId="7" borderId="2" xfId="2" applyFont="1" applyFill="1" applyBorder="1" applyAlignment="1">
      <alignment horizontal="left" vertical="center"/>
    </xf>
    <xf numFmtId="175" fontId="2" fillId="0" borderId="2" xfId="1" applyNumberFormat="1" applyFont="1" applyFill="1" applyBorder="1" applyAlignment="1">
      <alignment horizontal="right"/>
    </xf>
    <xf numFmtId="175" fontId="26" fillId="0" borderId="2" xfId="2" applyNumberFormat="1" applyFont="1" applyBorder="1" applyAlignment="1">
      <alignment horizontal="right"/>
    </xf>
    <xf numFmtId="165" fontId="27" fillId="0" borderId="2" xfId="1" applyNumberFormat="1" applyFont="1" applyFill="1" applyBorder="1" applyAlignment="1">
      <alignment horizontal="right" vertical="center"/>
    </xf>
    <xf numFmtId="164" fontId="27" fillId="0" borderId="2" xfId="1" applyFont="1" applyFill="1" applyBorder="1"/>
    <xf numFmtId="164" fontId="2" fillId="0" borderId="2" xfId="1" applyFont="1" applyBorder="1"/>
    <xf numFmtId="0" fontId="27" fillId="0" borderId="2" xfId="0" applyFont="1" applyBorder="1"/>
    <xf numFmtId="0" fontId="0" fillId="0" borderId="2" xfId="0" applyBorder="1"/>
    <xf numFmtId="0" fontId="2" fillId="8" borderId="0" xfId="0" applyFont="1" applyFill="1"/>
    <xf numFmtId="0" fontId="2" fillId="8" borderId="2" xfId="2" applyFont="1" applyFill="1" applyBorder="1"/>
    <xf numFmtId="165" fontId="2" fillId="8" borderId="2" xfId="1" applyNumberFormat="1" applyFont="1" applyFill="1" applyBorder="1" applyAlignment="1"/>
    <xf numFmtId="164" fontId="2" fillId="8" borderId="2" xfId="1" applyFont="1" applyFill="1" applyBorder="1" applyAlignment="1"/>
    <xf numFmtId="0" fontId="2" fillId="8" borderId="2" xfId="2" applyFont="1" applyFill="1" applyBorder="1" applyAlignment="1">
      <alignment wrapText="1"/>
    </xf>
    <xf numFmtId="0" fontId="2" fillId="8" borderId="2" xfId="2" quotePrefix="1" applyFont="1" applyFill="1" applyBorder="1"/>
    <xf numFmtId="0" fontId="2" fillId="8" borderId="0" xfId="2" quotePrefix="1" applyFont="1" applyFill="1"/>
    <xf numFmtId="0" fontId="0" fillId="3" borderId="10" xfId="0" applyFill="1" applyBorder="1" applyAlignment="1">
      <alignment vertical="center"/>
    </xf>
    <xf numFmtId="3" fontId="2" fillId="2" borderId="2" xfId="1" applyNumberFormat="1" applyFont="1" applyFill="1" applyBorder="1" applyAlignment="1"/>
    <xf numFmtId="3" fontId="2" fillId="2" borderId="0" xfId="1" applyNumberFormat="1" applyFont="1" applyFill="1"/>
    <xf numFmtId="165" fontId="2" fillId="0" borderId="2" xfId="0" applyNumberFormat="1" applyFont="1" applyBorder="1"/>
    <xf numFmtId="1" fontId="2" fillId="0" borderId="2" xfId="2" applyNumberFormat="1" applyFont="1" applyBorder="1" applyAlignment="1">
      <alignment horizontal="center" vertical="center"/>
    </xf>
    <xf numFmtId="1" fontId="2" fillId="0" borderId="2" xfId="2" applyNumberFormat="1" applyFont="1" applyBorder="1"/>
    <xf numFmtId="49" fontId="2" fillId="0" borderId="2" xfId="2" applyNumberFormat="1" applyFont="1" applyBorder="1"/>
    <xf numFmtId="166" fontId="3" fillId="0" borderId="2" xfId="2" applyNumberFormat="1" applyFont="1" applyBorder="1"/>
    <xf numFmtId="169" fontId="2" fillId="0" borderId="2" xfId="2" applyNumberFormat="1" applyFont="1" applyBorder="1"/>
    <xf numFmtId="14" fontId="3" fillId="0" borderId="2" xfId="2" quotePrefix="1" applyNumberFormat="1" applyFont="1" applyBorder="1"/>
    <xf numFmtId="170" fontId="2" fillId="0" borderId="2" xfId="2" applyNumberFormat="1" applyFont="1" applyBorder="1"/>
    <xf numFmtId="171" fontId="3" fillId="0" borderId="2" xfId="2" applyNumberFormat="1" applyFont="1" applyBorder="1"/>
    <xf numFmtId="0" fontId="2" fillId="0" borderId="0" xfId="0" applyFont="1" applyAlignment="1">
      <alignment horizontal="left" vertical="top"/>
    </xf>
    <xf numFmtId="14" fontId="3" fillId="0" borderId="2" xfId="2" applyNumberFormat="1" applyFont="1" applyBorder="1"/>
    <xf numFmtId="171" fontId="3" fillId="0" borderId="2" xfId="2" quotePrefix="1" applyNumberFormat="1" applyFont="1" applyBorder="1"/>
    <xf numFmtId="0" fontId="18" fillId="0" borderId="2" xfId="2" applyFont="1" applyBorder="1"/>
    <xf numFmtId="172" fontId="2" fillId="0" borderId="2" xfId="2" applyNumberFormat="1" applyFont="1" applyBorder="1"/>
    <xf numFmtId="173" fontId="2" fillId="0" borderId="2" xfId="2" applyNumberFormat="1" applyFont="1" applyBorder="1"/>
    <xf numFmtId="14" fontId="2" fillId="0" borderId="2" xfId="5" applyNumberFormat="1" applyFont="1" applyBorder="1" applyAlignment="1"/>
    <xf numFmtId="174" fontId="2" fillId="0" borderId="2" xfId="2" applyNumberFormat="1" applyFont="1" applyBorder="1"/>
    <xf numFmtId="0" fontId="2" fillId="0" borderId="0" xfId="0" applyFont="1" applyAlignment="1">
      <alignment horizontal="left"/>
    </xf>
    <xf numFmtId="49" fontId="2" fillId="0" borderId="2" xfId="2" applyNumberFormat="1" applyFont="1" applyBorder="1" applyAlignment="1">
      <alignment wrapText="1"/>
    </xf>
    <xf numFmtId="1" fontId="2" fillId="0" borderId="2" xfId="2" quotePrefix="1" applyNumberFormat="1" applyFont="1" applyBorder="1" applyAlignment="1">
      <alignment horizontal="center" vertical="center"/>
    </xf>
    <xf numFmtId="49" fontId="2" fillId="0" borderId="2" xfId="2" quotePrefix="1" applyNumberFormat="1" applyFont="1" applyBorder="1"/>
    <xf numFmtId="49" fontId="2" fillId="0" borderId="2" xfId="0" quotePrefix="1" applyNumberFormat="1" applyFont="1" applyBorder="1"/>
    <xf numFmtId="166" fontId="2" fillId="0" borderId="2" xfId="2" quotePrefix="1" applyNumberFormat="1" applyFont="1" applyBorder="1"/>
    <xf numFmtId="0" fontId="2" fillId="0" borderId="2" xfId="2" applyFont="1" applyBorder="1" applyAlignment="1">
      <alignment horizontal="center" vertical="center"/>
    </xf>
    <xf numFmtId="14" fontId="2" fillId="0" borderId="2" xfId="0" applyNumberFormat="1" applyFont="1" applyBorder="1"/>
    <xf numFmtId="0" fontId="2" fillId="0" borderId="2" xfId="0" quotePrefix="1" applyFont="1" applyBorder="1"/>
    <xf numFmtId="171" fontId="2" fillId="0" borderId="2" xfId="0" applyNumberFormat="1" applyFont="1" applyBorder="1"/>
    <xf numFmtId="3" fontId="2" fillId="0" borderId="2" xfId="0" applyNumberFormat="1" applyFont="1" applyBorder="1"/>
    <xf numFmtId="1" fontId="2" fillId="0" borderId="2" xfId="0" applyNumberFormat="1" applyFont="1" applyBorder="1"/>
    <xf numFmtId="166" fontId="15" fillId="0" borderId="3" xfId="2" applyNumberFormat="1" applyFont="1" applyBorder="1" applyAlignment="1">
      <alignment horizontal="right" vertical="center"/>
    </xf>
    <xf numFmtId="166" fontId="15" fillId="0" borderId="3" xfId="2" applyNumberFormat="1" applyFont="1" applyBorder="1" applyAlignment="1">
      <alignment vertical="center"/>
    </xf>
    <xf numFmtId="172" fontId="15" fillId="0" borderId="3" xfId="2" applyNumberFormat="1" applyFont="1" applyBorder="1" applyAlignment="1">
      <alignment vertical="center"/>
    </xf>
    <xf numFmtId="166" fontId="15" fillId="0" borderId="3" xfId="2" quotePrefix="1" applyNumberFormat="1" applyFont="1" applyBorder="1" applyAlignment="1">
      <alignment vertical="center"/>
    </xf>
    <xf numFmtId="166" fontId="15" fillId="0" borderId="2" xfId="2" applyNumberFormat="1" applyFont="1" applyBorder="1" applyAlignment="1">
      <alignment horizontal="right" vertical="center"/>
    </xf>
    <xf numFmtId="166" fontId="15" fillId="0" borderId="2" xfId="2" applyNumberFormat="1" applyFont="1" applyBorder="1" applyAlignment="1">
      <alignment vertical="center"/>
    </xf>
    <xf numFmtId="169" fontId="15" fillId="0" borderId="2" xfId="2" applyNumberFormat="1" applyFont="1" applyBorder="1" applyAlignment="1">
      <alignment vertical="center"/>
    </xf>
    <xf numFmtId="173" fontId="15" fillId="0" borderId="2" xfId="2" applyNumberFormat="1" applyFont="1" applyBorder="1" applyAlignment="1">
      <alignment vertical="center"/>
    </xf>
    <xf numFmtId="0" fontId="2" fillId="0" borderId="2" xfId="9" applyFont="1" applyBorder="1" applyAlignment="1">
      <alignment wrapText="1"/>
    </xf>
    <xf numFmtId="0" fontId="23" fillId="0" borderId="0" xfId="9" applyAlignment="1">
      <alignment wrapText="1"/>
    </xf>
    <xf numFmtId="0" fontId="27" fillId="0" borderId="2" xfId="0" applyFont="1" applyBorder="1" applyAlignment="1">
      <alignment wrapText="1"/>
    </xf>
    <xf numFmtId="0" fontId="27" fillId="0" borderId="2" xfId="2" applyFont="1" applyBorder="1" applyAlignment="1">
      <alignment horizontal="left" vertical="center"/>
    </xf>
    <xf numFmtId="4" fontId="27" fillId="0" borderId="2" xfId="4" applyNumberFormat="1" applyFont="1" applyFill="1" applyBorder="1" applyAlignment="1">
      <alignment vertical="center"/>
    </xf>
    <xf numFmtId="164" fontId="28" fillId="0" borderId="2" xfId="1" applyFont="1" applyFill="1" applyBorder="1"/>
    <xf numFmtId="0" fontId="1" fillId="0" borderId="0" xfId="0" applyFont="1"/>
    <xf numFmtId="164" fontId="2" fillId="0" borderId="2" xfId="0" applyNumberFormat="1" applyFont="1" applyBorder="1"/>
    <xf numFmtId="164" fontId="3" fillId="0" borderId="2" xfId="0" applyNumberFormat="1" applyFont="1" applyBorder="1"/>
    <xf numFmtId="164" fontId="2" fillId="0" borderId="2" xfId="1" applyFont="1" applyFill="1" applyBorder="1"/>
    <xf numFmtId="4" fontId="3" fillId="0" borderId="2" xfId="0" applyNumberFormat="1" applyFont="1" applyBorder="1"/>
    <xf numFmtId="0" fontId="26" fillId="0" borderId="2" xfId="0" applyFont="1" applyBorder="1" applyAlignment="1">
      <alignment horizontal="left" vertical="center"/>
    </xf>
    <xf numFmtId="0" fontId="26" fillId="0" borderId="2" xfId="0" quotePrefix="1" applyFont="1" applyBorder="1" applyAlignment="1">
      <alignment horizontal="left" vertical="center" wrapText="1"/>
    </xf>
    <xf numFmtId="0" fontId="26" fillId="0" borderId="2" xfId="0" applyFont="1" applyBorder="1" applyAlignment="1">
      <alignment vertical="center"/>
    </xf>
    <xf numFmtId="176" fontId="2" fillId="0" borderId="2" xfId="1" applyNumberFormat="1" applyFont="1" applyFill="1" applyBorder="1" applyAlignment="1"/>
    <xf numFmtId="0" fontId="2" fillId="0" borderId="0" xfId="0" quotePrefix="1" applyFont="1"/>
    <xf numFmtId="0" fontId="26" fillId="0" borderId="2" xfId="0" applyFont="1" applyBorder="1" applyAlignment="1">
      <alignment horizontal="center" vertical="center"/>
    </xf>
    <xf numFmtId="177" fontId="29" fillId="0" borderId="2" xfId="0" applyNumberFormat="1" applyFont="1" applyBorder="1"/>
    <xf numFmtId="0" fontId="2" fillId="2" borderId="2" xfId="0" applyFont="1" applyFill="1" applyBorder="1"/>
    <xf numFmtId="14" fontId="2" fillId="2" borderId="2" xfId="2" quotePrefix="1" applyNumberFormat="1" applyFont="1" applyFill="1" applyBorder="1"/>
    <xf numFmtId="165" fontId="2" fillId="2" borderId="2" xfId="1" applyNumberFormat="1" applyFont="1" applyFill="1" applyBorder="1" applyAlignment="1">
      <alignment wrapText="1"/>
    </xf>
    <xf numFmtId="49" fontId="27" fillId="0" borderId="2" xfId="2" applyNumberFormat="1" applyFont="1" applyBorder="1" applyAlignment="1">
      <alignment horizontal="left" vertical="center"/>
    </xf>
    <xf numFmtId="0" fontId="2" fillId="9" borderId="2" xfId="0" applyFont="1" applyFill="1" applyBorder="1"/>
    <xf numFmtId="164" fontId="2" fillId="10" borderId="2" xfId="1" applyFont="1" applyFill="1" applyBorder="1" applyAlignment="1"/>
    <xf numFmtId="43" fontId="2" fillId="0" borderId="2" xfId="0" applyNumberFormat="1" applyFont="1" applyBorder="1"/>
    <xf numFmtId="178" fontId="2" fillId="0" borderId="2" xfId="0" applyNumberFormat="1" applyFont="1" applyBorder="1"/>
    <xf numFmtId="43" fontId="2" fillId="0" borderId="2" xfId="1" applyNumberFormat="1" applyFont="1" applyBorder="1"/>
    <xf numFmtId="49" fontId="31" fillId="0" borderId="2" xfId="0" applyNumberFormat="1" applyFont="1" applyBorder="1"/>
    <xf numFmtId="0" fontId="2" fillId="7" borderId="0" xfId="0" applyFont="1" applyFill="1"/>
    <xf numFmtId="0" fontId="2" fillId="7" borderId="2" xfId="0" applyFont="1" applyFill="1" applyBorder="1"/>
    <xf numFmtId="0" fontId="2" fillId="7" borderId="2" xfId="2" applyFont="1" applyFill="1" applyBorder="1"/>
    <xf numFmtId="1" fontId="2" fillId="7" borderId="2" xfId="2" applyNumberFormat="1" applyFont="1" applyFill="1" applyBorder="1" applyAlignment="1">
      <alignment horizontal="center" vertical="center"/>
    </xf>
    <xf numFmtId="1" fontId="2" fillId="7" borderId="2" xfId="2" applyNumberFormat="1" applyFont="1" applyFill="1" applyBorder="1"/>
    <xf numFmtId="49" fontId="2" fillId="7" borderId="2" xfId="2" applyNumberFormat="1" applyFont="1" applyFill="1" applyBorder="1"/>
    <xf numFmtId="14" fontId="2" fillId="7" borderId="2" xfId="2" applyNumberFormat="1" applyFont="1" applyFill="1" applyBorder="1"/>
    <xf numFmtId="4" fontId="2" fillId="7" borderId="2" xfId="4" applyNumberFormat="1" applyFont="1" applyFill="1" applyBorder="1" applyAlignment="1"/>
    <xf numFmtId="166" fontId="2" fillId="7" borderId="2" xfId="2" applyNumberFormat="1" applyFont="1" applyFill="1" applyBorder="1"/>
    <xf numFmtId="166" fontId="3" fillId="7" borderId="2" xfId="2" applyNumberFormat="1" applyFont="1" applyFill="1" applyBorder="1"/>
    <xf numFmtId="169" fontId="2" fillId="7" borderId="2" xfId="2" applyNumberFormat="1" applyFont="1" applyFill="1" applyBorder="1"/>
    <xf numFmtId="165" fontId="2" fillId="7" borderId="2" xfId="1" applyNumberFormat="1" applyFont="1" applyFill="1" applyBorder="1" applyAlignment="1"/>
    <xf numFmtId="4" fontId="2" fillId="7" borderId="2" xfId="1" applyNumberFormat="1" applyFont="1" applyFill="1" applyBorder="1" applyAlignment="1"/>
    <xf numFmtId="164" fontId="2" fillId="7" borderId="2" xfId="1" applyFont="1" applyFill="1" applyBorder="1" applyAlignment="1"/>
    <xf numFmtId="0" fontId="2" fillId="7" borderId="2" xfId="2" applyFont="1" applyFill="1" applyBorder="1" applyAlignment="1">
      <alignment wrapText="1"/>
    </xf>
    <xf numFmtId="165" fontId="2" fillId="7" borderId="2" xfId="1" applyNumberFormat="1" applyFont="1" applyFill="1" applyBorder="1" applyAlignment="1">
      <alignment wrapText="1"/>
    </xf>
    <xf numFmtId="0" fontId="2" fillId="7" borderId="2" xfId="2" quotePrefix="1" applyFont="1" applyFill="1" applyBorder="1"/>
    <xf numFmtId="0" fontId="2" fillId="7" borderId="0" xfId="2" quotePrefix="1" applyFont="1" applyFill="1"/>
    <xf numFmtId="14" fontId="2" fillId="7" borderId="2" xfId="2" quotePrefix="1" applyNumberFormat="1" applyFont="1" applyFill="1" applyBorder="1"/>
    <xf numFmtId="179" fontId="29" fillId="0" borderId="2" xfId="15" applyNumberFormat="1" applyFont="1" applyFill="1" applyBorder="1"/>
    <xf numFmtId="37" fontId="32" fillId="0" borderId="0" xfId="6" applyNumberFormat="1" applyFont="1"/>
    <xf numFmtId="165" fontId="25" fillId="7" borderId="9" xfId="1" applyNumberFormat="1" applyFont="1" applyFill="1" applyBorder="1"/>
    <xf numFmtId="165" fontId="27" fillId="0" borderId="10" xfId="1" applyNumberFormat="1" applyFont="1" applyBorder="1" applyAlignment="1">
      <alignment vertical="center"/>
    </xf>
    <xf numFmtId="0" fontId="34" fillId="0" borderId="0" xfId="22"/>
    <xf numFmtId="37" fontId="35" fillId="0" borderId="0" xfId="22" applyNumberFormat="1" applyFont="1"/>
    <xf numFmtId="37" fontId="34" fillId="0" borderId="0" xfId="22" applyNumberFormat="1"/>
    <xf numFmtId="0" fontId="35" fillId="0" borderId="0" xfId="22" applyFont="1"/>
    <xf numFmtId="0" fontId="34" fillId="0" borderId="0" xfId="22" applyAlignment="1">
      <alignment horizontal="right"/>
    </xf>
    <xf numFmtId="14" fontId="34" fillId="0" borderId="0" xfId="22" applyNumberFormat="1"/>
    <xf numFmtId="0" fontId="34" fillId="11" borderId="0" xfId="22" applyFill="1"/>
    <xf numFmtId="0" fontId="34" fillId="7" borderId="0" xfId="22" applyFill="1"/>
    <xf numFmtId="0" fontId="2" fillId="8" borderId="2" xfId="0" applyFont="1" applyFill="1" applyBorder="1"/>
    <xf numFmtId="1" fontId="2" fillId="8" borderId="2" xfId="2" applyNumberFormat="1" applyFont="1" applyFill="1" applyBorder="1" applyAlignment="1">
      <alignment horizontal="center" vertical="center"/>
    </xf>
    <xf numFmtId="1" fontId="2" fillId="8" borderId="2" xfId="2" applyNumberFormat="1" applyFont="1" applyFill="1" applyBorder="1"/>
    <xf numFmtId="49" fontId="2" fillId="8" borderId="2" xfId="2" applyNumberFormat="1" applyFont="1" applyFill="1" applyBorder="1"/>
    <xf numFmtId="14" fontId="2" fillId="8" borderId="2" xfId="2" applyNumberFormat="1" applyFont="1" applyFill="1" applyBorder="1"/>
    <xf numFmtId="4" fontId="2" fillId="8" borderId="2" xfId="4" applyNumberFormat="1" applyFont="1" applyFill="1" applyBorder="1" applyAlignment="1"/>
    <xf numFmtId="166" fontId="2" fillId="8" borderId="2" xfId="2" applyNumberFormat="1" applyFont="1" applyFill="1" applyBorder="1"/>
    <xf numFmtId="166" fontId="3" fillId="8" borderId="2" xfId="2" applyNumberFormat="1" applyFont="1" applyFill="1" applyBorder="1"/>
    <xf numFmtId="4" fontId="2" fillId="8" borderId="2" xfId="1" applyNumberFormat="1" applyFont="1" applyFill="1" applyBorder="1" applyAlignment="1"/>
    <xf numFmtId="165" fontId="2" fillId="8" borderId="2" xfId="1" applyNumberFormat="1" applyFont="1" applyFill="1" applyBorder="1" applyAlignment="1">
      <alignment wrapText="1"/>
    </xf>
    <xf numFmtId="172" fontId="2" fillId="8" borderId="2" xfId="2" applyNumberFormat="1" applyFont="1" applyFill="1" applyBorder="1"/>
    <xf numFmtId="177" fontId="26" fillId="0" borderId="2" xfId="2" applyNumberFormat="1" applyFont="1" applyBorder="1" applyAlignment="1">
      <alignment horizontal="left" vertical="center"/>
    </xf>
    <xf numFmtId="0" fontId="27" fillId="7" borderId="2" xfId="0" applyFont="1" applyFill="1" applyBorder="1"/>
    <xf numFmtId="0" fontId="2" fillId="7" borderId="2" xfId="0" applyFont="1" applyFill="1" applyBorder="1" applyAlignment="1">
      <alignment horizontal="center" vertical="center"/>
    </xf>
    <xf numFmtId="177" fontId="26" fillId="7" borderId="2" xfId="2" applyNumberFormat="1" applyFont="1" applyFill="1" applyBorder="1" applyAlignment="1">
      <alignment horizontal="left" vertical="center"/>
    </xf>
    <xf numFmtId="175" fontId="26" fillId="7" borderId="2" xfId="2" applyNumberFormat="1" applyFont="1" applyFill="1" applyBorder="1" applyAlignment="1">
      <alignment horizontal="right"/>
    </xf>
    <xf numFmtId="43" fontId="2" fillId="7" borderId="2" xfId="0" applyNumberFormat="1" applyFont="1" applyFill="1" applyBorder="1"/>
    <xf numFmtId="164" fontId="2" fillId="7" borderId="2" xfId="1" applyFont="1" applyFill="1" applyBorder="1"/>
    <xf numFmtId="166" fontId="2" fillId="7" borderId="2" xfId="0" applyNumberFormat="1" applyFont="1" applyFill="1" applyBorder="1"/>
    <xf numFmtId="4" fontId="2" fillId="7" borderId="2" xfId="0" applyNumberFormat="1" applyFont="1" applyFill="1" applyBorder="1"/>
    <xf numFmtId="168" fontId="2" fillId="7" borderId="2" xfId="1" applyNumberFormat="1" applyFont="1" applyFill="1" applyBorder="1" applyAlignment="1"/>
    <xf numFmtId="0" fontId="2" fillId="0" borderId="1" xfId="0" applyFont="1" applyBorder="1" applyAlignment="1">
      <alignment horizontal="center" vertical="center"/>
    </xf>
    <xf numFmtId="0" fontId="2" fillId="0" borderId="1" xfId="0" applyFont="1" applyBorder="1"/>
    <xf numFmtId="0" fontId="2" fillId="0" borderId="1" xfId="2" applyFont="1" applyBorder="1"/>
    <xf numFmtId="0" fontId="27" fillId="0" borderId="1" xfId="0" applyFont="1" applyBorder="1"/>
    <xf numFmtId="0" fontId="27" fillId="0" borderId="1" xfId="2" applyFont="1" applyBorder="1" applyAlignment="1">
      <alignment horizontal="left" vertical="center"/>
    </xf>
    <xf numFmtId="177" fontId="26" fillId="0" borderId="1" xfId="2" applyNumberFormat="1" applyFont="1" applyBorder="1" applyAlignment="1">
      <alignment horizontal="left" vertical="center"/>
    </xf>
    <xf numFmtId="175" fontId="26" fillId="0" borderId="1" xfId="2" applyNumberFormat="1" applyFont="1" applyBorder="1" applyAlignment="1">
      <alignment horizontal="right"/>
    </xf>
    <xf numFmtId="164" fontId="2" fillId="0" borderId="1" xfId="1" applyFont="1" applyFill="1" applyBorder="1"/>
    <xf numFmtId="165" fontId="3" fillId="0" borderId="1" xfId="0" applyNumberFormat="1" applyFont="1" applyBorder="1"/>
    <xf numFmtId="166" fontId="2" fillId="0" borderId="1" xfId="2" applyNumberFormat="1" applyFont="1" applyBorder="1"/>
    <xf numFmtId="165" fontId="2" fillId="0" borderId="1" xfId="1" applyNumberFormat="1" applyFont="1" applyFill="1" applyBorder="1" applyAlignment="1"/>
    <xf numFmtId="164" fontId="2" fillId="0" borderId="1" xfId="1" applyFont="1" applyFill="1" applyBorder="1" applyAlignment="1"/>
    <xf numFmtId="0" fontId="2" fillId="0" borderId="1" xfId="2" applyFont="1" applyBorder="1" applyAlignment="1">
      <alignment wrapText="1"/>
    </xf>
    <xf numFmtId="165" fontId="2" fillId="0" borderId="1" xfId="1" applyNumberFormat="1" applyFont="1" applyFill="1" applyBorder="1" applyAlignment="1">
      <alignment wrapText="1"/>
    </xf>
    <xf numFmtId="0" fontId="2" fillId="0" borderId="8" xfId="0" applyFont="1" applyBorder="1"/>
    <xf numFmtId="164" fontId="2" fillId="0" borderId="8" xfId="1" applyFont="1" applyFill="1" applyBorder="1" applyAlignment="1"/>
    <xf numFmtId="165" fontId="2" fillId="0" borderId="2" xfId="1" applyNumberFormat="1" applyFont="1" applyBorder="1"/>
    <xf numFmtId="166" fontId="2" fillId="0" borderId="1" xfId="0" applyNumberFormat="1" applyFont="1" applyBorder="1"/>
    <xf numFmtId="4" fontId="2" fillId="2" borderId="1" xfId="0" applyNumberFormat="1" applyFont="1" applyFill="1" applyBorder="1"/>
    <xf numFmtId="168" fontId="2" fillId="0" borderId="1" xfId="1" applyNumberFormat="1" applyFont="1" applyFill="1" applyBorder="1" applyAlignment="1"/>
    <xf numFmtId="164" fontId="2" fillId="0" borderId="0" xfId="1" applyFont="1" applyFill="1" applyBorder="1"/>
    <xf numFmtId="165" fontId="3" fillId="0" borderId="0" xfId="0" applyNumberFormat="1" applyFont="1"/>
    <xf numFmtId="165" fontId="2" fillId="0" borderId="0" xfId="1" applyNumberFormat="1" applyFont="1" applyFill="1" applyBorder="1" applyAlignment="1"/>
    <xf numFmtId="0" fontId="2" fillId="0" borderId="0" xfId="2" applyFont="1" applyAlignment="1">
      <alignment wrapText="1"/>
    </xf>
    <xf numFmtId="165" fontId="2" fillId="0" borderId="0" xfId="1" applyNumberFormat="1" applyFont="1" applyFill="1" applyBorder="1" applyAlignment="1">
      <alignment wrapText="1"/>
    </xf>
    <xf numFmtId="164" fontId="2" fillId="0" borderId="0" xfId="1" applyFont="1" applyBorder="1"/>
    <xf numFmtId="0" fontId="2" fillId="0" borderId="4" xfId="0" applyFont="1" applyBorder="1"/>
    <xf numFmtId="0" fontId="2" fillId="0" borderId="2" xfId="9" applyFont="1" applyBorder="1" applyAlignment="1">
      <alignment horizontal="left" vertical="top" wrapText="1"/>
    </xf>
    <xf numFmtId="0" fontId="2" fillId="0" borderId="4" xfId="2" quotePrefix="1" applyFont="1" applyBorder="1"/>
    <xf numFmtId="169" fontId="2" fillId="8" borderId="2" xfId="2" applyNumberFormat="1" applyFont="1" applyFill="1" applyBorder="1"/>
    <xf numFmtId="14" fontId="2" fillId="8" borderId="2" xfId="5" applyNumberFormat="1" applyFont="1" applyFill="1" applyBorder="1" applyAlignment="1"/>
    <xf numFmtId="4" fontId="2" fillId="0" borderId="2" xfId="1" applyNumberFormat="1" applyFont="1" applyFill="1" applyBorder="1" applyAlignment="1"/>
    <xf numFmtId="177" fontId="30" fillId="0" borderId="11" xfId="0" applyNumberFormat="1" applyFont="1" applyBorder="1" applyAlignment="1">
      <alignment horizontal="right"/>
    </xf>
    <xf numFmtId="14" fontId="26" fillId="0" borderId="2" xfId="2" applyNumberFormat="1" applyFont="1" applyBorder="1" applyAlignment="1">
      <alignment horizontal="right"/>
    </xf>
    <xf numFmtId="0" fontId="33" fillId="0" borderId="2" xfId="12" applyBorder="1"/>
    <xf numFmtId="43" fontId="2" fillId="0" borderId="2" xfId="1" applyNumberFormat="1" applyFont="1" applyFill="1" applyBorder="1"/>
    <xf numFmtId="1" fontId="26" fillId="0" borderId="2" xfId="2" applyNumberFormat="1" applyFont="1" applyBorder="1" applyAlignment="1">
      <alignment horizontal="left" vertical="center"/>
    </xf>
    <xf numFmtId="180" fontId="2" fillId="0" borderId="0" xfId="0" applyNumberFormat="1" applyFont="1"/>
    <xf numFmtId="0" fontId="38" fillId="0" borderId="2" xfId="0" applyFont="1" applyBorder="1" applyAlignment="1">
      <alignment horizontal="center" vertical="center"/>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164" fontId="3" fillId="4" borderId="4" xfId="1" quotePrefix="1" applyFont="1" applyFill="1" applyBorder="1" applyAlignment="1">
      <alignment horizontal="center"/>
    </xf>
    <xf numFmtId="164" fontId="3" fillId="4" borderId="5" xfId="1" quotePrefix="1" applyFont="1" applyFill="1" applyBorder="1" applyAlignment="1">
      <alignment horizontal="center"/>
    </xf>
    <xf numFmtId="164" fontId="3" fillId="4" borderId="6" xfId="1" quotePrefix="1" applyFont="1" applyFill="1" applyBorder="1" applyAlignment="1">
      <alignment horizontal="center"/>
    </xf>
    <xf numFmtId="0" fontId="38" fillId="0" borderId="1" xfId="0" applyFont="1" applyBorder="1" applyAlignment="1">
      <alignment horizontal="center" vertical="center"/>
    </xf>
    <xf numFmtId="0" fontId="38" fillId="0" borderId="7" xfId="0" applyFont="1" applyBorder="1" applyAlignment="1">
      <alignment horizontal="center" vertical="center"/>
    </xf>
    <xf numFmtId="0" fontId="38" fillId="0" borderId="8" xfId="0" applyFont="1" applyBorder="1" applyAlignment="1">
      <alignment horizontal="center" vertical="center"/>
    </xf>
    <xf numFmtId="0" fontId="0" fillId="0" borderId="0" xfId="0" applyAlignment="1">
      <alignment horizontal="center" vertical="center"/>
    </xf>
  </cellXfs>
  <cellStyles count="26">
    <cellStyle name="Comma" xfId="1" builtinId="3"/>
    <cellStyle name="Comma 2" xfId="15" xr:uid="{D1228BA8-1FE2-474A-B368-6E190AAEB53E}"/>
    <cellStyle name="Comma 3" xfId="23" xr:uid="{5E39B418-C36A-455D-B29F-E74468C361D8}"/>
    <cellStyle name="Comma 4" xfId="4" xr:uid="{51972A31-3C4E-48C5-9F26-D5F29E469B25}"/>
    <cellStyle name="Comma 4 2" xfId="16" xr:uid="{A4F748CE-EC46-4AC2-B01E-4126EF8D30A6}"/>
    <cellStyle name="Normal" xfId="0" builtinId="0"/>
    <cellStyle name="Normal 10" xfId="22" xr:uid="{7757DD41-7690-490B-8657-ACD38CFD3615}"/>
    <cellStyle name="Normal 11" xfId="24" xr:uid="{E28AE1E4-B169-4447-8C82-82DC41C2A022}"/>
    <cellStyle name="Normal 12" xfId="25" xr:uid="{9282CDBE-6EB2-4EE5-8FD0-D47DE75AE714}"/>
    <cellStyle name="Normal 2" xfId="5" xr:uid="{BCE768A5-BE80-46AF-BDD1-EE0C3A54636B}"/>
    <cellStyle name="Normal 2 2 2 2" xfId="6" xr:uid="{32473739-BC2C-431E-9763-8ACF0E597BCD}"/>
    <cellStyle name="Normal 3" xfId="7" xr:uid="{6192FD1A-E641-404D-A259-131611458238}"/>
    <cellStyle name="Normal 3 2" xfId="17" xr:uid="{A1C7D94F-A055-4BE7-B243-30A912C60B94}"/>
    <cellStyle name="Normal 4" xfId="8" xr:uid="{42EFB5D1-CDE3-4C95-9F49-280FE8A7A8B9}"/>
    <cellStyle name="Normal 4 2" xfId="18" xr:uid="{2961B310-9FC4-4653-9788-3C6D9E3627CE}"/>
    <cellStyle name="Normal 5" xfId="9" xr:uid="{6EBD7BDC-9DD3-43F0-9609-BA9D38418B02}"/>
    <cellStyle name="Normal 5 2" xfId="19" xr:uid="{08CEDD5D-5ABE-4D08-A909-89D4EDA6A278}"/>
    <cellStyle name="Normal 6" xfId="10" xr:uid="{F3D8E7CF-8961-49D1-B3AD-A6F30EA95AD8}"/>
    <cellStyle name="Normal 6 2" xfId="13" xr:uid="{CC20EC0F-BCF2-4A86-B11B-E44E0BA8B3B4}"/>
    <cellStyle name="Normal 7" xfId="11" xr:uid="{1D6EC467-0FB3-4167-9463-004A3DF3EE30}"/>
    <cellStyle name="Normal 7 2" xfId="20" xr:uid="{674F8089-493D-4B65-A30D-A7C81D708465}"/>
    <cellStyle name="Normal 8" xfId="12" xr:uid="{B76573E6-D8F1-4A5F-90FE-05DAEAE33A0A}"/>
    <cellStyle name="Normal 8 2" xfId="21" xr:uid="{CA0CBD89-F428-42EF-877F-0E5CE5841448}"/>
    <cellStyle name="Normal 9" xfId="14" xr:uid="{2C118E21-DCFB-4589-8054-9A6ED05011EB}"/>
    <cellStyle name="Normal_HTS - HOANG MINH chuan" xfId="2" xr:uid="{A2C03099-006F-4C13-A48D-86368B966E7F}"/>
    <cellStyle name="표준_KPI 2" xfId="3" xr:uid="{0FCE2BCC-416F-43F0-9650-03FF4D17684F}"/>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editAs="oneCell">
    <xdr:from>
      <xdr:col>58</xdr:col>
      <xdr:colOff>526073</xdr:colOff>
      <xdr:row>556</xdr:row>
      <xdr:rowOff>73270</xdr:rowOff>
    </xdr:from>
    <xdr:to>
      <xdr:col>58</xdr:col>
      <xdr:colOff>830873</xdr:colOff>
      <xdr:row>687</xdr:row>
      <xdr:rowOff>117230</xdr:rowOff>
    </xdr:to>
    <xdr:sp macro="" textlink="">
      <xdr:nvSpPr>
        <xdr:cNvPr id="2" name="AutoShape 347">
          <a:extLst>
            <a:ext uri="{FF2B5EF4-FFF2-40B4-BE49-F238E27FC236}">
              <a16:creationId xmlns:a16="http://schemas.microsoft.com/office/drawing/2014/main" id="{1BAAB592-7407-418D-A3CD-114CE46A39AC}"/>
            </a:ext>
          </a:extLst>
        </xdr:cNvPr>
        <xdr:cNvSpPr>
          <a:spLocks noChangeAspect="1" noChangeArrowheads="1"/>
        </xdr:cNvSpPr>
      </xdr:nvSpPr>
      <xdr:spPr bwMode="auto">
        <a:xfrm>
          <a:off x="63207900" y="105243924"/>
          <a:ext cx="304800" cy="30868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58</xdr:col>
      <xdr:colOff>526073</xdr:colOff>
      <xdr:row>536</xdr:row>
      <xdr:rowOff>73270</xdr:rowOff>
    </xdr:from>
    <xdr:to>
      <xdr:col>58</xdr:col>
      <xdr:colOff>830873</xdr:colOff>
      <xdr:row>538</xdr:row>
      <xdr:rowOff>4096</xdr:rowOff>
    </xdr:to>
    <xdr:sp macro="" textlink="">
      <xdr:nvSpPr>
        <xdr:cNvPr id="2" name="AutoShape 347">
          <a:extLst>
            <a:ext uri="{FF2B5EF4-FFF2-40B4-BE49-F238E27FC236}">
              <a16:creationId xmlns:a16="http://schemas.microsoft.com/office/drawing/2014/main" id="{1FA07321-872C-4765-B576-A9913E87478F}"/>
            </a:ext>
          </a:extLst>
        </xdr:cNvPr>
        <xdr:cNvSpPr>
          <a:spLocks noChangeAspect="1" noChangeArrowheads="1"/>
        </xdr:cNvSpPr>
      </xdr:nvSpPr>
      <xdr:spPr bwMode="auto">
        <a:xfrm>
          <a:off x="63914948" y="3486150"/>
          <a:ext cx="304800" cy="3077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persons/person.xml><?xml version="1.0" encoding="utf-8"?>
<personList xmlns="http://schemas.microsoft.com/office/spreadsheetml/2018/threadedcomments" xmlns:x="http://schemas.openxmlformats.org/spreadsheetml/2006/main">
  <person displayName="phuong hoang" id="{A04F5BCE-5855-44BD-A145-75C2E6F2E100}" userId="1679bd108db114ab"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0" dT="2019-01-24T12:16:22.82" personId="{A04F5BCE-5855-44BD-A145-75C2E6F2E100}" id="{F4839EDB-4467-4CD5-8854-3DCCAF54E1C8}">
    <text>75 tr là chi phí lập báo cáo tác động môi trg</text>
  </threadedComment>
</ThreadedComments>
</file>

<file path=xl/threadedComments/threadedComment2.xml><?xml version="1.0" encoding="utf-8"?>
<ThreadedComments xmlns="http://schemas.microsoft.com/office/spreadsheetml/2018/threadedcomments" xmlns:x="http://schemas.openxmlformats.org/spreadsheetml/2006/main">
  <threadedComment ref="Q9" dT="2019-01-24T12:16:22.82" personId="{A04F5BCE-5855-44BD-A145-75C2E6F2E100}" id="{5BF3993B-3D8A-4876-8799-5CC4B1800DC2}">
    <text>75 tr là chi phí lập báo cáo tác động môi trg</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4F7C5-6523-45FA-B306-33D5E6625836}">
  <sheetPr filterMode="1">
    <tabColor theme="9" tint="0.59999389629810485"/>
    <pageSetUpPr fitToPage="1"/>
  </sheetPr>
  <dimension ref="A1:BQ762"/>
  <sheetViews>
    <sheetView zoomScale="80" zoomScaleNormal="80" workbookViewId="0">
      <pane xSplit="9" ySplit="8" topLeftCell="BL9" activePane="bottomRight" state="frozen"/>
      <selection activeCell="C1" sqref="C1"/>
      <selection pane="topRight" activeCell="J1" sqref="J1"/>
      <selection pane="bottomLeft" activeCell="C9" sqref="C9"/>
      <selection pane="bottomRight" activeCell="BQ9" sqref="BQ9"/>
    </sheetView>
  </sheetViews>
  <sheetFormatPr defaultColWidth="9" defaultRowHeight="15" customHeight="1" outlineLevelCol="1"/>
  <cols>
    <col min="1" max="1" width="7.6640625" style="1" hidden="1" customWidth="1"/>
    <col min="2" max="2" width="2.6640625" style="1" hidden="1" customWidth="1"/>
    <col min="3" max="3" width="8.109375" style="1" bestFit="1" customWidth="1"/>
    <col min="4" max="4" width="7.6640625" style="1" bestFit="1" customWidth="1"/>
    <col min="5" max="5" width="8.33203125" style="1" customWidth="1"/>
    <col min="6" max="6" width="8.6640625" style="1" customWidth="1"/>
    <col min="7" max="7" width="8.109375" style="1" customWidth="1"/>
    <col min="8" max="8" width="14" style="1" customWidth="1"/>
    <col min="9" max="9" width="53.109375" style="1" customWidth="1"/>
    <col min="10" max="10" width="7" style="83" customWidth="1" outlineLevel="1"/>
    <col min="11" max="11" width="7.6640625" style="1" customWidth="1" outlineLevel="1"/>
    <col min="12" max="13" width="14.109375" style="1" customWidth="1" outlineLevel="1"/>
    <col min="14" max="14" width="23.109375" style="1" customWidth="1" outlineLevel="1"/>
    <col min="15" max="15" width="14.88671875" style="1" customWidth="1" outlineLevel="1"/>
    <col min="16" max="16" width="14.44140625" style="1" customWidth="1" outlineLevel="1"/>
    <col min="17" max="18" width="18" style="1" customWidth="1" outlineLevel="1"/>
    <col min="19" max="19" width="15.6640625" style="1" customWidth="1" outlineLevel="1"/>
    <col min="20" max="20" width="18.109375" style="1" customWidth="1" outlineLevel="1"/>
    <col min="21" max="21" width="17.33203125" style="1" customWidth="1" outlineLevel="1"/>
    <col min="22" max="22" width="25" style="4" customWidth="1" outlineLevel="1"/>
    <col min="23" max="23" width="15.5546875" style="1" customWidth="1" outlineLevel="1"/>
    <col min="24" max="24" width="19.33203125" style="1" customWidth="1" outlineLevel="1"/>
    <col min="25" max="25" width="17.44140625" style="1" customWidth="1" outlineLevel="1"/>
    <col min="26" max="26" width="6.33203125" style="1" customWidth="1" outlineLevel="1"/>
    <col min="27" max="27" width="13.109375" style="1" customWidth="1" outlineLevel="1"/>
    <col min="28" max="28" width="9.88671875" style="1" customWidth="1" outlineLevel="1"/>
    <col min="29" max="29" width="24.88671875" style="36" customWidth="1"/>
    <col min="30" max="30" width="19.44140625" style="1" customWidth="1"/>
    <col min="31" max="31" width="14.33203125" style="1" customWidth="1"/>
    <col min="32" max="32" width="17.5546875" style="1" customWidth="1"/>
    <col min="33" max="33" width="9.88671875" style="1" customWidth="1"/>
    <col min="34" max="34" width="14.5546875" style="2" customWidth="1"/>
    <col min="35" max="35" width="18.6640625" style="35" customWidth="1"/>
    <col min="36" max="36" width="20.33203125" style="35" customWidth="1"/>
    <col min="37" max="37" width="18.88671875" style="1" customWidth="1" outlineLevel="1"/>
    <col min="38" max="38" width="20.33203125" style="34" customWidth="1" outlineLevel="1"/>
    <col min="39" max="39" width="19" style="1" customWidth="1" outlineLevel="1"/>
    <col min="40" max="40" width="18.109375" style="1" customWidth="1" outlineLevel="1"/>
    <col min="41" max="41" width="18.44140625" style="1" customWidth="1" outlineLevel="1"/>
    <col min="42" max="42" width="22.109375" style="1" customWidth="1" outlineLevel="1"/>
    <col min="43" max="44" width="19.44140625" style="1" customWidth="1" outlineLevel="1"/>
    <col min="45" max="45" width="22.109375" style="1" customWidth="1" outlineLevel="1"/>
    <col min="46" max="46" width="23.5546875" style="1" customWidth="1" outlineLevel="1"/>
    <col min="47" max="47" width="18.109375" style="6" customWidth="1" outlineLevel="1"/>
    <col min="48" max="48" width="20.6640625" style="1" customWidth="1" outlineLevel="1"/>
    <col min="49" max="49" width="20.109375" style="1" customWidth="1"/>
    <col min="50" max="51" width="21.33203125" style="35" customWidth="1"/>
    <col min="52" max="52" width="19.6640625" style="1" customWidth="1"/>
    <col min="53" max="53" width="20.88671875" style="1" customWidth="1"/>
    <col min="54" max="54" width="17.6640625" style="1" customWidth="1"/>
    <col min="55" max="55" width="13.109375" style="1" customWidth="1"/>
    <col min="56" max="56" width="6.109375" style="1" customWidth="1"/>
    <col min="57" max="57" width="17.44140625" style="1" bestFit="1" customWidth="1"/>
    <col min="58" max="58" width="15.88671875" style="1" bestFit="1" customWidth="1"/>
    <col min="59" max="59" width="14.88671875" style="1" bestFit="1" customWidth="1"/>
    <col min="60" max="60" width="25.109375" style="1" customWidth="1"/>
    <col min="61" max="61" width="21.5546875" style="1" customWidth="1"/>
    <col min="62" max="62" width="13.88671875" style="1" customWidth="1"/>
    <col min="63" max="63" width="16.33203125" style="1" customWidth="1"/>
    <col min="64" max="64" width="20" style="1" customWidth="1"/>
    <col min="65" max="65" width="10.109375" style="1" customWidth="1"/>
    <col min="66" max="66" width="10" style="1" customWidth="1"/>
    <col min="67" max="67" width="19.44140625" style="35" customWidth="1"/>
    <col min="68" max="68" width="9" style="1"/>
    <col min="69" max="69" width="21.33203125" style="1" customWidth="1"/>
    <col min="70" max="16384" width="9" style="1"/>
  </cols>
  <sheetData>
    <row r="1" spans="1:69" ht="13.8">
      <c r="V1" s="1"/>
      <c r="AL1" s="1"/>
      <c r="AR1" s="50">
        <f>AQ6+AR591</f>
        <v>0</v>
      </c>
      <c r="AX1" s="94"/>
      <c r="AY1" s="94"/>
    </row>
    <row r="2" spans="1:69" ht="13.8">
      <c r="Q2" s="3"/>
      <c r="V2" s="1"/>
      <c r="AL2" s="1"/>
      <c r="AX2" s="94"/>
      <c r="AY2" s="94"/>
      <c r="AZ2" s="50"/>
      <c r="BA2" s="50"/>
    </row>
    <row r="3" spans="1:69" ht="13.8">
      <c r="F3" s="4" t="s">
        <v>1889</v>
      </c>
      <c r="O3" s="5"/>
      <c r="R3" s="6"/>
      <c r="V3" s="6">
        <f>+V5-V4</f>
        <v>0</v>
      </c>
      <c r="AK3" s="1" t="str">
        <f>+RIGHT(YEAR(AK7),2)&amp;IF(LEN(MONTH(AK7))=2,MONTH(AK7),"0"&amp;MONTH(AK7))</f>
        <v>2401</v>
      </c>
      <c r="AL3" s="1" t="str">
        <f t="shared" ref="AL3:AV3" si="0">+RIGHT(YEAR(AL7),2)&amp;IF(LEN(MONTH(AL7))=2,MONTH(AL7),"0"&amp;MONTH(AL7))</f>
        <v>2402</v>
      </c>
      <c r="AM3" s="1" t="str">
        <f t="shared" si="0"/>
        <v>2403</v>
      </c>
      <c r="AN3" s="1" t="str">
        <f t="shared" si="0"/>
        <v>2404</v>
      </c>
      <c r="AO3" s="1" t="str">
        <f t="shared" si="0"/>
        <v>2405</v>
      </c>
      <c r="AP3" s="1" t="str">
        <f t="shared" si="0"/>
        <v>2406</v>
      </c>
      <c r="AQ3" s="1" t="str">
        <f t="shared" si="0"/>
        <v>2407</v>
      </c>
      <c r="AR3" s="1" t="str">
        <f t="shared" si="0"/>
        <v>2408</v>
      </c>
      <c r="AS3" s="1" t="str">
        <f t="shared" si="0"/>
        <v>2409</v>
      </c>
      <c r="AT3" s="1" t="str">
        <f t="shared" si="0"/>
        <v>2410</v>
      </c>
      <c r="AU3" s="1" t="str">
        <f t="shared" si="0"/>
        <v>2411</v>
      </c>
      <c r="AV3" s="1" t="str">
        <f t="shared" si="0"/>
        <v>2412</v>
      </c>
      <c r="AW3" s="7"/>
      <c r="AX3" s="95"/>
      <c r="AY3" s="95"/>
      <c r="AZ3" s="9"/>
      <c r="BA3" s="14"/>
      <c r="BE3" s="14"/>
      <c r="BH3" s="5"/>
      <c r="BI3" s="5"/>
      <c r="BJ3" s="5"/>
    </row>
    <row r="4" spans="1:69" ht="13.8">
      <c r="E4" s="10"/>
      <c r="F4" s="11" t="s">
        <v>0</v>
      </c>
      <c r="G4" s="4"/>
      <c r="T4" s="2"/>
      <c r="U4" s="6"/>
      <c r="V4" s="6"/>
      <c r="W4" s="6"/>
      <c r="X4" s="6"/>
      <c r="Y4" s="6"/>
      <c r="Z4" s="12"/>
      <c r="AA4" s="12"/>
      <c r="AC4" s="37">
        <f>+AC5-AC6</f>
        <v>654496797147</v>
      </c>
      <c r="AI4" s="87"/>
      <c r="AJ4" s="87"/>
      <c r="AK4" s="6">
        <f t="shared" ref="AK4:AV4" si="1">+AK6-AK5</f>
        <v>-5269143007.6750002</v>
      </c>
      <c r="AL4" s="6">
        <f t="shared" si="1"/>
        <v>-5447326899.6750002</v>
      </c>
      <c r="AM4" s="6">
        <f t="shared" si="1"/>
        <v>0</v>
      </c>
      <c r="AN4" s="6">
        <f t="shared" si="1"/>
        <v>0</v>
      </c>
      <c r="AO4" s="6">
        <f t="shared" si="1"/>
        <v>0</v>
      </c>
      <c r="AP4" s="6">
        <f t="shared" si="1"/>
        <v>0</v>
      </c>
      <c r="AQ4" s="6">
        <f t="shared" si="1"/>
        <v>0</v>
      </c>
      <c r="AR4" s="6">
        <f t="shared" si="1"/>
        <v>0</v>
      </c>
      <c r="AS4" s="6">
        <f t="shared" si="1"/>
        <v>0</v>
      </c>
      <c r="AT4" s="6">
        <f t="shared" si="1"/>
        <v>0</v>
      </c>
      <c r="AU4" s="6">
        <f t="shared" si="1"/>
        <v>0</v>
      </c>
      <c r="AV4" s="6">
        <f t="shared" si="1"/>
        <v>0</v>
      </c>
      <c r="AW4" s="6">
        <f>+AW5-AW6</f>
        <v>5242077125.3500004</v>
      </c>
      <c r="AX4" s="96"/>
      <c r="AY4" s="96">
        <f>+AY5-AY6</f>
        <v>189128124428.10001</v>
      </c>
      <c r="AZ4" s="3"/>
      <c r="BA4" s="13"/>
      <c r="BB4" s="50"/>
      <c r="BC4" s="6"/>
      <c r="BD4" s="3"/>
      <c r="BE4" s="3">
        <f>+BE5-BE6</f>
        <v>5203312444.6750002</v>
      </c>
      <c r="BF4" s="3">
        <f>+BF5-BF6</f>
        <v>244014455</v>
      </c>
      <c r="BG4" s="3">
        <f>+BG5-BG6</f>
        <v>0</v>
      </c>
      <c r="BH4" s="20"/>
      <c r="BI4" s="20"/>
      <c r="BJ4" s="20"/>
    </row>
    <row r="5" spans="1:69" ht="13.8">
      <c r="F5" s="11"/>
      <c r="G5" s="4"/>
      <c r="O5" s="51"/>
      <c r="P5" s="53"/>
      <c r="Q5" s="6"/>
      <c r="T5" s="2"/>
      <c r="U5" s="6"/>
      <c r="V5" s="6"/>
      <c r="W5" s="6"/>
      <c r="Y5" s="6"/>
      <c r="Z5" s="3"/>
      <c r="AA5" s="2"/>
      <c r="AB5" s="14"/>
      <c r="AC5" s="6">
        <v>657744703026</v>
      </c>
      <c r="AD5" s="6"/>
      <c r="AE5" s="6"/>
      <c r="AG5" s="6"/>
      <c r="AI5" s="87"/>
      <c r="AJ5" s="88"/>
      <c r="AK5" s="54">
        <v>5296208890</v>
      </c>
      <c r="AL5" s="15">
        <v>5474392782</v>
      </c>
      <c r="AM5" s="54"/>
      <c r="AN5" s="54"/>
      <c r="AO5" s="9"/>
      <c r="AP5" s="8"/>
      <c r="AQ5" s="8"/>
      <c r="AR5" s="8"/>
      <c r="AS5" s="40"/>
      <c r="AT5" s="40"/>
      <c r="AU5" s="45"/>
      <c r="AV5" s="3"/>
      <c r="AW5" s="8">
        <v>5296208890</v>
      </c>
      <c r="AX5" s="95"/>
      <c r="AY5" s="95">
        <v>190779143234</v>
      </c>
      <c r="AZ5" s="9"/>
      <c r="BB5" s="14"/>
      <c r="BC5" s="40"/>
      <c r="BD5" s="3"/>
      <c r="BE5" s="2">
        <v>5230378327</v>
      </c>
      <c r="BF5" s="82">
        <v>244014455</v>
      </c>
      <c r="BG5" s="2"/>
    </row>
    <row r="6" spans="1:69" ht="13.8">
      <c r="F6" s="11"/>
      <c r="N6" s="3"/>
      <c r="O6" s="52"/>
      <c r="T6" s="6"/>
      <c r="U6" s="6">
        <f>+U4-U5</f>
        <v>0</v>
      </c>
      <c r="V6" s="16">
        <f>SUBTOTAL(9,V10:V4251)</f>
        <v>3247905879</v>
      </c>
      <c r="W6" s="16">
        <f>SUBTOTAL(9,W10:W4251)</f>
        <v>0</v>
      </c>
      <c r="X6" s="16">
        <f>SUBTOTAL(9,X10:X4251)</f>
        <v>3247905879</v>
      </c>
      <c r="Y6" s="16">
        <f>SUBTOTAL(9,Y10:Y4251)</f>
        <v>0</v>
      </c>
      <c r="Z6" s="6"/>
      <c r="AA6" s="6"/>
      <c r="AC6" s="38">
        <f>SUBTOTAL(9,AC10:AC4251)</f>
        <v>3247905879</v>
      </c>
      <c r="AD6" s="6"/>
      <c r="AE6" s="6"/>
      <c r="AI6" s="89">
        <f t="shared" ref="AI6:AY6" si="2">SUBTOTAL(9,AI9:AI4251)</f>
        <v>1596887041.25</v>
      </c>
      <c r="AJ6" s="89">
        <f t="shared" si="2"/>
        <v>1651018837.75</v>
      </c>
      <c r="AK6" s="16">
        <f t="shared" si="2"/>
        <v>27065882.324999999</v>
      </c>
      <c r="AL6" s="17">
        <f t="shared" si="2"/>
        <v>27065882.324999999</v>
      </c>
      <c r="AM6" s="16">
        <f t="shared" si="2"/>
        <v>0</v>
      </c>
      <c r="AN6" s="16">
        <f t="shared" si="2"/>
        <v>0</v>
      </c>
      <c r="AO6" s="16">
        <f t="shared" si="2"/>
        <v>0</v>
      </c>
      <c r="AP6" s="16">
        <f t="shared" si="2"/>
        <v>0</v>
      </c>
      <c r="AQ6" s="16">
        <f t="shared" si="2"/>
        <v>0</v>
      </c>
      <c r="AR6" s="16">
        <f t="shared" si="2"/>
        <v>0</v>
      </c>
      <c r="AS6" s="16">
        <f t="shared" si="2"/>
        <v>0</v>
      </c>
      <c r="AT6" s="16">
        <f t="shared" si="2"/>
        <v>0</v>
      </c>
      <c r="AU6" s="16">
        <f t="shared" si="2"/>
        <v>0</v>
      </c>
      <c r="AV6" s="16">
        <f t="shared" si="2"/>
        <v>0</v>
      </c>
      <c r="AW6" s="16">
        <f t="shared" si="2"/>
        <v>54131764.649999999</v>
      </c>
      <c r="AX6" s="89">
        <f t="shared" si="2"/>
        <v>1596887073.0999999</v>
      </c>
      <c r="AY6" s="89">
        <f t="shared" si="2"/>
        <v>1651018805.9000001</v>
      </c>
      <c r="AZ6" s="16"/>
      <c r="BE6" s="44">
        <f>SUBTOTAL(9,BE9:BE4251)</f>
        <v>27065882.324999999</v>
      </c>
      <c r="BF6" s="44">
        <f>SUBTOTAL(9,BF9:BF4251)</f>
        <v>0</v>
      </c>
      <c r="BG6" s="44">
        <f>SUBTOTAL(9,BG9:BG4251)</f>
        <v>0</v>
      </c>
      <c r="BJ6" s="1" t="s">
        <v>4</v>
      </c>
      <c r="BK6" s="1" t="s">
        <v>5</v>
      </c>
    </row>
    <row r="7" spans="1:69" ht="65.25" customHeight="1">
      <c r="A7" s="1" t="s">
        <v>6</v>
      </c>
      <c r="C7" s="1" t="s">
        <v>1671</v>
      </c>
      <c r="D7" s="1" t="s">
        <v>1672</v>
      </c>
      <c r="E7" s="56" t="s">
        <v>7</v>
      </c>
      <c r="F7" s="57" t="s">
        <v>8</v>
      </c>
      <c r="G7" s="57" t="s">
        <v>9</v>
      </c>
      <c r="H7" s="57" t="s">
        <v>10</v>
      </c>
      <c r="I7" s="57" t="s">
        <v>11</v>
      </c>
      <c r="J7" s="84" t="s">
        <v>12</v>
      </c>
      <c r="K7" s="57" t="s">
        <v>13</v>
      </c>
      <c r="L7" s="57" t="s">
        <v>14</v>
      </c>
      <c r="M7" s="57" t="s">
        <v>15</v>
      </c>
      <c r="N7" s="57" t="s">
        <v>16</v>
      </c>
      <c r="O7" s="57" t="s">
        <v>17</v>
      </c>
      <c r="P7" s="57" t="s">
        <v>18</v>
      </c>
      <c r="Q7" s="57" t="s">
        <v>19</v>
      </c>
      <c r="R7" s="57" t="s">
        <v>20</v>
      </c>
      <c r="S7" s="57" t="s">
        <v>21</v>
      </c>
      <c r="T7" s="57" t="s">
        <v>22</v>
      </c>
      <c r="U7" s="57" t="s">
        <v>23</v>
      </c>
      <c r="V7" s="57" t="s">
        <v>24</v>
      </c>
      <c r="W7" s="57" t="s">
        <v>25</v>
      </c>
      <c r="X7" s="57" t="s">
        <v>26</v>
      </c>
      <c r="Y7" s="57" t="s">
        <v>27</v>
      </c>
      <c r="Z7" s="57" t="s">
        <v>28</v>
      </c>
      <c r="AA7" s="57" t="s">
        <v>29</v>
      </c>
      <c r="AB7" s="57" t="s">
        <v>30</v>
      </c>
      <c r="AC7" s="57" t="s">
        <v>1679</v>
      </c>
      <c r="AD7" s="57" t="s">
        <v>31</v>
      </c>
      <c r="AE7" s="57" t="s">
        <v>32</v>
      </c>
      <c r="AF7" s="57" t="s">
        <v>33</v>
      </c>
      <c r="AG7" s="57" t="s">
        <v>34</v>
      </c>
      <c r="AH7" s="58" t="s">
        <v>35</v>
      </c>
      <c r="AI7" s="90" t="s">
        <v>1890</v>
      </c>
      <c r="AJ7" s="90" t="s">
        <v>1891</v>
      </c>
      <c r="AK7" s="93">
        <v>45322</v>
      </c>
      <c r="AL7" s="93">
        <v>45350</v>
      </c>
      <c r="AM7" s="93">
        <v>45382</v>
      </c>
      <c r="AN7" s="93">
        <v>45412</v>
      </c>
      <c r="AO7" s="93">
        <v>45443</v>
      </c>
      <c r="AP7" s="93">
        <v>45473</v>
      </c>
      <c r="AQ7" s="93">
        <v>45504</v>
      </c>
      <c r="AR7" s="93">
        <v>45535</v>
      </c>
      <c r="AS7" s="93">
        <v>45565</v>
      </c>
      <c r="AT7" s="93">
        <v>45596</v>
      </c>
      <c r="AU7" s="93">
        <v>45626</v>
      </c>
      <c r="AV7" s="93">
        <v>45657</v>
      </c>
      <c r="AW7" s="59" t="s">
        <v>1892</v>
      </c>
      <c r="AX7" s="93" t="s">
        <v>1893</v>
      </c>
      <c r="AY7" s="90" t="s">
        <v>36</v>
      </c>
      <c r="AZ7" s="59" t="s">
        <v>1894</v>
      </c>
      <c r="BA7" s="57" t="s">
        <v>37</v>
      </c>
      <c r="BB7" s="276" t="s">
        <v>38</v>
      </c>
      <c r="BC7" s="277"/>
      <c r="BD7" s="278"/>
      <c r="BE7" s="276" t="s">
        <v>38</v>
      </c>
      <c r="BF7" s="277"/>
      <c r="BG7" s="278"/>
      <c r="BH7" s="60"/>
      <c r="BI7" s="57" t="s">
        <v>39</v>
      </c>
      <c r="BJ7" s="57" t="s">
        <v>40</v>
      </c>
      <c r="BK7" s="57" t="s">
        <v>41</v>
      </c>
      <c r="BL7" s="18" t="s">
        <v>42</v>
      </c>
      <c r="BO7" s="35" t="s">
        <v>1798</v>
      </c>
      <c r="BP7" s="61" t="s">
        <v>1844</v>
      </c>
    </row>
    <row r="8" spans="1:69" ht="13.8">
      <c r="A8" s="1" t="s">
        <v>43</v>
      </c>
      <c r="E8" s="19"/>
      <c r="F8" s="20"/>
      <c r="G8" s="20"/>
      <c r="H8" s="20"/>
      <c r="I8" s="20"/>
      <c r="J8" s="85"/>
      <c r="K8" s="20"/>
      <c r="L8" s="20"/>
      <c r="M8" s="20"/>
      <c r="N8" s="20"/>
      <c r="O8" s="20"/>
      <c r="P8" s="20"/>
      <c r="Q8" s="20" t="s">
        <v>44</v>
      </c>
      <c r="R8" s="20" t="s">
        <v>45</v>
      </c>
      <c r="S8" s="20" t="s">
        <v>45</v>
      </c>
      <c r="T8" s="20" t="s">
        <v>45</v>
      </c>
      <c r="U8" s="20" t="s">
        <v>45</v>
      </c>
      <c r="V8" s="20" t="s">
        <v>46</v>
      </c>
      <c r="W8" s="20"/>
      <c r="X8" s="21" t="s">
        <v>46</v>
      </c>
      <c r="Y8" s="20"/>
      <c r="Z8" s="20"/>
      <c r="AA8" s="20"/>
      <c r="AB8" s="20"/>
      <c r="AC8" s="39"/>
      <c r="AD8" s="20"/>
      <c r="AE8" s="20">
        <v>0</v>
      </c>
      <c r="AF8" s="20"/>
      <c r="AG8" s="20">
        <v>0</v>
      </c>
      <c r="AH8" s="22"/>
      <c r="AI8" s="91"/>
      <c r="AJ8" s="91"/>
      <c r="AK8" s="20">
        <v>31</v>
      </c>
      <c r="AL8" s="20">
        <v>28</v>
      </c>
      <c r="AM8" s="20">
        <v>31</v>
      </c>
      <c r="AN8" s="20">
        <v>30</v>
      </c>
      <c r="AO8" s="20">
        <v>31</v>
      </c>
      <c r="AP8" s="20">
        <v>30</v>
      </c>
      <c r="AQ8" s="20">
        <v>31</v>
      </c>
      <c r="AR8" s="20">
        <v>31</v>
      </c>
      <c r="AS8" s="20">
        <v>31</v>
      </c>
      <c r="AT8" s="20">
        <v>31</v>
      </c>
      <c r="AU8" s="46">
        <v>30</v>
      </c>
      <c r="AV8" s="20">
        <v>31</v>
      </c>
      <c r="AW8" s="20"/>
      <c r="AX8" s="91">
        <v>0</v>
      </c>
      <c r="AY8" s="91"/>
      <c r="AZ8" s="20"/>
      <c r="BA8" s="20"/>
      <c r="BB8" s="20" t="s">
        <v>1</v>
      </c>
      <c r="BC8" s="20" t="s">
        <v>2</v>
      </c>
      <c r="BD8" s="20" t="s">
        <v>3</v>
      </c>
      <c r="BE8" s="20" t="s">
        <v>1</v>
      </c>
      <c r="BF8" s="20" t="s">
        <v>2</v>
      </c>
      <c r="BG8" s="20" t="s">
        <v>3</v>
      </c>
      <c r="BH8" s="20" t="s">
        <v>47</v>
      </c>
      <c r="BI8" s="20"/>
      <c r="BJ8" s="20"/>
      <c r="BK8" s="20"/>
      <c r="BL8" s="23"/>
      <c r="BM8" s="4" t="s">
        <v>1438</v>
      </c>
      <c r="BN8" s="1" t="s">
        <v>1670</v>
      </c>
    </row>
    <row r="9" spans="1:69" ht="15" hidden="1" customHeight="1">
      <c r="A9" s="1" t="s">
        <v>43</v>
      </c>
      <c r="E9" s="19" t="s">
        <v>48</v>
      </c>
      <c r="F9" s="62" t="s">
        <v>49</v>
      </c>
      <c r="G9" s="62">
        <v>2111</v>
      </c>
      <c r="H9" s="62" t="s">
        <v>50</v>
      </c>
      <c r="I9" s="62" t="s">
        <v>51</v>
      </c>
      <c r="J9" s="118">
        <v>1</v>
      </c>
      <c r="K9" s="119"/>
      <c r="L9" s="62" t="s">
        <v>52</v>
      </c>
      <c r="M9" s="120" t="s">
        <v>53</v>
      </c>
      <c r="N9" s="63" t="s">
        <v>54</v>
      </c>
      <c r="O9" s="24"/>
      <c r="P9" s="24"/>
      <c r="Q9" s="64">
        <v>1282605818</v>
      </c>
      <c r="R9" s="64"/>
      <c r="S9" s="64"/>
      <c r="T9" s="64"/>
      <c r="U9" s="64"/>
      <c r="V9" s="121">
        <v>1282605818</v>
      </c>
      <c r="W9" s="122">
        <v>86575893</v>
      </c>
      <c r="X9" s="64">
        <v>1196029925</v>
      </c>
      <c r="Y9" s="121">
        <v>-1282605818</v>
      </c>
      <c r="Z9" s="121">
        <v>1</v>
      </c>
      <c r="AA9" s="123">
        <v>44439</v>
      </c>
      <c r="AB9" s="121" t="s">
        <v>55</v>
      </c>
      <c r="AC9" s="121"/>
      <c r="AD9" s="65">
        <v>43466</v>
      </c>
      <c r="AE9" s="65">
        <v>51986</v>
      </c>
      <c r="AF9" s="124">
        <v>23.333333333333332</v>
      </c>
      <c r="AG9" s="119">
        <v>280</v>
      </c>
      <c r="AH9" s="25"/>
      <c r="AI9" s="78">
        <v>0</v>
      </c>
      <c r="AJ9" s="78">
        <v>0</v>
      </c>
      <c r="AK9" s="27"/>
      <c r="AL9" s="26"/>
      <c r="AM9" s="27"/>
      <c r="AN9" s="27"/>
      <c r="AO9" s="27"/>
      <c r="AP9" s="27"/>
      <c r="AQ9" s="27"/>
      <c r="AR9" s="27"/>
      <c r="AS9" s="27"/>
      <c r="AT9" s="27"/>
      <c r="AU9" s="27"/>
      <c r="AV9" s="27"/>
      <c r="AW9" s="27">
        <f>+SUM(AK9:AV9)</f>
        <v>0</v>
      </c>
      <c r="AX9" s="79">
        <f>AC9-AI9-AW9</f>
        <v>0</v>
      </c>
      <c r="AY9" s="79">
        <f>AW9+AI9</f>
        <v>0</v>
      </c>
      <c r="AZ9" s="25">
        <v>0</v>
      </c>
      <c r="BA9" s="62" t="s">
        <v>56</v>
      </c>
      <c r="BB9" s="66"/>
      <c r="BC9" s="66">
        <v>1</v>
      </c>
      <c r="BD9" s="66"/>
      <c r="BE9" s="67"/>
      <c r="BF9" s="67"/>
      <c r="BG9" s="67"/>
      <c r="BH9" s="66"/>
      <c r="BI9" s="68" t="s">
        <v>57</v>
      </c>
      <c r="BJ9" s="68" t="s">
        <v>58</v>
      </c>
      <c r="BK9" s="68" t="s">
        <v>59</v>
      </c>
      <c r="BL9" s="28">
        <v>1059340805</v>
      </c>
      <c r="BM9" s="1" t="s">
        <v>1661</v>
      </c>
      <c r="BQ9" s="1" t="e">
        <v>#N/A</v>
      </c>
    </row>
    <row r="10" spans="1:69" ht="15" hidden="1" customHeight="1">
      <c r="A10" s="1" t="s">
        <v>43</v>
      </c>
      <c r="C10" s="1" t="str">
        <f>+RIGHT(YEAR(AE10),2)&amp;IF(LEN(MONTH(AE10))=2,MONTH(AE10),"0"&amp;MONTH(AE10))</f>
        <v>4308</v>
      </c>
      <c r="D10" s="1" t="str">
        <f>+RIGHT(YEAR(AD10),2)&amp;IF(LEN(MONTH(AD10))=2,MONTH(AD10),"0"&amp;MONTH(AD10))</f>
        <v>1809</v>
      </c>
      <c r="E10" s="19" t="s">
        <v>48</v>
      </c>
      <c r="F10" s="62" t="s">
        <v>49</v>
      </c>
      <c r="G10" s="62">
        <v>2111</v>
      </c>
      <c r="H10" s="62" t="s">
        <v>60</v>
      </c>
      <c r="I10" s="62" t="s">
        <v>61</v>
      </c>
      <c r="J10" s="118">
        <v>1</v>
      </c>
      <c r="K10" s="119"/>
      <c r="L10" s="62" t="s">
        <v>62</v>
      </c>
      <c r="M10" s="120" t="s">
        <v>63</v>
      </c>
      <c r="N10" s="63" t="s">
        <v>54</v>
      </c>
      <c r="O10" s="24"/>
      <c r="P10" s="24"/>
      <c r="Q10" s="64">
        <v>28260000000</v>
      </c>
      <c r="R10" s="64"/>
      <c r="S10" s="64"/>
      <c r="T10" s="64"/>
      <c r="U10" s="64"/>
      <c r="V10" s="121">
        <v>28260000000</v>
      </c>
      <c r="W10" s="122">
        <v>0</v>
      </c>
      <c r="X10" s="64">
        <v>28260000000</v>
      </c>
      <c r="Y10" s="121"/>
      <c r="Z10" s="121"/>
      <c r="AA10" s="121"/>
      <c r="AB10" s="121"/>
      <c r="AC10" s="64">
        <v>28260000000</v>
      </c>
      <c r="AD10" s="65">
        <v>43344</v>
      </c>
      <c r="AE10" s="65">
        <v>52474</v>
      </c>
      <c r="AF10" s="62">
        <v>25</v>
      </c>
      <c r="AG10" s="119">
        <v>300</v>
      </c>
      <c r="AH10" s="25">
        <v>94200000</v>
      </c>
      <c r="AI10" s="78">
        <v>6028800000</v>
      </c>
      <c r="AJ10" s="78">
        <v>22231200000</v>
      </c>
      <c r="AK10" s="27">
        <f>+IF(AND(AK$3&gt;=$D10,AK$3&lt;$C10),$AH10,$AJ10)</f>
        <v>94200000</v>
      </c>
      <c r="AL10" s="27">
        <f>+IF(AND(AL$3&gt;=$D10,AL$3&lt;$C10),$AH10,$AJ10-SUM(AJ10:AK10))</f>
        <v>94200000</v>
      </c>
      <c r="AM10" s="27"/>
      <c r="AN10" s="27"/>
      <c r="AO10" s="27"/>
      <c r="AP10" s="27"/>
      <c r="AQ10" s="27"/>
      <c r="AR10" s="27"/>
      <c r="AS10" s="27"/>
      <c r="AT10" s="27"/>
      <c r="AU10" s="27"/>
      <c r="AV10" s="27"/>
      <c r="AW10" s="27">
        <f>+SUM(AK10:AV10)</f>
        <v>188400000</v>
      </c>
      <c r="AX10" s="79">
        <f>AC10-AI10-AW10</f>
        <v>22042800000</v>
      </c>
      <c r="AY10" s="79">
        <f>AW10+AI10</f>
        <v>6217200000</v>
      </c>
      <c r="AZ10" s="25">
        <v>1</v>
      </c>
      <c r="BA10" s="62" t="s">
        <v>56</v>
      </c>
      <c r="BB10" s="66">
        <v>0.5</v>
      </c>
      <c r="BC10" s="66">
        <v>0.5</v>
      </c>
      <c r="BD10" s="66"/>
      <c r="BE10" s="67">
        <f>+$AL10*BB10</f>
        <v>47100000</v>
      </c>
      <c r="BF10" s="67">
        <f>+$AL10*BC10</f>
        <v>47100000</v>
      </c>
      <c r="BG10" s="67">
        <f t="shared" ref="BG10:BG73" si="3">+$AL10*BD10</f>
        <v>0</v>
      </c>
      <c r="BH10" s="66"/>
      <c r="BI10" s="68" t="s">
        <v>57</v>
      </c>
      <c r="BJ10" s="68" t="s">
        <v>58</v>
      </c>
      <c r="BK10" s="68" t="s">
        <v>59</v>
      </c>
      <c r="BL10" s="29"/>
      <c r="BO10" s="35" t="s">
        <v>1799</v>
      </c>
      <c r="BQ10" s="1" t="e">
        <v>#N/A</v>
      </c>
    </row>
    <row r="11" spans="1:69" ht="15" hidden="1" customHeight="1">
      <c r="A11" s="1" t="s">
        <v>43</v>
      </c>
      <c r="C11" s="1" t="str">
        <f t="shared" ref="C11:C74" si="4">+RIGHT(YEAR(AE11),2)&amp;IF(LEN(MONTH(AE11))=2,MONTH(AE11),"0"&amp;MONTH(AE11))</f>
        <v>4312</v>
      </c>
      <c r="D11" s="1" t="str">
        <f t="shared" ref="D11:D74" si="5">+RIGHT(YEAR(AD11),2)&amp;IF(LEN(MONTH(AD11))=2,MONTH(AD11),"0"&amp;MONTH(AD11))</f>
        <v>1901</v>
      </c>
      <c r="E11" s="19" t="s">
        <v>48</v>
      </c>
      <c r="F11" s="62" t="s">
        <v>49</v>
      </c>
      <c r="G11" s="62">
        <v>2111</v>
      </c>
      <c r="H11" s="62" t="s">
        <v>64</v>
      </c>
      <c r="I11" s="62" t="s">
        <v>65</v>
      </c>
      <c r="J11" s="118">
        <v>1</v>
      </c>
      <c r="K11" s="119"/>
      <c r="L11" s="62" t="s">
        <v>62</v>
      </c>
      <c r="M11" s="120" t="s">
        <v>66</v>
      </c>
      <c r="N11" s="63" t="s">
        <v>67</v>
      </c>
      <c r="O11" s="24"/>
      <c r="P11" s="24"/>
      <c r="Q11" s="64">
        <v>800780500</v>
      </c>
      <c r="R11" s="64"/>
      <c r="S11" s="64"/>
      <c r="T11" s="64"/>
      <c r="U11" s="64"/>
      <c r="V11" s="121">
        <v>800780500</v>
      </c>
      <c r="W11" s="122">
        <v>0</v>
      </c>
      <c r="X11" s="64">
        <v>800780500</v>
      </c>
      <c r="Y11" s="121"/>
      <c r="Z11" s="121"/>
      <c r="AA11" s="121"/>
      <c r="AB11" s="121"/>
      <c r="AC11" s="64">
        <v>800780500</v>
      </c>
      <c r="AD11" s="65">
        <v>43466</v>
      </c>
      <c r="AE11" s="65">
        <v>52591</v>
      </c>
      <c r="AF11" s="62">
        <v>25</v>
      </c>
      <c r="AG11" s="119">
        <v>300</v>
      </c>
      <c r="AH11" s="25">
        <v>2669268.3333333335</v>
      </c>
      <c r="AI11" s="78">
        <v>160156083.33333331</v>
      </c>
      <c r="AJ11" s="78">
        <v>640624416.66666663</v>
      </c>
      <c r="AK11" s="27">
        <f t="shared" ref="AK11:AK74" si="6">+IF(AND(AK$3&gt;=$D11,AK$3&lt;$C11),$AH11,$AJ11)</f>
        <v>2669268.3333333335</v>
      </c>
      <c r="AL11" s="27">
        <f t="shared" ref="AL11:AL74" si="7">+IF(AND(AL$3&gt;=$D11,AL$3&lt;$C11),$AH11,$AJ11-SUM(AJ11:AK11))</f>
        <v>2669268.3333333335</v>
      </c>
      <c r="AM11" s="27"/>
      <c r="AN11" s="27"/>
      <c r="AO11" s="27"/>
      <c r="AP11" s="27"/>
      <c r="AQ11" s="27"/>
      <c r="AR11" s="27"/>
      <c r="AS11" s="27"/>
      <c r="AT11" s="27"/>
      <c r="AU11" s="27"/>
      <c r="AV11" s="27"/>
      <c r="AW11" s="27">
        <f t="shared" ref="AW11:AW73" si="8">+SUM(AK11:AV11)</f>
        <v>5338536.666666667</v>
      </c>
      <c r="AX11" s="79">
        <f t="shared" ref="AX11:AX73" si="9">AC11-AI11-AW11</f>
        <v>635285880.00000012</v>
      </c>
      <c r="AY11" s="79">
        <f t="shared" ref="AY11:AY73" si="10">AW11+AI11</f>
        <v>165494619.99999997</v>
      </c>
      <c r="AZ11" s="25">
        <v>1</v>
      </c>
      <c r="BA11" s="62" t="s">
        <v>56</v>
      </c>
      <c r="BB11" s="66">
        <v>0.5</v>
      </c>
      <c r="BC11" s="66">
        <v>0.5</v>
      </c>
      <c r="BD11" s="66"/>
      <c r="BE11" s="67">
        <f t="shared" ref="BE11:BE74" si="11">+$AL11*BB11</f>
        <v>1334634.1666666667</v>
      </c>
      <c r="BF11" s="67">
        <f t="shared" ref="BF11:BF74" si="12">+$AL11*BC11</f>
        <v>1334634.1666666667</v>
      </c>
      <c r="BG11" s="67">
        <f t="shared" si="3"/>
        <v>0</v>
      </c>
      <c r="BH11" s="66"/>
      <c r="BI11" s="68" t="s">
        <v>57</v>
      </c>
      <c r="BJ11" s="68" t="s">
        <v>58</v>
      </c>
      <c r="BK11" s="68" t="s">
        <v>59</v>
      </c>
      <c r="BL11" s="29"/>
      <c r="BO11" s="35" t="s">
        <v>1799</v>
      </c>
      <c r="BQ11" s="1" t="e">
        <v>#N/A</v>
      </c>
    </row>
    <row r="12" spans="1:69" ht="15" hidden="1" customHeight="1">
      <c r="A12" s="1" t="s">
        <v>43</v>
      </c>
      <c r="C12" s="1" t="str">
        <f t="shared" si="4"/>
        <v>4312</v>
      </c>
      <c r="D12" s="1" t="str">
        <f t="shared" si="5"/>
        <v>1901</v>
      </c>
      <c r="E12" s="19" t="s">
        <v>48</v>
      </c>
      <c r="F12" s="62" t="s">
        <v>49</v>
      </c>
      <c r="G12" s="62">
        <v>2111</v>
      </c>
      <c r="H12" s="62" t="s">
        <v>68</v>
      </c>
      <c r="I12" s="62" t="s">
        <v>69</v>
      </c>
      <c r="J12" s="118">
        <v>1</v>
      </c>
      <c r="K12" s="119"/>
      <c r="L12" s="62" t="s">
        <v>70</v>
      </c>
      <c r="M12" s="120" t="s">
        <v>71</v>
      </c>
      <c r="N12" s="63" t="s">
        <v>67</v>
      </c>
      <c r="O12" s="24"/>
      <c r="P12" s="24"/>
      <c r="Q12" s="64">
        <v>1658068280</v>
      </c>
      <c r="R12" s="64"/>
      <c r="S12" s="64"/>
      <c r="T12" s="64"/>
      <c r="U12" s="64"/>
      <c r="V12" s="121">
        <v>1658068280</v>
      </c>
      <c r="W12" s="122">
        <v>0</v>
      </c>
      <c r="X12" s="64">
        <v>1658068280</v>
      </c>
      <c r="Y12" s="121"/>
      <c r="Z12" s="121"/>
      <c r="AA12" s="121"/>
      <c r="AB12" s="121"/>
      <c r="AC12" s="64">
        <v>1658068280</v>
      </c>
      <c r="AD12" s="65">
        <v>43466</v>
      </c>
      <c r="AE12" s="65">
        <v>52591</v>
      </c>
      <c r="AF12" s="62">
        <v>25</v>
      </c>
      <c r="AG12" s="119">
        <v>300</v>
      </c>
      <c r="AH12" s="25">
        <v>5526894.2666666666</v>
      </c>
      <c r="AI12" s="78">
        <v>331613642.66666663</v>
      </c>
      <c r="AJ12" s="78">
        <v>1326454637.3333333</v>
      </c>
      <c r="AK12" s="27">
        <f t="shared" si="6"/>
        <v>5526894.2666666666</v>
      </c>
      <c r="AL12" s="27">
        <f t="shared" si="7"/>
        <v>5526894.2666666666</v>
      </c>
      <c r="AM12" s="27"/>
      <c r="AN12" s="27"/>
      <c r="AO12" s="27"/>
      <c r="AP12" s="27"/>
      <c r="AQ12" s="27"/>
      <c r="AR12" s="27"/>
      <c r="AS12" s="27"/>
      <c r="AT12" s="27"/>
      <c r="AU12" s="27"/>
      <c r="AV12" s="27"/>
      <c r="AW12" s="27">
        <f t="shared" si="8"/>
        <v>11053788.533333333</v>
      </c>
      <c r="AX12" s="79">
        <f t="shared" si="9"/>
        <v>1315400848.8000002</v>
      </c>
      <c r="AY12" s="79">
        <f t="shared" si="10"/>
        <v>342667431.19999999</v>
      </c>
      <c r="AZ12" s="25">
        <v>1</v>
      </c>
      <c r="BA12" s="62" t="s">
        <v>56</v>
      </c>
      <c r="BB12" s="66">
        <v>0.5</v>
      </c>
      <c r="BC12" s="66">
        <v>0.5</v>
      </c>
      <c r="BD12" s="66"/>
      <c r="BE12" s="67">
        <f t="shared" si="11"/>
        <v>2763447.1333333333</v>
      </c>
      <c r="BF12" s="67">
        <f t="shared" si="12"/>
        <v>2763447.1333333333</v>
      </c>
      <c r="BG12" s="67">
        <f t="shared" si="3"/>
        <v>0</v>
      </c>
      <c r="BH12" s="66"/>
      <c r="BI12" s="68" t="s">
        <v>57</v>
      </c>
      <c r="BJ12" s="68" t="s">
        <v>58</v>
      </c>
      <c r="BK12" s="68" t="s">
        <v>59</v>
      </c>
      <c r="BL12" s="29"/>
      <c r="BO12" s="35" t="s">
        <v>1799</v>
      </c>
      <c r="BQ12" s="1" t="e">
        <v>#N/A</v>
      </c>
    </row>
    <row r="13" spans="1:69" ht="15" hidden="1" customHeight="1">
      <c r="A13" s="1" t="s">
        <v>43</v>
      </c>
      <c r="C13" s="1" t="str">
        <f t="shared" si="4"/>
        <v>4312</v>
      </c>
      <c r="D13" s="1" t="str">
        <f t="shared" si="5"/>
        <v>1901</v>
      </c>
      <c r="E13" s="19" t="s">
        <v>48</v>
      </c>
      <c r="F13" s="62" t="s">
        <v>49</v>
      </c>
      <c r="G13" s="62">
        <v>2111</v>
      </c>
      <c r="H13" s="62" t="s">
        <v>72</v>
      </c>
      <c r="I13" s="62" t="s">
        <v>73</v>
      </c>
      <c r="J13" s="118">
        <v>1</v>
      </c>
      <c r="K13" s="119"/>
      <c r="L13" s="62" t="s">
        <v>74</v>
      </c>
      <c r="M13" s="62"/>
      <c r="N13" s="63" t="s">
        <v>67</v>
      </c>
      <c r="O13" s="24">
        <v>32000</v>
      </c>
      <c r="P13" s="24"/>
      <c r="Q13" s="64">
        <v>734560000</v>
      </c>
      <c r="R13" s="64">
        <v>38720000</v>
      </c>
      <c r="S13" s="64"/>
      <c r="T13" s="64"/>
      <c r="U13" s="64"/>
      <c r="V13" s="121">
        <v>773280000</v>
      </c>
      <c r="W13" s="122">
        <v>0</v>
      </c>
      <c r="X13" s="64">
        <v>773280000</v>
      </c>
      <c r="Y13" s="121"/>
      <c r="Z13" s="121"/>
      <c r="AA13" s="121"/>
      <c r="AB13" s="121"/>
      <c r="AC13" s="64">
        <v>773280000</v>
      </c>
      <c r="AD13" s="65">
        <v>43466</v>
      </c>
      <c r="AE13" s="65">
        <v>52596</v>
      </c>
      <c r="AF13" s="62">
        <v>25</v>
      </c>
      <c r="AG13" s="119">
        <v>300</v>
      </c>
      <c r="AH13" s="25">
        <v>2577600</v>
      </c>
      <c r="AI13" s="78">
        <v>154656000</v>
      </c>
      <c r="AJ13" s="78">
        <v>618624000</v>
      </c>
      <c r="AK13" s="27">
        <f>+IF(AND(AK$3&gt;=$D13,AK$3&lt;$C13),$AH13,$AJ13)</f>
        <v>2577600</v>
      </c>
      <c r="AL13" s="27">
        <f t="shared" si="7"/>
        <v>2577600</v>
      </c>
      <c r="AM13" s="27"/>
      <c r="AN13" s="27"/>
      <c r="AO13" s="27"/>
      <c r="AP13" s="27"/>
      <c r="AQ13" s="27"/>
      <c r="AR13" s="27"/>
      <c r="AS13" s="27"/>
      <c r="AT13" s="27"/>
      <c r="AU13" s="27"/>
      <c r="AV13" s="27"/>
      <c r="AW13" s="27">
        <f t="shared" si="8"/>
        <v>5155200</v>
      </c>
      <c r="AX13" s="79">
        <f t="shared" si="9"/>
        <v>613468800</v>
      </c>
      <c r="AY13" s="79">
        <f t="shared" si="10"/>
        <v>159811200</v>
      </c>
      <c r="AZ13" s="25">
        <v>1</v>
      </c>
      <c r="BA13" s="62" t="s">
        <v>56</v>
      </c>
      <c r="BB13" s="66">
        <v>0.5</v>
      </c>
      <c r="BC13" s="66">
        <v>0.5</v>
      </c>
      <c r="BD13" s="66"/>
      <c r="BE13" s="67">
        <f t="shared" si="11"/>
        <v>1288800</v>
      </c>
      <c r="BF13" s="67">
        <f t="shared" si="12"/>
        <v>1288800</v>
      </c>
      <c r="BG13" s="67">
        <f t="shared" si="3"/>
        <v>0</v>
      </c>
      <c r="BH13" s="66"/>
      <c r="BI13" s="68" t="s">
        <v>57</v>
      </c>
      <c r="BJ13" s="68" t="s">
        <v>58</v>
      </c>
      <c r="BK13" s="68" t="s">
        <v>59</v>
      </c>
      <c r="BL13" s="29"/>
      <c r="BO13" s="35" t="s">
        <v>1799</v>
      </c>
      <c r="BQ13" s="1" t="e">
        <v>#N/A</v>
      </c>
    </row>
    <row r="14" spans="1:69" ht="15" hidden="1" customHeight="1">
      <c r="A14" s="1" t="s">
        <v>43</v>
      </c>
      <c r="C14" s="1" t="str">
        <f t="shared" si="4"/>
        <v>2108</v>
      </c>
      <c r="D14" s="1" t="str">
        <f t="shared" si="5"/>
        <v>1809</v>
      </c>
      <c r="E14" s="19" t="s">
        <v>48</v>
      </c>
      <c r="F14" s="62" t="s">
        <v>49</v>
      </c>
      <c r="G14" s="62">
        <v>2112</v>
      </c>
      <c r="H14" s="62" t="s">
        <v>75</v>
      </c>
      <c r="I14" s="62" t="s">
        <v>76</v>
      </c>
      <c r="J14" s="118">
        <v>1</v>
      </c>
      <c r="K14" s="119"/>
      <c r="L14" s="62" t="s">
        <v>77</v>
      </c>
      <c r="M14" s="120" t="s">
        <v>78</v>
      </c>
      <c r="N14" s="65">
        <v>43301</v>
      </c>
      <c r="O14" s="24">
        <v>7133.27</v>
      </c>
      <c r="P14" s="24">
        <v>23100</v>
      </c>
      <c r="Q14" s="64">
        <v>164778537</v>
      </c>
      <c r="R14" s="64">
        <v>41046709.452</v>
      </c>
      <c r="S14" s="64"/>
      <c r="T14" s="64"/>
      <c r="U14" s="64"/>
      <c r="V14" s="121">
        <v>205825246.45199999</v>
      </c>
      <c r="W14" s="122">
        <v>0</v>
      </c>
      <c r="X14" s="64">
        <v>205825246.45199999</v>
      </c>
      <c r="Y14" s="121"/>
      <c r="Z14" s="121"/>
      <c r="AA14" s="121"/>
      <c r="AB14" s="121"/>
      <c r="AC14" s="64">
        <v>205825246.45199999</v>
      </c>
      <c r="AD14" s="65">
        <v>43344</v>
      </c>
      <c r="AE14" s="65">
        <v>44439</v>
      </c>
      <c r="AF14" s="62">
        <v>3</v>
      </c>
      <c r="AG14" s="119">
        <v>36</v>
      </c>
      <c r="AH14" s="25">
        <v>5717367.9569999995</v>
      </c>
      <c r="AI14" s="78">
        <v>205825246.45199999</v>
      </c>
      <c r="AJ14" s="78">
        <v>0</v>
      </c>
      <c r="AK14" s="27">
        <f t="shared" si="6"/>
        <v>0</v>
      </c>
      <c r="AL14" s="27">
        <f t="shared" si="7"/>
        <v>0</v>
      </c>
      <c r="AM14" s="27"/>
      <c r="AN14" s="27"/>
      <c r="AO14" s="27"/>
      <c r="AP14" s="27"/>
      <c r="AQ14" s="27"/>
      <c r="AR14" s="27"/>
      <c r="AS14" s="27"/>
      <c r="AT14" s="27"/>
      <c r="AU14" s="27"/>
      <c r="AV14" s="27"/>
      <c r="AW14" s="27">
        <f t="shared" si="8"/>
        <v>0</v>
      </c>
      <c r="AX14" s="79">
        <f t="shared" si="9"/>
        <v>0</v>
      </c>
      <c r="AY14" s="79">
        <f t="shared" si="10"/>
        <v>205825246.45199999</v>
      </c>
      <c r="AZ14" s="25">
        <v>1</v>
      </c>
      <c r="BA14" s="62" t="s">
        <v>79</v>
      </c>
      <c r="BB14" s="66">
        <v>1</v>
      </c>
      <c r="BC14" s="66"/>
      <c r="BD14" s="66"/>
      <c r="BE14" s="67">
        <f t="shared" si="11"/>
        <v>0</v>
      </c>
      <c r="BF14" s="67">
        <f t="shared" si="12"/>
        <v>0</v>
      </c>
      <c r="BG14" s="67">
        <f t="shared" si="3"/>
        <v>0</v>
      </c>
      <c r="BH14" s="66"/>
      <c r="BI14" s="68" t="s">
        <v>80</v>
      </c>
      <c r="BJ14" s="68" t="s">
        <v>81</v>
      </c>
      <c r="BK14" s="68" t="s">
        <v>81</v>
      </c>
      <c r="BL14" s="29"/>
      <c r="BO14" s="35" t="s">
        <v>1800</v>
      </c>
      <c r="BQ14" s="1" t="e">
        <v>#N/A</v>
      </c>
    </row>
    <row r="15" spans="1:69" ht="15" hidden="1" customHeight="1">
      <c r="A15" s="1" t="s">
        <v>43</v>
      </c>
      <c r="C15" s="1" t="str">
        <f t="shared" si="4"/>
        <v>2108</v>
      </c>
      <c r="D15" s="1" t="str">
        <f t="shared" si="5"/>
        <v>1809</v>
      </c>
      <c r="E15" s="19" t="s">
        <v>48</v>
      </c>
      <c r="F15" s="62" t="s">
        <v>49</v>
      </c>
      <c r="G15" s="62">
        <v>2112</v>
      </c>
      <c r="H15" s="62" t="s">
        <v>82</v>
      </c>
      <c r="I15" s="62" t="s">
        <v>83</v>
      </c>
      <c r="J15" s="118">
        <v>1</v>
      </c>
      <c r="K15" s="119"/>
      <c r="L15" s="62" t="s">
        <v>77</v>
      </c>
      <c r="M15" s="120" t="s">
        <v>78</v>
      </c>
      <c r="N15" s="65">
        <v>43301</v>
      </c>
      <c r="O15" s="24">
        <v>8944.5400000000009</v>
      </c>
      <c r="P15" s="24">
        <v>23100</v>
      </c>
      <c r="Q15" s="64">
        <v>206618874.00000003</v>
      </c>
      <c r="R15" s="64">
        <v>20587693.136999998</v>
      </c>
      <c r="S15" s="64"/>
      <c r="T15" s="64"/>
      <c r="U15" s="64"/>
      <c r="V15" s="121">
        <v>227206567.13699999</v>
      </c>
      <c r="W15" s="122">
        <v>0</v>
      </c>
      <c r="X15" s="64">
        <v>227206567.13700002</v>
      </c>
      <c r="Y15" s="121"/>
      <c r="Z15" s="121"/>
      <c r="AA15" s="121"/>
      <c r="AB15" s="121"/>
      <c r="AC15" s="64">
        <v>227206567.13699999</v>
      </c>
      <c r="AD15" s="65">
        <v>43344</v>
      </c>
      <c r="AE15" s="65">
        <v>44439</v>
      </c>
      <c r="AF15" s="62">
        <v>3</v>
      </c>
      <c r="AG15" s="119">
        <v>36</v>
      </c>
      <c r="AH15" s="25">
        <v>6311293.5315833334</v>
      </c>
      <c r="AI15" s="78">
        <v>227206567.13699999</v>
      </c>
      <c r="AJ15" s="78">
        <v>0</v>
      </c>
      <c r="AK15" s="27">
        <f t="shared" si="6"/>
        <v>0</v>
      </c>
      <c r="AL15" s="27">
        <f t="shared" si="7"/>
        <v>0</v>
      </c>
      <c r="AM15" s="27"/>
      <c r="AN15" s="27"/>
      <c r="AO15" s="27"/>
      <c r="AP15" s="27"/>
      <c r="AQ15" s="27"/>
      <c r="AR15" s="27"/>
      <c r="AS15" s="27"/>
      <c r="AT15" s="27"/>
      <c r="AU15" s="27"/>
      <c r="AV15" s="27"/>
      <c r="AW15" s="27">
        <f t="shared" si="8"/>
        <v>0</v>
      </c>
      <c r="AX15" s="79">
        <f t="shared" si="9"/>
        <v>0</v>
      </c>
      <c r="AY15" s="79">
        <f t="shared" si="10"/>
        <v>227206567.13699999</v>
      </c>
      <c r="AZ15" s="25">
        <v>1</v>
      </c>
      <c r="BA15" s="62" t="s">
        <v>79</v>
      </c>
      <c r="BB15" s="66">
        <v>1</v>
      </c>
      <c r="BC15" s="66"/>
      <c r="BD15" s="66"/>
      <c r="BE15" s="67">
        <f t="shared" si="11"/>
        <v>0</v>
      </c>
      <c r="BF15" s="67">
        <f t="shared" si="12"/>
        <v>0</v>
      </c>
      <c r="BG15" s="67">
        <f t="shared" si="3"/>
        <v>0</v>
      </c>
      <c r="BH15" s="66"/>
      <c r="BI15" s="68" t="s">
        <v>84</v>
      </c>
      <c r="BJ15" s="68" t="s">
        <v>85</v>
      </c>
      <c r="BK15" s="68" t="s">
        <v>85</v>
      </c>
      <c r="BL15" s="29"/>
      <c r="BO15" s="35" t="s">
        <v>1801</v>
      </c>
      <c r="BQ15" s="1" t="e">
        <v>#N/A</v>
      </c>
    </row>
    <row r="16" spans="1:69" ht="15" hidden="1" customHeight="1">
      <c r="A16" s="1" t="s">
        <v>43</v>
      </c>
      <c r="C16" s="1" t="str">
        <f t="shared" si="4"/>
        <v>2108</v>
      </c>
      <c r="D16" s="1" t="str">
        <f t="shared" si="5"/>
        <v>1809</v>
      </c>
      <c r="E16" s="19" t="s">
        <v>48</v>
      </c>
      <c r="F16" s="62" t="s">
        <v>49</v>
      </c>
      <c r="G16" s="62">
        <v>2112</v>
      </c>
      <c r="H16" s="62" t="s">
        <v>86</v>
      </c>
      <c r="I16" s="62" t="s">
        <v>83</v>
      </c>
      <c r="J16" s="118">
        <v>1</v>
      </c>
      <c r="K16" s="119"/>
      <c r="L16" s="62" t="s">
        <v>77</v>
      </c>
      <c r="M16" s="120" t="s">
        <v>78</v>
      </c>
      <c r="N16" s="65">
        <v>43301</v>
      </c>
      <c r="O16" s="24">
        <v>8944.5400000000009</v>
      </c>
      <c r="P16" s="24">
        <v>23100</v>
      </c>
      <c r="Q16" s="64">
        <v>206618874.00000003</v>
      </c>
      <c r="R16" s="64">
        <v>20587693.136999998</v>
      </c>
      <c r="S16" s="64"/>
      <c r="T16" s="64"/>
      <c r="U16" s="64"/>
      <c r="V16" s="121">
        <v>227206567.13699999</v>
      </c>
      <c r="W16" s="122">
        <v>0</v>
      </c>
      <c r="X16" s="64">
        <v>227206567.13700002</v>
      </c>
      <c r="Y16" s="121"/>
      <c r="Z16" s="121"/>
      <c r="AA16" s="121"/>
      <c r="AB16" s="121"/>
      <c r="AC16" s="64">
        <v>227206567.13699999</v>
      </c>
      <c r="AD16" s="65">
        <v>43344</v>
      </c>
      <c r="AE16" s="65">
        <v>44439</v>
      </c>
      <c r="AF16" s="62">
        <v>3</v>
      </c>
      <c r="AG16" s="119">
        <v>36</v>
      </c>
      <c r="AH16" s="25">
        <v>6311293.5315833334</v>
      </c>
      <c r="AI16" s="78">
        <v>227206567.13699999</v>
      </c>
      <c r="AJ16" s="78">
        <v>0</v>
      </c>
      <c r="AK16" s="27">
        <f t="shared" si="6"/>
        <v>0</v>
      </c>
      <c r="AL16" s="27">
        <f t="shared" si="7"/>
        <v>0</v>
      </c>
      <c r="AM16" s="27"/>
      <c r="AN16" s="27"/>
      <c r="AO16" s="27"/>
      <c r="AP16" s="27"/>
      <c r="AQ16" s="27"/>
      <c r="AR16" s="27"/>
      <c r="AS16" s="27"/>
      <c r="AT16" s="27"/>
      <c r="AU16" s="27"/>
      <c r="AV16" s="27"/>
      <c r="AW16" s="27">
        <f t="shared" si="8"/>
        <v>0</v>
      </c>
      <c r="AX16" s="79">
        <f t="shared" si="9"/>
        <v>0</v>
      </c>
      <c r="AY16" s="79">
        <f t="shared" si="10"/>
        <v>227206567.13699999</v>
      </c>
      <c r="AZ16" s="25">
        <v>1</v>
      </c>
      <c r="BA16" s="62" t="s">
        <v>79</v>
      </c>
      <c r="BB16" s="66">
        <v>1</v>
      </c>
      <c r="BC16" s="66"/>
      <c r="BD16" s="66"/>
      <c r="BE16" s="67">
        <f t="shared" si="11"/>
        <v>0</v>
      </c>
      <c r="BF16" s="67">
        <f t="shared" si="12"/>
        <v>0</v>
      </c>
      <c r="BG16" s="67">
        <f t="shared" si="3"/>
        <v>0</v>
      </c>
      <c r="BH16" s="66"/>
      <c r="BI16" s="68" t="s">
        <v>84</v>
      </c>
      <c r="BJ16" s="68" t="s">
        <v>85</v>
      </c>
      <c r="BK16" s="68" t="s">
        <v>85</v>
      </c>
      <c r="BL16" s="29"/>
      <c r="BO16" s="35" t="s">
        <v>1801</v>
      </c>
      <c r="BQ16" s="1" t="e">
        <v>#N/A</v>
      </c>
    </row>
    <row r="17" spans="1:69" ht="15" hidden="1" customHeight="1">
      <c r="A17" s="1" t="s">
        <v>43</v>
      </c>
      <c r="C17" s="1" t="str">
        <f t="shared" si="4"/>
        <v>0001</v>
      </c>
      <c r="D17" s="1" t="str">
        <f t="shared" si="5"/>
        <v>1807</v>
      </c>
      <c r="E17" s="19" t="s">
        <v>48</v>
      </c>
      <c r="F17" s="62" t="s">
        <v>49</v>
      </c>
      <c r="G17" s="62">
        <v>2112</v>
      </c>
      <c r="H17" s="62" t="s">
        <v>87</v>
      </c>
      <c r="I17" s="62" t="s">
        <v>88</v>
      </c>
      <c r="J17" s="118">
        <v>1</v>
      </c>
      <c r="K17" s="119"/>
      <c r="L17" s="62" t="s">
        <v>77</v>
      </c>
      <c r="M17" s="120" t="s">
        <v>78</v>
      </c>
      <c r="N17" s="65">
        <v>43301</v>
      </c>
      <c r="O17" s="24">
        <v>12364.67</v>
      </c>
      <c r="P17" s="24">
        <v>23100</v>
      </c>
      <c r="Q17" s="64">
        <v>285623877</v>
      </c>
      <c r="R17" s="64">
        <v>28459823.725000001</v>
      </c>
      <c r="S17" s="64"/>
      <c r="T17" s="64"/>
      <c r="U17" s="64"/>
      <c r="V17" s="121">
        <v>314083700.72500002</v>
      </c>
      <c r="W17" s="122">
        <v>0</v>
      </c>
      <c r="X17" s="64">
        <v>314083700.72500002</v>
      </c>
      <c r="Y17" s="121">
        <v>-314083701</v>
      </c>
      <c r="Z17" s="121">
        <v>1</v>
      </c>
      <c r="AA17" s="123">
        <v>43392</v>
      </c>
      <c r="AB17" s="123" t="s">
        <v>89</v>
      </c>
      <c r="AC17" s="64">
        <v>-0.27499997615814209</v>
      </c>
      <c r="AD17" s="65">
        <v>43301</v>
      </c>
      <c r="AE17" s="65"/>
      <c r="AF17" s="62">
        <v>3</v>
      </c>
      <c r="AG17" s="119">
        <v>36</v>
      </c>
      <c r="AH17" s="25">
        <v>-7.6388882266150582E-3</v>
      </c>
      <c r="AI17" s="78">
        <v>-0.27499997615814209</v>
      </c>
      <c r="AJ17" s="78">
        <v>0</v>
      </c>
      <c r="AK17" s="27">
        <f t="shared" si="6"/>
        <v>0</v>
      </c>
      <c r="AL17" s="27">
        <f t="shared" si="7"/>
        <v>0</v>
      </c>
      <c r="AM17" s="27"/>
      <c r="AN17" s="27"/>
      <c r="AO17" s="27"/>
      <c r="AP17" s="27"/>
      <c r="AQ17" s="27"/>
      <c r="AR17" s="27"/>
      <c r="AS17" s="27"/>
      <c r="AT17" s="27"/>
      <c r="AU17" s="27"/>
      <c r="AV17" s="27"/>
      <c r="AW17" s="27">
        <f t="shared" si="8"/>
        <v>0</v>
      </c>
      <c r="AX17" s="79">
        <f t="shared" si="9"/>
        <v>0</v>
      </c>
      <c r="AY17" s="79">
        <f t="shared" si="10"/>
        <v>-0.27499997615814209</v>
      </c>
      <c r="AZ17" s="25">
        <v>0</v>
      </c>
      <c r="BA17" s="62" t="s">
        <v>79</v>
      </c>
      <c r="BB17" s="66">
        <v>1</v>
      </c>
      <c r="BC17" s="66"/>
      <c r="BD17" s="66"/>
      <c r="BE17" s="67">
        <f t="shared" si="11"/>
        <v>0</v>
      </c>
      <c r="BF17" s="67">
        <f t="shared" si="12"/>
        <v>0</v>
      </c>
      <c r="BG17" s="67">
        <f t="shared" si="3"/>
        <v>0</v>
      </c>
      <c r="BH17" s="66"/>
      <c r="BI17" s="68" t="s">
        <v>90</v>
      </c>
      <c r="BJ17" s="68" t="s">
        <v>85</v>
      </c>
      <c r="BK17" s="68" t="s">
        <v>85</v>
      </c>
      <c r="BL17" s="29"/>
      <c r="BQ17" s="1" t="e">
        <v>#N/A</v>
      </c>
    </row>
    <row r="18" spans="1:69" ht="15" hidden="1" customHeight="1">
      <c r="A18" s="1" t="s">
        <v>43</v>
      </c>
      <c r="C18" s="1" t="str">
        <f t="shared" si="4"/>
        <v>0001</v>
      </c>
      <c r="D18" s="1" t="str">
        <f t="shared" si="5"/>
        <v>1807</v>
      </c>
      <c r="E18" s="19" t="s">
        <v>48</v>
      </c>
      <c r="F18" s="62" t="s">
        <v>49</v>
      </c>
      <c r="G18" s="62">
        <v>2112</v>
      </c>
      <c r="H18" s="62" t="s">
        <v>91</v>
      </c>
      <c r="I18" s="62" t="s">
        <v>92</v>
      </c>
      <c r="J18" s="118">
        <v>1</v>
      </c>
      <c r="K18" s="119"/>
      <c r="L18" s="62" t="s">
        <v>77</v>
      </c>
      <c r="M18" s="120" t="s">
        <v>78</v>
      </c>
      <c r="N18" s="65">
        <v>43301</v>
      </c>
      <c r="O18" s="24">
        <v>12364.67</v>
      </c>
      <c r="P18" s="24">
        <v>23100</v>
      </c>
      <c r="Q18" s="64">
        <v>285623877</v>
      </c>
      <c r="R18" s="64">
        <v>28459823.725000001</v>
      </c>
      <c r="S18" s="64"/>
      <c r="T18" s="64"/>
      <c r="U18" s="64"/>
      <c r="V18" s="121">
        <v>314083700.72500002</v>
      </c>
      <c r="W18" s="122">
        <v>0</v>
      </c>
      <c r="X18" s="64">
        <v>314083700.72500002</v>
      </c>
      <c r="Y18" s="121">
        <v>-314083701</v>
      </c>
      <c r="Z18" s="121">
        <v>1</v>
      </c>
      <c r="AA18" s="123">
        <v>43427</v>
      </c>
      <c r="AB18" s="123" t="s">
        <v>89</v>
      </c>
      <c r="AC18" s="64">
        <v>-0.27499997615814209</v>
      </c>
      <c r="AD18" s="65">
        <v>43301</v>
      </c>
      <c r="AE18" s="65"/>
      <c r="AF18" s="62">
        <v>7</v>
      </c>
      <c r="AG18" s="119">
        <v>84</v>
      </c>
      <c r="AH18" s="25">
        <v>-3.2738092399778821E-3</v>
      </c>
      <c r="AI18" s="78">
        <v>-0.27499997615814209</v>
      </c>
      <c r="AJ18" s="78">
        <v>0</v>
      </c>
      <c r="AK18" s="27">
        <f t="shared" si="6"/>
        <v>0</v>
      </c>
      <c r="AL18" s="27">
        <f t="shared" si="7"/>
        <v>0</v>
      </c>
      <c r="AM18" s="27"/>
      <c r="AN18" s="27"/>
      <c r="AO18" s="27"/>
      <c r="AP18" s="27"/>
      <c r="AQ18" s="27"/>
      <c r="AR18" s="27"/>
      <c r="AS18" s="27"/>
      <c r="AT18" s="27"/>
      <c r="AU18" s="27"/>
      <c r="AV18" s="27"/>
      <c r="AW18" s="27">
        <f t="shared" si="8"/>
        <v>0</v>
      </c>
      <c r="AX18" s="79">
        <f t="shared" si="9"/>
        <v>0</v>
      </c>
      <c r="AY18" s="79">
        <f t="shared" si="10"/>
        <v>-0.27499997615814209</v>
      </c>
      <c r="AZ18" s="25">
        <v>0</v>
      </c>
      <c r="BA18" s="62" t="s">
        <v>79</v>
      </c>
      <c r="BB18" s="66">
        <v>1</v>
      </c>
      <c r="BC18" s="66"/>
      <c r="BD18" s="66"/>
      <c r="BE18" s="67">
        <f t="shared" si="11"/>
        <v>0</v>
      </c>
      <c r="BF18" s="67">
        <f t="shared" si="12"/>
        <v>0</v>
      </c>
      <c r="BG18" s="67">
        <f t="shared" si="3"/>
        <v>0</v>
      </c>
      <c r="BH18" s="66"/>
      <c r="BI18" s="68" t="s">
        <v>90</v>
      </c>
      <c r="BJ18" s="68" t="s">
        <v>85</v>
      </c>
      <c r="BK18" s="68" t="s">
        <v>85</v>
      </c>
      <c r="BL18" s="29"/>
      <c r="BQ18" s="1" t="e">
        <v>#N/A</v>
      </c>
    </row>
    <row r="19" spans="1:69" ht="15" hidden="1" customHeight="1">
      <c r="A19" s="1" t="s">
        <v>43</v>
      </c>
      <c r="C19" s="1" t="str">
        <f t="shared" si="4"/>
        <v>2508</v>
      </c>
      <c r="D19" s="1" t="str">
        <f t="shared" si="5"/>
        <v>1809</v>
      </c>
      <c r="E19" s="19" t="s">
        <v>48</v>
      </c>
      <c r="F19" s="62" t="s">
        <v>49</v>
      </c>
      <c r="G19" s="62">
        <v>2112</v>
      </c>
      <c r="H19" s="62" t="s">
        <v>93</v>
      </c>
      <c r="I19" s="62" t="s">
        <v>94</v>
      </c>
      <c r="J19" s="118">
        <v>5</v>
      </c>
      <c r="K19" s="119"/>
      <c r="L19" s="62" t="s">
        <v>77</v>
      </c>
      <c r="M19" s="120" t="s">
        <v>78</v>
      </c>
      <c r="N19" s="65">
        <v>43301</v>
      </c>
      <c r="O19" s="24">
        <v>12522.35</v>
      </c>
      <c r="P19" s="24">
        <v>23100</v>
      </c>
      <c r="Q19" s="64">
        <v>289266285</v>
      </c>
      <c r="R19" s="64"/>
      <c r="S19" s="64"/>
      <c r="T19" s="64"/>
      <c r="U19" s="64"/>
      <c r="V19" s="121">
        <v>289266285</v>
      </c>
      <c r="W19" s="122">
        <v>0</v>
      </c>
      <c r="X19" s="64">
        <v>289266285</v>
      </c>
      <c r="Y19" s="121">
        <v>-289266285</v>
      </c>
      <c r="Z19" s="121">
        <v>5</v>
      </c>
      <c r="AA19" s="123">
        <v>43622</v>
      </c>
      <c r="AB19" s="123" t="s">
        <v>89</v>
      </c>
      <c r="AC19" s="64">
        <v>0</v>
      </c>
      <c r="AD19" s="65">
        <v>43344</v>
      </c>
      <c r="AE19" s="65">
        <v>45899</v>
      </c>
      <c r="AF19" s="62">
        <v>7</v>
      </c>
      <c r="AG19" s="119">
        <v>84</v>
      </c>
      <c r="AH19" s="25">
        <v>0</v>
      </c>
      <c r="AI19" s="78">
        <v>0</v>
      </c>
      <c r="AJ19" s="78">
        <v>0</v>
      </c>
      <c r="AK19" s="27">
        <f t="shared" si="6"/>
        <v>0</v>
      </c>
      <c r="AL19" s="27">
        <f t="shared" si="7"/>
        <v>0</v>
      </c>
      <c r="AM19" s="27"/>
      <c r="AN19" s="27"/>
      <c r="AO19" s="27"/>
      <c r="AP19" s="27"/>
      <c r="AQ19" s="27"/>
      <c r="AR19" s="27"/>
      <c r="AS19" s="27"/>
      <c r="AT19" s="27"/>
      <c r="AU19" s="27"/>
      <c r="AV19" s="27"/>
      <c r="AW19" s="27">
        <f t="shared" si="8"/>
        <v>0</v>
      </c>
      <c r="AX19" s="79">
        <f t="shared" si="9"/>
        <v>0</v>
      </c>
      <c r="AY19" s="79">
        <f t="shared" si="10"/>
        <v>0</v>
      </c>
      <c r="AZ19" s="25">
        <v>0</v>
      </c>
      <c r="BA19" s="62" t="s">
        <v>79</v>
      </c>
      <c r="BB19" s="66">
        <v>1</v>
      </c>
      <c r="BC19" s="66"/>
      <c r="BD19" s="66"/>
      <c r="BE19" s="67">
        <f t="shared" si="11"/>
        <v>0</v>
      </c>
      <c r="BF19" s="67">
        <f t="shared" si="12"/>
        <v>0</v>
      </c>
      <c r="BG19" s="67">
        <f t="shared" si="3"/>
        <v>0</v>
      </c>
      <c r="BH19" s="66"/>
      <c r="BI19" s="68" t="s">
        <v>90</v>
      </c>
      <c r="BJ19" s="68" t="s">
        <v>85</v>
      </c>
      <c r="BK19" s="68" t="s">
        <v>85</v>
      </c>
      <c r="BL19" s="29"/>
      <c r="BQ19" s="1" t="e">
        <v>#N/A</v>
      </c>
    </row>
    <row r="20" spans="1:69" ht="15" hidden="1" customHeight="1">
      <c r="A20" s="1" t="s">
        <v>43</v>
      </c>
      <c r="C20" s="1" t="str">
        <f t="shared" si="4"/>
        <v>2508</v>
      </c>
      <c r="D20" s="1" t="str">
        <f t="shared" si="5"/>
        <v>1809</v>
      </c>
      <c r="E20" s="19" t="s">
        <v>48</v>
      </c>
      <c r="F20" s="62" t="s">
        <v>49</v>
      </c>
      <c r="G20" s="62">
        <v>2112</v>
      </c>
      <c r="H20" s="62" t="s">
        <v>95</v>
      </c>
      <c r="I20" s="62" t="s">
        <v>96</v>
      </c>
      <c r="J20" s="118">
        <v>1</v>
      </c>
      <c r="K20" s="119"/>
      <c r="L20" s="62" t="s">
        <v>77</v>
      </c>
      <c r="M20" s="120" t="s">
        <v>78</v>
      </c>
      <c r="N20" s="65">
        <v>43301</v>
      </c>
      <c r="O20" s="24">
        <v>8050.09</v>
      </c>
      <c r="P20" s="24">
        <v>23100</v>
      </c>
      <c r="Q20" s="64">
        <v>185957079</v>
      </c>
      <c r="R20" s="64">
        <v>9264466.5150000006</v>
      </c>
      <c r="S20" s="64"/>
      <c r="T20" s="64"/>
      <c r="U20" s="64"/>
      <c r="V20" s="121">
        <v>195221545.51499999</v>
      </c>
      <c r="W20" s="122">
        <v>0</v>
      </c>
      <c r="X20" s="64">
        <v>195221545.51499999</v>
      </c>
      <c r="Y20" s="121"/>
      <c r="Z20" s="121"/>
      <c r="AA20" s="121"/>
      <c r="AB20" s="121"/>
      <c r="AC20" s="64">
        <v>195221545.51499999</v>
      </c>
      <c r="AD20" s="65">
        <v>43344</v>
      </c>
      <c r="AE20" s="65">
        <v>45899</v>
      </c>
      <c r="AF20" s="62">
        <v>7</v>
      </c>
      <c r="AG20" s="119">
        <v>84</v>
      </c>
      <c r="AH20" s="25">
        <v>2324066.018035714</v>
      </c>
      <c r="AI20" s="78">
        <v>148740224.18535712</v>
      </c>
      <c r="AJ20" s="78">
        <v>46481321.32964287</v>
      </c>
      <c r="AK20" s="27">
        <f t="shared" si="6"/>
        <v>2324066.018035714</v>
      </c>
      <c r="AL20" s="27">
        <f t="shared" si="7"/>
        <v>2324066.018035714</v>
      </c>
      <c r="AM20" s="27"/>
      <c r="AN20" s="27"/>
      <c r="AO20" s="27"/>
      <c r="AP20" s="27"/>
      <c r="AQ20" s="27"/>
      <c r="AR20" s="27"/>
      <c r="AS20" s="27"/>
      <c r="AT20" s="27"/>
      <c r="AU20" s="27"/>
      <c r="AV20" s="27"/>
      <c r="AW20" s="27">
        <f t="shared" si="8"/>
        <v>4648132.0360714281</v>
      </c>
      <c r="AX20" s="79">
        <f t="shared" si="9"/>
        <v>41833189.293571435</v>
      </c>
      <c r="AY20" s="79">
        <f t="shared" si="10"/>
        <v>153388356.22142854</v>
      </c>
      <c r="AZ20" s="25">
        <v>1</v>
      </c>
      <c r="BA20" s="62" t="s">
        <v>97</v>
      </c>
      <c r="BB20" s="66">
        <v>1</v>
      </c>
      <c r="BC20" s="66"/>
      <c r="BD20" s="66"/>
      <c r="BE20" s="67">
        <f t="shared" si="11"/>
        <v>2324066.018035714</v>
      </c>
      <c r="BF20" s="67">
        <f t="shared" si="12"/>
        <v>0</v>
      </c>
      <c r="BG20" s="67">
        <f t="shared" si="3"/>
        <v>0</v>
      </c>
      <c r="BH20" s="66"/>
      <c r="BI20" s="68" t="s">
        <v>80</v>
      </c>
      <c r="BJ20" s="68" t="s">
        <v>98</v>
      </c>
      <c r="BK20" s="68" t="s">
        <v>98</v>
      </c>
      <c r="BL20" s="29"/>
      <c r="BO20" s="35" t="s">
        <v>1801</v>
      </c>
      <c r="BQ20" s="1" t="e">
        <v>#N/A</v>
      </c>
    </row>
    <row r="21" spans="1:69" ht="15" hidden="1" customHeight="1">
      <c r="A21" s="1" t="s">
        <v>43</v>
      </c>
      <c r="C21" s="1" t="str">
        <f t="shared" si="4"/>
        <v>2508</v>
      </c>
      <c r="D21" s="1" t="str">
        <f t="shared" si="5"/>
        <v>1809</v>
      </c>
      <c r="E21" s="19" t="s">
        <v>48</v>
      </c>
      <c r="F21" s="62" t="s">
        <v>49</v>
      </c>
      <c r="G21" s="62">
        <v>2112</v>
      </c>
      <c r="H21" s="62" t="s">
        <v>99</v>
      </c>
      <c r="I21" s="62" t="s">
        <v>100</v>
      </c>
      <c r="J21" s="118">
        <v>1</v>
      </c>
      <c r="K21" s="119"/>
      <c r="L21" s="62" t="s">
        <v>77</v>
      </c>
      <c r="M21" s="120" t="s">
        <v>78</v>
      </c>
      <c r="N21" s="65">
        <v>43301</v>
      </c>
      <c r="O21" s="24">
        <v>146797.67000000001</v>
      </c>
      <c r="P21" s="24">
        <v>23100</v>
      </c>
      <c r="Q21" s="64">
        <v>3391026177.0000005</v>
      </c>
      <c r="R21" s="64">
        <v>168942471.22999999</v>
      </c>
      <c r="S21" s="64"/>
      <c r="T21" s="64"/>
      <c r="U21" s="64"/>
      <c r="V21" s="121">
        <v>3559968648.23</v>
      </c>
      <c r="W21" s="122">
        <v>0</v>
      </c>
      <c r="X21" s="64">
        <v>3559968648.2300005</v>
      </c>
      <c r="Y21" s="121"/>
      <c r="Z21" s="121"/>
      <c r="AA21" s="121"/>
      <c r="AB21" s="121"/>
      <c r="AC21" s="64">
        <v>3559968648.23</v>
      </c>
      <c r="AD21" s="65">
        <v>43344</v>
      </c>
      <c r="AE21" s="65">
        <v>45899</v>
      </c>
      <c r="AF21" s="62">
        <v>7</v>
      </c>
      <c r="AG21" s="119">
        <v>84</v>
      </c>
      <c r="AH21" s="25">
        <v>42380579.145595238</v>
      </c>
      <c r="AI21" s="78">
        <v>2712357057.4559526</v>
      </c>
      <c r="AJ21" s="78">
        <v>847611590.77404761</v>
      </c>
      <c r="AK21" s="27">
        <f t="shared" si="6"/>
        <v>42380579.145595238</v>
      </c>
      <c r="AL21" s="27">
        <f t="shared" si="7"/>
        <v>42380579.145595238</v>
      </c>
      <c r="AM21" s="27"/>
      <c r="AN21" s="27"/>
      <c r="AO21" s="27"/>
      <c r="AP21" s="27"/>
      <c r="AQ21" s="27"/>
      <c r="AR21" s="27"/>
      <c r="AS21" s="27"/>
      <c r="AT21" s="27"/>
      <c r="AU21" s="27"/>
      <c r="AV21" s="27"/>
      <c r="AW21" s="27">
        <f t="shared" si="8"/>
        <v>84761158.291190475</v>
      </c>
      <c r="AX21" s="79">
        <f t="shared" si="9"/>
        <v>762850432.48285687</v>
      </c>
      <c r="AY21" s="79">
        <f t="shared" si="10"/>
        <v>2797118215.7471433</v>
      </c>
      <c r="AZ21" s="25">
        <v>1</v>
      </c>
      <c r="BA21" s="62" t="s">
        <v>97</v>
      </c>
      <c r="BB21" s="66">
        <v>1</v>
      </c>
      <c r="BC21" s="66"/>
      <c r="BD21" s="66"/>
      <c r="BE21" s="67">
        <f t="shared" si="11"/>
        <v>42380579.145595238</v>
      </c>
      <c r="BF21" s="67">
        <f t="shared" si="12"/>
        <v>0</v>
      </c>
      <c r="BG21" s="67">
        <f t="shared" si="3"/>
        <v>0</v>
      </c>
      <c r="BH21" s="66"/>
      <c r="BI21" s="68" t="s">
        <v>101</v>
      </c>
      <c r="BJ21" s="68" t="s">
        <v>102</v>
      </c>
      <c r="BK21" s="68" t="s">
        <v>102</v>
      </c>
      <c r="BL21" s="29"/>
      <c r="BO21" s="35" t="s">
        <v>1802</v>
      </c>
      <c r="BQ21" s="1" t="e">
        <v>#N/A</v>
      </c>
    </row>
    <row r="22" spans="1:69" ht="15" hidden="1" customHeight="1">
      <c r="A22" s="1" t="s">
        <v>43</v>
      </c>
      <c r="C22" s="1" t="str">
        <f t="shared" si="4"/>
        <v>2508</v>
      </c>
      <c r="D22" s="1" t="str">
        <f t="shared" si="5"/>
        <v>1809</v>
      </c>
      <c r="E22" s="19" t="s">
        <v>48</v>
      </c>
      <c r="F22" s="62" t="s">
        <v>49</v>
      </c>
      <c r="G22" s="62">
        <v>2112</v>
      </c>
      <c r="H22" s="62" t="s">
        <v>103</v>
      </c>
      <c r="I22" s="62" t="s">
        <v>104</v>
      </c>
      <c r="J22" s="118">
        <v>1</v>
      </c>
      <c r="K22" s="119"/>
      <c r="L22" s="62" t="s">
        <v>77</v>
      </c>
      <c r="M22" s="120" t="s">
        <v>78</v>
      </c>
      <c r="N22" s="65">
        <v>43301</v>
      </c>
      <c r="O22" s="24">
        <v>8121.65</v>
      </c>
      <c r="P22" s="24">
        <v>23100</v>
      </c>
      <c r="Q22" s="64">
        <v>187610115</v>
      </c>
      <c r="R22" s="64"/>
      <c r="S22" s="64"/>
      <c r="T22" s="64"/>
      <c r="U22" s="64"/>
      <c r="V22" s="121">
        <v>187610115</v>
      </c>
      <c r="W22" s="122">
        <v>0</v>
      </c>
      <c r="X22" s="64">
        <v>187610115</v>
      </c>
      <c r="Y22" s="121"/>
      <c r="Z22" s="121"/>
      <c r="AA22" s="121"/>
      <c r="AB22" s="121"/>
      <c r="AC22" s="64">
        <v>187610115</v>
      </c>
      <c r="AD22" s="65">
        <v>43344</v>
      </c>
      <c r="AE22" s="65">
        <v>45899</v>
      </c>
      <c r="AF22" s="62">
        <v>7</v>
      </c>
      <c r="AG22" s="119">
        <v>84</v>
      </c>
      <c r="AH22" s="25">
        <v>2233453.75</v>
      </c>
      <c r="AI22" s="78">
        <v>142941053.5</v>
      </c>
      <c r="AJ22" s="78">
        <v>44669061.5</v>
      </c>
      <c r="AK22" s="27">
        <f t="shared" si="6"/>
        <v>2233453.75</v>
      </c>
      <c r="AL22" s="27">
        <f t="shared" si="7"/>
        <v>2233453.75</v>
      </c>
      <c r="AM22" s="27"/>
      <c r="AN22" s="27"/>
      <c r="AO22" s="27"/>
      <c r="AP22" s="27"/>
      <c r="AQ22" s="27"/>
      <c r="AR22" s="27"/>
      <c r="AS22" s="27"/>
      <c r="AT22" s="27"/>
      <c r="AU22" s="27"/>
      <c r="AV22" s="27"/>
      <c r="AW22" s="27">
        <f t="shared" si="8"/>
        <v>4466907.5</v>
      </c>
      <c r="AX22" s="79">
        <f t="shared" si="9"/>
        <v>40202154</v>
      </c>
      <c r="AY22" s="79">
        <f t="shared" si="10"/>
        <v>147407961</v>
      </c>
      <c r="AZ22" s="25">
        <v>1</v>
      </c>
      <c r="BA22" s="62" t="s">
        <v>97</v>
      </c>
      <c r="BB22" s="66">
        <v>1</v>
      </c>
      <c r="BC22" s="66"/>
      <c r="BD22" s="66"/>
      <c r="BE22" s="67">
        <f t="shared" si="11"/>
        <v>2233453.75</v>
      </c>
      <c r="BF22" s="67">
        <f t="shared" si="12"/>
        <v>0</v>
      </c>
      <c r="BG22" s="67">
        <f t="shared" si="3"/>
        <v>0</v>
      </c>
      <c r="BH22" s="66"/>
      <c r="BI22" s="68" t="s">
        <v>84</v>
      </c>
      <c r="BJ22" s="68" t="s">
        <v>85</v>
      </c>
      <c r="BK22" s="68" t="s">
        <v>85</v>
      </c>
      <c r="BL22" s="29"/>
      <c r="BO22" s="35" t="s">
        <v>1801</v>
      </c>
      <c r="BQ22" s="1" t="e">
        <v>#N/A</v>
      </c>
    </row>
    <row r="23" spans="1:69" ht="15" hidden="1" customHeight="1">
      <c r="A23" s="1" t="s">
        <v>43</v>
      </c>
      <c r="C23" s="1" t="str">
        <f t="shared" si="4"/>
        <v>2508</v>
      </c>
      <c r="D23" s="1" t="str">
        <f t="shared" si="5"/>
        <v>1809</v>
      </c>
      <c r="E23" s="19" t="s">
        <v>48</v>
      </c>
      <c r="F23" s="62" t="s">
        <v>49</v>
      </c>
      <c r="G23" s="62">
        <v>2112</v>
      </c>
      <c r="H23" s="62" t="s">
        <v>105</v>
      </c>
      <c r="I23" s="62" t="s">
        <v>104</v>
      </c>
      <c r="J23" s="118">
        <v>1</v>
      </c>
      <c r="K23" s="119"/>
      <c r="L23" s="62" t="s">
        <v>77</v>
      </c>
      <c r="M23" s="120" t="s">
        <v>78</v>
      </c>
      <c r="N23" s="65">
        <v>43301</v>
      </c>
      <c r="O23" s="24">
        <v>8121.65</v>
      </c>
      <c r="P23" s="24">
        <v>23100</v>
      </c>
      <c r="Q23" s="64">
        <v>187610115</v>
      </c>
      <c r="R23" s="64"/>
      <c r="S23" s="64"/>
      <c r="T23" s="64"/>
      <c r="U23" s="64"/>
      <c r="V23" s="121">
        <v>187610115</v>
      </c>
      <c r="W23" s="122">
        <v>0</v>
      </c>
      <c r="X23" s="64">
        <v>187610115</v>
      </c>
      <c r="Y23" s="121">
        <v>-187610115</v>
      </c>
      <c r="Z23" s="121">
        <v>1</v>
      </c>
      <c r="AA23" s="125">
        <v>44362</v>
      </c>
      <c r="AB23" s="123" t="s">
        <v>89</v>
      </c>
      <c r="AC23" s="64">
        <v>0</v>
      </c>
      <c r="AD23" s="65">
        <v>43344</v>
      </c>
      <c r="AE23" s="65">
        <v>45899</v>
      </c>
      <c r="AF23" s="62">
        <v>7</v>
      </c>
      <c r="AG23" s="119">
        <v>84</v>
      </c>
      <c r="AH23" s="25">
        <v>0</v>
      </c>
      <c r="AI23" s="78">
        <v>0</v>
      </c>
      <c r="AJ23" s="78">
        <v>0</v>
      </c>
      <c r="AK23" s="27">
        <f t="shared" si="6"/>
        <v>0</v>
      </c>
      <c r="AL23" s="27">
        <f t="shared" si="7"/>
        <v>0</v>
      </c>
      <c r="AM23" s="27"/>
      <c r="AN23" s="27"/>
      <c r="AO23" s="27"/>
      <c r="AP23" s="27"/>
      <c r="AQ23" s="27"/>
      <c r="AR23" s="27"/>
      <c r="AS23" s="27"/>
      <c r="AT23" s="27"/>
      <c r="AU23" s="27"/>
      <c r="AV23" s="27"/>
      <c r="AW23" s="27">
        <f t="shared" si="8"/>
        <v>0</v>
      </c>
      <c r="AX23" s="79">
        <f t="shared" si="9"/>
        <v>0</v>
      </c>
      <c r="AY23" s="79">
        <f t="shared" si="10"/>
        <v>0</v>
      </c>
      <c r="AZ23" s="25">
        <v>0</v>
      </c>
      <c r="BA23" s="62" t="s">
        <v>97</v>
      </c>
      <c r="BB23" s="66"/>
      <c r="BC23" s="66"/>
      <c r="BD23" s="66">
        <v>1</v>
      </c>
      <c r="BE23" s="67">
        <f t="shared" si="11"/>
        <v>0</v>
      </c>
      <c r="BF23" s="67">
        <f t="shared" si="12"/>
        <v>0</v>
      </c>
      <c r="BG23" s="67">
        <f t="shared" si="3"/>
        <v>0</v>
      </c>
      <c r="BH23" s="66" t="s">
        <v>106</v>
      </c>
      <c r="BI23" s="68" t="s">
        <v>107</v>
      </c>
      <c r="BJ23" s="68" t="s">
        <v>85</v>
      </c>
      <c r="BK23" s="68" t="s">
        <v>85</v>
      </c>
      <c r="BL23" s="29"/>
      <c r="BQ23" s="1" t="e">
        <v>#N/A</v>
      </c>
    </row>
    <row r="24" spans="1:69" ht="15" hidden="1" customHeight="1">
      <c r="A24" s="1" t="s">
        <v>43</v>
      </c>
      <c r="C24" s="1" t="str">
        <f t="shared" si="4"/>
        <v>2508</v>
      </c>
      <c r="D24" s="1" t="str">
        <f t="shared" si="5"/>
        <v>1809</v>
      </c>
      <c r="E24" s="19" t="s">
        <v>48</v>
      </c>
      <c r="F24" s="62" t="s">
        <v>49</v>
      </c>
      <c r="G24" s="62">
        <v>2112</v>
      </c>
      <c r="H24" s="62" t="s">
        <v>108</v>
      </c>
      <c r="I24" s="62" t="s">
        <v>104</v>
      </c>
      <c r="J24" s="118">
        <v>1</v>
      </c>
      <c r="K24" s="119"/>
      <c r="L24" s="62" t="s">
        <v>77</v>
      </c>
      <c r="M24" s="120" t="s">
        <v>78</v>
      </c>
      <c r="N24" s="65">
        <v>43301</v>
      </c>
      <c r="O24" s="24">
        <v>8121.65</v>
      </c>
      <c r="P24" s="24">
        <v>23100</v>
      </c>
      <c r="Q24" s="64">
        <v>187610115</v>
      </c>
      <c r="R24" s="64"/>
      <c r="S24" s="64"/>
      <c r="T24" s="64"/>
      <c r="U24" s="64"/>
      <c r="V24" s="121">
        <v>187610115</v>
      </c>
      <c r="W24" s="122">
        <v>0</v>
      </c>
      <c r="X24" s="64">
        <v>187610115</v>
      </c>
      <c r="Y24" s="121"/>
      <c r="Z24" s="121"/>
      <c r="AA24" s="121"/>
      <c r="AB24" s="121"/>
      <c r="AC24" s="64">
        <v>187610115</v>
      </c>
      <c r="AD24" s="65">
        <v>43344</v>
      </c>
      <c r="AE24" s="65">
        <v>45899</v>
      </c>
      <c r="AF24" s="62">
        <v>7</v>
      </c>
      <c r="AG24" s="119">
        <v>84</v>
      </c>
      <c r="AH24" s="25">
        <v>2233453.75</v>
      </c>
      <c r="AI24" s="78">
        <v>142941053.5</v>
      </c>
      <c r="AJ24" s="78">
        <v>44669061.5</v>
      </c>
      <c r="AK24" s="27">
        <f t="shared" si="6"/>
        <v>2233453.75</v>
      </c>
      <c r="AL24" s="27">
        <f t="shared" si="7"/>
        <v>2233453.75</v>
      </c>
      <c r="AM24" s="27"/>
      <c r="AN24" s="27"/>
      <c r="AO24" s="27"/>
      <c r="AP24" s="27"/>
      <c r="AQ24" s="27"/>
      <c r="AR24" s="27"/>
      <c r="AS24" s="27"/>
      <c r="AT24" s="27"/>
      <c r="AU24" s="27"/>
      <c r="AV24" s="27"/>
      <c r="AW24" s="27">
        <f t="shared" si="8"/>
        <v>4466907.5</v>
      </c>
      <c r="AX24" s="79">
        <f t="shared" si="9"/>
        <v>40202154</v>
      </c>
      <c r="AY24" s="79">
        <f t="shared" si="10"/>
        <v>147407961</v>
      </c>
      <c r="AZ24" s="25">
        <v>1</v>
      </c>
      <c r="BA24" s="62" t="s">
        <v>97</v>
      </c>
      <c r="BB24" s="66">
        <v>1</v>
      </c>
      <c r="BC24" s="66"/>
      <c r="BD24" s="66"/>
      <c r="BE24" s="67">
        <f t="shared" si="11"/>
        <v>2233453.75</v>
      </c>
      <c r="BF24" s="67">
        <f t="shared" si="12"/>
        <v>0</v>
      </c>
      <c r="BG24" s="67">
        <f t="shared" si="3"/>
        <v>0</v>
      </c>
      <c r="BH24" s="66"/>
      <c r="BI24" s="68" t="s">
        <v>84</v>
      </c>
      <c r="BJ24" s="68" t="s">
        <v>85</v>
      </c>
      <c r="BK24" s="68" t="s">
        <v>85</v>
      </c>
      <c r="BL24" s="29"/>
      <c r="BO24" s="35" t="s">
        <v>1801</v>
      </c>
      <c r="BQ24" s="1" t="e">
        <v>#N/A</v>
      </c>
    </row>
    <row r="25" spans="1:69" ht="15" hidden="1" customHeight="1">
      <c r="A25" s="1" t="s">
        <v>43</v>
      </c>
      <c r="C25" s="1" t="str">
        <f t="shared" si="4"/>
        <v>2508</v>
      </c>
      <c r="D25" s="1" t="str">
        <f t="shared" si="5"/>
        <v>1809</v>
      </c>
      <c r="E25" s="19" t="s">
        <v>48</v>
      </c>
      <c r="F25" s="62" t="s">
        <v>49</v>
      </c>
      <c r="G25" s="62">
        <v>2112</v>
      </c>
      <c r="H25" s="62" t="s">
        <v>109</v>
      </c>
      <c r="I25" s="62" t="s">
        <v>110</v>
      </c>
      <c r="J25" s="118">
        <v>1</v>
      </c>
      <c r="K25" s="119"/>
      <c r="L25" s="62" t="s">
        <v>77</v>
      </c>
      <c r="M25" s="120" t="s">
        <v>78</v>
      </c>
      <c r="N25" s="65">
        <v>43301</v>
      </c>
      <c r="O25" s="24">
        <v>8121.65</v>
      </c>
      <c r="P25" s="24">
        <v>23100</v>
      </c>
      <c r="Q25" s="64">
        <v>187610115</v>
      </c>
      <c r="R25" s="64"/>
      <c r="S25" s="64"/>
      <c r="T25" s="64"/>
      <c r="U25" s="64"/>
      <c r="V25" s="121">
        <v>187610115</v>
      </c>
      <c r="W25" s="122">
        <v>0</v>
      </c>
      <c r="X25" s="64">
        <v>187610115</v>
      </c>
      <c r="Y25" s="121"/>
      <c r="Z25" s="121"/>
      <c r="AA25" s="121"/>
      <c r="AB25" s="121"/>
      <c r="AC25" s="64">
        <v>187610115</v>
      </c>
      <c r="AD25" s="65">
        <v>43344</v>
      </c>
      <c r="AE25" s="65">
        <v>45899</v>
      </c>
      <c r="AF25" s="62">
        <v>7</v>
      </c>
      <c r="AG25" s="119">
        <v>84</v>
      </c>
      <c r="AH25" s="25">
        <v>2233453.75</v>
      </c>
      <c r="AI25" s="78">
        <v>142941053.5</v>
      </c>
      <c r="AJ25" s="78">
        <v>44669061.5</v>
      </c>
      <c r="AK25" s="27">
        <f t="shared" si="6"/>
        <v>2233453.75</v>
      </c>
      <c r="AL25" s="27">
        <f t="shared" si="7"/>
        <v>2233453.75</v>
      </c>
      <c r="AM25" s="27"/>
      <c r="AN25" s="27"/>
      <c r="AO25" s="27"/>
      <c r="AP25" s="27"/>
      <c r="AQ25" s="27"/>
      <c r="AR25" s="27"/>
      <c r="AS25" s="27"/>
      <c r="AT25" s="27"/>
      <c r="AU25" s="27"/>
      <c r="AV25" s="27"/>
      <c r="AW25" s="27">
        <f t="shared" si="8"/>
        <v>4466907.5</v>
      </c>
      <c r="AX25" s="79">
        <f t="shared" si="9"/>
        <v>40202154</v>
      </c>
      <c r="AY25" s="79">
        <f t="shared" si="10"/>
        <v>147407961</v>
      </c>
      <c r="AZ25" s="25">
        <v>1</v>
      </c>
      <c r="BA25" s="62" t="s">
        <v>97</v>
      </c>
      <c r="BB25" s="66">
        <v>1</v>
      </c>
      <c r="BC25" s="66"/>
      <c r="BD25" s="66"/>
      <c r="BE25" s="67">
        <f t="shared" si="11"/>
        <v>2233453.75</v>
      </c>
      <c r="BF25" s="67">
        <f t="shared" si="12"/>
        <v>0</v>
      </c>
      <c r="BG25" s="67">
        <f t="shared" si="3"/>
        <v>0</v>
      </c>
      <c r="BH25" s="66"/>
      <c r="BI25" s="68" t="s">
        <v>84</v>
      </c>
      <c r="BJ25" s="68" t="s">
        <v>85</v>
      </c>
      <c r="BK25" s="68" t="s">
        <v>85</v>
      </c>
      <c r="BL25" s="29"/>
      <c r="BO25" s="35" t="s">
        <v>1801</v>
      </c>
      <c r="BQ25" s="1" t="e">
        <v>#N/A</v>
      </c>
    </row>
    <row r="26" spans="1:69" ht="15" hidden="1" customHeight="1">
      <c r="A26" s="1" t="s">
        <v>43</v>
      </c>
      <c r="C26" s="1" t="str">
        <f t="shared" si="4"/>
        <v>2508</v>
      </c>
      <c r="D26" s="1" t="str">
        <f t="shared" si="5"/>
        <v>1809</v>
      </c>
      <c r="E26" s="19" t="s">
        <v>48</v>
      </c>
      <c r="F26" s="62" t="s">
        <v>49</v>
      </c>
      <c r="G26" s="62">
        <v>2112</v>
      </c>
      <c r="H26" s="62" t="s">
        <v>111</v>
      </c>
      <c r="I26" s="62" t="s">
        <v>112</v>
      </c>
      <c r="J26" s="118">
        <v>1</v>
      </c>
      <c r="K26" s="119"/>
      <c r="L26" s="62" t="s">
        <v>77</v>
      </c>
      <c r="M26" s="120" t="s">
        <v>78</v>
      </c>
      <c r="N26" s="65">
        <v>43301</v>
      </c>
      <c r="O26" s="24">
        <v>6332.74</v>
      </c>
      <c r="P26" s="24">
        <v>23100</v>
      </c>
      <c r="Q26" s="64">
        <v>146286294</v>
      </c>
      <c r="R26" s="64"/>
      <c r="S26" s="64"/>
      <c r="T26" s="64"/>
      <c r="U26" s="64"/>
      <c r="V26" s="121">
        <v>146286294</v>
      </c>
      <c r="W26" s="122">
        <v>0</v>
      </c>
      <c r="X26" s="64">
        <v>146286294</v>
      </c>
      <c r="Y26" s="121"/>
      <c r="Z26" s="121"/>
      <c r="AA26" s="121"/>
      <c r="AB26" s="121"/>
      <c r="AC26" s="64">
        <v>146286294</v>
      </c>
      <c r="AD26" s="65">
        <v>43344</v>
      </c>
      <c r="AE26" s="65">
        <v>45899</v>
      </c>
      <c r="AF26" s="62">
        <v>7</v>
      </c>
      <c r="AG26" s="119">
        <v>84</v>
      </c>
      <c r="AH26" s="25">
        <v>1741503.5</v>
      </c>
      <c r="AI26" s="78">
        <v>111456251</v>
      </c>
      <c r="AJ26" s="78">
        <v>34830043</v>
      </c>
      <c r="AK26" s="27">
        <f t="shared" si="6"/>
        <v>1741503.5</v>
      </c>
      <c r="AL26" s="27">
        <f t="shared" si="7"/>
        <v>1741503.5</v>
      </c>
      <c r="AM26" s="27"/>
      <c r="AN26" s="27"/>
      <c r="AO26" s="27"/>
      <c r="AP26" s="27"/>
      <c r="AQ26" s="27"/>
      <c r="AR26" s="27"/>
      <c r="AS26" s="27"/>
      <c r="AT26" s="27"/>
      <c r="AU26" s="27"/>
      <c r="AV26" s="27"/>
      <c r="AW26" s="27">
        <f t="shared" si="8"/>
        <v>3483007</v>
      </c>
      <c r="AX26" s="79">
        <f t="shared" si="9"/>
        <v>31347036</v>
      </c>
      <c r="AY26" s="79">
        <f t="shared" si="10"/>
        <v>114939258</v>
      </c>
      <c r="AZ26" s="25">
        <v>1</v>
      </c>
      <c r="BA26" s="62" t="s">
        <v>97</v>
      </c>
      <c r="BB26" s="66">
        <v>1</v>
      </c>
      <c r="BC26" s="66"/>
      <c r="BD26" s="66"/>
      <c r="BE26" s="67">
        <f t="shared" si="11"/>
        <v>1741503.5</v>
      </c>
      <c r="BF26" s="67">
        <f t="shared" si="12"/>
        <v>0</v>
      </c>
      <c r="BG26" s="67">
        <f t="shared" si="3"/>
        <v>0</v>
      </c>
      <c r="BH26" s="66" t="s">
        <v>1662</v>
      </c>
      <c r="BI26" s="68" t="s">
        <v>107</v>
      </c>
      <c r="BJ26" s="68" t="s">
        <v>81</v>
      </c>
      <c r="BK26" s="68" t="s">
        <v>81</v>
      </c>
      <c r="BL26" s="29"/>
      <c r="BO26" s="35" t="s">
        <v>1801</v>
      </c>
      <c r="BQ26" s="1" t="s">
        <v>1930</v>
      </c>
    </row>
    <row r="27" spans="1:69" ht="15" hidden="1" customHeight="1">
      <c r="A27" s="1" t="s">
        <v>43</v>
      </c>
      <c r="C27" s="1" t="str">
        <f t="shared" si="4"/>
        <v>2508</v>
      </c>
      <c r="D27" s="1" t="str">
        <f t="shared" si="5"/>
        <v>1809</v>
      </c>
      <c r="E27" s="19" t="s">
        <v>48</v>
      </c>
      <c r="F27" s="62" t="s">
        <v>49</v>
      </c>
      <c r="G27" s="62">
        <v>2112</v>
      </c>
      <c r="H27" s="62" t="s">
        <v>113</v>
      </c>
      <c r="I27" s="62" t="s">
        <v>112</v>
      </c>
      <c r="J27" s="118">
        <v>1</v>
      </c>
      <c r="K27" s="119"/>
      <c r="L27" s="62" t="s">
        <v>77</v>
      </c>
      <c r="M27" s="120" t="s">
        <v>78</v>
      </c>
      <c r="N27" s="65">
        <v>43301</v>
      </c>
      <c r="O27" s="24">
        <v>6332.74</v>
      </c>
      <c r="P27" s="24">
        <v>23100</v>
      </c>
      <c r="Q27" s="64">
        <v>146286294</v>
      </c>
      <c r="R27" s="64"/>
      <c r="S27" s="64"/>
      <c r="T27" s="64"/>
      <c r="U27" s="64"/>
      <c r="V27" s="121">
        <v>146286294</v>
      </c>
      <c r="W27" s="122">
        <v>0</v>
      </c>
      <c r="X27" s="64">
        <v>146286294</v>
      </c>
      <c r="Y27" s="121"/>
      <c r="Z27" s="121"/>
      <c r="AA27" s="121"/>
      <c r="AB27" s="121"/>
      <c r="AC27" s="64">
        <v>146286294</v>
      </c>
      <c r="AD27" s="65">
        <v>43344</v>
      </c>
      <c r="AE27" s="65">
        <v>45899</v>
      </c>
      <c r="AF27" s="62">
        <v>7</v>
      </c>
      <c r="AG27" s="119">
        <v>84</v>
      </c>
      <c r="AH27" s="25">
        <v>1741503.5</v>
      </c>
      <c r="AI27" s="78">
        <v>111456251</v>
      </c>
      <c r="AJ27" s="78">
        <v>34830043</v>
      </c>
      <c r="AK27" s="27">
        <f t="shared" si="6"/>
        <v>1741503.5</v>
      </c>
      <c r="AL27" s="27">
        <f t="shared" si="7"/>
        <v>1741503.5</v>
      </c>
      <c r="AM27" s="27"/>
      <c r="AN27" s="27"/>
      <c r="AO27" s="27"/>
      <c r="AP27" s="27"/>
      <c r="AQ27" s="27"/>
      <c r="AR27" s="27"/>
      <c r="AS27" s="27"/>
      <c r="AT27" s="27"/>
      <c r="AU27" s="27"/>
      <c r="AV27" s="27"/>
      <c r="AW27" s="27">
        <f t="shared" si="8"/>
        <v>3483007</v>
      </c>
      <c r="AX27" s="79">
        <f t="shared" si="9"/>
        <v>31347036</v>
      </c>
      <c r="AY27" s="79">
        <f t="shared" si="10"/>
        <v>114939258</v>
      </c>
      <c r="AZ27" s="25">
        <v>1</v>
      </c>
      <c r="BA27" s="62" t="s">
        <v>97</v>
      </c>
      <c r="BB27" s="66">
        <v>1</v>
      </c>
      <c r="BC27" s="66"/>
      <c r="BD27" s="66"/>
      <c r="BE27" s="67">
        <f t="shared" si="11"/>
        <v>1741503.5</v>
      </c>
      <c r="BF27" s="67">
        <f t="shared" si="12"/>
        <v>0</v>
      </c>
      <c r="BG27" s="67">
        <f t="shared" si="3"/>
        <v>0</v>
      </c>
      <c r="BH27" s="66" t="s">
        <v>1662</v>
      </c>
      <c r="BI27" s="68" t="s">
        <v>107</v>
      </c>
      <c r="BJ27" s="68" t="s">
        <v>81</v>
      </c>
      <c r="BK27" s="68" t="s">
        <v>81</v>
      </c>
      <c r="BL27" s="29"/>
      <c r="BO27" s="35" t="s">
        <v>1801</v>
      </c>
      <c r="BQ27" s="1" t="e">
        <v>#N/A</v>
      </c>
    </row>
    <row r="28" spans="1:69" ht="15" hidden="1" customHeight="1">
      <c r="A28" s="1" t="s">
        <v>43</v>
      </c>
      <c r="C28" s="1" t="str">
        <f t="shared" si="4"/>
        <v>2508</v>
      </c>
      <c r="D28" s="1" t="str">
        <f t="shared" si="5"/>
        <v>1809</v>
      </c>
      <c r="E28" s="19" t="s">
        <v>48</v>
      </c>
      <c r="F28" s="62" t="s">
        <v>49</v>
      </c>
      <c r="G28" s="62">
        <v>2112</v>
      </c>
      <c r="H28" s="62" t="s">
        <v>114</v>
      </c>
      <c r="I28" s="62" t="s">
        <v>112</v>
      </c>
      <c r="J28" s="118">
        <v>1</v>
      </c>
      <c r="K28" s="119"/>
      <c r="L28" s="62" t="s">
        <v>77</v>
      </c>
      <c r="M28" s="120" t="s">
        <v>78</v>
      </c>
      <c r="N28" s="65">
        <v>43301</v>
      </c>
      <c r="O28" s="24">
        <v>6332.74</v>
      </c>
      <c r="P28" s="24">
        <v>23100</v>
      </c>
      <c r="Q28" s="64">
        <v>146286294</v>
      </c>
      <c r="R28" s="64"/>
      <c r="S28" s="64"/>
      <c r="T28" s="64"/>
      <c r="U28" s="64"/>
      <c r="V28" s="121">
        <v>146286294</v>
      </c>
      <c r="W28" s="122">
        <v>0</v>
      </c>
      <c r="X28" s="64">
        <v>146286294</v>
      </c>
      <c r="Y28" s="121"/>
      <c r="Z28" s="121"/>
      <c r="AA28" s="121"/>
      <c r="AB28" s="121"/>
      <c r="AC28" s="64">
        <v>146286294</v>
      </c>
      <c r="AD28" s="65">
        <v>43344</v>
      </c>
      <c r="AE28" s="65">
        <v>45899</v>
      </c>
      <c r="AF28" s="62">
        <v>7</v>
      </c>
      <c r="AG28" s="119">
        <v>84</v>
      </c>
      <c r="AH28" s="25">
        <v>1741503.5</v>
      </c>
      <c r="AI28" s="78">
        <v>111456251</v>
      </c>
      <c r="AJ28" s="78">
        <v>34830043</v>
      </c>
      <c r="AK28" s="27">
        <f t="shared" si="6"/>
        <v>1741503.5</v>
      </c>
      <c r="AL28" s="27">
        <f t="shared" si="7"/>
        <v>1741503.5</v>
      </c>
      <c r="AM28" s="27"/>
      <c r="AN28" s="27"/>
      <c r="AO28" s="27"/>
      <c r="AP28" s="27"/>
      <c r="AQ28" s="27"/>
      <c r="AR28" s="27"/>
      <c r="AS28" s="27"/>
      <c r="AT28" s="27"/>
      <c r="AU28" s="27"/>
      <c r="AV28" s="27"/>
      <c r="AW28" s="27">
        <f t="shared" si="8"/>
        <v>3483007</v>
      </c>
      <c r="AX28" s="79">
        <f t="shared" si="9"/>
        <v>31347036</v>
      </c>
      <c r="AY28" s="79">
        <f t="shared" si="10"/>
        <v>114939258</v>
      </c>
      <c r="AZ28" s="25">
        <v>1</v>
      </c>
      <c r="BA28" s="62" t="s">
        <v>97</v>
      </c>
      <c r="BB28" s="66">
        <v>1</v>
      </c>
      <c r="BC28" s="66"/>
      <c r="BD28" s="66"/>
      <c r="BE28" s="67">
        <f t="shared" si="11"/>
        <v>1741503.5</v>
      </c>
      <c r="BF28" s="67">
        <f t="shared" si="12"/>
        <v>0</v>
      </c>
      <c r="BG28" s="67">
        <f t="shared" si="3"/>
        <v>0</v>
      </c>
      <c r="BH28" s="66" t="s">
        <v>1662</v>
      </c>
      <c r="BI28" s="68" t="s">
        <v>107</v>
      </c>
      <c r="BJ28" s="68" t="s">
        <v>81</v>
      </c>
      <c r="BK28" s="68" t="s">
        <v>81</v>
      </c>
      <c r="BL28" s="29"/>
      <c r="BO28" s="35" t="s">
        <v>1801</v>
      </c>
      <c r="BQ28" s="1" t="e">
        <v>#N/A</v>
      </c>
    </row>
    <row r="29" spans="1:69" ht="15" hidden="1" customHeight="1">
      <c r="A29" s="1" t="s">
        <v>43</v>
      </c>
      <c r="C29" s="1" t="str">
        <f t="shared" si="4"/>
        <v>2508</v>
      </c>
      <c r="D29" s="1" t="str">
        <f t="shared" si="5"/>
        <v>1809</v>
      </c>
      <c r="E29" s="19" t="s">
        <v>48</v>
      </c>
      <c r="F29" s="62" t="s">
        <v>49</v>
      </c>
      <c r="G29" s="62">
        <v>2112</v>
      </c>
      <c r="H29" s="62" t="s">
        <v>115</v>
      </c>
      <c r="I29" s="62" t="s">
        <v>116</v>
      </c>
      <c r="J29" s="118">
        <v>1</v>
      </c>
      <c r="K29" s="119"/>
      <c r="L29" s="62" t="s">
        <v>77</v>
      </c>
      <c r="M29" s="120" t="s">
        <v>78</v>
      </c>
      <c r="N29" s="65">
        <v>43301</v>
      </c>
      <c r="O29" s="24">
        <v>8050.09</v>
      </c>
      <c r="P29" s="24">
        <v>23100</v>
      </c>
      <c r="Q29" s="64">
        <v>185957079</v>
      </c>
      <c r="R29" s="64"/>
      <c r="S29" s="64"/>
      <c r="T29" s="64"/>
      <c r="U29" s="64"/>
      <c r="V29" s="121">
        <v>185957079</v>
      </c>
      <c r="W29" s="122">
        <v>0</v>
      </c>
      <c r="X29" s="64">
        <v>185957079</v>
      </c>
      <c r="Y29" s="121"/>
      <c r="Z29" s="121"/>
      <c r="AA29" s="121"/>
      <c r="AB29" s="121"/>
      <c r="AC29" s="64">
        <v>185957079</v>
      </c>
      <c r="AD29" s="65">
        <v>43344</v>
      </c>
      <c r="AE29" s="65">
        <v>45899</v>
      </c>
      <c r="AF29" s="62">
        <v>7</v>
      </c>
      <c r="AG29" s="119">
        <v>84</v>
      </c>
      <c r="AH29" s="25">
        <v>2213774.75</v>
      </c>
      <c r="AI29" s="78">
        <v>141681597.5</v>
      </c>
      <c r="AJ29" s="78">
        <v>44275481.5</v>
      </c>
      <c r="AK29" s="27">
        <f t="shared" si="6"/>
        <v>2213774.75</v>
      </c>
      <c r="AL29" s="27">
        <f t="shared" si="7"/>
        <v>2213774.75</v>
      </c>
      <c r="AM29" s="27"/>
      <c r="AN29" s="27"/>
      <c r="AO29" s="27"/>
      <c r="AP29" s="27"/>
      <c r="AQ29" s="27"/>
      <c r="AR29" s="27"/>
      <c r="AS29" s="27"/>
      <c r="AT29" s="27"/>
      <c r="AU29" s="27"/>
      <c r="AV29" s="27"/>
      <c r="AW29" s="27">
        <f t="shared" si="8"/>
        <v>4427549.5</v>
      </c>
      <c r="AX29" s="79">
        <f t="shared" si="9"/>
        <v>39847932</v>
      </c>
      <c r="AY29" s="79">
        <f t="shared" si="10"/>
        <v>146109147</v>
      </c>
      <c r="AZ29" s="25">
        <v>1</v>
      </c>
      <c r="BA29" s="62" t="s">
        <v>97</v>
      </c>
      <c r="BB29" s="66">
        <v>1</v>
      </c>
      <c r="BC29" s="66"/>
      <c r="BD29" s="66"/>
      <c r="BE29" s="67">
        <f t="shared" si="11"/>
        <v>2213774.75</v>
      </c>
      <c r="BF29" s="67">
        <f t="shared" si="12"/>
        <v>0</v>
      </c>
      <c r="BG29" s="67">
        <f t="shared" si="3"/>
        <v>0</v>
      </c>
      <c r="BH29" s="66"/>
      <c r="BI29" s="68">
        <v>0</v>
      </c>
      <c r="BJ29" s="68" t="s">
        <v>117</v>
      </c>
      <c r="BK29" s="68" t="s">
        <v>117</v>
      </c>
      <c r="BL29" s="29"/>
      <c r="BO29" s="35" t="s">
        <v>1801</v>
      </c>
      <c r="BQ29" s="1" t="e">
        <v>#N/A</v>
      </c>
    </row>
    <row r="30" spans="1:69" ht="15" hidden="1" customHeight="1">
      <c r="A30" s="1" t="s">
        <v>43</v>
      </c>
      <c r="C30" s="1" t="str">
        <f t="shared" si="4"/>
        <v>2508</v>
      </c>
      <c r="D30" s="1" t="str">
        <f t="shared" si="5"/>
        <v>1809</v>
      </c>
      <c r="E30" s="19" t="s">
        <v>48</v>
      </c>
      <c r="F30" s="62" t="s">
        <v>49</v>
      </c>
      <c r="G30" s="62">
        <v>2112</v>
      </c>
      <c r="H30" s="62" t="s">
        <v>118</v>
      </c>
      <c r="I30" s="62" t="s">
        <v>112</v>
      </c>
      <c r="J30" s="118">
        <v>1</v>
      </c>
      <c r="K30" s="119"/>
      <c r="L30" s="62" t="s">
        <v>77</v>
      </c>
      <c r="M30" s="120" t="s">
        <v>78</v>
      </c>
      <c r="N30" s="65">
        <v>43301</v>
      </c>
      <c r="O30" s="24">
        <v>6332.74</v>
      </c>
      <c r="P30" s="24">
        <v>23100</v>
      </c>
      <c r="Q30" s="64">
        <v>146286294</v>
      </c>
      <c r="R30" s="64"/>
      <c r="S30" s="64"/>
      <c r="T30" s="64"/>
      <c r="U30" s="64"/>
      <c r="V30" s="121">
        <v>146286294</v>
      </c>
      <c r="W30" s="122">
        <v>0</v>
      </c>
      <c r="X30" s="64">
        <v>146286294</v>
      </c>
      <c r="Y30" s="121"/>
      <c r="Z30" s="121"/>
      <c r="AA30" s="121"/>
      <c r="AB30" s="121"/>
      <c r="AC30" s="64">
        <v>146286294</v>
      </c>
      <c r="AD30" s="65">
        <v>43344</v>
      </c>
      <c r="AE30" s="65">
        <v>45899</v>
      </c>
      <c r="AF30" s="62">
        <v>7</v>
      </c>
      <c r="AG30" s="119">
        <v>84</v>
      </c>
      <c r="AH30" s="25">
        <v>1741503.5</v>
      </c>
      <c r="AI30" s="78">
        <v>111456251</v>
      </c>
      <c r="AJ30" s="78">
        <v>34830043</v>
      </c>
      <c r="AK30" s="27">
        <f t="shared" si="6"/>
        <v>1741503.5</v>
      </c>
      <c r="AL30" s="27">
        <f t="shared" si="7"/>
        <v>1741503.5</v>
      </c>
      <c r="AM30" s="27"/>
      <c r="AN30" s="27"/>
      <c r="AO30" s="27"/>
      <c r="AP30" s="27"/>
      <c r="AQ30" s="27"/>
      <c r="AR30" s="27"/>
      <c r="AS30" s="27"/>
      <c r="AT30" s="27"/>
      <c r="AU30" s="27"/>
      <c r="AV30" s="27"/>
      <c r="AW30" s="27">
        <f t="shared" si="8"/>
        <v>3483007</v>
      </c>
      <c r="AX30" s="79">
        <f t="shared" si="9"/>
        <v>31347036</v>
      </c>
      <c r="AY30" s="79">
        <f t="shared" si="10"/>
        <v>114939258</v>
      </c>
      <c r="AZ30" s="25">
        <v>1</v>
      </c>
      <c r="BA30" s="62" t="s">
        <v>97</v>
      </c>
      <c r="BB30" s="66">
        <v>1</v>
      </c>
      <c r="BC30" s="66"/>
      <c r="BD30" s="66"/>
      <c r="BE30" s="67">
        <f t="shared" si="11"/>
        <v>1741503.5</v>
      </c>
      <c r="BF30" s="67">
        <f t="shared" si="12"/>
        <v>0</v>
      </c>
      <c r="BG30" s="67">
        <f t="shared" si="3"/>
        <v>0</v>
      </c>
      <c r="BH30" s="66" t="s">
        <v>1662</v>
      </c>
      <c r="BI30" s="68" t="s">
        <v>107</v>
      </c>
      <c r="BJ30" s="68" t="s">
        <v>81</v>
      </c>
      <c r="BK30" s="68" t="s">
        <v>81</v>
      </c>
      <c r="BL30" s="29"/>
      <c r="BO30" s="35" t="s">
        <v>1801</v>
      </c>
      <c r="BQ30" s="1" t="e">
        <v>#N/A</v>
      </c>
    </row>
    <row r="31" spans="1:69" ht="15" hidden="1" customHeight="1">
      <c r="A31" s="1" t="s">
        <v>43</v>
      </c>
      <c r="C31" s="1" t="str">
        <f t="shared" si="4"/>
        <v>2508</v>
      </c>
      <c r="D31" s="1" t="str">
        <f t="shared" si="5"/>
        <v>1809</v>
      </c>
      <c r="E31" s="19" t="s">
        <v>48</v>
      </c>
      <c r="F31" s="62" t="s">
        <v>49</v>
      </c>
      <c r="G31" s="62">
        <v>2112</v>
      </c>
      <c r="H31" s="62" t="s">
        <v>119</v>
      </c>
      <c r="I31" s="62" t="s">
        <v>120</v>
      </c>
      <c r="J31" s="118">
        <v>1</v>
      </c>
      <c r="K31" s="119"/>
      <c r="L31" s="62" t="s">
        <v>77</v>
      </c>
      <c r="M31" s="120" t="s">
        <v>78</v>
      </c>
      <c r="N31" s="65">
        <v>43301</v>
      </c>
      <c r="O31" s="24">
        <v>67236.14</v>
      </c>
      <c r="P31" s="24">
        <v>23100</v>
      </c>
      <c r="Q31" s="64">
        <v>1553154834</v>
      </c>
      <c r="R31" s="64">
        <v>46427329.456</v>
      </c>
      <c r="S31" s="64"/>
      <c r="T31" s="64"/>
      <c r="U31" s="64"/>
      <c r="V31" s="121">
        <v>1599582163.4560001</v>
      </c>
      <c r="W31" s="122">
        <v>0</v>
      </c>
      <c r="X31" s="64">
        <v>1599582163.4560001</v>
      </c>
      <c r="Y31" s="121"/>
      <c r="Z31" s="121"/>
      <c r="AA31" s="121"/>
      <c r="AB31" s="121"/>
      <c r="AC31" s="64">
        <v>1599582163.4560001</v>
      </c>
      <c r="AD31" s="65">
        <v>43344</v>
      </c>
      <c r="AE31" s="65">
        <v>45899</v>
      </c>
      <c r="AF31" s="62">
        <v>7</v>
      </c>
      <c r="AG31" s="119">
        <v>84</v>
      </c>
      <c r="AH31" s="25">
        <v>19042644.80304762</v>
      </c>
      <c r="AI31" s="78">
        <v>1218729278.0264764</v>
      </c>
      <c r="AJ31" s="78">
        <v>380852885.42952383</v>
      </c>
      <c r="AK31" s="27">
        <f t="shared" si="6"/>
        <v>19042644.80304762</v>
      </c>
      <c r="AL31" s="27">
        <f t="shared" si="7"/>
        <v>19042644.80304762</v>
      </c>
      <c r="AM31" s="27"/>
      <c r="AN31" s="27"/>
      <c r="AO31" s="27"/>
      <c r="AP31" s="27"/>
      <c r="AQ31" s="27"/>
      <c r="AR31" s="27"/>
      <c r="AS31" s="27"/>
      <c r="AT31" s="27"/>
      <c r="AU31" s="27"/>
      <c r="AV31" s="27"/>
      <c r="AW31" s="27">
        <f t="shared" si="8"/>
        <v>38085289.60609524</v>
      </c>
      <c r="AX31" s="79">
        <f t="shared" si="9"/>
        <v>342767595.82342845</v>
      </c>
      <c r="AY31" s="79">
        <f t="shared" si="10"/>
        <v>1256814567.6325717</v>
      </c>
      <c r="AZ31" s="25">
        <v>1</v>
      </c>
      <c r="BA31" s="62" t="s">
        <v>97</v>
      </c>
      <c r="BB31" s="66">
        <v>1</v>
      </c>
      <c r="BC31" s="66"/>
      <c r="BD31" s="66"/>
      <c r="BE31" s="67">
        <f t="shared" si="11"/>
        <v>19042644.80304762</v>
      </c>
      <c r="BF31" s="67">
        <f t="shared" si="12"/>
        <v>0</v>
      </c>
      <c r="BG31" s="67">
        <f t="shared" si="3"/>
        <v>0</v>
      </c>
      <c r="BH31" s="66"/>
      <c r="BI31" s="68" t="s">
        <v>80</v>
      </c>
      <c r="BJ31" s="68" t="s">
        <v>121</v>
      </c>
      <c r="BK31" s="68" t="s">
        <v>121</v>
      </c>
      <c r="BL31" s="29"/>
      <c r="BO31" s="35" t="s">
        <v>1800</v>
      </c>
      <c r="BP31" s="1" t="s">
        <v>1803</v>
      </c>
      <c r="BQ31" s="1" t="e">
        <v>#N/A</v>
      </c>
    </row>
    <row r="32" spans="1:69" ht="15" hidden="1" customHeight="1">
      <c r="A32" s="1" t="s">
        <v>43</v>
      </c>
      <c r="C32" s="1" t="str">
        <f t="shared" si="4"/>
        <v>2508</v>
      </c>
      <c r="D32" s="1" t="str">
        <f t="shared" si="5"/>
        <v>1809</v>
      </c>
      <c r="E32" s="19" t="s">
        <v>48</v>
      </c>
      <c r="F32" s="62" t="s">
        <v>49</v>
      </c>
      <c r="G32" s="62">
        <v>2112</v>
      </c>
      <c r="H32" s="62" t="s">
        <v>122</v>
      </c>
      <c r="I32" s="62" t="s">
        <v>123</v>
      </c>
      <c r="J32" s="118">
        <v>1</v>
      </c>
      <c r="K32" s="119"/>
      <c r="L32" s="62" t="s">
        <v>77</v>
      </c>
      <c r="M32" s="120" t="s">
        <v>78</v>
      </c>
      <c r="N32" s="65">
        <v>43301</v>
      </c>
      <c r="O32" s="24">
        <v>25044.720000000001</v>
      </c>
      <c r="P32" s="24">
        <v>23100</v>
      </c>
      <c r="Q32" s="64">
        <v>578533032</v>
      </c>
      <c r="R32" s="64"/>
      <c r="S32" s="64"/>
      <c r="T32" s="64"/>
      <c r="U32" s="64"/>
      <c r="V32" s="121">
        <v>578533032</v>
      </c>
      <c r="W32" s="122">
        <v>0</v>
      </c>
      <c r="X32" s="64">
        <v>578533032</v>
      </c>
      <c r="Y32" s="121"/>
      <c r="Z32" s="121"/>
      <c r="AA32" s="121"/>
      <c r="AB32" s="121"/>
      <c r="AC32" s="64">
        <v>578533032</v>
      </c>
      <c r="AD32" s="65">
        <v>43344</v>
      </c>
      <c r="AE32" s="65">
        <v>45899</v>
      </c>
      <c r="AF32" s="62">
        <v>7</v>
      </c>
      <c r="AG32" s="119">
        <v>84</v>
      </c>
      <c r="AH32" s="25">
        <v>6887298</v>
      </c>
      <c r="AI32" s="78">
        <v>440787072</v>
      </c>
      <c r="AJ32" s="78">
        <v>137745960</v>
      </c>
      <c r="AK32" s="27">
        <f t="shared" si="6"/>
        <v>6887298</v>
      </c>
      <c r="AL32" s="27">
        <f t="shared" si="7"/>
        <v>6887298</v>
      </c>
      <c r="AM32" s="27"/>
      <c r="AN32" s="27"/>
      <c r="AO32" s="27"/>
      <c r="AP32" s="27"/>
      <c r="AQ32" s="27"/>
      <c r="AR32" s="27"/>
      <c r="AS32" s="27"/>
      <c r="AT32" s="27"/>
      <c r="AU32" s="27"/>
      <c r="AV32" s="27"/>
      <c r="AW32" s="27">
        <f t="shared" si="8"/>
        <v>13774596</v>
      </c>
      <c r="AX32" s="79">
        <f t="shared" si="9"/>
        <v>123971364</v>
      </c>
      <c r="AY32" s="79">
        <f t="shared" si="10"/>
        <v>454561668</v>
      </c>
      <c r="AZ32" s="25">
        <v>1</v>
      </c>
      <c r="BA32" s="62" t="s">
        <v>97</v>
      </c>
      <c r="BB32" s="66">
        <v>1</v>
      </c>
      <c r="BC32" s="66"/>
      <c r="BD32" s="66"/>
      <c r="BE32" s="67">
        <f t="shared" si="11"/>
        <v>6887298</v>
      </c>
      <c r="BF32" s="67">
        <f t="shared" si="12"/>
        <v>0</v>
      </c>
      <c r="BG32" s="67">
        <f t="shared" si="3"/>
        <v>0</v>
      </c>
      <c r="BH32" s="66"/>
      <c r="BI32" s="68">
        <v>0</v>
      </c>
      <c r="BJ32" s="68" t="s">
        <v>124</v>
      </c>
      <c r="BK32" s="68" t="s">
        <v>124</v>
      </c>
      <c r="BL32" s="29"/>
      <c r="BO32" s="35" t="s">
        <v>1800</v>
      </c>
      <c r="BQ32" s="1" t="s">
        <v>2049</v>
      </c>
    </row>
    <row r="33" spans="1:69" ht="15" hidden="1" customHeight="1">
      <c r="A33" s="1" t="s">
        <v>43</v>
      </c>
      <c r="C33" s="1" t="str">
        <f t="shared" si="4"/>
        <v>2508</v>
      </c>
      <c r="D33" s="1" t="str">
        <f t="shared" si="5"/>
        <v>1809</v>
      </c>
      <c r="E33" s="19" t="s">
        <v>48</v>
      </c>
      <c r="F33" s="62" t="s">
        <v>49</v>
      </c>
      <c r="G33" s="62">
        <v>2112</v>
      </c>
      <c r="H33" s="62" t="s">
        <v>125</v>
      </c>
      <c r="I33" s="62" t="s">
        <v>126</v>
      </c>
      <c r="J33" s="118">
        <v>1</v>
      </c>
      <c r="K33" s="119"/>
      <c r="L33" s="62" t="s">
        <v>77</v>
      </c>
      <c r="M33" s="120" t="s">
        <v>78</v>
      </c>
      <c r="N33" s="65">
        <v>43301</v>
      </c>
      <c r="O33" s="24">
        <v>1341.68</v>
      </c>
      <c r="P33" s="24">
        <v>23100</v>
      </c>
      <c r="Q33" s="64">
        <v>30992808</v>
      </c>
      <c r="R33" s="64"/>
      <c r="S33" s="64"/>
      <c r="T33" s="64"/>
      <c r="U33" s="64"/>
      <c r="V33" s="121">
        <v>30992808</v>
      </c>
      <c r="W33" s="122">
        <v>0</v>
      </c>
      <c r="X33" s="64">
        <v>30992808</v>
      </c>
      <c r="Y33" s="121"/>
      <c r="Z33" s="121"/>
      <c r="AA33" s="121"/>
      <c r="AB33" s="121"/>
      <c r="AC33" s="64">
        <v>30992808</v>
      </c>
      <c r="AD33" s="65">
        <v>43344</v>
      </c>
      <c r="AE33" s="65">
        <v>45899</v>
      </c>
      <c r="AF33" s="62">
        <v>7</v>
      </c>
      <c r="AG33" s="119">
        <v>84</v>
      </c>
      <c r="AH33" s="25">
        <v>368962</v>
      </c>
      <c r="AI33" s="78">
        <v>23613568</v>
      </c>
      <c r="AJ33" s="78">
        <v>7379240</v>
      </c>
      <c r="AK33" s="27">
        <f t="shared" si="6"/>
        <v>368962</v>
      </c>
      <c r="AL33" s="27">
        <f t="shared" si="7"/>
        <v>368962</v>
      </c>
      <c r="AM33" s="27"/>
      <c r="AN33" s="27"/>
      <c r="AO33" s="27"/>
      <c r="AP33" s="27"/>
      <c r="AQ33" s="27"/>
      <c r="AR33" s="27"/>
      <c r="AS33" s="27"/>
      <c r="AT33" s="27"/>
      <c r="AU33" s="27"/>
      <c r="AV33" s="27"/>
      <c r="AW33" s="27">
        <f t="shared" si="8"/>
        <v>737924</v>
      </c>
      <c r="AX33" s="79">
        <f t="shared" si="9"/>
        <v>6641316</v>
      </c>
      <c r="AY33" s="79">
        <f t="shared" si="10"/>
        <v>24351492</v>
      </c>
      <c r="AZ33" s="25">
        <v>1</v>
      </c>
      <c r="BA33" s="62" t="s">
        <v>97</v>
      </c>
      <c r="BB33" s="66">
        <v>1</v>
      </c>
      <c r="BC33" s="66"/>
      <c r="BD33" s="66"/>
      <c r="BE33" s="67">
        <f t="shared" si="11"/>
        <v>368962</v>
      </c>
      <c r="BF33" s="67">
        <f t="shared" si="12"/>
        <v>0</v>
      </c>
      <c r="BG33" s="67">
        <f t="shared" si="3"/>
        <v>0</v>
      </c>
      <c r="BH33" s="66"/>
      <c r="BI33" s="68">
        <v>0</v>
      </c>
      <c r="BJ33" s="68" t="s">
        <v>124</v>
      </c>
      <c r="BK33" s="68" t="s">
        <v>124</v>
      </c>
      <c r="BL33" s="29"/>
      <c r="BO33" s="35" t="s">
        <v>1800</v>
      </c>
      <c r="BQ33" s="1" t="e">
        <v>#N/A</v>
      </c>
    </row>
    <row r="34" spans="1:69" ht="15" hidden="1" customHeight="1">
      <c r="A34" s="1" t="s">
        <v>43</v>
      </c>
      <c r="C34" s="1" t="str">
        <f t="shared" si="4"/>
        <v>2508</v>
      </c>
      <c r="D34" s="1" t="str">
        <f t="shared" si="5"/>
        <v>1809</v>
      </c>
      <c r="E34" s="19" t="s">
        <v>48</v>
      </c>
      <c r="F34" s="62" t="s">
        <v>49</v>
      </c>
      <c r="G34" s="62">
        <v>2112</v>
      </c>
      <c r="H34" s="62" t="s">
        <v>127</v>
      </c>
      <c r="I34" s="62" t="s">
        <v>128</v>
      </c>
      <c r="J34" s="118">
        <v>1</v>
      </c>
      <c r="K34" s="119"/>
      <c r="L34" s="62" t="s">
        <v>77</v>
      </c>
      <c r="M34" s="120" t="s">
        <v>78</v>
      </c>
      <c r="N34" s="65">
        <v>43301</v>
      </c>
      <c r="O34" s="24">
        <v>1341.68</v>
      </c>
      <c r="P34" s="24">
        <v>23100</v>
      </c>
      <c r="Q34" s="64">
        <v>30992808</v>
      </c>
      <c r="R34" s="64"/>
      <c r="S34" s="64"/>
      <c r="T34" s="64"/>
      <c r="U34" s="64"/>
      <c r="V34" s="121">
        <v>30992808</v>
      </c>
      <c r="W34" s="122">
        <v>0</v>
      </c>
      <c r="X34" s="64">
        <v>30992808</v>
      </c>
      <c r="Y34" s="121"/>
      <c r="Z34" s="121"/>
      <c r="AA34" s="121"/>
      <c r="AB34" s="121"/>
      <c r="AC34" s="64">
        <v>30992808</v>
      </c>
      <c r="AD34" s="65">
        <v>43344</v>
      </c>
      <c r="AE34" s="65">
        <v>45899</v>
      </c>
      <c r="AF34" s="62">
        <v>7</v>
      </c>
      <c r="AG34" s="119">
        <v>84</v>
      </c>
      <c r="AH34" s="25">
        <v>368962</v>
      </c>
      <c r="AI34" s="78">
        <v>23613568</v>
      </c>
      <c r="AJ34" s="78">
        <v>7379240</v>
      </c>
      <c r="AK34" s="27">
        <f t="shared" si="6"/>
        <v>368962</v>
      </c>
      <c r="AL34" s="27">
        <f t="shared" si="7"/>
        <v>368962</v>
      </c>
      <c r="AM34" s="27"/>
      <c r="AN34" s="27"/>
      <c r="AO34" s="27"/>
      <c r="AP34" s="27"/>
      <c r="AQ34" s="27"/>
      <c r="AR34" s="27"/>
      <c r="AS34" s="27"/>
      <c r="AT34" s="27"/>
      <c r="AU34" s="27"/>
      <c r="AV34" s="27"/>
      <c r="AW34" s="27">
        <f t="shared" si="8"/>
        <v>737924</v>
      </c>
      <c r="AX34" s="79">
        <f t="shared" si="9"/>
        <v>6641316</v>
      </c>
      <c r="AY34" s="79">
        <f t="shared" si="10"/>
        <v>24351492</v>
      </c>
      <c r="AZ34" s="25">
        <v>1</v>
      </c>
      <c r="BA34" s="62" t="s">
        <v>97</v>
      </c>
      <c r="BB34" s="66">
        <v>1</v>
      </c>
      <c r="BC34" s="66"/>
      <c r="BD34" s="66"/>
      <c r="BE34" s="67">
        <f t="shared" si="11"/>
        <v>368962</v>
      </c>
      <c r="BF34" s="67">
        <f t="shared" si="12"/>
        <v>0</v>
      </c>
      <c r="BG34" s="67">
        <f t="shared" si="3"/>
        <v>0</v>
      </c>
      <c r="BH34" s="66"/>
      <c r="BI34" s="68">
        <v>0</v>
      </c>
      <c r="BJ34" s="68" t="s">
        <v>124</v>
      </c>
      <c r="BK34" s="68" t="s">
        <v>124</v>
      </c>
      <c r="BL34" s="29"/>
      <c r="BO34" s="35" t="s">
        <v>1800</v>
      </c>
      <c r="BQ34" s="1" t="s">
        <v>2049</v>
      </c>
    </row>
    <row r="35" spans="1:69" ht="15" hidden="1" customHeight="1">
      <c r="A35" s="1" t="s">
        <v>43</v>
      </c>
      <c r="C35" s="1" t="str">
        <f t="shared" si="4"/>
        <v>2508</v>
      </c>
      <c r="D35" s="1" t="str">
        <f t="shared" si="5"/>
        <v>1809</v>
      </c>
      <c r="E35" s="19" t="s">
        <v>48</v>
      </c>
      <c r="F35" s="62" t="s">
        <v>49</v>
      </c>
      <c r="G35" s="62">
        <v>2112</v>
      </c>
      <c r="H35" s="62" t="s">
        <v>129</v>
      </c>
      <c r="I35" s="62" t="s">
        <v>130</v>
      </c>
      <c r="J35" s="118">
        <v>10</v>
      </c>
      <c r="K35" s="119"/>
      <c r="L35" s="62" t="s">
        <v>77</v>
      </c>
      <c r="M35" s="120" t="s">
        <v>78</v>
      </c>
      <c r="N35" s="65">
        <v>43301</v>
      </c>
      <c r="O35" s="24">
        <v>34883.699999999997</v>
      </c>
      <c r="P35" s="24">
        <v>23100</v>
      </c>
      <c r="Q35" s="64">
        <v>805813469.99999988</v>
      </c>
      <c r="R35" s="64"/>
      <c r="S35" s="64"/>
      <c r="T35" s="64"/>
      <c r="U35" s="64"/>
      <c r="V35" s="121">
        <v>805813470</v>
      </c>
      <c r="W35" s="122">
        <v>0</v>
      </c>
      <c r="X35" s="64">
        <v>805813469.99999988</v>
      </c>
      <c r="Y35" s="121"/>
      <c r="Z35" s="121"/>
      <c r="AA35" s="121"/>
      <c r="AB35" s="121"/>
      <c r="AC35" s="64">
        <v>805813470</v>
      </c>
      <c r="AD35" s="65">
        <v>43344</v>
      </c>
      <c r="AE35" s="65">
        <v>45899</v>
      </c>
      <c r="AF35" s="62">
        <v>7</v>
      </c>
      <c r="AG35" s="119">
        <v>84</v>
      </c>
      <c r="AH35" s="25">
        <v>9593017.5</v>
      </c>
      <c r="AI35" s="78">
        <v>613953147</v>
      </c>
      <c r="AJ35" s="78">
        <v>191860323</v>
      </c>
      <c r="AK35" s="27">
        <f t="shared" si="6"/>
        <v>9593017.5</v>
      </c>
      <c r="AL35" s="27">
        <f t="shared" si="7"/>
        <v>9593017.5</v>
      </c>
      <c r="AM35" s="27"/>
      <c r="AN35" s="27"/>
      <c r="AO35" s="27"/>
      <c r="AP35" s="27"/>
      <c r="AQ35" s="27"/>
      <c r="AR35" s="27"/>
      <c r="AS35" s="27"/>
      <c r="AT35" s="27"/>
      <c r="AU35" s="27"/>
      <c r="AV35" s="27"/>
      <c r="AW35" s="27">
        <f t="shared" si="8"/>
        <v>19186035</v>
      </c>
      <c r="AX35" s="79">
        <f t="shared" si="9"/>
        <v>172674288</v>
      </c>
      <c r="AY35" s="79">
        <f t="shared" si="10"/>
        <v>633139182</v>
      </c>
      <c r="AZ35" s="25">
        <v>10</v>
      </c>
      <c r="BA35" s="62" t="s">
        <v>79</v>
      </c>
      <c r="BB35" s="66">
        <v>1</v>
      </c>
      <c r="BC35" s="66"/>
      <c r="BD35" s="66"/>
      <c r="BE35" s="67">
        <f t="shared" si="11"/>
        <v>9593017.5</v>
      </c>
      <c r="BF35" s="67">
        <f t="shared" si="12"/>
        <v>0</v>
      </c>
      <c r="BG35" s="67">
        <f t="shared" si="3"/>
        <v>0</v>
      </c>
      <c r="BH35" s="66"/>
      <c r="BI35" s="68" t="s">
        <v>131</v>
      </c>
      <c r="BJ35" s="68" t="s">
        <v>85</v>
      </c>
      <c r="BK35" s="68" t="s">
        <v>85</v>
      </c>
      <c r="BL35" s="29"/>
      <c r="BO35" s="35" t="s">
        <v>1800</v>
      </c>
      <c r="BQ35" s="1" t="e">
        <v>#N/A</v>
      </c>
    </row>
    <row r="36" spans="1:69" ht="15" hidden="1" customHeight="1">
      <c r="A36" s="1" t="s">
        <v>43</v>
      </c>
      <c r="C36" s="1" t="str">
        <f t="shared" si="4"/>
        <v>2508</v>
      </c>
      <c r="D36" s="1" t="str">
        <f t="shared" si="5"/>
        <v>1809</v>
      </c>
      <c r="E36" s="19" t="s">
        <v>48</v>
      </c>
      <c r="F36" s="62" t="s">
        <v>49</v>
      </c>
      <c r="G36" s="62">
        <v>2112</v>
      </c>
      <c r="H36" s="62" t="s">
        <v>132</v>
      </c>
      <c r="I36" s="62" t="s">
        <v>133</v>
      </c>
      <c r="J36" s="118">
        <v>1</v>
      </c>
      <c r="K36" s="119"/>
      <c r="L36" s="62" t="s">
        <v>77</v>
      </c>
      <c r="M36" s="120"/>
      <c r="N36" s="65">
        <v>43301</v>
      </c>
      <c r="O36" s="24">
        <v>4919.5</v>
      </c>
      <c r="P36" s="24">
        <v>23100</v>
      </c>
      <c r="Q36" s="64">
        <v>113640450</v>
      </c>
      <c r="R36" s="64"/>
      <c r="S36" s="64"/>
      <c r="T36" s="64">
        <v>3290454.8124093078</v>
      </c>
      <c r="U36" s="64" t="s">
        <v>134</v>
      </c>
      <c r="V36" s="121">
        <v>116930904.81200001</v>
      </c>
      <c r="W36" s="122">
        <v>-4.0930509567260742E-4</v>
      </c>
      <c r="X36" s="64">
        <v>116930904.81240931</v>
      </c>
      <c r="Y36" s="121"/>
      <c r="Z36" s="121"/>
      <c r="AA36" s="121"/>
      <c r="AB36" s="121"/>
      <c r="AC36" s="64">
        <v>116930904.8115907</v>
      </c>
      <c r="AD36" s="65">
        <v>43344</v>
      </c>
      <c r="AE36" s="65">
        <v>45899</v>
      </c>
      <c r="AF36" s="62">
        <v>7</v>
      </c>
      <c r="AG36" s="119">
        <v>84</v>
      </c>
      <c r="AH36" s="25">
        <v>1392034.5810903655</v>
      </c>
      <c r="AI36" s="78">
        <v>89090235.812494352</v>
      </c>
      <c r="AJ36" s="78">
        <v>27840668.999096353</v>
      </c>
      <c r="AK36" s="27">
        <f t="shared" si="6"/>
        <v>1392034.5810903655</v>
      </c>
      <c r="AL36" s="27">
        <f t="shared" si="7"/>
        <v>1392034.5810903655</v>
      </c>
      <c r="AM36" s="27"/>
      <c r="AN36" s="27"/>
      <c r="AO36" s="27"/>
      <c r="AP36" s="27"/>
      <c r="AQ36" s="27"/>
      <c r="AR36" s="27"/>
      <c r="AS36" s="27"/>
      <c r="AT36" s="27"/>
      <c r="AU36" s="27"/>
      <c r="AV36" s="27"/>
      <c r="AW36" s="27">
        <f t="shared" si="8"/>
        <v>2784069.1621807311</v>
      </c>
      <c r="AX36" s="79">
        <f t="shared" si="9"/>
        <v>25056599.83691562</v>
      </c>
      <c r="AY36" s="79">
        <f t="shared" si="10"/>
        <v>91874304.974675089</v>
      </c>
      <c r="AZ36" s="25">
        <v>1</v>
      </c>
      <c r="BA36" s="62" t="s">
        <v>97</v>
      </c>
      <c r="BB36" s="66">
        <v>1</v>
      </c>
      <c r="BC36" s="66"/>
      <c r="BD36" s="66"/>
      <c r="BE36" s="67">
        <f t="shared" si="11"/>
        <v>1392034.5810903655</v>
      </c>
      <c r="BF36" s="67">
        <f t="shared" si="12"/>
        <v>0</v>
      </c>
      <c r="BG36" s="67">
        <f t="shared" si="3"/>
        <v>0</v>
      </c>
      <c r="BH36" s="66"/>
      <c r="BI36" s="68" t="s">
        <v>135</v>
      </c>
      <c r="BJ36" s="68" t="s">
        <v>58</v>
      </c>
      <c r="BK36" s="68" t="s">
        <v>136</v>
      </c>
      <c r="BL36" s="29"/>
      <c r="BO36" s="35" t="s">
        <v>1804</v>
      </c>
      <c r="BQ36" s="1" t="e">
        <v>#N/A</v>
      </c>
    </row>
    <row r="37" spans="1:69" s="35" customFormat="1" ht="15" hidden="1" customHeight="1">
      <c r="A37" s="1" t="s">
        <v>43</v>
      </c>
      <c r="B37" s="1"/>
      <c r="C37" s="126">
        <v>2401</v>
      </c>
      <c r="D37" s="1" t="str">
        <f t="shared" si="5"/>
        <v>1809</v>
      </c>
      <c r="E37" s="19" t="s">
        <v>48</v>
      </c>
      <c r="F37" s="62" t="s">
        <v>49</v>
      </c>
      <c r="G37" s="62">
        <v>2112</v>
      </c>
      <c r="H37" s="62" t="s">
        <v>137</v>
      </c>
      <c r="I37" s="62" t="s">
        <v>138</v>
      </c>
      <c r="J37" s="118">
        <v>1</v>
      </c>
      <c r="K37" s="119"/>
      <c r="L37" s="62" t="s">
        <v>77</v>
      </c>
      <c r="M37" s="120" t="s">
        <v>139</v>
      </c>
      <c r="N37" s="65">
        <v>43301</v>
      </c>
      <c r="O37" s="24">
        <v>60204</v>
      </c>
      <c r="P37" s="24">
        <v>23100</v>
      </c>
      <c r="Q37" s="64">
        <v>1390712400</v>
      </c>
      <c r="R37" s="64"/>
      <c r="S37" s="64"/>
      <c r="T37" s="64">
        <v>40268023.483339764</v>
      </c>
      <c r="U37" s="64" t="s">
        <v>134</v>
      </c>
      <c r="V37" s="121">
        <v>1430980423.483</v>
      </c>
      <c r="W37" s="122">
        <v>-3.3974647521972656E-4</v>
      </c>
      <c r="X37" s="64">
        <v>1430980423.4833398</v>
      </c>
      <c r="Y37" s="121">
        <f>-X37</f>
        <v>-1430980423.4833398</v>
      </c>
      <c r="Z37" s="121">
        <v>1</v>
      </c>
      <c r="AA37" s="127">
        <v>45322</v>
      </c>
      <c r="AB37" s="121" t="s">
        <v>143</v>
      </c>
      <c r="AC37" s="64">
        <f>+V37+Y37</f>
        <v>-3.3974647521972656E-4</v>
      </c>
      <c r="AD37" s="65">
        <v>43344</v>
      </c>
      <c r="AE37" s="65">
        <v>45899</v>
      </c>
      <c r="AF37" s="62">
        <v>7</v>
      </c>
      <c r="AG37" s="119">
        <v>84</v>
      </c>
      <c r="AH37" s="25">
        <v>17035481.231936432</v>
      </c>
      <c r="AI37" s="78">
        <v>1090270786.3220246</v>
      </c>
      <c r="AJ37" s="78">
        <v>340709637.16063547</v>
      </c>
      <c r="AK37" s="27">
        <f>+AH37*30/31</f>
        <v>16485949.579293322</v>
      </c>
      <c r="AL37" s="27">
        <v>0</v>
      </c>
      <c r="AM37" s="27"/>
      <c r="AN37" s="27"/>
      <c r="AO37" s="27"/>
      <c r="AP37" s="27"/>
      <c r="AQ37" s="27"/>
      <c r="AR37" s="27"/>
      <c r="AS37" s="27"/>
      <c r="AT37" s="27"/>
      <c r="AU37" s="27"/>
      <c r="AV37" s="27"/>
      <c r="AW37" s="27">
        <f t="shared" si="8"/>
        <v>16485949.579293322</v>
      </c>
      <c r="AX37" s="79">
        <v>0</v>
      </c>
      <c r="AY37" s="79">
        <v>0</v>
      </c>
      <c r="AZ37" s="77">
        <v>1</v>
      </c>
      <c r="BA37" s="76" t="s">
        <v>97</v>
      </c>
      <c r="BB37" s="80">
        <v>1</v>
      </c>
      <c r="BC37" s="80"/>
      <c r="BD37" s="80"/>
      <c r="BE37" s="67">
        <f t="shared" si="11"/>
        <v>0</v>
      </c>
      <c r="BF37" s="67">
        <f t="shared" si="12"/>
        <v>0</v>
      </c>
      <c r="BG37" s="67">
        <f t="shared" si="3"/>
        <v>0</v>
      </c>
      <c r="BH37" s="80" t="s">
        <v>1888</v>
      </c>
      <c r="BI37" s="81" t="s">
        <v>140</v>
      </c>
      <c r="BJ37" s="81" t="s">
        <v>85</v>
      </c>
      <c r="BK37" s="81" t="s">
        <v>85</v>
      </c>
      <c r="BL37" s="29"/>
      <c r="BM37" s="1"/>
      <c r="BN37" s="1"/>
      <c r="BO37" s="35" t="s">
        <v>1804</v>
      </c>
      <c r="BQ37" s="1" t="e">
        <v>#N/A</v>
      </c>
    </row>
    <row r="38" spans="1:69" ht="15" hidden="1" customHeight="1">
      <c r="A38" s="1" t="s">
        <v>43</v>
      </c>
      <c r="C38" s="1" t="str">
        <f t="shared" si="4"/>
        <v>2208</v>
      </c>
      <c r="D38" s="1" t="str">
        <f t="shared" si="5"/>
        <v>1809</v>
      </c>
      <c r="E38" s="19" t="s">
        <v>48</v>
      </c>
      <c r="F38" s="62" t="s">
        <v>49</v>
      </c>
      <c r="G38" s="62">
        <v>2112</v>
      </c>
      <c r="H38" s="62" t="s">
        <v>141</v>
      </c>
      <c r="I38" s="62" t="s">
        <v>142</v>
      </c>
      <c r="J38" s="118">
        <v>1</v>
      </c>
      <c r="K38" s="119"/>
      <c r="L38" s="62" t="s">
        <v>77</v>
      </c>
      <c r="M38" s="120" t="s">
        <v>139</v>
      </c>
      <c r="N38" s="65">
        <v>43301</v>
      </c>
      <c r="O38" s="24">
        <v>86965</v>
      </c>
      <c r="P38" s="24">
        <v>23100</v>
      </c>
      <c r="Q38" s="64">
        <v>2008891500</v>
      </c>
      <c r="R38" s="64"/>
      <c r="S38" s="64"/>
      <c r="T38" s="64">
        <v>58167375</v>
      </c>
      <c r="U38" s="64" t="s">
        <v>134</v>
      </c>
      <c r="V38" s="30">
        <v>2067058875</v>
      </c>
      <c r="W38" s="122">
        <v>-0.29447627067565918</v>
      </c>
      <c r="X38" s="64">
        <v>2067058875.2944763</v>
      </c>
      <c r="Y38" s="121">
        <v>-2067058875</v>
      </c>
      <c r="Z38" s="121">
        <v>1</v>
      </c>
      <c r="AA38" s="127">
        <v>44797</v>
      </c>
      <c r="AB38" s="121" t="s">
        <v>143</v>
      </c>
      <c r="AC38" s="64">
        <v>0</v>
      </c>
      <c r="AD38" s="65">
        <v>43344</v>
      </c>
      <c r="AE38" s="65">
        <v>44797</v>
      </c>
      <c r="AF38" s="62">
        <v>7</v>
      </c>
      <c r="AG38" s="119">
        <v>84</v>
      </c>
      <c r="AH38" s="25">
        <v>24607843.75350567</v>
      </c>
      <c r="AI38" s="78">
        <v>0</v>
      </c>
      <c r="AJ38" s="78">
        <v>0</v>
      </c>
      <c r="AK38" s="27">
        <f t="shared" si="6"/>
        <v>0</v>
      </c>
      <c r="AL38" s="27">
        <f t="shared" si="7"/>
        <v>0</v>
      </c>
      <c r="AM38" s="27"/>
      <c r="AN38" s="27"/>
      <c r="AO38" s="27"/>
      <c r="AP38" s="27"/>
      <c r="AQ38" s="27"/>
      <c r="AR38" s="27"/>
      <c r="AS38" s="27"/>
      <c r="AT38" s="27"/>
      <c r="AU38" s="27"/>
      <c r="AV38" s="27"/>
      <c r="AW38" s="27">
        <f t="shared" si="8"/>
        <v>0</v>
      </c>
      <c r="AX38" s="79">
        <v>0</v>
      </c>
      <c r="AY38" s="79">
        <v>0</v>
      </c>
      <c r="AZ38" s="25">
        <v>0</v>
      </c>
      <c r="BA38" s="62" t="s">
        <v>97</v>
      </c>
      <c r="BB38" s="66">
        <v>1</v>
      </c>
      <c r="BC38" s="66"/>
      <c r="BD38" s="66"/>
      <c r="BE38" s="67">
        <f t="shared" si="11"/>
        <v>0</v>
      </c>
      <c r="BF38" s="67">
        <f t="shared" si="12"/>
        <v>0</v>
      </c>
      <c r="BG38" s="67">
        <f t="shared" si="3"/>
        <v>0</v>
      </c>
      <c r="BH38" s="66"/>
      <c r="BI38" s="68" t="s">
        <v>140</v>
      </c>
      <c r="BJ38" s="68" t="s">
        <v>85</v>
      </c>
      <c r="BK38" s="68" t="s">
        <v>85</v>
      </c>
      <c r="BL38" s="29"/>
      <c r="BQ38" s="1" t="e">
        <v>#N/A</v>
      </c>
    </row>
    <row r="39" spans="1:69" ht="15" hidden="1" customHeight="1">
      <c r="A39" s="1" t="s">
        <v>43</v>
      </c>
      <c r="C39" s="1" t="str">
        <f t="shared" si="4"/>
        <v>2508</v>
      </c>
      <c r="D39" s="1" t="str">
        <f t="shared" si="5"/>
        <v>1809</v>
      </c>
      <c r="E39" s="19" t="s">
        <v>48</v>
      </c>
      <c r="F39" s="62" t="s">
        <v>49</v>
      </c>
      <c r="G39" s="62">
        <v>2112</v>
      </c>
      <c r="H39" s="62" t="s">
        <v>144</v>
      </c>
      <c r="I39" s="62" t="s">
        <v>145</v>
      </c>
      <c r="J39" s="118">
        <v>5</v>
      </c>
      <c r="K39" s="119"/>
      <c r="L39" s="62" t="s">
        <v>77</v>
      </c>
      <c r="M39" s="120" t="s">
        <v>139</v>
      </c>
      <c r="N39" s="65">
        <v>43301</v>
      </c>
      <c r="O39" s="24">
        <v>35944.550000000003</v>
      </c>
      <c r="P39" s="24">
        <v>23100</v>
      </c>
      <c r="Q39" s="64">
        <v>830319105.00000012</v>
      </c>
      <c r="R39" s="64"/>
      <c r="S39" s="64"/>
      <c r="T39" s="64">
        <v>24041857.409774777</v>
      </c>
      <c r="U39" s="64" t="s">
        <v>134</v>
      </c>
      <c r="V39" s="121">
        <v>854360962.40999997</v>
      </c>
      <c r="W39" s="122">
        <v>2.25067138671875E-4</v>
      </c>
      <c r="X39" s="64">
        <v>854360962.4097749</v>
      </c>
      <c r="Y39" s="121"/>
      <c r="Z39" s="121"/>
      <c r="AA39" s="121"/>
      <c r="AB39" s="121"/>
      <c r="AC39" s="64">
        <v>854360962.41022503</v>
      </c>
      <c r="AD39" s="65">
        <v>43344</v>
      </c>
      <c r="AE39" s="65">
        <v>45899</v>
      </c>
      <c r="AF39" s="62">
        <v>7</v>
      </c>
      <c r="AG39" s="119">
        <v>84</v>
      </c>
      <c r="AH39" s="25">
        <v>10170963.838216964</v>
      </c>
      <c r="AI39" s="78">
        <v>650941694.38239467</v>
      </c>
      <c r="AJ39" s="78">
        <v>203419268.02783036</v>
      </c>
      <c r="AK39" s="27">
        <f t="shared" si="6"/>
        <v>10170963.838216964</v>
      </c>
      <c r="AL39" s="27">
        <f t="shared" si="7"/>
        <v>10170963.838216964</v>
      </c>
      <c r="AM39" s="27"/>
      <c r="AN39" s="27"/>
      <c r="AO39" s="27"/>
      <c r="AP39" s="27"/>
      <c r="AQ39" s="27"/>
      <c r="AR39" s="27"/>
      <c r="AS39" s="27"/>
      <c r="AT39" s="27"/>
      <c r="AU39" s="27"/>
      <c r="AV39" s="27"/>
      <c r="AW39" s="27">
        <f t="shared" si="8"/>
        <v>20341927.676433928</v>
      </c>
      <c r="AX39" s="79">
        <f t="shared" si="9"/>
        <v>183077340.35139644</v>
      </c>
      <c r="AY39" s="79">
        <f t="shared" si="10"/>
        <v>671283622.05882859</v>
      </c>
      <c r="AZ39" s="25">
        <v>5</v>
      </c>
      <c r="BA39" s="62" t="s">
        <v>97</v>
      </c>
      <c r="BB39" s="66">
        <v>1</v>
      </c>
      <c r="BC39" s="66"/>
      <c r="BD39" s="66"/>
      <c r="BE39" s="67">
        <f t="shared" si="11"/>
        <v>10170963.838216964</v>
      </c>
      <c r="BF39" s="67">
        <f t="shared" si="12"/>
        <v>0</v>
      </c>
      <c r="BG39" s="67">
        <f t="shared" si="3"/>
        <v>0</v>
      </c>
      <c r="BH39" s="66"/>
      <c r="BI39" s="68" t="s">
        <v>146</v>
      </c>
      <c r="BJ39" s="68" t="s">
        <v>124</v>
      </c>
      <c r="BK39" s="68" t="s">
        <v>124</v>
      </c>
      <c r="BL39" s="29"/>
      <c r="BO39" s="35" t="s">
        <v>1804</v>
      </c>
      <c r="BQ39" s="1" t="e">
        <v>#N/A</v>
      </c>
    </row>
    <row r="40" spans="1:69" ht="15" hidden="1" customHeight="1">
      <c r="A40" s="1" t="s">
        <v>43</v>
      </c>
      <c r="C40" s="1" t="str">
        <f t="shared" si="4"/>
        <v>2508</v>
      </c>
      <c r="D40" s="1" t="str">
        <f t="shared" si="5"/>
        <v>1809</v>
      </c>
      <c r="E40" s="19" t="s">
        <v>48</v>
      </c>
      <c r="F40" s="62" t="s">
        <v>49</v>
      </c>
      <c r="G40" s="62">
        <v>2112</v>
      </c>
      <c r="H40" s="62" t="s">
        <v>147</v>
      </c>
      <c r="I40" s="62" t="s">
        <v>148</v>
      </c>
      <c r="J40" s="118">
        <v>2</v>
      </c>
      <c r="K40" s="119"/>
      <c r="L40" s="62" t="s">
        <v>77</v>
      </c>
      <c r="M40" s="120" t="s">
        <v>149</v>
      </c>
      <c r="N40" s="65">
        <v>43320</v>
      </c>
      <c r="O40" s="24">
        <v>53618.53</v>
      </c>
      <c r="P40" s="24">
        <v>23330</v>
      </c>
      <c r="Q40" s="64">
        <v>1250920304.8999999</v>
      </c>
      <c r="R40" s="64"/>
      <c r="S40" s="64"/>
      <c r="T40" s="64">
        <v>22682434.262417912</v>
      </c>
      <c r="U40" s="64" t="s">
        <v>150</v>
      </c>
      <c r="V40" s="121">
        <v>1273602739.1619999</v>
      </c>
      <c r="W40" s="122">
        <v>-4.1794776916503906E-4</v>
      </c>
      <c r="X40" s="64">
        <v>1273602739.1624179</v>
      </c>
      <c r="Y40" s="121"/>
      <c r="Z40" s="121"/>
      <c r="AA40" s="121"/>
      <c r="AB40" s="121"/>
      <c r="AC40" s="64">
        <v>1273602739.161582</v>
      </c>
      <c r="AD40" s="65">
        <v>43344</v>
      </c>
      <c r="AE40" s="65">
        <v>45899</v>
      </c>
      <c r="AF40" s="62">
        <v>7</v>
      </c>
      <c r="AG40" s="119">
        <v>84</v>
      </c>
      <c r="AH40" s="25">
        <v>15161937.370971214</v>
      </c>
      <c r="AI40" s="78">
        <v>970363971.71129417</v>
      </c>
      <c r="AJ40" s="78">
        <v>303238767.45028782</v>
      </c>
      <c r="AK40" s="27">
        <f t="shared" si="6"/>
        <v>15161937.370971214</v>
      </c>
      <c r="AL40" s="27">
        <f t="shared" si="7"/>
        <v>15161937.370971214</v>
      </c>
      <c r="AM40" s="27"/>
      <c r="AN40" s="27"/>
      <c r="AO40" s="27"/>
      <c r="AP40" s="27"/>
      <c r="AQ40" s="27"/>
      <c r="AR40" s="27"/>
      <c r="AS40" s="27"/>
      <c r="AT40" s="27"/>
      <c r="AU40" s="27"/>
      <c r="AV40" s="27"/>
      <c r="AW40" s="27">
        <f t="shared" si="8"/>
        <v>30323874.741942428</v>
      </c>
      <c r="AX40" s="79">
        <f t="shared" si="9"/>
        <v>272914892.70834541</v>
      </c>
      <c r="AY40" s="79">
        <f t="shared" si="10"/>
        <v>1000687846.4532366</v>
      </c>
      <c r="AZ40" s="25">
        <v>2</v>
      </c>
      <c r="BA40" s="62" t="s">
        <v>97</v>
      </c>
      <c r="BB40" s="66">
        <v>1</v>
      </c>
      <c r="BC40" s="66"/>
      <c r="BD40" s="66"/>
      <c r="BE40" s="67">
        <f t="shared" si="11"/>
        <v>15161937.370971214</v>
      </c>
      <c r="BF40" s="67">
        <f t="shared" si="12"/>
        <v>0</v>
      </c>
      <c r="BG40" s="67">
        <f t="shared" si="3"/>
        <v>0</v>
      </c>
      <c r="BH40" s="66" t="s">
        <v>1662</v>
      </c>
      <c r="BI40" s="68" t="s">
        <v>107</v>
      </c>
      <c r="BJ40" s="68" t="s">
        <v>124</v>
      </c>
      <c r="BK40" s="68" t="s">
        <v>124</v>
      </c>
      <c r="BL40" s="29"/>
      <c r="BO40" s="35" t="s">
        <v>1801</v>
      </c>
      <c r="BQ40" s="1" t="e">
        <v>#N/A</v>
      </c>
    </row>
    <row r="41" spans="1:69" ht="15" hidden="1" customHeight="1">
      <c r="A41" s="1" t="s">
        <v>43</v>
      </c>
      <c r="C41" s="1" t="str">
        <f t="shared" si="4"/>
        <v>2508</v>
      </c>
      <c r="D41" s="1" t="str">
        <f t="shared" si="5"/>
        <v>1809</v>
      </c>
      <c r="E41" s="19" t="s">
        <v>48</v>
      </c>
      <c r="F41" s="62" t="s">
        <v>49</v>
      </c>
      <c r="G41" s="62">
        <v>2112</v>
      </c>
      <c r="H41" s="62" t="s">
        <v>151</v>
      </c>
      <c r="I41" s="62" t="s">
        <v>152</v>
      </c>
      <c r="J41" s="118">
        <v>1</v>
      </c>
      <c r="K41" s="119"/>
      <c r="L41" s="62" t="s">
        <v>77</v>
      </c>
      <c r="M41" s="120" t="s">
        <v>149</v>
      </c>
      <c r="N41" s="65">
        <v>43320</v>
      </c>
      <c r="O41" s="24">
        <v>16635.63</v>
      </c>
      <c r="P41" s="24">
        <v>23330</v>
      </c>
      <c r="Q41" s="64">
        <v>388109247.90000004</v>
      </c>
      <c r="R41" s="64"/>
      <c r="S41" s="64"/>
      <c r="T41" s="64">
        <v>7037428.7375820894</v>
      </c>
      <c r="U41" s="64" t="s">
        <v>150</v>
      </c>
      <c r="V41" s="121">
        <v>395146676.63800001</v>
      </c>
      <c r="W41" s="122">
        <v>4.1788816452026367E-4</v>
      </c>
      <c r="X41" s="64">
        <v>395146676.63758212</v>
      </c>
      <c r="Y41" s="121"/>
      <c r="Z41" s="121"/>
      <c r="AA41" s="121"/>
      <c r="AB41" s="121"/>
      <c r="AC41" s="64">
        <v>395146676.6384179</v>
      </c>
      <c r="AD41" s="65">
        <v>43344</v>
      </c>
      <c r="AE41" s="65">
        <v>45899</v>
      </c>
      <c r="AF41" s="62">
        <v>7</v>
      </c>
      <c r="AG41" s="119">
        <v>84</v>
      </c>
      <c r="AH41" s="25">
        <v>4704127.1028383086</v>
      </c>
      <c r="AI41" s="78">
        <v>301064129.02680099</v>
      </c>
      <c r="AJ41" s="78">
        <v>94082547.61161691</v>
      </c>
      <c r="AK41" s="27">
        <f t="shared" si="6"/>
        <v>4704127.1028383086</v>
      </c>
      <c r="AL41" s="27">
        <f t="shared" si="7"/>
        <v>4704127.1028383086</v>
      </c>
      <c r="AM41" s="27"/>
      <c r="AN41" s="27"/>
      <c r="AO41" s="27"/>
      <c r="AP41" s="27"/>
      <c r="AQ41" s="27"/>
      <c r="AR41" s="27"/>
      <c r="AS41" s="27"/>
      <c r="AT41" s="27"/>
      <c r="AU41" s="27"/>
      <c r="AV41" s="27"/>
      <c r="AW41" s="27">
        <f t="shared" si="8"/>
        <v>9408254.2056766171</v>
      </c>
      <c r="AX41" s="79">
        <f t="shared" si="9"/>
        <v>84674293.405940294</v>
      </c>
      <c r="AY41" s="79">
        <f t="shared" si="10"/>
        <v>310472383.23247761</v>
      </c>
      <c r="AZ41" s="25">
        <v>1</v>
      </c>
      <c r="BA41" s="62" t="s">
        <v>97</v>
      </c>
      <c r="BB41" s="66"/>
      <c r="BC41" s="66">
        <v>1</v>
      </c>
      <c r="BD41" s="66"/>
      <c r="BE41" s="67">
        <f t="shared" si="11"/>
        <v>0</v>
      </c>
      <c r="BF41" s="67">
        <f t="shared" si="12"/>
        <v>4704127.1028383086</v>
      </c>
      <c r="BG41" s="67">
        <f t="shared" si="3"/>
        <v>0</v>
      </c>
      <c r="BH41" s="66"/>
      <c r="BI41" s="68" t="s">
        <v>153</v>
      </c>
      <c r="BJ41" s="68" t="s">
        <v>121</v>
      </c>
      <c r="BK41" s="68" t="s">
        <v>121</v>
      </c>
      <c r="BL41" s="29"/>
      <c r="BO41" s="35" t="s">
        <v>1800</v>
      </c>
      <c r="BQ41" s="1" t="e">
        <v>#N/A</v>
      </c>
    </row>
    <row r="42" spans="1:69" ht="15" hidden="1" customHeight="1">
      <c r="A42" s="1" t="s">
        <v>43</v>
      </c>
      <c r="C42" s="1" t="str">
        <f t="shared" si="4"/>
        <v>2508</v>
      </c>
      <c r="D42" s="1" t="str">
        <f t="shared" si="5"/>
        <v>1809</v>
      </c>
      <c r="E42" s="19" t="s">
        <v>48</v>
      </c>
      <c r="F42" s="62" t="s">
        <v>49</v>
      </c>
      <c r="G42" s="62">
        <v>2112</v>
      </c>
      <c r="H42" s="62" t="s">
        <v>154</v>
      </c>
      <c r="I42" s="62" t="s">
        <v>155</v>
      </c>
      <c r="J42" s="118">
        <v>1</v>
      </c>
      <c r="K42" s="119"/>
      <c r="L42" s="62" t="s">
        <v>77</v>
      </c>
      <c r="M42" s="120" t="s">
        <v>156</v>
      </c>
      <c r="N42" s="65">
        <v>43320</v>
      </c>
      <c r="O42" s="24">
        <v>12934.54</v>
      </c>
      <c r="P42" s="24">
        <v>23330</v>
      </c>
      <c r="Q42" s="64">
        <v>301762818.20000005</v>
      </c>
      <c r="R42" s="64"/>
      <c r="S42" s="64"/>
      <c r="T42" s="64">
        <v>9577257.6915205456</v>
      </c>
      <c r="U42" s="64"/>
      <c r="V42" s="121">
        <v>311340075.89200002</v>
      </c>
      <c r="W42" s="122">
        <v>4.794001579284668E-4</v>
      </c>
      <c r="X42" s="64">
        <v>311340075.89152062</v>
      </c>
      <c r="Y42" s="121">
        <v>-311340075.89152062</v>
      </c>
      <c r="Z42" s="121">
        <v>1</v>
      </c>
      <c r="AA42" s="125">
        <v>44362</v>
      </c>
      <c r="AB42" s="123" t="s">
        <v>89</v>
      </c>
      <c r="AC42" s="64">
        <v>9.5880031585693359E-4</v>
      </c>
      <c r="AD42" s="65">
        <v>43344</v>
      </c>
      <c r="AE42" s="65">
        <v>45899</v>
      </c>
      <c r="AF42" s="62">
        <v>7</v>
      </c>
      <c r="AG42" s="119">
        <v>84</v>
      </c>
      <c r="AH42" s="25">
        <v>1.1414289474487305E-5</v>
      </c>
      <c r="AI42" s="78">
        <v>1.0729432106018066E-3</v>
      </c>
      <c r="AJ42" s="78">
        <v>-1.1414289474487305E-4</v>
      </c>
      <c r="AK42" s="27">
        <f t="shared" si="6"/>
        <v>1.1414289474487305E-5</v>
      </c>
      <c r="AL42" s="27">
        <f t="shared" si="7"/>
        <v>1.1414289474487305E-5</v>
      </c>
      <c r="AM42" s="27"/>
      <c r="AN42" s="27"/>
      <c r="AO42" s="27"/>
      <c r="AP42" s="27"/>
      <c r="AQ42" s="27"/>
      <c r="AR42" s="27"/>
      <c r="AS42" s="27"/>
      <c r="AT42" s="27"/>
      <c r="AU42" s="27"/>
      <c r="AV42" s="27"/>
      <c r="AW42" s="27">
        <f t="shared" si="8"/>
        <v>2.2828578948974609E-5</v>
      </c>
      <c r="AX42" s="79">
        <f t="shared" si="9"/>
        <v>-1.3697147369384766E-4</v>
      </c>
      <c r="AY42" s="79">
        <f t="shared" si="10"/>
        <v>1.0957717895507813E-3</v>
      </c>
      <c r="AZ42" s="25">
        <v>0</v>
      </c>
      <c r="BA42" s="62" t="s">
        <v>97</v>
      </c>
      <c r="BB42" s="66"/>
      <c r="BC42" s="66"/>
      <c r="BD42" s="66">
        <v>1</v>
      </c>
      <c r="BE42" s="67">
        <f t="shared" si="11"/>
        <v>0</v>
      </c>
      <c r="BF42" s="67">
        <f t="shared" si="12"/>
        <v>0</v>
      </c>
      <c r="BG42" s="67">
        <f t="shared" si="3"/>
        <v>1.1414289474487305E-5</v>
      </c>
      <c r="BH42" s="66" t="s">
        <v>106</v>
      </c>
      <c r="BI42" s="68" t="s">
        <v>107</v>
      </c>
      <c r="BJ42" s="68" t="s">
        <v>121</v>
      </c>
      <c r="BK42" s="68" t="s">
        <v>121</v>
      </c>
      <c r="BL42" s="29"/>
      <c r="BQ42" s="1" t="e">
        <v>#N/A</v>
      </c>
    </row>
    <row r="43" spans="1:69" ht="15" hidden="1" customHeight="1">
      <c r="A43" s="1" t="s">
        <v>43</v>
      </c>
      <c r="C43" s="1" t="str">
        <f t="shared" si="4"/>
        <v>2508</v>
      </c>
      <c r="D43" s="1" t="str">
        <f t="shared" si="5"/>
        <v>1809</v>
      </c>
      <c r="E43" s="19" t="s">
        <v>48</v>
      </c>
      <c r="F43" s="62" t="s">
        <v>49</v>
      </c>
      <c r="G43" s="62">
        <v>2112</v>
      </c>
      <c r="H43" s="62" t="s">
        <v>157</v>
      </c>
      <c r="I43" s="62" t="s">
        <v>158</v>
      </c>
      <c r="J43" s="118">
        <v>1</v>
      </c>
      <c r="K43" s="119"/>
      <c r="L43" s="62" t="s">
        <v>77</v>
      </c>
      <c r="M43" s="120" t="s">
        <v>156</v>
      </c>
      <c r="N43" s="65">
        <v>43320</v>
      </c>
      <c r="O43" s="24">
        <v>3611.09</v>
      </c>
      <c r="P43" s="24">
        <v>23330</v>
      </c>
      <c r="Q43" s="64">
        <v>84246729.700000003</v>
      </c>
      <c r="R43" s="64">
        <v>12641660</v>
      </c>
      <c r="S43" s="64"/>
      <c r="T43" s="64">
        <v>2673797.4042581278</v>
      </c>
      <c r="U43" s="64"/>
      <c r="V43" s="121">
        <v>99562187.104000002</v>
      </c>
      <c r="W43" s="122">
        <v>-2.5813281536102295E-4</v>
      </c>
      <c r="X43" s="64">
        <v>99562187.104258135</v>
      </c>
      <c r="Y43" s="121"/>
      <c r="Z43" s="121"/>
      <c r="AA43" s="121"/>
      <c r="AB43" s="121"/>
      <c r="AC43" s="64">
        <v>99562187.103741869</v>
      </c>
      <c r="AD43" s="65">
        <v>43344</v>
      </c>
      <c r="AE43" s="65">
        <v>45899</v>
      </c>
      <c r="AF43" s="62">
        <v>7</v>
      </c>
      <c r="AG43" s="119">
        <v>84</v>
      </c>
      <c r="AH43" s="25">
        <v>1185264.1321874033</v>
      </c>
      <c r="AI43" s="78">
        <v>75856897.325615898</v>
      </c>
      <c r="AJ43" s="78">
        <v>23705289.778125964</v>
      </c>
      <c r="AK43" s="27">
        <f t="shared" si="6"/>
        <v>1185264.1321874033</v>
      </c>
      <c r="AL43" s="27">
        <f t="shared" si="7"/>
        <v>1185264.1321874033</v>
      </c>
      <c r="AM43" s="27"/>
      <c r="AN43" s="27"/>
      <c r="AO43" s="27"/>
      <c r="AP43" s="27"/>
      <c r="AQ43" s="27"/>
      <c r="AR43" s="27"/>
      <c r="AS43" s="27"/>
      <c r="AT43" s="27"/>
      <c r="AU43" s="27"/>
      <c r="AV43" s="27"/>
      <c r="AW43" s="27">
        <f t="shared" si="8"/>
        <v>2370528.2643748065</v>
      </c>
      <c r="AX43" s="79">
        <f t="shared" si="9"/>
        <v>21334761.513751164</v>
      </c>
      <c r="AY43" s="79">
        <f t="shared" si="10"/>
        <v>78227425.589990705</v>
      </c>
      <c r="AZ43" s="25">
        <v>1</v>
      </c>
      <c r="BA43" s="62" t="s">
        <v>79</v>
      </c>
      <c r="BB43" s="66">
        <v>1</v>
      </c>
      <c r="BC43" s="66"/>
      <c r="BD43" s="66"/>
      <c r="BE43" s="67">
        <f t="shared" si="11"/>
        <v>1185264.1321874033</v>
      </c>
      <c r="BF43" s="67">
        <f t="shared" si="12"/>
        <v>0</v>
      </c>
      <c r="BG43" s="67">
        <f t="shared" si="3"/>
        <v>0</v>
      </c>
      <c r="BH43" s="66"/>
      <c r="BI43" s="68">
        <v>0</v>
      </c>
      <c r="BJ43" s="68" t="s">
        <v>58</v>
      </c>
      <c r="BK43" s="68" t="s">
        <v>159</v>
      </c>
      <c r="BL43" s="29"/>
      <c r="BO43" s="35" t="s">
        <v>1804</v>
      </c>
      <c r="BQ43" s="1" t="e">
        <v>#N/A</v>
      </c>
    </row>
    <row r="44" spans="1:69" ht="15" hidden="1" customHeight="1">
      <c r="A44" s="1" t="s">
        <v>43</v>
      </c>
      <c r="C44" s="1" t="str">
        <f t="shared" si="4"/>
        <v>2508</v>
      </c>
      <c r="D44" s="1" t="str">
        <f t="shared" si="5"/>
        <v>1809</v>
      </c>
      <c r="E44" s="19" t="s">
        <v>48</v>
      </c>
      <c r="F44" s="62" t="s">
        <v>49</v>
      </c>
      <c r="G44" s="62">
        <v>2112</v>
      </c>
      <c r="H44" s="62" t="s">
        <v>160</v>
      </c>
      <c r="I44" s="62" t="s">
        <v>161</v>
      </c>
      <c r="J44" s="118">
        <v>1</v>
      </c>
      <c r="K44" s="119"/>
      <c r="L44" s="62" t="s">
        <v>77</v>
      </c>
      <c r="M44" s="120" t="s">
        <v>156</v>
      </c>
      <c r="N44" s="65">
        <v>43320</v>
      </c>
      <c r="O44" s="24">
        <v>4513.8599999999997</v>
      </c>
      <c r="P44" s="24">
        <v>23330</v>
      </c>
      <c r="Q44" s="64">
        <v>105308353.8</v>
      </c>
      <c r="R44" s="64"/>
      <c r="S44" s="64"/>
      <c r="T44" s="64">
        <v>3342244.904221327</v>
      </c>
      <c r="U44" s="64"/>
      <c r="V44" s="121">
        <v>108650598.704</v>
      </c>
      <c r="W44" s="122">
        <v>-2.2132694721221924E-4</v>
      </c>
      <c r="X44" s="64">
        <v>108650598.70422132</v>
      </c>
      <c r="Y44" s="121">
        <v>-108650598.70422132</v>
      </c>
      <c r="Z44" s="121">
        <v>1</v>
      </c>
      <c r="AA44" s="125">
        <v>44362</v>
      </c>
      <c r="AB44" s="123" t="s">
        <v>89</v>
      </c>
      <c r="AC44" s="64">
        <v>-4.4265389442443848E-4</v>
      </c>
      <c r="AD44" s="65">
        <v>43344</v>
      </c>
      <c r="AE44" s="65">
        <v>45899</v>
      </c>
      <c r="AF44" s="62">
        <v>7</v>
      </c>
      <c r="AG44" s="119">
        <v>84</v>
      </c>
      <c r="AH44" s="25">
        <v>-5.2696892193385537E-6</v>
      </c>
      <c r="AI44" s="78">
        <v>-4.9535078661782402E-4</v>
      </c>
      <c r="AJ44" s="78">
        <v>5.2696892193385548E-5</v>
      </c>
      <c r="AK44" s="27">
        <f t="shared" si="6"/>
        <v>-5.2696892193385537E-6</v>
      </c>
      <c r="AL44" s="27">
        <f t="shared" si="7"/>
        <v>-5.2696892193385537E-6</v>
      </c>
      <c r="AM44" s="27"/>
      <c r="AN44" s="27"/>
      <c r="AO44" s="27"/>
      <c r="AP44" s="27"/>
      <c r="AQ44" s="27"/>
      <c r="AR44" s="27"/>
      <c r="AS44" s="27"/>
      <c r="AT44" s="27"/>
      <c r="AU44" s="27"/>
      <c r="AV44" s="27"/>
      <c r="AW44" s="27">
        <f t="shared" si="8"/>
        <v>-1.0539378438677107E-5</v>
      </c>
      <c r="AX44" s="79">
        <f t="shared" si="9"/>
        <v>6.3236270632062661E-5</v>
      </c>
      <c r="AY44" s="79">
        <f t="shared" si="10"/>
        <v>-5.0589016505650118E-4</v>
      </c>
      <c r="AZ44" s="25">
        <v>0</v>
      </c>
      <c r="BA44" s="62" t="s">
        <v>97</v>
      </c>
      <c r="BB44" s="66"/>
      <c r="BC44" s="66"/>
      <c r="BD44" s="66">
        <v>1</v>
      </c>
      <c r="BE44" s="67">
        <f t="shared" si="11"/>
        <v>0</v>
      </c>
      <c r="BF44" s="67">
        <f t="shared" si="12"/>
        <v>0</v>
      </c>
      <c r="BG44" s="67">
        <f t="shared" si="3"/>
        <v>-5.2696892193385537E-6</v>
      </c>
      <c r="BH44" s="66" t="s">
        <v>162</v>
      </c>
      <c r="BI44" s="68" t="s">
        <v>107</v>
      </c>
      <c r="BJ44" s="68" t="s">
        <v>81</v>
      </c>
      <c r="BK44" s="68" t="s">
        <v>81</v>
      </c>
      <c r="BL44" s="29"/>
      <c r="BQ44" s="1" t="e">
        <v>#N/A</v>
      </c>
    </row>
    <row r="45" spans="1:69" ht="15" hidden="1" customHeight="1">
      <c r="A45" s="1" t="s">
        <v>43</v>
      </c>
      <c r="C45" s="1" t="str">
        <f t="shared" si="4"/>
        <v>2508</v>
      </c>
      <c r="D45" s="1" t="str">
        <f t="shared" si="5"/>
        <v>1809</v>
      </c>
      <c r="E45" s="19" t="s">
        <v>48</v>
      </c>
      <c r="F45" s="62" t="s">
        <v>49</v>
      </c>
      <c r="G45" s="62">
        <v>2112</v>
      </c>
      <c r="H45" s="62" t="s">
        <v>163</v>
      </c>
      <c r="I45" s="62" t="s">
        <v>164</v>
      </c>
      <c r="J45" s="118">
        <v>1</v>
      </c>
      <c r="K45" s="119"/>
      <c r="L45" s="62" t="s">
        <v>165</v>
      </c>
      <c r="M45" s="120" t="s">
        <v>166</v>
      </c>
      <c r="N45" s="65">
        <v>43332</v>
      </c>
      <c r="O45" s="24"/>
      <c r="P45" s="24"/>
      <c r="Q45" s="64">
        <v>613000000</v>
      </c>
      <c r="R45" s="64"/>
      <c r="S45" s="64"/>
      <c r="T45" s="64"/>
      <c r="U45" s="64"/>
      <c r="V45" s="121">
        <v>613000000</v>
      </c>
      <c r="W45" s="122">
        <v>0</v>
      </c>
      <c r="X45" s="64">
        <v>613000000</v>
      </c>
      <c r="Y45" s="121"/>
      <c r="Z45" s="121"/>
      <c r="AA45" s="121"/>
      <c r="AB45" s="121"/>
      <c r="AC45" s="64">
        <v>613000000</v>
      </c>
      <c r="AD45" s="65">
        <v>43344</v>
      </c>
      <c r="AE45" s="65">
        <v>45899</v>
      </c>
      <c r="AF45" s="62">
        <v>7</v>
      </c>
      <c r="AG45" s="119">
        <v>84</v>
      </c>
      <c r="AH45" s="25">
        <v>7297619.0476190476</v>
      </c>
      <c r="AI45" s="78">
        <v>467047616.47619045</v>
      </c>
      <c r="AJ45" s="78">
        <v>145952383.52380955</v>
      </c>
      <c r="AK45" s="27">
        <f t="shared" si="6"/>
        <v>7297619.0476190476</v>
      </c>
      <c r="AL45" s="27">
        <f t="shared" si="7"/>
        <v>7297619.0476190476</v>
      </c>
      <c r="AM45" s="27"/>
      <c r="AN45" s="27"/>
      <c r="AO45" s="27"/>
      <c r="AP45" s="27"/>
      <c r="AQ45" s="27"/>
      <c r="AR45" s="27"/>
      <c r="AS45" s="27"/>
      <c r="AT45" s="27"/>
      <c r="AU45" s="27"/>
      <c r="AV45" s="27"/>
      <c r="AW45" s="27">
        <f t="shared" si="8"/>
        <v>14595238.095238095</v>
      </c>
      <c r="AX45" s="79">
        <f t="shared" si="9"/>
        <v>131357145.42857146</v>
      </c>
      <c r="AY45" s="79">
        <f t="shared" si="10"/>
        <v>481642854.57142854</v>
      </c>
      <c r="AZ45" s="25">
        <v>1</v>
      </c>
      <c r="BA45" s="62" t="s">
        <v>79</v>
      </c>
      <c r="BB45" s="66">
        <v>1</v>
      </c>
      <c r="BC45" s="66"/>
      <c r="BD45" s="66"/>
      <c r="BE45" s="67">
        <f t="shared" si="11"/>
        <v>7297619.0476190476</v>
      </c>
      <c r="BF45" s="67">
        <f t="shared" si="12"/>
        <v>0</v>
      </c>
      <c r="BG45" s="67">
        <f t="shared" si="3"/>
        <v>0</v>
      </c>
      <c r="BH45" s="66"/>
      <c r="BI45" s="68" t="s">
        <v>140</v>
      </c>
      <c r="BJ45" s="68" t="s">
        <v>58</v>
      </c>
      <c r="BK45" s="68" t="s">
        <v>59</v>
      </c>
      <c r="BL45" s="29"/>
      <c r="BO45" s="35" t="s">
        <v>1804</v>
      </c>
      <c r="BQ45" s="1" t="e">
        <v>#N/A</v>
      </c>
    </row>
    <row r="46" spans="1:69" ht="15" hidden="1" customHeight="1">
      <c r="A46" s="1" t="s">
        <v>43</v>
      </c>
      <c r="C46" s="1" t="str">
        <f t="shared" si="4"/>
        <v>2508</v>
      </c>
      <c r="D46" s="1" t="str">
        <f t="shared" si="5"/>
        <v>1809</v>
      </c>
      <c r="E46" s="19" t="s">
        <v>48</v>
      </c>
      <c r="F46" s="62" t="s">
        <v>49</v>
      </c>
      <c r="G46" s="62">
        <v>2112</v>
      </c>
      <c r="H46" s="62" t="s">
        <v>167</v>
      </c>
      <c r="I46" s="62" t="s">
        <v>168</v>
      </c>
      <c r="J46" s="118">
        <v>1</v>
      </c>
      <c r="K46" s="119"/>
      <c r="L46" s="62" t="s">
        <v>169</v>
      </c>
      <c r="M46" s="120" t="s">
        <v>170</v>
      </c>
      <c r="N46" s="65">
        <v>43335</v>
      </c>
      <c r="O46" s="24"/>
      <c r="P46" s="24"/>
      <c r="Q46" s="64">
        <v>53800000</v>
      </c>
      <c r="R46" s="64"/>
      <c r="S46" s="64"/>
      <c r="T46" s="64"/>
      <c r="U46" s="64"/>
      <c r="V46" s="121">
        <v>53800000</v>
      </c>
      <c r="W46" s="122">
        <v>0</v>
      </c>
      <c r="X46" s="64">
        <v>53800000</v>
      </c>
      <c r="Y46" s="121">
        <v>-53800000</v>
      </c>
      <c r="Z46" s="121">
        <v>1</v>
      </c>
      <c r="AA46" s="127">
        <v>43516</v>
      </c>
      <c r="AB46" s="123" t="s">
        <v>89</v>
      </c>
      <c r="AC46" s="64">
        <v>0</v>
      </c>
      <c r="AD46" s="65">
        <v>43344</v>
      </c>
      <c r="AE46" s="65">
        <v>45899</v>
      </c>
      <c r="AF46" s="62">
        <v>7</v>
      </c>
      <c r="AG46" s="119">
        <v>84</v>
      </c>
      <c r="AH46" s="25">
        <v>0</v>
      </c>
      <c r="AI46" s="78">
        <v>0</v>
      </c>
      <c r="AJ46" s="78">
        <v>0</v>
      </c>
      <c r="AK46" s="27">
        <f t="shared" si="6"/>
        <v>0</v>
      </c>
      <c r="AL46" s="27">
        <f t="shared" si="7"/>
        <v>0</v>
      </c>
      <c r="AM46" s="27"/>
      <c r="AN46" s="27"/>
      <c r="AO46" s="27"/>
      <c r="AP46" s="27"/>
      <c r="AQ46" s="27"/>
      <c r="AR46" s="27"/>
      <c r="AS46" s="27"/>
      <c r="AT46" s="27"/>
      <c r="AU46" s="27"/>
      <c r="AV46" s="27"/>
      <c r="AW46" s="27">
        <f t="shared" si="8"/>
        <v>0</v>
      </c>
      <c r="AX46" s="79">
        <f t="shared" si="9"/>
        <v>0</v>
      </c>
      <c r="AY46" s="79">
        <f t="shared" si="10"/>
        <v>0</v>
      </c>
      <c r="AZ46" s="25">
        <v>0</v>
      </c>
      <c r="BA46" s="62" t="s">
        <v>79</v>
      </c>
      <c r="BB46" s="66">
        <v>1</v>
      </c>
      <c r="BC46" s="66"/>
      <c r="BD46" s="66"/>
      <c r="BE46" s="67">
        <f t="shared" si="11"/>
        <v>0</v>
      </c>
      <c r="BF46" s="67">
        <f t="shared" si="12"/>
        <v>0</v>
      </c>
      <c r="BG46" s="67">
        <f t="shared" si="3"/>
        <v>0</v>
      </c>
      <c r="BH46" s="66"/>
      <c r="BI46" s="68" t="s">
        <v>90</v>
      </c>
      <c r="BJ46" s="68" t="s">
        <v>58</v>
      </c>
      <c r="BK46" s="68" t="s">
        <v>59</v>
      </c>
      <c r="BL46" s="29"/>
      <c r="BQ46" s="1" t="e">
        <v>#N/A</v>
      </c>
    </row>
    <row r="47" spans="1:69" ht="15" hidden="1" customHeight="1">
      <c r="A47" s="1" t="s">
        <v>43</v>
      </c>
      <c r="C47" s="1" t="str">
        <f t="shared" si="4"/>
        <v>2309</v>
      </c>
      <c r="D47" s="1" t="str">
        <f t="shared" si="5"/>
        <v>1810</v>
      </c>
      <c r="E47" s="19" t="s">
        <v>48</v>
      </c>
      <c r="F47" s="62" t="s">
        <v>49</v>
      </c>
      <c r="G47" s="62">
        <v>2112</v>
      </c>
      <c r="H47" s="62" t="s">
        <v>171</v>
      </c>
      <c r="I47" s="62" t="s">
        <v>172</v>
      </c>
      <c r="J47" s="118">
        <v>4</v>
      </c>
      <c r="K47" s="119"/>
      <c r="L47" s="62" t="s">
        <v>77</v>
      </c>
      <c r="M47" s="120" t="s">
        <v>173</v>
      </c>
      <c r="N47" s="65">
        <v>43353</v>
      </c>
      <c r="O47" s="24">
        <v>12000</v>
      </c>
      <c r="P47" s="24">
        <v>23320</v>
      </c>
      <c r="Q47" s="64">
        <v>279840000</v>
      </c>
      <c r="R47" s="64"/>
      <c r="S47" s="64"/>
      <c r="T47" s="64">
        <v>6839169.3958944278</v>
      </c>
      <c r="U47" s="64" t="s">
        <v>174</v>
      </c>
      <c r="V47" s="121">
        <v>286679169.39600003</v>
      </c>
      <c r="W47" s="122">
        <v>1.0561943054199219E-4</v>
      </c>
      <c r="X47" s="64">
        <v>286679169.39589441</v>
      </c>
      <c r="Y47" s="121">
        <v>-143339584.697947</v>
      </c>
      <c r="Z47" s="121">
        <v>2</v>
      </c>
      <c r="AA47" s="125">
        <v>44362</v>
      </c>
      <c r="AB47" s="123" t="s">
        <v>1885</v>
      </c>
      <c r="AC47" s="64">
        <v>143339584.69815865</v>
      </c>
      <c r="AD47" s="65">
        <v>43374</v>
      </c>
      <c r="AE47" s="65">
        <v>45199</v>
      </c>
      <c r="AF47" s="62">
        <v>5</v>
      </c>
      <c r="AG47" s="119">
        <v>60.000001966585359</v>
      </c>
      <c r="AH47" s="25">
        <v>2388993</v>
      </c>
      <c r="AI47" s="78">
        <v>143339584.69815865</v>
      </c>
      <c r="AJ47" s="78">
        <v>0</v>
      </c>
      <c r="AK47" s="27">
        <f t="shared" si="6"/>
        <v>0</v>
      </c>
      <c r="AL47" s="27">
        <f t="shared" si="7"/>
        <v>0</v>
      </c>
      <c r="AM47" s="27"/>
      <c r="AN47" s="27"/>
      <c r="AO47" s="27"/>
      <c r="AP47" s="27"/>
      <c r="AQ47" s="27"/>
      <c r="AR47" s="27"/>
      <c r="AS47" s="27"/>
      <c r="AT47" s="27"/>
      <c r="AU47" s="27"/>
      <c r="AV47" s="27"/>
      <c r="AW47" s="27">
        <f t="shared" si="8"/>
        <v>0</v>
      </c>
      <c r="AX47" s="79">
        <f t="shared" si="9"/>
        <v>0</v>
      </c>
      <c r="AY47" s="79">
        <f t="shared" si="10"/>
        <v>143339584.69815865</v>
      </c>
      <c r="AZ47" s="25">
        <v>2</v>
      </c>
      <c r="BA47" s="62" t="s">
        <v>97</v>
      </c>
      <c r="BB47" s="66">
        <v>1</v>
      </c>
      <c r="BC47" s="66"/>
      <c r="BD47" s="66"/>
      <c r="BE47" s="67">
        <f t="shared" si="11"/>
        <v>0</v>
      </c>
      <c r="BF47" s="67">
        <f t="shared" si="12"/>
        <v>0</v>
      </c>
      <c r="BG47" s="67">
        <f t="shared" si="3"/>
        <v>0</v>
      </c>
      <c r="BH47" s="66" t="s">
        <v>1662</v>
      </c>
      <c r="BI47" s="68" t="s">
        <v>107</v>
      </c>
      <c r="BJ47" s="68" t="s">
        <v>98</v>
      </c>
      <c r="BK47" s="68" t="s">
        <v>98</v>
      </c>
      <c r="BL47" s="29"/>
      <c r="BO47" s="35" t="s">
        <v>1800</v>
      </c>
      <c r="BQ47" s="1" t="s">
        <v>1982</v>
      </c>
    </row>
    <row r="48" spans="1:69" ht="15" hidden="1" customHeight="1">
      <c r="A48" s="1" t="s">
        <v>43</v>
      </c>
      <c r="C48" s="1" t="str">
        <f t="shared" si="4"/>
        <v>2309</v>
      </c>
      <c r="D48" s="1" t="str">
        <f t="shared" si="5"/>
        <v>1810</v>
      </c>
      <c r="E48" s="19" t="s">
        <v>48</v>
      </c>
      <c r="F48" s="62" t="s">
        <v>49</v>
      </c>
      <c r="G48" s="62">
        <v>2112</v>
      </c>
      <c r="H48" s="62" t="s">
        <v>175</v>
      </c>
      <c r="I48" s="62" t="s">
        <v>176</v>
      </c>
      <c r="J48" s="118">
        <v>1</v>
      </c>
      <c r="K48" s="119"/>
      <c r="L48" s="62" t="s">
        <v>77</v>
      </c>
      <c r="M48" s="120" t="s">
        <v>173</v>
      </c>
      <c r="N48" s="65">
        <v>43353</v>
      </c>
      <c r="O48" s="24">
        <v>3000</v>
      </c>
      <c r="P48" s="24">
        <v>23320</v>
      </c>
      <c r="Q48" s="64">
        <v>69960000</v>
      </c>
      <c r="R48" s="64">
        <v>3493847.338</v>
      </c>
      <c r="S48" s="64"/>
      <c r="T48" s="64">
        <v>1709792.3489736069</v>
      </c>
      <c r="U48" s="64"/>
      <c r="V48" s="121">
        <v>75163639.687000006</v>
      </c>
      <c r="W48" s="122">
        <v>2.6404857635498047E-5</v>
      </c>
      <c r="X48" s="64">
        <v>75163639.686973602</v>
      </c>
      <c r="Y48" s="121">
        <v>-75163640</v>
      </c>
      <c r="Z48" s="121">
        <v>1</v>
      </c>
      <c r="AA48" s="123">
        <v>43427</v>
      </c>
      <c r="AB48" s="123" t="s">
        <v>89</v>
      </c>
      <c r="AC48" s="64">
        <v>-0.31297358870506287</v>
      </c>
      <c r="AD48" s="65">
        <v>43374</v>
      </c>
      <c r="AE48" s="65">
        <v>45199</v>
      </c>
      <c r="AF48" s="62">
        <v>5</v>
      </c>
      <c r="AG48" s="119">
        <v>60</v>
      </c>
      <c r="AH48" s="25">
        <v>-5.2162264784177143E-3</v>
      </c>
      <c r="AI48" s="78">
        <v>-0.31297358870506287</v>
      </c>
      <c r="AJ48" s="78">
        <v>0</v>
      </c>
      <c r="AK48" s="27">
        <f t="shared" si="6"/>
        <v>0</v>
      </c>
      <c r="AL48" s="27">
        <f t="shared" si="7"/>
        <v>0</v>
      </c>
      <c r="AM48" s="27"/>
      <c r="AN48" s="27"/>
      <c r="AO48" s="27"/>
      <c r="AP48" s="27"/>
      <c r="AQ48" s="27"/>
      <c r="AR48" s="27"/>
      <c r="AS48" s="27"/>
      <c r="AT48" s="27"/>
      <c r="AU48" s="27"/>
      <c r="AV48" s="27"/>
      <c r="AW48" s="27">
        <f t="shared" si="8"/>
        <v>0</v>
      </c>
      <c r="AX48" s="79">
        <f t="shared" si="9"/>
        <v>0</v>
      </c>
      <c r="AY48" s="79">
        <f t="shared" si="10"/>
        <v>-0.31297358870506287</v>
      </c>
      <c r="AZ48" s="25">
        <v>0</v>
      </c>
      <c r="BA48" s="62" t="s">
        <v>97</v>
      </c>
      <c r="BB48" s="66">
        <v>1</v>
      </c>
      <c r="BC48" s="66"/>
      <c r="BD48" s="66"/>
      <c r="BE48" s="67">
        <f t="shared" si="11"/>
        <v>0</v>
      </c>
      <c r="BF48" s="67">
        <f t="shared" si="12"/>
        <v>0</v>
      </c>
      <c r="BG48" s="67">
        <f t="shared" si="3"/>
        <v>0</v>
      </c>
      <c r="BH48" s="66"/>
      <c r="BI48" s="68" t="s">
        <v>90</v>
      </c>
      <c r="BJ48" s="68" t="s">
        <v>98</v>
      </c>
      <c r="BK48" s="68" t="s">
        <v>98</v>
      </c>
      <c r="BL48" s="29"/>
      <c r="BQ48" s="1" t="e">
        <v>#N/A</v>
      </c>
    </row>
    <row r="49" spans="1:69" ht="15" hidden="1" customHeight="1">
      <c r="A49" s="1" t="s">
        <v>43</v>
      </c>
      <c r="C49" s="1" t="str">
        <f t="shared" si="4"/>
        <v>2309</v>
      </c>
      <c r="D49" s="1" t="str">
        <f t="shared" si="5"/>
        <v>1810</v>
      </c>
      <c r="E49" s="19" t="s">
        <v>48</v>
      </c>
      <c r="F49" s="62" t="s">
        <v>49</v>
      </c>
      <c r="G49" s="62">
        <v>2112</v>
      </c>
      <c r="H49" s="62" t="s">
        <v>177</v>
      </c>
      <c r="I49" s="62" t="s">
        <v>178</v>
      </c>
      <c r="J49" s="118">
        <v>1</v>
      </c>
      <c r="K49" s="119"/>
      <c r="L49" s="62" t="s">
        <v>77</v>
      </c>
      <c r="M49" s="120" t="s">
        <v>173</v>
      </c>
      <c r="N49" s="65">
        <v>43353</v>
      </c>
      <c r="O49" s="24">
        <v>180000</v>
      </c>
      <c r="P49" s="24">
        <v>23320</v>
      </c>
      <c r="Q49" s="64">
        <v>4197600000</v>
      </c>
      <c r="R49" s="64"/>
      <c r="S49" s="64"/>
      <c r="T49" s="64">
        <v>102587540.93841642</v>
      </c>
      <c r="U49" s="64"/>
      <c r="V49" s="121">
        <v>4300187540.9379997</v>
      </c>
      <c r="W49" s="122">
        <v>-4.1675567626953125E-4</v>
      </c>
      <c r="X49" s="64">
        <v>4300187540.9384165</v>
      </c>
      <c r="Y49" s="121"/>
      <c r="Z49" s="121"/>
      <c r="AA49" s="121"/>
      <c r="AB49" s="121"/>
      <c r="AC49" s="64">
        <v>4300187540.937583</v>
      </c>
      <c r="AD49" s="65">
        <v>43374</v>
      </c>
      <c r="AE49" s="65">
        <v>45199</v>
      </c>
      <c r="AF49" s="62">
        <v>5</v>
      </c>
      <c r="AG49" s="119">
        <v>60</v>
      </c>
      <c r="AH49" s="25">
        <v>71669792.348959714</v>
      </c>
      <c r="AI49" s="78">
        <v>4300187540.937583</v>
      </c>
      <c r="AJ49" s="78">
        <v>0</v>
      </c>
      <c r="AK49" s="27">
        <f t="shared" si="6"/>
        <v>0</v>
      </c>
      <c r="AL49" s="27">
        <f t="shared" si="7"/>
        <v>0</v>
      </c>
      <c r="AM49" s="27"/>
      <c r="AN49" s="27"/>
      <c r="AO49" s="27"/>
      <c r="AP49" s="27"/>
      <c r="AQ49" s="27"/>
      <c r="AR49" s="27"/>
      <c r="AS49" s="27"/>
      <c r="AT49" s="27"/>
      <c r="AU49" s="27"/>
      <c r="AV49" s="27"/>
      <c r="AW49" s="27">
        <f t="shared" si="8"/>
        <v>0</v>
      </c>
      <c r="AX49" s="79">
        <f t="shared" si="9"/>
        <v>0</v>
      </c>
      <c r="AY49" s="79">
        <f t="shared" si="10"/>
        <v>4300187540.937583</v>
      </c>
      <c r="AZ49" s="25">
        <v>1</v>
      </c>
      <c r="BA49" s="62" t="s">
        <v>97</v>
      </c>
      <c r="BB49" s="66">
        <v>1</v>
      </c>
      <c r="BC49" s="66"/>
      <c r="BD49" s="66"/>
      <c r="BE49" s="67">
        <f t="shared" si="11"/>
        <v>0</v>
      </c>
      <c r="BF49" s="67">
        <f t="shared" si="12"/>
        <v>0</v>
      </c>
      <c r="BG49" s="67">
        <f t="shared" si="3"/>
        <v>0</v>
      </c>
      <c r="BH49" s="66"/>
      <c r="BI49" s="68" t="s">
        <v>80</v>
      </c>
      <c r="BJ49" s="68" t="s">
        <v>121</v>
      </c>
      <c r="BK49" s="68" t="s">
        <v>121</v>
      </c>
      <c r="BL49" s="29"/>
      <c r="BO49" s="35" t="s">
        <v>1801</v>
      </c>
      <c r="BQ49" s="1" t="s">
        <v>1979</v>
      </c>
    </row>
    <row r="50" spans="1:69" ht="15" hidden="1" customHeight="1">
      <c r="A50" s="1" t="s">
        <v>43</v>
      </c>
      <c r="C50" s="1" t="str">
        <f t="shared" si="4"/>
        <v>2309</v>
      </c>
      <c r="D50" s="1" t="str">
        <f t="shared" si="5"/>
        <v>1810</v>
      </c>
      <c r="E50" s="19" t="s">
        <v>48</v>
      </c>
      <c r="F50" s="62" t="s">
        <v>49</v>
      </c>
      <c r="G50" s="62">
        <v>2112</v>
      </c>
      <c r="H50" s="62" t="s">
        <v>179</v>
      </c>
      <c r="I50" s="62" t="s">
        <v>180</v>
      </c>
      <c r="J50" s="118">
        <v>1</v>
      </c>
      <c r="K50" s="119"/>
      <c r="L50" s="62" t="s">
        <v>77</v>
      </c>
      <c r="M50" s="120" t="s">
        <v>173</v>
      </c>
      <c r="N50" s="65">
        <v>43353</v>
      </c>
      <c r="O50" s="24">
        <v>10000</v>
      </c>
      <c r="P50" s="24">
        <v>23320</v>
      </c>
      <c r="Q50" s="64">
        <v>233200000</v>
      </c>
      <c r="R50" s="64"/>
      <c r="S50" s="64"/>
      <c r="T50" s="64">
        <v>5699307.8299120236</v>
      </c>
      <c r="U50" s="64"/>
      <c r="V50" s="121">
        <v>238899307.83000001</v>
      </c>
      <c r="W50" s="122">
        <v>8.7976455688476563E-5</v>
      </c>
      <c r="X50" s="64">
        <v>238899307.82991204</v>
      </c>
      <c r="Y50" s="121"/>
      <c r="Z50" s="121"/>
      <c r="AA50" s="121"/>
      <c r="AB50" s="121"/>
      <c r="AC50" s="64">
        <v>238899307.83008796</v>
      </c>
      <c r="AD50" s="65">
        <v>43374</v>
      </c>
      <c r="AE50" s="65">
        <v>45199</v>
      </c>
      <c r="AF50" s="62">
        <v>5</v>
      </c>
      <c r="AG50" s="119">
        <v>60</v>
      </c>
      <c r="AH50" s="25">
        <v>3981655.1305014659</v>
      </c>
      <c r="AI50" s="78">
        <v>238899307.83008796</v>
      </c>
      <c r="AJ50" s="78">
        <v>0</v>
      </c>
      <c r="AK50" s="27">
        <f t="shared" si="6"/>
        <v>0</v>
      </c>
      <c r="AL50" s="27">
        <f t="shared" si="7"/>
        <v>0</v>
      </c>
      <c r="AM50" s="27"/>
      <c r="AN50" s="27"/>
      <c r="AO50" s="27"/>
      <c r="AP50" s="27"/>
      <c r="AQ50" s="27"/>
      <c r="AR50" s="27"/>
      <c r="AS50" s="27"/>
      <c r="AT50" s="27"/>
      <c r="AU50" s="27"/>
      <c r="AV50" s="27"/>
      <c r="AW50" s="27">
        <f t="shared" si="8"/>
        <v>0</v>
      </c>
      <c r="AX50" s="79">
        <f t="shared" si="9"/>
        <v>0</v>
      </c>
      <c r="AY50" s="79">
        <f t="shared" si="10"/>
        <v>238899307.83008796</v>
      </c>
      <c r="AZ50" s="25">
        <v>1</v>
      </c>
      <c r="BA50" s="62" t="s">
        <v>97</v>
      </c>
      <c r="BB50" s="66">
        <v>1</v>
      </c>
      <c r="BC50" s="66"/>
      <c r="BD50" s="66"/>
      <c r="BE50" s="67">
        <f t="shared" si="11"/>
        <v>0</v>
      </c>
      <c r="BF50" s="67">
        <f t="shared" si="12"/>
        <v>0</v>
      </c>
      <c r="BG50" s="67">
        <f t="shared" si="3"/>
        <v>0</v>
      </c>
      <c r="BH50" s="66" t="s">
        <v>1662</v>
      </c>
      <c r="BI50" s="68" t="s">
        <v>107</v>
      </c>
      <c r="BJ50" s="68" t="s">
        <v>121</v>
      </c>
      <c r="BK50" s="68" t="s">
        <v>121</v>
      </c>
      <c r="BL50" s="29"/>
      <c r="BO50" s="35" t="s">
        <v>1804</v>
      </c>
      <c r="BQ50" s="1" t="e">
        <v>#N/A</v>
      </c>
    </row>
    <row r="51" spans="1:69" ht="15" hidden="1" customHeight="1">
      <c r="A51" s="1" t="s">
        <v>43</v>
      </c>
      <c r="C51" s="1" t="str">
        <f t="shared" si="4"/>
        <v>2310</v>
      </c>
      <c r="D51" s="1" t="str">
        <f t="shared" si="5"/>
        <v>1811</v>
      </c>
      <c r="E51" s="19" t="s">
        <v>48</v>
      </c>
      <c r="F51" s="62" t="s">
        <v>49</v>
      </c>
      <c r="G51" s="62">
        <v>2112</v>
      </c>
      <c r="H51" s="62" t="s">
        <v>181</v>
      </c>
      <c r="I51" s="62" t="s">
        <v>182</v>
      </c>
      <c r="J51" s="118">
        <v>1</v>
      </c>
      <c r="K51" s="119"/>
      <c r="L51" s="62" t="s">
        <v>77</v>
      </c>
      <c r="M51" s="120" t="s">
        <v>173</v>
      </c>
      <c r="N51" s="65">
        <v>43353</v>
      </c>
      <c r="O51" s="24">
        <v>2000</v>
      </c>
      <c r="P51" s="24">
        <v>23320</v>
      </c>
      <c r="Q51" s="64">
        <v>46640000</v>
      </c>
      <c r="R51" s="64"/>
      <c r="S51" s="64"/>
      <c r="T51" s="64">
        <v>1139861.5659824046</v>
      </c>
      <c r="U51" s="64"/>
      <c r="V51" s="121">
        <v>47779861.566</v>
      </c>
      <c r="W51" s="122">
        <v>1.7598271369934082E-5</v>
      </c>
      <c r="X51" s="64">
        <v>47779861.565982401</v>
      </c>
      <c r="Y51" s="121"/>
      <c r="Z51" s="121"/>
      <c r="AA51" s="121"/>
      <c r="AB51" s="121"/>
      <c r="AC51" s="64">
        <v>47779861.566017598</v>
      </c>
      <c r="AD51" s="65">
        <v>43405</v>
      </c>
      <c r="AE51" s="65">
        <v>45230</v>
      </c>
      <c r="AF51" s="62">
        <v>5</v>
      </c>
      <c r="AG51" s="119">
        <v>60</v>
      </c>
      <c r="AH51" s="25">
        <v>796331.02610029327</v>
      </c>
      <c r="AI51" s="78">
        <v>47779861.566017598</v>
      </c>
      <c r="AJ51" s="78">
        <v>0</v>
      </c>
      <c r="AK51" s="27">
        <f t="shared" si="6"/>
        <v>0</v>
      </c>
      <c r="AL51" s="27">
        <f t="shared" si="7"/>
        <v>0</v>
      </c>
      <c r="AM51" s="27"/>
      <c r="AN51" s="27"/>
      <c r="AO51" s="27"/>
      <c r="AP51" s="27"/>
      <c r="AQ51" s="27"/>
      <c r="AR51" s="27"/>
      <c r="AS51" s="27"/>
      <c r="AT51" s="27"/>
      <c r="AU51" s="27"/>
      <c r="AV51" s="27"/>
      <c r="AW51" s="27">
        <f t="shared" si="8"/>
        <v>0</v>
      </c>
      <c r="AX51" s="79">
        <f t="shared" si="9"/>
        <v>0</v>
      </c>
      <c r="AY51" s="79">
        <f t="shared" si="10"/>
        <v>47779861.566017598</v>
      </c>
      <c r="AZ51" s="25">
        <v>1</v>
      </c>
      <c r="BA51" s="62" t="s">
        <v>79</v>
      </c>
      <c r="BB51" s="66">
        <v>1</v>
      </c>
      <c r="BC51" s="66"/>
      <c r="BD51" s="66"/>
      <c r="BE51" s="67">
        <f t="shared" si="11"/>
        <v>0</v>
      </c>
      <c r="BF51" s="67">
        <f t="shared" si="12"/>
        <v>0</v>
      </c>
      <c r="BG51" s="67">
        <f t="shared" si="3"/>
        <v>0</v>
      </c>
      <c r="BH51" s="66"/>
      <c r="BI51" s="68" t="s">
        <v>183</v>
      </c>
      <c r="BJ51" s="68" t="s">
        <v>58</v>
      </c>
      <c r="BK51" s="68" t="s">
        <v>159</v>
      </c>
      <c r="BL51" s="29"/>
      <c r="BO51" s="35" t="s">
        <v>1804</v>
      </c>
      <c r="BQ51" s="1" t="e">
        <v>#N/A</v>
      </c>
    </row>
    <row r="52" spans="1:69" ht="15" hidden="1" customHeight="1">
      <c r="A52" s="1" t="s">
        <v>43</v>
      </c>
      <c r="C52" s="1" t="str">
        <f t="shared" si="4"/>
        <v>2309</v>
      </c>
      <c r="D52" s="1" t="str">
        <f t="shared" si="5"/>
        <v>1810</v>
      </c>
      <c r="E52" s="19" t="s">
        <v>48</v>
      </c>
      <c r="F52" s="62" t="s">
        <v>49</v>
      </c>
      <c r="G52" s="62">
        <v>2112</v>
      </c>
      <c r="H52" s="62" t="s">
        <v>184</v>
      </c>
      <c r="I52" s="62" t="s">
        <v>185</v>
      </c>
      <c r="J52" s="118">
        <v>1</v>
      </c>
      <c r="K52" s="119"/>
      <c r="L52" s="62" t="s">
        <v>186</v>
      </c>
      <c r="M52" s="120" t="s">
        <v>187</v>
      </c>
      <c r="N52" s="65">
        <v>43357</v>
      </c>
      <c r="O52" s="24"/>
      <c r="P52" s="24"/>
      <c r="Q52" s="64">
        <v>362000000</v>
      </c>
      <c r="R52" s="64"/>
      <c r="S52" s="64"/>
      <c r="T52" s="64"/>
      <c r="U52" s="64"/>
      <c r="V52" s="121">
        <v>362000000</v>
      </c>
      <c r="W52" s="122">
        <v>0</v>
      </c>
      <c r="X52" s="64">
        <v>362000000</v>
      </c>
      <c r="Y52" s="121"/>
      <c r="Z52" s="121"/>
      <c r="AA52" s="121"/>
      <c r="AB52" s="121"/>
      <c r="AC52" s="64">
        <v>362000000</v>
      </c>
      <c r="AD52" s="65">
        <v>43374</v>
      </c>
      <c r="AE52" s="65">
        <v>45199</v>
      </c>
      <c r="AF52" s="62">
        <v>5</v>
      </c>
      <c r="AG52" s="119">
        <v>60</v>
      </c>
      <c r="AH52" s="25">
        <v>6033333.333333333</v>
      </c>
      <c r="AI52" s="78">
        <v>362000000</v>
      </c>
      <c r="AJ52" s="78">
        <v>0</v>
      </c>
      <c r="AK52" s="27">
        <f t="shared" si="6"/>
        <v>0</v>
      </c>
      <c r="AL52" s="27">
        <f t="shared" si="7"/>
        <v>0</v>
      </c>
      <c r="AM52" s="27"/>
      <c r="AN52" s="27"/>
      <c r="AO52" s="27"/>
      <c r="AP52" s="27"/>
      <c r="AQ52" s="27"/>
      <c r="AR52" s="27"/>
      <c r="AS52" s="27"/>
      <c r="AT52" s="27"/>
      <c r="AU52" s="27"/>
      <c r="AV52" s="27"/>
      <c r="AW52" s="27">
        <f t="shared" si="8"/>
        <v>0</v>
      </c>
      <c r="AX52" s="79">
        <f t="shared" si="9"/>
        <v>0</v>
      </c>
      <c r="AY52" s="79">
        <f t="shared" si="10"/>
        <v>362000000</v>
      </c>
      <c r="AZ52" s="25">
        <v>1</v>
      </c>
      <c r="BA52" s="62" t="s">
        <v>79</v>
      </c>
      <c r="BB52" s="66">
        <v>1</v>
      </c>
      <c r="BC52" s="66"/>
      <c r="BD52" s="66"/>
      <c r="BE52" s="67">
        <f t="shared" si="11"/>
        <v>0</v>
      </c>
      <c r="BF52" s="67">
        <f t="shared" si="12"/>
        <v>0</v>
      </c>
      <c r="BG52" s="67">
        <f t="shared" si="3"/>
        <v>0</v>
      </c>
      <c r="BH52" s="66"/>
      <c r="BI52" s="68" t="s">
        <v>188</v>
      </c>
      <c r="BJ52" s="68" t="s">
        <v>58</v>
      </c>
      <c r="BK52" s="68" t="s">
        <v>159</v>
      </c>
      <c r="BL52" s="29"/>
      <c r="BO52" s="35" t="s">
        <v>1804</v>
      </c>
      <c r="BQ52" s="1" t="e">
        <v>#N/A</v>
      </c>
    </row>
    <row r="53" spans="1:69" ht="15" hidden="1" customHeight="1">
      <c r="A53" s="1" t="s">
        <v>43</v>
      </c>
      <c r="C53" s="1" t="str">
        <f t="shared" si="4"/>
        <v>2309</v>
      </c>
      <c r="D53" s="1" t="str">
        <f t="shared" si="5"/>
        <v>1810</v>
      </c>
      <c r="E53" s="19" t="s">
        <v>48</v>
      </c>
      <c r="F53" s="62" t="s">
        <v>49</v>
      </c>
      <c r="G53" s="62">
        <v>2112</v>
      </c>
      <c r="H53" s="62" t="s">
        <v>189</v>
      </c>
      <c r="I53" s="62" t="s">
        <v>190</v>
      </c>
      <c r="J53" s="118">
        <v>7</v>
      </c>
      <c r="K53" s="119"/>
      <c r="L53" s="62" t="s">
        <v>186</v>
      </c>
      <c r="M53" s="120" t="s">
        <v>187</v>
      </c>
      <c r="N53" s="65">
        <v>43357</v>
      </c>
      <c r="O53" s="24"/>
      <c r="P53" s="24"/>
      <c r="Q53" s="64">
        <v>463500000</v>
      </c>
      <c r="R53" s="64"/>
      <c r="S53" s="64"/>
      <c r="T53" s="64"/>
      <c r="U53" s="64"/>
      <c r="V53" s="121">
        <v>463500000</v>
      </c>
      <c r="W53" s="122">
        <v>0</v>
      </c>
      <c r="X53" s="64">
        <v>463500000</v>
      </c>
      <c r="Y53" s="121"/>
      <c r="Z53" s="121"/>
      <c r="AA53" s="121"/>
      <c r="AB53" s="121"/>
      <c r="AC53" s="64">
        <v>463500000</v>
      </c>
      <c r="AD53" s="65">
        <v>43374</v>
      </c>
      <c r="AE53" s="65">
        <v>45199</v>
      </c>
      <c r="AF53" s="62">
        <v>5</v>
      </c>
      <c r="AG53" s="119">
        <v>60</v>
      </c>
      <c r="AH53" s="25">
        <v>7725000</v>
      </c>
      <c r="AI53" s="78">
        <v>463500000</v>
      </c>
      <c r="AJ53" s="78">
        <v>0</v>
      </c>
      <c r="AK53" s="27">
        <f t="shared" si="6"/>
        <v>0</v>
      </c>
      <c r="AL53" s="27">
        <f t="shared" si="7"/>
        <v>0</v>
      </c>
      <c r="AM53" s="27"/>
      <c r="AN53" s="27"/>
      <c r="AO53" s="27"/>
      <c r="AP53" s="27"/>
      <c r="AQ53" s="27"/>
      <c r="AR53" s="27"/>
      <c r="AS53" s="27"/>
      <c r="AT53" s="27"/>
      <c r="AU53" s="27"/>
      <c r="AV53" s="27"/>
      <c r="AW53" s="27">
        <f t="shared" si="8"/>
        <v>0</v>
      </c>
      <c r="AX53" s="79">
        <f t="shared" si="9"/>
        <v>0</v>
      </c>
      <c r="AY53" s="79">
        <f t="shared" si="10"/>
        <v>463500000</v>
      </c>
      <c r="AZ53" s="25">
        <v>7</v>
      </c>
      <c r="BA53" s="62" t="s">
        <v>79</v>
      </c>
      <c r="BB53" s="66">
        <v>1</v>
      </c>
      <c r="BC53" s="66"/>
      <c r="BD53" s="66"/>
      <c r="BE53" s="67">
        <f t="shared" si="11"/>
        <v>0</v>
      </c>
      <c r="BF53" s="67">
        <f t="shared" si="12"/>
        <v>0</v>
      </c>
      <c r="BG53" s="67">
        <f t="shared" si="3"/>
        <v>0</v>
      </c>
      <c r="BH53" s="66"/>
      <c r="BI53" s="68" t="s">
        <v>191</v>
      </c>
      <c r="BJ53" s="68" t="s">
        <v>58</v>
      </c>
      <c r="BK53" s="68" t="s">
        <v>159</v>
      </c>
      <c r="BL53" s="29"/>
      <c r="BO53" s="35" t="s">
        <v>1804</v>
      </c>
      <c r="BQ53" s="1" t="e">
        <v>#N/A</v>
      </c>
    </row>
    <row r="54" spans="1:69" ht="15" hidden="1" customHeight="1">
      <c r="A54" s="1" t="s">
        <v>43</v>
      </c>
      <c r="C54" s="1" t="str">
        <f t="shared" si="4"/>
        <v>2309</v>
      </c>
      <c r="D54" s="1" t="str">
        <f t="shared" si="5"/>
        <v>1810</v>
      </c>
      <c r="E54" s="19" t="s">
        <v>48</v>
      </c>
      <c r="F54" s="62" t="s">
        <v>49</v>
      </c>
      <c r="G54" s="62">
        <v>2112</v>
      </c>
      <c r="H54" s="62" t="s">
        <v>192</v>
      </c>
      <c r="I54" s="62" t="s">
        <v>193</v>
      </c>
      <c r="J54" s="118">
        <v>1</v>
      </c>
      <c r="K54" s="119"/>
      <c r="L54" s="62" t="s">
        <v>186</v>
      </c>
      <c r="M54" s="120" t="s">
        <v>187</v>
      </c>
      <c r="N54" s="65">
        <v>43357</v>
      </c>
      <c r="O54" s="24"/>
      <c r="P54" s="24"/>
      <c r="Q54" s="64">
        <v>135000000</v>
      </c>
      <c r="R54" s="64"/>
      <c r="S54" s="64"/>
      <c r="T54" s="64"/>
      <c r="U54" s="64"/>
      <c r="V54" s="121">
        <v>135000000</v>
      </c>
      <c r="W54" s="122">
        <v>0</v>
      </c>
      <c r="X54" s="64">
        <v>135000000</v>
      </c>
      <c r="Y54" s="121"/>
      <c r="Z54" s="121"/>
      <c r="AA54" s="121"/>
      <c r="AB54" s="121"/>
      <c r="AC54" s="64">
        <v>135000000</v>
      </c>
      <c r="AD54" s="65">
        <v>43374</v>
      </c>
      <c r="AE54" s="65">
        <v>45199</v>
      </c>
      <c r="AF54" s="62">
        <v>5</v>
      </c>
      <c r="AG54" s="119">
        <v>60</v>
      </c>
      <c r="AH54" s="25">
        <v>2250000</v>
      </c>
      <c r="AI54" s="78">
        <v>135000000</v>
      </c>
      <c r="AJ54" s="78">
        <v>0</v>
      </c>
      <c r="AK54" s="27">
        <f t="shared" si="6"/>
        <v>0</v>
      </c>
      <c r="AL54" s="27">
        <f t="shared" si="7"/>
        <v>0</v>
      </c>
      <c r="AM54" s="27"/>
      <c r="AN54" s="27"/>
      <c r="AO54" s="27"/>
      <c r="AP54" s="27"/>
      <c r="AQ54" s="27"/>
      <c r="AR54" s="27"/>
      <c r="AS54" s="27"/>
      <c r="AT54" s="27"/>
      <c r="AU54" s="27"/>
      <c r="AV54" s="27"/>
      <c r="AW54" s="27">
        <f t="shared" si="8"/>
        <v>0</v>
      </c>
      <c r="AX54" s="79">
        <f t="shared" si="9"/>
        <v>0</v>
      </c>
      <c r="AY54" s="79">
        <f t="shared" si="10"/>
        <v>135000000</v>
      </c>
      <c r="AZ54" s="25">
        <v>1</v>
      </c>
      <c r="BA54" s="62" t="s">
        <v>97</v>
      </c>
      <c r="BB54" s="66">
        <v>1</v>
      </c>
      <c r="BC54" s="66"/>
      <c r="BD54" s="66"/>
      <c r="BE54" s="67">
        <f t="shared" si="11"/>
        <v>0</v>
      </c>
      <c r="BF54" s="67">
        <f t="shared" si="12"/>
        <v>0</v>
      </c>
      <c r="BG54" s="67">
        <f t="shared" si="3"/>
        <v>0</v>
      </c>
      <c r="BH54" s="66"/>
      <c r="BI54" s="68" t="s">
        <v>80</v>
      </c>
      <c r="BJ54" s="68" t="s">
        <v>58</v>
      </c>
      <c r="BK54" s="68" t="s">
        <v>159</v>
      </c>
      <c r="BL54" s="29"/>
      <c r="BO54" s="35" t="s">
        <v>1804</v>
      </c>
      <c r="BQ54" s="1" t="e">
        <v>#N/A</v>
      </c>
    </row>
    <row r="55" spans="1:69" ht="15" hidden="1" customHeight="1">
      <c r="A55" s="1" t="s">
        <v>43</v>
      </c>
      <c r="C55" s="1" t="str">
        <f t="shared" si="4"/>
        <v>2309</v>
      </c>
      <c r="D55" s="1" t="str">
        <f t="shared" si="5"/>
        <v>1810</v>
      </c>
      <c r="E55" s="19" t="s">
        <v>48</v>
      </c>
      <c r="F55" s="62" t="s">
        <v>49</v>
      </c>
      <c r="G55" s="62">
        <v>2112</v>
      </c>
      <c r="H55" s="62" t="s">
        <v>194</v>
      </c>
      <c r="I55" s="62" t="s">
        <v>195</v>
      </c>
      <c r="J55" s="118">
        <v>1</v>
      </c>
      <c r="K55" s="119"/>
      <c r="L55" s="62" t="s">
        <v>186</v>
      </c>
      <c r="M55" s="120" t="s">
        <v>187</v>
      </c>
      <c r="N55" s="65">
        <v>43357</v>
      </c>
      <c r="O55" s="24"/>
      <c r="P55" s="24"/>
      <c r="Q55" s="64">
        <v>86000000</v>
      </c>
      <c r="R55" s="64"/>
      <c r="S55" s="64"/>
      <c r="T55" s="64"/>
      <c r="U55" s="64"/>
      <c r="V55" s="121">
        <v>86000000</v>
      </c>
      <c r="W55" s="122">
        <v>0</v>
      </c>
      <c r="X55" s="64">
        <v>86000000</v>
      </c>
      <c r="Y55" s="121"/>
      <c r="Z55" s="121"/>
      <c r="AA55" s="121"/>
      <c r="AB55" s="121"/>
      <c r="AC55" s="64">
        <v>86000000</v>
      </c>
      <c r="AD55" s="65">
        <v>43374</v>
      </c>
      <c r="AE55" s="65">
        <v>45199</v>
      </c>
      <c r="AF55" s="62">
        <v>5</v>
      </c>
      <c r="AG55" s="119">
        <v>60</v>
      </c>
      <c r="AH55" s="25">
        <v>1433333.3333333333</v>
      </c>
      <c r="AI55" s="78">
        <v>86000000</v>
      </c>
      <c r="AJ55" s="78">
        <v>0</v>
      </c>
      <c r="AK55" s="27">
        <f t="shared" si="6"/>
        <v>0</v>
      </c>
      <c r="AL55" s="27">
        <f t="shared" si="7"/>
        <v>0</v>
      </c>
      <c r="AM55" s="27"/>
      <c r="AN55" s="27"/>
      <c r="AO55" s="27"/>
      <c r="AP55" s="27"/>
      <c r="AQ55" s="27"/>
      <c r="AR55" s="27"/>
      <c r="AS55" s="27"/>
      <c r="AT55" s="27"/>
      <c r="AU55" s="27"/>
      <c r="AV55" s="27"/>
      <c r="AW55" s="27">
        <f t="shared" si="8"/>
        <v>0</v>
      </c>
      <c r="AX55" s="79">
        <f t="shared" si="9"/>
        <v>0</v>
      </c>
      <c r="AY55" s="79">
        <f t="shared" si="10"/>
        <v>86000000</v>
      </c>
      <c r="AZ55" s="25">
        <v>1</v>
      </c>
      <c r="BA55" s="62" t="s">
        <v>79</v>
      </c>
      <c r="BB55" s="66">
        <v>1</v>
      </c>
      <c r="BC55" s="66"/>
      <c r="BD55" s="66"/>
      <c r="BE55" s="67">
        <f t="shared" si="11"/>
        <v>0</v>
      </c>
      <c r="BF55" s="67">
        <f t="shared" si="12"/>
        <v>0</v>
      </c>
      <c r="BG55" s="67">
        <f t="shared" si="3"/>
        <v>0</v>
      </c>
      <c r="BH55" s="66"/>
      <c r="BI55" s="68" t="s">
        <v>146</v>
      </c>
      <c r="BJ55" s="68" t="s">
        <v>58</v>
      </c>
      <c r="BK55" s="68" t="s">
        <v>159</v>
      </c>
      <c r="BL55" s="29"/>
      <c r="BO55" s="35" t="s">
        <v>1804</v>
      </c>
      <c r="BQ55" s="1" t="e">
        <v>#N/A</v>
      </c>
    </row>
    <row r="56" spans="1:69" ht="15" hidden="1" customHeight="1">
      <c r="A56" s="1" t="s">
        <v>43</v>
      </c>
      <c r="C56" s="1" t="str">
        <f t="shared" si="4"/>
        <v>2509</v>
      </c>
      <c r="D56" s="1" t="str">
        <f t="shared" si="5"/>
        <v>1810</v>
      </c>
      <c r="E56" s="19" t="s">
        <v>48</v>
      </c>
      <c r="F56" s="62" t="s">
        <v>49</v>
      </c>
      <c r="G56" s="62">
        <v>2112</v>
      </c>
      <c r="H56" s="62" t="s">
        <v>196</v>
      </c>
      <c r="I56" s="62" t="s">
        <v>197</v>
      </c>
      <c r="J56" s="118">
        <v>1</v>
      </c>
      <c r="K56" s="119"/>
      <c r="L56" s="62" t="s">
        <v>198</v>
      </c>
      <c r="M56" s="120" t="s">
        <v>199</v>
      </c>
      <c r="N56" s="65">
        <v>43367</v>
      </c>
      <c r="O56" s="24">
        <v>48685</v>
      </c>
      <c r="P56" s="24">
        <v>23375</v>
      </c>
      <c r="Q56" s="64">
        <v>1138011875</v>
      </c>
      <c r="R56" s="64"/>
      <c r="S56" s="64"/>
      <c r="T56" s="64">
        <v>15070212.887052828</v>
      </c>
      <c r="U56" s="64" t="s">
        <v>200</v>
      </c>
      <c r="V56" s="121">
        <v>1153082087.8870001</v>
      </c>
      <c r="W56" s="122">
        <v>-5.2690505981445313E-5</v>
      </c>
      <c r="X56" s="64">
        <v>1153082087.8870528</v>
      </c>
      <c r="Y56" s="121"/>
      <c r="Z56" s="121"/>
      <c r="AA56" s="121"/>
      <c r="AB56" s="121"/>
      <c r="AC56" s="64">
        <v>1153082087.8869474</v>
      </c>
      <c r="AD56" s="65">
        <v>43374</v>
      </c>
      <c r="AE56" s="65">
        <v>45929</v>
      </c>
      <c r="AF56" s="62">
        <v>7</v>
      </c>
      <c r="AG56" s="119">
        <v>84</v>
      </c>
      <c r="AH56" s="25">
        <v>13727167.712939849</v>
      </c>
      <c r="AI56" s="78">
        <v>864811581.01634586</v>
      </c>
      <c r="AJ56" s="78">
        <v>288270506.87060153</v>
      </c>
      <c r="AK56" s="27">
        <f t="shared" si="6"/>
        <v>13727167.712939849</v>
      </c>
      <c r="AL56" s="27">
        <f t="shared" si="7"/>
        <v>13727167.712939849</v>
      </c>
      <c r="AM56" s="27"/>
      <c r="AN56" s="27"/>
      <c r="AO56" s="27"/>
      <c r="AP56" s="27"/>
      <c r="AQ56" s="27"/>
      <c r="AR56" s="27"/>
      <c r="AS56" s="27"/>
      <c r="AT56" s="27"/>
      <c r="AU56" s="27"/>
      <c r="AV56" s="27"/>
      <c r="AW56" s="27">
        <f t="shared" si="8"/>
        <v>27454335.425879698</v>
      </c>
      <c r="AX56" s="79">
        <f t="shared" si="9"/>
        <v>260816171.44472185</v>
      </c>
      <c r="AY56" s="79">
        <f t="shared" si="10"/>
        <v>892265916.44222558</v>
      </c>
      <c r="AZ56" s="25">
        <v>1</v>
      </c>
      <c r="BA56" s="62" t="s">
        <v>97</v>
      </c>
      <c r="BB56" s="66">
        <v>1</v>
      </c>
      <c r="BC56" s="66"/>
      <c r="BD56" s="66"/>
      <c r="BE56" s="67">
        <f t="shared" si="11"/>
        <v>13727167.712939849</v>
      </c>
      <c r="BF56" s="67">
        <f t="shared" si="12"/>
        <v>0</v>
      </c>
      <c r="BG56" s="67">
        <f t="shared" si="3"/>
        <v>0</v>
      </c>
      <c r="BH56" s="66"/>
      <c r="BI56" s="68" t="s">
        <v>146</v>
      </c>
      <c r="BJ56" s="68" t="s">
        <v>121</v>
      </c>
      <c r="BK56" s="68" t="s">
        <v>121</v>
      </c>
      <c r="BL56" s="29"/>
      <c r="BO56" s="35" t="s">
        <v>1800</v>
      </c>
      <c r="BQ56" s="1" t="e">
        <v>#N/A</v>
      </c>
    </row>
    <row r="57" spans="1:69" ht="15" hidden="1" customHeight="1">
      <c r="A57" s="1" t="s">
        <v>43</v>
      </c>
      <c r="C57" s="1" t="str">
        <f t="shared" si="4"/>
        <v>2509</v>
      </c>
      <c r="D57" s="1" t="str">
        <f t="shared" si="5"/>
        <v>1810</v>
      </c>
      <c r="E57" s="19" t="s">
        <v>48</v>
      </c>
      <c r="F57" s="62" t="s">
        <v>49</v>
      </c>
      <c r="G57" s="62">
        <v>2112</v>
      </c>
      <c r="H57" s="62" t="s">
        <v>201</v>
      </c>
      <c r="I57" s="62" t="s">
        <v>202</v>
      </c>
      <c r="J57" s="118">
        <v>1</v>
      </c>
      <c r="K57" s="119"/>
      <c r="L57" s="62" t="s">
        <v>198</v>
      </c>
      <c r="M57" s="120" t="s">
        <v>199</v>
      </c>
      <c r="N57" s="65">
        <v>43367</v>
      </c>
      <c r="O57" s="24">
        <v>41968</v>
      </c>
      <c r="P57" s="24">
        <v>23375</v>
      </c>
      <c r="Q57" s="64">
        <v>981002000</v>
      </c>
      <c r="R57" s="64"/>
      <c r="S57" s="64"/>
      <c r="T57" s="64">
        <v>12990997.112947173</v>
      </c>
      <c r="U57" s="64" t="s">
        <v>200</v>
      </c>
      <c r="V57" s="121">
        <v>993992997.11300004</v>
      </c>
      <c r="W57" s="122">
        <v>5.2809715270996094E-5</v>
      </c>
      <c r="X57" s="64">
        <v>993992997.11294723</v>
      </c>
      <c r="Y57" s="121"/>
      <c r="Z57" s="121"/>
      <c r="AA57" s="121"/>
      <c r="AB57" s="121"/>
      <c r="AC57" s="64">
        <v>993992997.11305285</v>
      </c>
      <c r="AD57" s="65">
        <v>43374</v>
      </c>
      <c r="AE57" s="65">
        <v>45929</v>
      </c>
      <c r="AF57" s="62">
        <v>7</v>
      </c>
      <c r="AG57" s="119">
        <v>84</v>
      </c>
      <c r="AH57" s="25">
        <v>11833249.965631582</v>
      </c>
      <c r="AI57" s="78">
        <v>745494749.76936865</v>
      </c>
      <c r="AJ57" s="78">
        <v>248498247.34368423</v>
      </c>
      <c r="AK57" s="27">
        <f t="shared" si="6"/>
        <v>11833249.965631582</v>
      </c>
      <c r="AL57" s="27">
        <f t="shared" si="7"/>
        <v>11833249.965631582</v>
      </c>
      <c r="AM57" s="27"/>
      <c r="AN57" s="27"/>
      <c r="AO57" s="27"/>
      <c r="AP57" s="27"/>
      <c r="AQ57" s="27"/>
      <c r="AR57" s="27"/>
      <c r="AS57" s="27"/>
      <c r="AT57" s="27"/>
      <c r="AU57" s="27"/>
      <c r="AV57" s="27"/>
      <c r="AW57" s="27">
        <f t="shared" si="8"/>
        <v>23666499.931263164</v>
      </c>
      <c r="AX57" s="79">
        <f t="shared" si="9"/>
        <v>224831747.41242105</v>
      </c>
      <c r="AY57" s="79">
        <f t="shared" si="10"/>
        <v>769161249.70063186</v>
      </c>
      <c r="AZ57" s="25">
        <v>1</v>
      </c>
      <c r="BA57" s="62" t="s">
        <v>97</v>
      </c>
      <c r="BB57" s="66"/>
      <c r="BC57" s="66">
        <v>1</v>
      </c>
      <c r="BD57" s="66"/>
      <c r="BE57" s="67">
        <f t="shared" si="11"/>
        <v>0</v>
      </c>
      <c r="BF57" s="67">
        <f t="shared" si="12"/>
        <v>11833249.965631582</v>
      </c>
      <c r="BG57" s="67">
        <f t="shared" si="3"/>
        <v>0</v>
      </c>
      <c r="BH57" s="62" t="s">
        <v>1668</v>
      </c>
      <c r="BI57" s="19" t="s">
        <v>1624</v>
      </c>
      <c r="BJ57" s="68" t="s">
        <v>1438</v>
      </c>
      <c r="BK57" s="68" t="s">
        <v>1438</v>
      </c>
      <c r="BL57" s="29"/>
      <c r="BM57" s="1" t="s">
        <v>1886</v>
      </c>
      <c r="BN57" s="1" t="s">
        <v>1666</v>
      </c>
      <c r="BO57" s="35" t="s">
        <v>1800</v>
      </c>
      <c r="BQ57" s="1" t="e">
        <v>#N/A</v>
      </c>
    </row>
    <row r="58" spans="1:69" ht="15" hidden="1" customHeight="1">
      <c r="A58" s="1" t="s">
        <v>43</v>
      </c>
      <c r="C58" s="1" t="str">
        <f t="shared" si="4"/>
        <v>2510</v>
      </c>
      <c r="D58" s="1" t="str">
        <f t="shared" si="5"/>
        <v>1811</v>
      </c>
      <c r="E58" s="19" t="s">
        <v>48</v>
      </c>
      <c r="F58" s="62" t="s">
        <v>49</v>
      </c>
      <c r="G58" s="62">
        <v>2112</v>
      </c>
      <c r="H58" s="62" t="s">
        <v>203</v>
      </c>
      <c r="I58" s="62" t="s">
        <v>204</v>
      </c>
      <c r="J58" s="118">
        <v>1</v>
      </c>
      <c r="K58" s="119"/>
      <c r="L58" s="62" t="s">
        <v>77</v>
      </c>
      <c r="M58" s="120" t="s">
        <v>205</v>
      </c>
      <c r="N58" s="65">
        <v>43374</v>
      </c>
      <c r="O58" s="24">
        <v>2120</v>
      </c>
      <c r="P58" s="24">
        <v>23365</v>
      </c>
      <c r="Q58" s="64">
        <v>49533800</v>
      </c>
      <c r="R58" s="64">
        <v>2470330</v>
      </c>
      <c r="S58" s="64"/>
      <c r="T58" s="64"/>
      <c r="U58" s="64"/>
      <c r="V58" s="121">
        <v>52004130</v>
      </c>
      <c r="W58" s="122">
        <v>0</v>
      </c>
      <c r="X58" s="64">
        <v>52004130</v>
      </c>
      <c r="Y58" s="121"/>
      <c r="Z58" s="121"/>
      <c r="AA58" s="121"/>
      <c r="AB58" s="121"/>
      <c r="AC58" s="64">
        <v>52004130</v>
      </c>
      <c r="AD58" s="65">
        <v>43405</v>
      </c>
      <c r="AE58" s="65">
        <v>45960</v>
      </c>
      <c r="AF58" s="62">
        <v>7</v>
      </c>
      <c r="AG58" s="119">
        <v>84</v>
      </c>
      <c r="AH58" s="25">
        <v>619096.78571428568</v>
      </c>
      <c r="AI58" s="78">
        <v>38384011.857142858</v>
      </c>
      <c r="AJ58" s="78">
        <v>13620118.142857146</v>
      </c>
      <c r="AK58" s="27">
        <f t="shared" si="6"/>
        <v>619096.78571428568</v>
      </c>
      <c r="AL58" s="27">
        <f t="shared" si="7"/>
        <v>619096.78571428568</v>
      </c>
      <c r="AM58" s="27"/>
      <c r="AN58" s="27"/>
      <c r="AO58" s="27"/>
      <c r="AP58" s="27"/>
      <c r="AQ58" s="27"/>
      <c r="AR58" s="27"/>
      <c r="AS58" s="27"/>
      <c r="AT58" s="27"/>
      <c r="AU58" s="27"/>
      <c r="AV58" s="27"/>
      <c r="AW58" s="27">
        <f t="shared" si="8"/>
        <v>1238193.5714285714</v>
      </c>
      <c r="AX58" s="79">
        <f t="shared" si="9"/>
        <v>12381924.571428571</v>
      </c>
      <c r="AY58" s="79">
        <f t="shared" si="10"/>
        <v>39622205.428571433</v>
      </c>
      <c r="AZ58" s="25">
        <v>1</v>
      </c>
      <c r="BA58" s="62" t="s">
        <v>97</v>
      </c>
      <c r="BB58" s="66">
        <v>1</v>
      </c>
      <c r="BC58" s="66"/>
      <c r="BD58" s="66"/>
      <c r="BE58" s="67">
        <f t="shared" si="11"/>
        <v>619096.78571428568</v>
      </c>
      <c r="BF58" s="67">
        <f t="shared" si="12"/>
        <v>0</v>
      </c>
      <c r="BG58" s="67">
        <f t="shared" si="3"/>
        <v>0</v>
      </c>
      <c r="BH58" s="66"/>
      <c r="BI58" s="68" t="s">
        <v>57</v>
      </c>
      <c r="BJ58" s="68" t="s">
        <v>117</v>
      </c>
      <c r="BK58" s="68" t="s">
        <v>117</v>
      </c>
      <c r="BL58" s="29"/>
      <c r="BO58" s="35" t="s">
        <v>1801</v>
      </c>
      <c r="BQ58" s="1" t="e">
        <v>#N/A</v>
      </c>
    </row>
    <row r="59" spans="1:69" ht="15" hidden="1" customHeight="1">
      <c r="A59" s="1" t="s">
        <v>43</v>
      </c>
      <c r="C59" s="1" t="str">
        <f t="shared" si="4"/>
        <v>2510</v>
      </c>
      <c r="D59" s="1" t="str">
        <f t="shared" si="5"/>
        <v>1811</v>
      </c>
      <c r="E59" s="19" t="s">
        <v>48</v>
      </c>
      <c r="F59" s="62" t="s">
        <v>49</v>
      </c>
      <c r="G59" s="62">
        <v>2112</v>
      </c>
      <c r="H59" s="62" t="s">
        <v>206</v>
      </c>
      <c r="I59" s="62" t="s">
        <v>207</v>
      </c>
      <c r="J59" s="118">
        <v>1</v>
      </c>
      <c r="K59" s="119"/>
      <c r="L59" s="62" t="s">
        <v>77</v>
      </c>
      <c r="M59" s="120" t="s">
        <v>208</v>
      </c>
      <c r="N59" s="65">
        <v>43388</v>
      </c>
      <c r="O59" s="24">
        <v>24380</v>
      </c>
      <c r="P59" s="24">
        <v>23375</v>
      </c>
      <c r="Q59" s="64">
        <v>569882500</v>
      </c>
      <c r="R59" s="64"/>
      <c r="S59" s="64"/>
      <c r="T59" s="64">
        <v>10348909</v>
      </c>
      <c r="U59" s="64" t="s">
        <v>209</v>
      </c>
      <c r="V59" s="121">
        <v>580231409</v>
      </c>
      <c r="W59" s="122">
        <v>0</v>
      </c>
      <c r="X59" s="64">
        <v>580231409</v>
      </c>
      <c r="Y59" s="121"/>
      <c r="Z59" s="121"/>
      <c r="AA59" s="121"/>
      <c r="AB59" s="121"/>
      <c r="AC59" s="64">
        <v>580231409</v>
      </c>
      <c r="AD59" s="65">
        <v>43405</v>
      </c>
      <c r="AE59" s="65">
        <v>45960</v>
      </c>
      <c r="AF59" s="62">
        <v>7</v>
      </c>
      <c r="AG59" s="119">
        <v>84</v>
      </c>
      <c r="AH59" s="25">
        <v>6907516.7738095243</v>
      </c>
      <c r="AI59" s="78">
        <v>428266051.73809522</v>
      </c>
      <c r="AJ59" s="78">
        <v>151965357.26190478</v>
      </c>
      <c r="AK59" s="27">
        <f t="shared" si="6"/>
        <v>6907516.7738095243</v>
      </c>
      <c r="AL59" s="27">
        <f t="shared" si="7"/>
        <v>6907516.7738095243</v>
      </c>
      <c r="AM59" s="27"/>
      <c r="AN59" s="27"/>
      <c r="AO59" s="27"/>
      <c r="AP59" s="27"/>
      <c r="AQ59" s="27"/>
      <c r="AR59" s="27"/>
      <c r="AS59" s="27"/>
      <c r="AT59" s="27"/>
      <c r="AU59" s="27"/>
      <c r="AV59" s="27"/>
      <c r="AW59" s="27">
        <f t="shared" si="8"/>
        <v>13815033.547619049</v>
      </c>
      <c r="AX59" s="79">
        <f t="shared" si="9"/>
        <v>138150323.71428573</v>
      </c>
      <c r="AY59" s="79">
        <f t="shared" si="10"/>
        <v>442081085.28571427</v>
      </c>
      <c r="AZ59" s="25">
        <v>1</v>
      </c>
      <c r="BA59" s="62" t="s">
        <v>97</v>
      </c>
      <c r="BB59" s="66">
        <v>1</v>
      </c>
      <c r="BC59" s="66"/>
      <c r="BD59" s="66"/>
      <c r="BE59" s="67">
        <f t="shared" si="11"/>
        <v>6907516.7738095243</v>
      </c>
      <c r="BF59" s="67">
        <f t="shared" si="12"/>
        <v>0</v>
      </c>
      <c r="BG59" s="67">
        <f t="shared" si="3"/>
        <v>0</v>
      </c>
      <c r="BH59" s="66"/>
      <c r="BI59" s="68" t="s">
        <v>191</v>
      </c>
      <c r="BJ59" s="68" t="s">
        <v>81</v>
      </c>
      <c r="BK59" s="68" t="s">
        <v>81</v>
      </c>
      <c r="BL59" s="29"/>
      <c r="BO59" s="35" t="s">
        <v>1800</v>
      </c>
      <c r="BQ59" s="1" t="e">
        <v>#N/A</v>
      </c>
    </row>
    <row r="60" spans="1:69" ht="15" hidden="1" customHeight="1">
      <c r="A60" s="1" t="s">
        <v>43</v>
      </c>
      <c r="C60" s="1" t="str">
        <f t="shared" si="4"/>
        <v>2511</v>
      </c>
      <c r="D60" s="1" t="str">
        <f t="shared" si="5"/>
        <v>1812</v>
      </c>
      <c r="E60" s="19" t="s">
        <v>48</v>
      </c>
      <c r="F60" s="62" t="s">
        <v>49</v>
      </c>
      <c r="G60" s="62">
        <v>2112</v>
      </c>
      <c r="H60" s="62" t="s">
        <v>210</v>
      </c>
      <c r="I60" s="62" t="s">
        <v>211</v>
      </c>
      <c r="J60" s="118">
        <v>1</v>
      </c>
      <c r="K60" s="119"/>
      <c r="L60" s="62" t="s">
        <v>77</v>
      </c>
      <c r="M60" s="120" t="s">
        <v>212</v>
      </c>
      <c r="N60" s="65">
        <v>43405</v>
      </c>
      <c r="O60" s="24">
        <v>5377</v>
      </c>
      <c r="P60" s="24">
        <v>23370</v>
      </c>
      <c r="Q60" s="64">
        <v>125660490</v>
      </c>
      <c r="R60" s="64"/>
      <c r="S60" s="64"/>
      <c r="T60" s="64">
        <v>3915989.8447812269</v>
      </c>
      <c r="U60" s="64" t="s">
        <v>213</v>
      </c>
      <c r="V60" s="121">
        <v>129576479.845</v>
      </c>
      <c r="W60" s="122">
        <v>2.1877884864807129E-4</v>
      </c>
      <c r="X60" s="64">
        <v>129576479.84478122</v>
      </c>
      <c r="Y60" s="121">
        <v>-129576480</v>
      </c>
      <c r="Z60" s="121">
        <v>1</v>
      </c>
      <c r="AA60" s="127">
        <v>43556</v>
      </c>
      <c r="AB60" s="123" t="s">
        <v>89</v>
      </c>
      <c r="AC60" s="64">
        <v>-0.15478122234344482</v>
      </c>
      <c r="AD60" s="65">
        <v>43435</v>
      </c>
      <c r="AE60" s="65">
        <v>45990</v>
      </c>
      <c r="AF60" s="62">
        <v>7</v>
      </c>
      <c r="AG60" s="119">
        <v>84</v>
      </c>
      <c r="AH60" s="25">
        <v>-1.8426335993267241E-3</v>
      </c>
      <c r="AI60" s="78">
        <v>-0.16820756310508364</v>
      </c>
      <c r="AJ60" s="78">
        <v>1.342634076163882E-2</v>
      </c>
      <c r="AK60" s="27">
        <f t="shared" si="6"/>
        <v>-1.8426335993267241E-3</v>
      </c>
      <c r="AL60" s="27">
        <f t="shared" si="7"/>
        <v>-1.8426335993267241E-3</v>
      </c>
      <c r="AM60" s="27"/>
      <c r="AN60" s="27"/>
      <c r="AO60" s="27"/>
      <c r="AP60" s="27"/>
      <c r="AQ60" s="27"/>
      <c r="AR60" s="27"/>
      <c r="AS60" s="27"/>
      <c r="AT60" s="27"/>
      <c r="AU60" s="27"/>
      <c r="AV60" s="27"/>
      <c r="AW60" s="27">
        <f t="shared" si="8"/>
        <v>-3.6852671986534482E-3</v>
      </c>
      <c r="AX60" s="79">
        <f t="shared" si="9"/>
        <v>1.7111607960292263E-2</v>
      </c>
      <c r="AY60" s="79">
        <f t="shared" si="10"/>
        <v>-0.17189283030373709</v>
      </c>
      <c r="AZ60" s="25">
        <v>0</v>
      </c>
      <c r="BA60" s="62" t="s">
        <v>97</v>
      </c>
      <c r="BB60" s="66">
        <v>1</v>
      </c>
      <c r="BC60" s="66"/>
      <c r="BD60" s="66"/>
      <c r="BE60" s="67">
        <f t="shared" si="11"/>
        <v>-1.8426335993267241E-3</v>
      </c>
      <c r="BF60" s="67">
        <f t="shared" si="12"/>
        <v>0</v>
      </c>
      <c r="BG60" s="67">
        <f t="shared" si="3"/>
        <v>0</v>
      </c>
      <c r="BH60" s="66"/>
      <c r="BI60" s="68" t="s">
        <v>90</v>
      </c>
      <c r="BJ60" s="68" t="s">
        <v>81</v>
      </c>
      <c r="BK60" s="68" t="s">
        <v>81</v>
      </c>
      <c r="BL60" s="29"/>
      <c r="BQ60" s="1" t="e">
        <v>#N/A</v>
      </c>
    </row>
    <row r="61" spans="1:69" ht="15" hidden="1" customHeight="1">
      <c r="A61" s="1" t="s">
        <v>43</v>
      </c>
      <c r="C61" s="1" t="str">
        <f t="shared" si="4"/>
        <v>2511</v>
      </c>
      <c r="D61" s="1" t="str">
        <f t="shared" si="5"/>
        <v>1812</v>
      </c>
      <c r="E61" s="19" t="s">
        <v>48</v>
      </c>
      <c r="F61" s="62" t="s">
        <v>49</v>
      </c>
      <c r="G61" s="62">
        <v>2112</v>
      </c>
      <c r="H61" s="62" t="s">
        <v>214</v>
      </c>
      <c r="I61" s="62" t="s">
        <v>215</v>
      </c>
      <c r="J61" s="118">
        <v>1</v>
      </c>
      <c r="K61" s="119"/>
      <c r="L61" s="62" t="s">
        <v>77</v>
      </c>
      <c r="M61" s="120" t="s">
        <v>212</v>
      </c>
      <c r="N61" s="65">
        <v>43405</v>
      </c>
      <c r="O61" s="24">
        <v>6896</v>
      </c>
      <c r="P61" s="24">
        <v>23370</v>
      </c>
      <c r="Q61" s="64">
        <v>161159520</v>
      </c>
      <c r="R61" s="64"/>
      <c r="S61" s="64"/>
      <c r="T61" s="64">
        <v>5022255.1552187726</v>
      </c>
      <c r="U61" s="64" t="s">
        <v>213</v>
      </c>
      <c r="V61" s="121">
        <v>166181775.155</v>
      </c>
      <c r="W61" s="122">
        <v>-2.1877884864807129E-4</v>
      </c>
      <c r="X61" s="64">
        <v>166181775.15521878</v>
      </c>
      <c r="Y61" s="121"/>
      <c r="Z61" s="121"/>
      <c r="AA61" s="121"/>
      <c r="AB61" s="121"/>
      <c r="AC61" s="64">
        <v>166181775.15478122</v>
      </c>
      <c r="AD61" s="65">
        <v>43435</v>
      </c>
      <c r="AE61" s="65">
        <v>45990</v>
      </c>
      <c r="AF61" s="62">
        <v>7</v>
      </c>
      <c r="AG61" s="119">
        <v>84</v>
      </c>
      <c r="AH61" s="25">
        <v>1978354.4661283479</v>
      </c>
      <c r="AI61" s="78">
        <v>120679598.8160647</v>
      </c>
      <c r="AJ61" s="78">
        <v>45502176.338716522</v>
      </c>
      <c r="AK61" s="27">
        <f t="shared" si="6"/>
        <v>1978354.4661283479</v>
      </c>
      <c r="AL61" s="27">
        <f t="shared" si="7"/>
        <v>1978354.4661283479</v>
      </c>
      <c r="AM61" s="27"/>
      <c r="AN61" s="27"/>
      <c r="AO61" s="27"/>
      <c r="AP61" s="27"/>
      <c r="AQ61" s="27"/>
      <c r="AR61" s="27"/>
      <c r="AS61" s="27"/>
      <c r="AT61" s="27"/>
      <c r="AU61" s="27"/>
      <c r="AV61" s="27"/>
      <c r="AW61" s="27">
        <f t="shared" si="8"/>
        <v>3956708.9322566958</v>
      </c>
      <c r="AX61" s="79">
        <f t="shared" si="9"/>
        <v>41545467.406459823</v>
      </c>
      <c r="AY61" s="79">
        <f t="shared" si="10"/>
        <v>124636307.7483214</v>
      </c>
      <c r="AZ61" s="25">
        <v>1</v>
      </c>
      <c r="BA61" s="62" t="s">
        <v>97</v>
      </c>
      <c r="BB61" s="66">
        <v>1</v>
      </c>
      <c r="BC61" s="66"/>
      <c r="BD61" s="66"/>
      <c r="BE61" s="67">
        <f t="shared" si="11"/>
        <v>1978354.4661283479</v>
      </c>
      <c r="BF61" s="67">
        <f t="shared" si="12"/>
        <v>0</v>
      </c>
      <c r="BG61" s="67">
        <f t="shared" si="3"/>
        <v>0</v>
      </c>
      <c r="BH61" s="66"/>
      <c r="BI61" s="68" t="s">
        <v>146</v>
      </c>
      <c r="BJ61" s="68" t="s">
        <v>85</v>
      </c>
      <c r="BK61" s="68" t="s">
        <v>85</v>
      </c>
      <c r="BL61" s="29"/>
      <c r="BO61" s="35" t="s">
        <v>1801</v>
      </c>
      <c r="BQ61" s="1" t="e">
        <v>#N/A</v>
      </c>
    </row>
    <row r="62" spans="1:69" ht="15" hidden="1" customHeight="1">
      <c r="A62" s="1" t="s">
        <v>43</v>
      </c>
      <c r="C62" s="1" t="str">
        <f t="shared" si="4"/>
        <v>2111</v>
      </c>
      <c r="D62" s="1" t="str">
        <f t="shared" si="5"/>
        <v>1812</v>
      </c>
      <c r="E62" s="19" t="s">
        <v>48</v>
      </c>
      <c r="F62" s="62" t="s">
        <v>49</v>
      </c>
      <c r="G62" s="62">
        <v>2112</v>
      </c>
      <c r="H62" s="62" t="s">
        <v>216</v>
      </c>
      <c r="I62" s="62" t="s">
        <v>217</v>
      </c>
      <c r="J62" s="118">
        <v>1</v>
      </c>
      <c r="K62" s="119"/>
      <c r="L62" s="62" t="s">
        <v>218</v>
      </c>
      <c r="M62" s="120" t="s">
        <v>219</v>
      </c>
      <c r="N62" s="65">
        <v>43412</v>
      </c>
      <c r="O62" s="24">
        <v>1700</v>
      </c>
      <c r="P62" s="24">
        <v>23345</v>
      </c>
      <c r="Q62" s="64">
        <v>39686500</v>
      </c>
      <c r="R62" s="64"/>
      <c r="S62" s="64"/>
      <c r="T62" s="64">
        <v>543236.25</v>
      </c>
      <c r="U62" s="64" t="s">
        <v>220</v>
      </c>
      <c r="V62" s="121">
        <v>40229736.25</v>
      </c>
      <c r="W62" s="122">
        <v>0</v>
      </c>
      <c r="X62" s="64">
        <v>40229736.25</v>
      </c>
      <c r="Y62" s="121"/>
      <c r="Z62" s="121"/>
      <c r="AA62" s="121"/>
      <c r="AB62" s="121"/>
      <c r="AC62" s="64">
        <v>40229736.25</v>
      </c>
      <c r="AD62" s="65">
        <v>43435</v>
      </c>
      <c r="AE62" s="65">
        <v>44530</v>
      </c>
      <c r="AF62" s="62">
        <v>3</v>
      </c>
      <c r="AG62" s="119">
        <v>36</v>
      </c>
      <c r="AH62" s="25">
        <v>1117492.673611111</v>
      </c>
      <c r="AI62" s="78">
        <v>40229736.25</v>
      </c>
      <c r="AJ62" s="78">
        <v>0</v>
      </c>
      <c r="AK62" s="27">
        <f t="shared" si="6"/>
        <v>0</v>
      </c>
      <c r="AL62" s="27">
        <f t="shared" si="7"/>
        <v>0</v>
      </c>
      <c r="AM62" s="27"/>
      <c r="AN62" s="27"/>
      <c r="AO62" s="27"/>
      <c r="AP62" s="27"/>
      <c r="AQ62" s="27"/>
      <c r="AR62" s="27"/>
      <c r="AS62" s="27"/>
      <c r="AT62" s="27"/>
      <c r="AU62" s="27"/>
      <c r="AV62" s="27"/>
      <c r="AW62" s="27">
        <f t="shared" si="8"/>
        <v>0</v>
      </c>
      <c r="AX62" s="79">
        <f t="shared" si="9"/>
        <v>0</v>
      </c>
      <c r="AY62" s="79">
        <f t="shared" si="10"/>
        <v>40229736.25</v>
      </c>
      <c r="AZ62" s="25">
        <v>1</v>
      </c>
      <c r="BA62" s="62" t="s">
        <v>79</v>
      </c>
      <c r="BB62" s="66">
        <v>1</v>
      </c>
      <c r="BC62" s="66"/>
      <c r="BD62" s="66"/>
      <c r="BE62" s="67">
        <f t="shared" si="11"/>
        <v>0</v>
      </c>
      <c r="BF62" s="67">
        <f t="shared" si="12"/>
        <v>0</v>
      </c>
      <c r="BG62" s="67">
        <f t="shared" si="3"/>
        <v>0</v>
      </c>
      <c r="BH62" s="66"/>
      <c r="BI62" s="68" t="s">
        <v>146</v>
      </c>
      <c r="BJ62" s="68" t="s">
        <v>58</v>
      </c>
      <c r="BK62" s="68" t="s">
        <v>159</v>
      </c>
      <c r="BL62" s="29"/>
      <c r="BO62" s="35" t="s">
        <v>1804</v>
      </c>
      <c r="BQ62" s="1" t="e">
        <v>#N/A</v>
      </c>
    </row>
    <row r="63" spans="1:69" ht="15" hidden="1" customHeight="1">
      <c r="A63" s="1" t="s">
        <v>43</v>
      </c>
      <c r="C63" s="1" t="str">
        <f t="shared" si="4"/>
        <v>2111</v>
      </c>
      <c r="D63" s="1" t="str">
        <f t="shared" si="5"/>
        <v>1812</v>
      </c>
      <c r="E63" s="19" t="s">
        <v>48</v>
      </c>
      <c r="F63" s="62" t="s">
        <v>49</v>
      </c>
      <c r="G63" s="62">
        <v>2112</v>
      </c>
      <c r="H63" s="62" t="s">
        <v>221</v>
      </c>
      <c r="I63" s="62" t="s">
        <v>217</v>
      </c>
      <c r="J63" s="118">
        <v>3</v>
      </c>
      <c r="K63" s="119"/>
      <c r="L63" s="62" t="s">
        <v>218</v>
      </c>
      <c r="M63" s="120" t="s">
        <v>219</v>
      </c>
      <c r="N63" s="65">
        <v>43412</v>
      </c>
      <c r="O63" s="24">
        <v>5100</v>
      </c>
      <c r="P63" s="24">
        <v>23345</v>
      </c>
      <c r="Q63" s="64">
        <v>119059500</v>
      </c>
      <c r="R63" s="64"/>
      <c r="S63" s="64"/>
      <c r="T63" s="64">
        <v>1629708.75</v>
      </c>
      <c r="U63" s="64" t="s">
        <v>220</v>
      </c>
      <c r="V63" s="121">
        <v>120689208.75</v>
      </c>
      <c r="W63" s="122">
        <v>0</v>
      </c>
      <c r="X63" s="64">
        <v>120689208.75</v>
      </c>
      <c r="Y63" s="121"/>
      <c r="Z63" s="121"/>
      <c r="AA63" s="121"/>
      <c r="AB63" s="121"/>
      <c r="AC63" s="64">
        <v>120689208.75</v>
      </c>
      <c r="AD63" s="65">
        <v>43435</v>
      </c>
      <c r="AE63" s="65">
        <v>44530</v>
      </c>
      <c r="AF63" s="62">
        <v>3</v>
      </c>
      <c r="AG63" s="119">
        <v>36</v>
      </c>
      <c r="AH63" s="25">
        <v>3352478.0208333335</v>
      </c>
      <c r="AI63" s="78">
        <v>120689208.75</v>
      </c>
      <c r="AJ63" s="78">
        <v>0</v>
      </c>
      <c r="AK63" s="27">
        <f t="shared" si="6"/>
        <v>0</v>
      </c>
      <c r="AL63" s="27">
        <f t="shared" si="7"/>
        <v>0</v>
      </c>
      <c r="AM63" s="27"/>
      <c r="AN63" s="27"/>
      <c r="AO63" s="27"/>
      <c r="AP63" s="27"/>
      <c r="AQ63" s="27"/>
      <c r="AR63" s="27"/>
      <c r="AS63" s="27"/>
      <c r="AT63" s="27"/>
      <c r="AU63" s="27"/>
      <c r="AV63" s="27"/>
      <c r="AW63" s="27">
        <f t="shared" si="8"/>
        <v>0</v>
      </c>
      <c r="AX63" s="79">
        <f t="shared" si="9"/>
        <v>0</v>
      </c>
      <c r="AY63" s="79">
        <f t="shared" si="10"/>
        <v>120689208.75</v>
      </c>
      <c r="AZ63" s="25">
        <v>3</v>
      </c>
      <c r="BA63" s="62" t="s">
        <v>79</v>
      </c>
      <c r="BB63" s="66">
        <v>1</v>
      </c>
      <c r="BC63" s="66"/>
      <c r="BD63" s="66"/>
      <c r="BE63" s="67">
        <f t="shared" si="11"/>
        <v>0</v>
      </c>
      <c r="BF63" s="67">
        <f t="shared" si="12"/>
        <v>0</v>
      </c>
      <c r="BG63" s="67">
        <f t="shared" si="3"/>
        <v>0</v>
      </c>
      <c r="BH63" s="66"/>
      <c r="BI63" s="68" t="s">
        <v>117</v>
      </c>
      <c r="BJ63" s="68" t="s">
        <v>117</v>
      </c>
      <c r="BK63" s="68" t="s">
        <v>117</v>
      </c>
      <c r="BL63" s="29"/>
      <c r="BO63" s="35" t="s">
        <v>1804</v>
      </c>
      <c r="BQ63" s="1" t="e">
        <v>#N/A</v>
      </c>
    </row>
    <row r="64" spans="1:69" ht="15" hidden="1" customHeight="1">
      <c r="A64" s="1" t="s">
        <v>43</v>
      </c>
      <c r="C64" s="1" t="str">
        <f t="shared" si="4"/>
        <v>2204</v>
      </c>
      <c r="D64" s="1" t="str">
        <f t="shared" si="5"/>
        <v>1812</v>
      </c>
      <c r="E64" s="19" t="s">
        <v>48</v>
      </c>
      <c r="F64" s="62" t="s">
        <v>49</v>
      </c>
      <c r="G64" s="62">
        <v>2112</v>
      </c>
      <c r="H64" s="62" t="s">
        <v>222</v>
      </c>
      <c r="I64" s="62" t="s">
        <v>223</v>
      </c>
      <c r="J64" s="118">
        <v>1</v>
      </c>
      <c r="K64" s="119"/>
      <c r="L64" s="62" t="s">
        <v>77</v>
      </c>
      <c r="M64" s="120" t="s">
        <v>224</v>
      </c>
      <c r="N64" s="65">
        <v>43416</v>
      </c>
      <c r="O64" s="24">
        <v>71778</v>
      </c>
      <c r="P64" s="24">
        <v>23340</v>
      </c>
      <c r="Q64" s="64">
        <v>1675298520</v>
      </c>
      <c r="R64" s="64">
        <v>50138486.583999999</v>
      </c>
      <c r="S64" s="64"/>
      <c r="T64" s="64">
        <v>4134382.6019551829</v>
      </c>
      <c r="U64" s="64" t="s">
        <v>220</v>
      </c>
      <c r="V64" s="121">
        <v>1729571389.1860001</v>
      </c>
      <c r="W64" s="122">
        <v>4.482269287109375E-5</v>
      </c>
      <c r="X64" s="64">
        <v>1729571389.1859553</v>
      </c>
      <c r="Y64" s="121">
        <v>-1729571389.1859601</v>
      </c>
      <c r="Z64" s="121">
        <v>1</v>
      </c>
      <c r="AA64" s="123">
        <v>44678</v>
      </c>
      <c r="AB64" s="121" t="s">
        <v>225</v>
      </c>
      <c r="AC64" s="64">
        <v>0</v>
      </c>
      <c r="AD64" s="65">
        <v>43435</v>
      </c>
      <c r="AE64" s="65">
        <v>44678</v>
      </c>
      <c r="AF64" s="62">
        <v>7</v>
      </c>
      <c r="AG64" s="119">
        <v>84</v>
      </c>
      <c r="AH64" s="25">
        <v>20590135.585547086</v>
      </c>
      <c r="AI64" s="78">
        <v>0</v>
      </c>
      <c r="AJ64" s="78">
        <v>0</v>
      </c>
      <c r="AK64" s="27">
        <f t="shared" si="6"/>
        <v>0</v>
      </c>
      <c r="AL64" s="27">
        <f t="shared" si="7"/>
        <v>0</v>
      </c>
      <c r="AM64" s="27"/>
      <c r="AN64" s="27"/>
      <c r="AO64" s="27"/>
      <c r="AP64" s="27"/>
      <c r="AQ64" s="27"/>
      <c r="AR64" s="27"/>
      <c r="AS64" s="27"/>
      <c r="AT64" s="27"/>
      <c r="AU64" s="27"/>
      <c r="AV64" s="27"/>
      <c r="AW64" s="27">
        <f t="shared" si="8"/>
        <v>0</v>
      </c>
      <c r="AX64" s="79">
        <v>0</v>
      </c>
      <c r="AY64" s="79">
        <v>0</v>
      </c>
      <c r="AZ64" s="25">
        <v>0</v>
      </c>
      <c r="BA64" s="62" t="s">
        <v>97</v>
      </c>
      <c r="BB64" s="66">
        <v>1</v>
      </c>
      <c r="BC64" s="66"/>
      <c r="BD64" s="66"/>
      <c r="BE64" s="67">
        <f t="shared" si="11"/>
        <v>0</v>
      </c>
      <c r="BF64" s="67">
        <f t="shared" si="12"/>
        <v>0</v>
      </c>
      <c r="BG64" s="67">
        <f t="shared" si="3"/>
        <v>0</v>
      </c>
      <c r="BH64" s="66"/>
      <c r="BI64" s="68" t="s">
        <v>226</v>
      </c>
      <c r="BJ64" s="68" t="s">
        <v>121</v>
      </c>
      <c r="BK64" s="68" t="s">
        <v>121</v>
      </c>
      <c r="BL64" s="29"/>
      <c r="BQ64" s="1" t="e">
        <v>#N/A</v>
      </c>
    </row>
    <row r="65" spans="1:69" ht="15" hidden="1" customHeight="1">
      <c r="A65" s="1" t="s">
        <v>43</v>
      </c>
      <c r="C65" s="1" t="str">
        <f t="shared" si="4"/>
        <v>2511</v>
      </c>
      <c r="D65" s="1" t="str">
        <f t="shared" si="5"/>
        <v>1812</v>
      </c>
      <c r="E65" s="19" t="s">
        <v>48</v>
      </c>
      <c r="F65" s="62" t="s">
        <v>49</v>
      </c>
      <c r="G65" s="62">
        <v>2112</v>
      </c>
      <c r="H65" s="62" t="s">
        <v>227</v>
      </c>
      <c r="I65" s="62" t="s">
        <v>228</v>
      </c>
      <c r="J65" s="118">
        <v>3</v>
      </c>
      <c r="K65" s="119"/>
      <c r="L65" s="62" t="s">
        <v>77</v>
      </c>
      <c r="M65" s="120" t="s">
        <v>224</v>
      </c>
      <c r="N65" s="65">
        <v>43416</v>
      </c>
      <c r="O65" s="24">
        <v>647950</v>
      </c>
      <c r="P65" s="24">
        <v>23340</v>
      </c>
      <c r="Q65" s="64">
        <v>15123153000</v>
      </c>
      <c r="R65" s="64"/>
      <c r="S65" s="64"/>
      <c r="T65" s="64">
        <v>37321647.398044817</v>
      </c>
      <c r="U65" s="64" t="s">
        <v>220</v>
      </c>
      <c r="V65" s="121">
        <v>15160474647.398001</v>
      </c>
      <c r="W65" s="122">
        <v>-4.38690185546875E-5</v>
      </c>
      <c r="X65" s="64">
        <v>15160474647.398045</v>
      </c>
      <c r="Y65" s="121"/>
      <c r="Z65" s="121"/>
      <c r="AA65" s="121"/>
      <c r="AB65" s="121"/>
      <c r="AC65" s="64">
        <v>15160474647.397957</v>
      </c>
      <c r="AD65" s="65">
        <v>43435</v>
      </c>
      <c r="AE65" s="65">
        <v>45990</v>
      </c>
      <c r="AF65" s="62">
        <v>7</v>
      </c>
      <c r="AG65" s="119">
        <v>84</v>
      </c>
      <c r="AH65" s="25">
        <v>180481841.04045185</v>
      </c>
      <c r="AI65" s="78">
        <v>11009392301.802475</v>
      </c>
      <c r="AJ65" s="78">
        <v>4151082345.5954819</v>
      </c>
      <c r="AK65" s="27">
        <f t="shared" si="6"/>
        <v>180481841.04045185</v>
      </c>
      <c r="AL65" s="27">
        <f t="shared" si="7"/>
        <v>180481841.04045185</v>
      </c>
      <c r="AM65" s="27"/>
      <c r="AN65" s="27"/>
      <c r="AO65" s="27"/>
      <c r="AP65" s="27"/>
      <c r="AQ65" s="27"/>
      <c r="AR65" s="27"/>
      <c r="AS65" s="27"/>
      <c r="AT65" s="27"/>
      <c r="AU65" s="27"/>
      <c r="AV65" s="27"/>
      <c r="AW65" s="27">
        <f t="shared" si="8"/>
        <v>360963682.08090371</v>
      </c>
      <c r="AX65" s="79">
        <f t="shared" si="9"/>
        <v>3790118663.5145783</v>
      </c>
      <c r="AY65" s="79">
        <f t="shared" si="10"/>
        <v>11370355983.883379</v>
      </c>
      <c r="AZ65" s="25">
        <v>3</v>
      </c>
      <c r="BA65" s="62" t="s">
        <v>97</v>
      </c>
      <c r="BB65" s="66">
        <v>1</v>
      </c>
      <c r="BC65" s="66"/>
      <c r="BD65" s="66"/>
      <c r="BE65" s="67">
        <f t="shared" si="11"/>
        <v>180481841.04045185</v>
      </c>
      <c r="BF65" s="67">
        <f t="shared" si="12"/>
        <v>0</v>
      </c>
      <c r="BG65" s="67">
        <f t="shared" si="3"/>
        <v>0</v>
      </c>
      <c r="BH65" s="66"/>
      <c r="BI65" s="68" t="s">
        <v>229</v>
      </c>
      <c r="BJ65" s="68" t="s">
        <v>85</v>
      </c>
      <c r="BK65" s="68" t="s">
        <v>85</v>
      </c>
      <c r="BL65" s="29"/>
      <c r="BO65" s="35" t="s">
        <v>1800</v>
      </c>
      <c r="BQ65" s="1" t="e">
        <v>#N/A</v>
      </c>
    </row>
    <row r="66" spans="1:69" ht="15" hidden="1" customHeight="1">
      <c r="A66" s="1" t="s">
        <v>43</v>
      </c>
      <c r="C66" s="1" t="str">
        <f t="shared" si="4"/>
        <v>2511</v>
      </c>
      <c r="D66" s="1" t="str">
        <f t="shared" si="5"/>
        <v>1812</v>
      </c>
      <c r="E66" s="19" t="s">
        <v>48</v>
      </c>
      <c r="F66" s="62" t="s">
        <v>49</v>
      </c>
      <c r="G66" s="62">
        <v>2112</v>
      </c>
      <c r="H66" s="62" t="s">
        <v>230</v>
      </c>
      <c r="I66" s="62" t="s">
        <v>231</v>
      </c>
      <c r="J66" s="118">
        <v>1</v>
      </c>
      <c r="K66" s="119"/>
      <c r="L66" s="62" t="s">
        <v>77</v>
      </c>
      <c r="M66" s="120" t="s">
        <v>232</v>
      </c>
      <c r="N66" s="65">
        <v>43419</v>
      </c>
      <c r="O66" s="24">
        <v>47099.3</v>
      </c>
      <c r="P66" s="24">
        <v>23360</v>
      </c>
      <c r="Q66" s="64">
        <v>1100239648</v>
      </c>
      <c r="R66" s="64"/>
      <c r="S66" s="64"/>
      <c r="T66" s="64">
        <v>9382055</v>
      </c>
      <c r="U66" s="64" t="s">
        <v>220</v>
      </c>
      <c r="V66" s="121">
        <v>1109621703</v>
      </c>
      <c r="W66" s="122">
        <v>0</v>
      </c>
      <c r="X66" s="64">
        <v>1109621703</v>
      </c>
      <c r="Y66" s="121"/>
      <c r="Z66" s="121"/>
      <c r="AA66" s="121"/>
      <c r="AB66" s="121"/>
      <c r="AC66" s="64">
        <v>1109621703</v>
      </c>
      <c r="AD66" s="65">
        <v>43435</v>
      </c>
      <c r="AE66" s="65">
        <v>45990</v>
      </c>
      <c r="AF66" s="62">
        <v>7</v>
      </c>
      <c r="AG66" s="119">
        <v>84</v>
      </c>
      <c r="AH66" s="25">
        <v>13209782.178571429</v>
      </c>
      <c r="AI66" s="78">
        <v>805796703.78571439</v>
      </c>
      <c r="AJ66" s="78">
        <v>303824999.21428567</v>
      </c>
      <c r="AK66" s="27">
        <f t="shared" si="6"/>
        <v>13209782.178571429</v>
      </c>
      <c r="AL66" s="27">
        <f t="shared" si="7"/>
        <v>13209782.178571429</v>
      </c>
      <c r="AM66" s="27"/>
      <c r="AN66" s="27"/>
      <c r="AO66" s="27"/>
      <c r="AP66" s="27"/>
      <c r="AQ66" s="27"/>
      <c r="AR66" s="27"/>
      <c r="AS66" s="27"/>
      <c r="AT66" s="27"/>
      <c r="AU66" s="27"/>
      <c r="AV66" s="27"/>
      <c r="AW66" s="27">
        <f t="shared" si="8"/>
        <v>26419564.357142858</v>
      </c>
      <c r="AX66" s="79">
        <f t="shared" si="9"/>
        <v>277405434.85714275</v>
      </c>
      <c r="AY66" s="79">
        <f t="shared" si="10"/>
        <v>832216268.14285719</v>
      </c>
      <c r="AZ66" s="25">
        <v>1</v>
      </c>
      <c r="BA66" s="62" t="s">
        <v>97</v>
      </c>
      <c r="BB66" s="66">
        <v>1</v>
      </c>
      <c r="BC66" s="66"/>
      <c r="BD66" s="66"/>
      <c r="BE66" s="67">
        <f t="shared" si="11"/>
        <v>13209782.178571429</v>
      </c>
      <c r="BF66" s="67">
        <f t="shared" si="12"/>
        <v>0</v>
      </c>
      <c r="BG66" s="67">
        <f t="shared" si="3"/>
        <v>0</v>
      </c>
      <c r="BH66" s="66"/>
      <c r="BI66" s="68" t="s">
        <v>80</v>
      </c>
      <c r="BJ66" s="68" t="s">
        <v>98</v>
      </c>
      <c r="BK66" s="68" t="s">
        <v>98</v>
      </c>
      <c r="BL66" s="29"/>
      <c r="BO66" s="35" t="s">
        <v>1801</v>
      </c>
      <c r="BQ66" s="1" t="e">
        <v>#N/A</v>
      </c>
    </row>
    <row r="67" spans="1:69" ht="15" hidden="1" customHeight="1">
      <c r="A67" s="1" t="s">
        <v>43</v>
      </c>
      <c r="C67" s="1" t="str">
        <f t="shared" si="4"/>
        <v>2511</v>
      </c>
      <c r="D67" s="1" t="str">
        <f t="shared" si="5"/>
        <v>1812</v>
      </c>
      <c r="E67" s="19" t="s">
        <v>48</v>
      </c>
      <c r="F67" s="62" t="s">
        <v>49</v>
      </c>
      <c r="G67" s="62">
        <v>2112</v>
      </c>
      <c r="H67" s="62" t="s">
        <v>233</v>
      </c>
      <c r="I67" s="62" t="s">
        <v>234</v>
      </c>
      <c r="J67" s="118">
        <v>4</v>
      </c>
      <c r="K67" s="119"/>
      <c r="L67" s="62" t="s">
        <v>77</v>
      </c>
      <c r="M67" s="120" t="s">
        <v>235</v>
      </c>
      <c r="N67" s="65">
        <v>43419</v>
      </c>
      <c r="O67" s="24">
        <v>189740</v>
      </c>
      <c r="P67" s="24">
        <v>23360</v>
      </c>
      <c r="Q67" s="64">
        <v>4432326400</v>
      </c>
      <c r="R67" s="64"/>
      <c r="S67" s="64"/>
      <c r="T67" s="64">
        <v>7698768</v>
      </c>
      <c r="U67" s="64" t="s">
        <v>220</v>
      </c>
      <c r="V67" s="121">
        <v>4440025168</v>
      </c>
      <c r="W67" s="122">
        <v>0</v>
      </c>
      <c r="X67" s="64">
        <v>4440025168</v>
      </c>
      <c r="Y67" s="121">
        <v>-1110006292</v>
      </c>
      <c r="Z67" s="121">
        <v>1</v>
      </c>
      <c r="AA67" s="128">
        <v>44455</v>
      </c>
      <c r="AB67" s="121" t="s">
        <v>236</v>
      </c>
      <c r="AC67" s="64">
        <v>3330018876</v>
      </c>
      <c r="AD67" s="65">
        <v>43435</v>
      </c>
      <c r="AE67" s="65">
        <v>45990</v>
      </c>
      <c r="AF67" s="62">
        <v>7</v>
      </c>
      <c r="AG67" s="119">
        <v>84.00000075675247</v>
      </c>
      <c r="AH67" s="25">
        <v>39643081.5</v>
      </c>
      <c r="AI67" s="78">
        <v>2418227971</v>
      </c>
      <c r="AJ67" s="78">
        <v>911790905</v>
      </c>
      <c r="AK67" s="27">
        <f t="shared" si="6"/>
        <v>39643081.5</v>
      </c>
      <c r="AL67" s="27">
        <f t="shared" si="7"/>
        <v>39643081.5</v>
      </c>
      <c r="AM67" s="27"/>
      <c r="AN67" s="27"/>
      <c r="AO67" s="27"/>
      <c r="AP67" s="27"/>
      <c r="AQ67" s="27"/>
      <c r="AR67" s="27"/>
      <c r="AS67" s="27"/>
      <c r="AT67" s="27"/>
      <c r="AU67" s="27"/>
      <c r="AV67" s="27"/>
      <c r="AW67" s="27">
        <f t="shared" si="8"/>
        <v>79286163</v>
      </c>
      <c r="AX67" s="79">
        <f>AC67-AI67-AW67</f>
        <v>832504742</v>
      </c>
      <c r="AY67" s="79">
        <f>AW67+AI67</f>
        <v>2497514134</v>
      </c>
      <c r="AZ67" s="25">
        <v>3</v>
      </c>
      <c r="BA67" s="62" t="s">
        <v>97</v>
      </c>
      <c r="BB67" s="66">
        <v>1</v>
      </c>
      <c r="BC67" s="66"/>
      <c r="BD67" s="66"/>
      <c r="BE67" s="67">
        <f t="shared" si="11"/>
        <v>39643081.5</v>
      </c>
      <c r="BF67" s="67">
        <f t="shared" si="12"/>
        <v>0</v>
      </c>
      <c r="BG67" s="67">
        <f t="shared" si="3"/>
        <v>0</v>
      </c>
      <c r="BH67" s="66"/>
      <c r="BI67" s="68" t="s">
        <v>237</v>
      </c>
      <c r="BJ67" s="68" t="s">
        <v>121</v>
      </c>
      <c r="BK67" s="68" t="s">
        <v>121</v>
      </c>
      <c r="BL67" s="31">
        <v>666884736</v>
      </c>
      <c r="BO67" s="35" t="s">
        <v>1801</v>
      </c>
      <c r="BQ67" s="1" t="e">
        <v>#N/A</v>
      </c>
    </row>
    <row r="68" spans="1:69" ht="15" hidden="1" customHeight="1">
      <c r="A68" s="1" t="s">
        <v>43</v>
      </c>
      <c r="C68" s="1" t="str">
        <f t="shared" si="4"/>
        <v>2511</v>
      </c>
      <c r="D68" s="1" t="str">
        <f t="shared" si="5"/>
        <v>1812</v>
      </c>
      <c r="E68" s="19" t="s">
        <v>48</v>
      </c>
      <c r="F68" s="62" t="s">
        <v>49</v>
      </c>
      <c r="G68" s="62">
        <v>2112</v>
      </c>
      <c r="H68" s="62" t="s">
        <v>238</v>
      </c>
      <c r="I68" s="62" t="s">
        <v>239</v>
      </c>
      <c r="J68" s="118">
        <v>1</v>
      </c>
      <c r="K68" s="119"/>
      <c r="L68" s="62" t="s">
        <v>77</v>
      </c>
      <c r="M68" s="120" t="s">
        <v>240</v>
      </c>
      <c r="N68" s="65">
        <v>43424</v>
      </c>
      <c r="O68" s="24">
        <v>6400.31</v>
      </c>
      <c r="P68" s="24">
        <v>23370</v>
      </c>
      <c r="Q68" s="64">
        <v>149575244.70000002</v>
      </c>
      <c r="R68" s="64"/>
      <c r="S68" s="64"/>
      <c r="T68" s="64">
        <v>4153818.3665058073</v>
      </c>
      <c r="U68" s="64" t="s">
        <v>241</v>
      </c>
      <c r="V68" s="121">
        <v>153729063.067</v>
      </c>
      <c r="W68" s="122">
        <v>4.9418210983276367E-4</v>
      </c>
      <c r="X68" s="64">
        <v>153729063.06650582</v>
      </c>
      <c r="Y68" s="121"/>
      <c r="Z68" s="121"/>
      <c r="AA68" s="121"/>
      <c r="AB68" s="121"/>
      <c r="AC68" s="64">
        <v>153729063.06749418</v>
      </c>
      <c r="AD68" s="65">
        <v>43435</v>
      </c>
      <c r="AE68" s="65">
        <v>45990</v>
      </c>
      <c r="AF68" s="62">
        <v>7</v>
      </c>
      <c r="AG68" s="119">
        <v>84</v>
      </c>
      <c r="AH68" s="25">
        <v>1830107.893660645</v>
      </c>
      <c r="AI68" s="78">
        <v>111636587.00410064</v>
      </c>
      <c r="AJ68" s="78">
        <v>42092476.063393548</v>
      </c>
      <c r="AK68" s="27">
        <f t="shared" si="6"/>
        <v>1830107.893660645</v>
      </c>
      <c r="AL68" s="27">
        <f t="shared" si="7"/>
        <v>1830107.893660645</v>
      </c>
      <c r="AM68" s="27"/>
      <c r="AN68" s="27"/>
      <c r="AO68" s="27"/>
      <c r="AP68" s="27"/>
      <c r="AQ68" s="27"/>
      <c r="AR68" s="27"/>
      <c r="AS68" s="27"/>
      <c r="AT68" s="27"/>
      <c r="AU68" s="27"/>
      <c r="AV68" s="27"/>
      <c r="AW68" s="27">
        <f t="shared" si="8"/>
        <v>3660215.78732129</v>
      </c>
      <c r="AX68" s="79">
        <f t="shared" si="9"/>
        <v>38432260.276072256</v>
      </c>
      <c r="AY68" s="79">
        <f t="shared" si="10"/>
        <v>115296802.79142192</v>
      </c>
      <c r="AZ68" s="25">
        <v>1</v>
      </c>
      <c r="BA68" s="62" t="s">
        <v>97</v>
      </c>
      <c r="BB68" s="66">
        <v>1</v>
      </c>
      <c r="BC68" s="66"/>
      <c r="BD68" s="66"/>
      <c r="BE68" s="67">
        <f t="shared" si="11"/>
        <v>1830107.893660645</v>
      </c>
      <c r="BF68" s="67">
        <f t="shared" si="12"/>
        <v>0</v>
      </c>
      <c r="BG68" s="67">
        <f t="shared" si="3"/>
        <v>0</v>
      </c>
      <c r="BH68" s="66" t="s">
        <v>1662</v>
      </c>
      <c r="BI68" s="68" t="s">
        <v>242</v>
      </c>
      <c r="BJ68" s="68" t="s">
        <v>98</v>
      </c>
      <c r="BK68" s="68" t="s">
        <v>98</v>
      </c>
      <c r="BL68" s="29"/>
      <c r="BO68" s="35" t="s">
        <v>1805</v>
      </c>
      <c r="BQ68" s="1" t="s">
        <v>1982</v>
      </c>
    </row>
    <row r="69" spans="1:69" ht="15" hidden="1" customHeight="1">
      <c r="A69" s="1" t="s">
        <v>43</v>
      </c>
      <c r="C69" s="1" t="str">
        <f t="shared" si="4"/>
        <v>2511</v>
      </c>
      <c r="D69" s="1" t="str">
        <f t="shared" si="5"/>
        <v>1812</v>
      </c>
      <c r="E69" s="19" t="s">
        <v>48</v>
      </c>
      <c r="F69" s="62" t="s">
        <v>49</v>
      </c>
      <c r="G69" s="62">
        <v>2112</v>
      </c>
      <c r="H69" s="62" t="s">
        <v>243</v>
      </c>
      <c r="I69" s="62" t="s">
        <v>244</v>
      </c>
      <c r="J69" s="118">
        <v>1</v>
      </c>
      <c r="K69" s="119"/>
      <c r="L69" s="62" t="s">
        <v>77</v>
      </c>
      <c r="M69" s="120" t="s">
        <v>240</v>
      </c>
      <c r="N69" s="65">
        <v>43424</v>
      </c>
      <c r="O69" s="24">
        <v>6180.27</v>
      </c>
      <c r="P69" s="24">
        <v>23370</v>
      </c>
      <c r="Q69" s="64">
        <v>144432909.90000001</v>
      </c>
      <c r="R69" s="64"/>
      <c r="S69" s="64"/>
      <c r="T69" s="64">
        <v>4011011.8159846696</v>
      </c>
      <c r="U69" s="64" t="s">
        <v>241</v>
      </c>
      <c r="V69" s="121">
        <v>148443921.71599999</v>
      </c>
      <c r="W69" s="122">
        <v>1.5318393707275391E-5</v>
      </c>
      <c r="X69" s="64">
        <v>148443921.71598467</v>
      </c>
      <c r="Y69" s="121"/>
      <c r="Z69" s="121"/>
      <c r="AA69" s="121"/>
      <c r="AB69" s="121"/>
      <c r="AC69" s="64">
        <v>148443921.71601531</v>
      </c>
      <c r="AD69" s="65">
        <v>43435</v>
      </c>
      <c r="AE69" s="65">
        <v>45990</v>
      </c>
      <c r="AF69" s="62">
        <v>7</v>
      </c>
      <c r="AG69" s="119">
        <v>84</v>
      </c>
      <c r="AH69" s="25">
        <v>1767189.5442382775</v>
      </c>
      <c r="AI69" s="78">
        <v>107798585.15839808</v>
      </c>
      <c r="AJ69" s="78">
        <v>40645336.557617232</v>
      </c>
      <c r="AK69" s="27">
        <f t="shared" si="6"/>
        <v>1767189.5442382775</v>
      </c>
      <c r="AL69" s="27">
        <f t="shared" si="7"/>
        <v>1767189.5442382775</v>
      </c>
      <c r="AM69" s="27"/>
      <c r="AN69" s="27"/>
      <c r="AO69" s="27"/>
      <c r="AP69" s="27"/>
      <c r="AQ69" s="27"/>
      <c r="AR69" s="27"/>
      <c r="AS69" s="27"/>
      <c r="AT69" s="27"/>
      <c r="AU69" s="27"/>
      <c r="AV69" s="27"/>
      <c r="AW69" s="27">
        <f t="shared" si="8"/>
        <v>3534379.088476555</v>
      </c>
      <c r="AX69" s="79">
        <f t="shared" si="9"/>
        <v>37110957.469140679</v>
      </c>
      <c r="AY69" s="79">
        <f t="shared" si="10"/>
        <v>111332964.24687463</v>
      </c>
      <c r="AZ69" s="25">
        <v>1</v>
      </c>
      <c r="BA69" s="62" t="s">
        <v>97</v>
      </c>
      <c r="BB69" s="66">
        <v>1</v>
      </c>
      <c r="BC69" s="66"/>
      <c r="BD69" s="66"/>
      <c r="BE69" s="67">
        <f t="shared" si="11"/>
        <v>1767189.5442382775</v>
      </c>
      <c r="BF69" s="67">
        <f t="shared" si="12"/>
        <v>0</v>
      </c>
      <c r="BG69" s="67">
        <f t="shared" si="3"/>
        <v>0</v>
      </c>
      <c r="BH69" s="66" t="s">
        <v>1662</v>
      </c>
      <c r="BI69" s="68" t="s">
        <v>107</v>
      </c>
      <c r="BJ69" s="68" t="s">
        <v>98</v>
      </c>
      <c r="BK69" s="68" t="s">
        <v>98</v>
      </c>
      <c r="BL69" s="29"/>
      <c r="BO69" s="35" t="s">
        <v>1800</v>
      </c>
      <c r="BQ69" s="1" t="s">
        <v>1982</v>
      </c>
    </row>
    <row r="70" spans="1:69" ht="15" hidden="1" customHeight="1">
      <c r="A70" s="1" t="s">
        <v>43</v>
      </c>
      <c r="C70" s="1" t="str">
        <f t="shared" si="4"/>
        <v>2511</v>
      </c>
      <c r="D70" s="1" t="str">
        <f t="shared" si="5"/>
        <v>1812</v>
      </c>
      <c r="E70" s="19" t="s">
        <v>48</v>
      </c>
      <c r="F70" s="62" t="s">
        <v>49</v>
      </c>
      <c r="G70" s="62">
        <v>2112</v>
      </c>
      <c r="H70" s="62" t="s">
        <v>245</v>
      </c>
      <c r="I70" s="62" t="s">
        <v>246</v>
      </c>
      <c r="J70" s="118">
        <v>1</v>
      </c>
      <c r="K70" s="119"/>
      <c r="L70" s="62" t="s">
        <v>77</v>
      </c>
      <c r="M70" s="120" t="s">
        <v>240</v>
      </c>
      <c r="N70" s="65">
        <v>43424</v>
      </c>
      <c r="O70" s="24">
        <v>6326.16</v>
      </c>
      <c r="P70" s="24">
        <v>23370</v>
      </c>
      <c r="Q70" s="64">
        <v>147842359.19999999</v>
      </c>
      <c r="R70" s="64"/>
      <c r="S70" s="64"/>
      <c r="T70" s="64">
        <v>4105694.8175095222</v>
      </c>
      <c r="U70" s="64" t="s">
        <v>241</v>
      </c>
      <c r="V70" s="121">
        <v>151948054</v>
      </c>
      <c r="W70" s="122">
        <v>-1.7509520053863525E-2</v>
      </c>
      <c r="X70" s="64">
        <v>151948054.01750952</v>
      </c>
      <c r="Y70" s="121"/>
      <c r="Z70" s="121"/>
      <c r="AA70" s="121"/>
      <c r="AB70" s="121"/>
      <c r="AC70" s="64">
        <v>151948053.98249048</v>
      </c>
      <c r="AD70" s="65">
        <v>43435</v>
      </c>
      <c r="AE70" s="65">
        <v>45990</v>
      </c>
      <c r="AF70" s="62">
        <v>7</v>
      </c>
      <c r="AG70" s="119">
        <v>84</v>
      </c>
      <c r="AH70" s="25">
        <v>1808905.4045534581</v>
      </c>
      <c r="AI70" s="78">
        <v>110343209.02802506</v>
      </c>
      <c r="AJ70" s="78">
        <v>41604844.954465419</v>
      </c>
      <c r="AK70" s="27">
        <f t="shared" si="6"/>
        <v>1808905.4045534581</v>
      </c>
      <c r="AL70" s="27">
        <f t="shared" si="7"/>
        <v>1808905.4045534581</v>
      </c>
      <c r="AM70" s="27"/>
      <c r="AN70" s="27"/>
      <c r="AO70" s="27"/>
      <c r="AP70" s="27"/>
      <c r="AQ70" s="27"/>
      <c r="AR70" s="27"/>
      <c r="AS70" s="27"/>
      <c r="AT70" s="27"/>
      <c r="AU70" s="27"/>
      <c r="AV70" s="27"/>
      <c r="AW70" s="27">
        <f t="shared" si="8"/>
        <v>3617810.8091069162</v>
      </c>
      <c r="AX70" s="79">
        <f t="shared" si="9"/>
        <v>37987034.145358503</v>
      </c>
      <c r="AY70" s="79">
        <f t="shared" si="10"/>
        <v>113961019.83713198</v>
      </c>
      <c r="AZ70" s="25">
        <v>1</v>
      </c>
      <c r="BA70" s="62" t="s">
        <v>97</v>
      </c>
      <c r="BB70" s="66">
        <v>1</v>
      </c>
      <c r="BC70" s="66"/>
      <c r="BD70" s="66"/>
      <c r="BE70" s="67">
        <f t="shared" si="11"/>
        <v>1808905.4045534581</v>
      </c>
      <c r="BF70" s="67">
        <f t="shared" si="12"/>
        <v>0</v>
      </c>
      <c r="BG70" s="67">
        <f t="shared" si="3"/>
        <v>0</v>
      </c>
      <c r="BH70" s="66" t="s">
        <v>1662</v>
      </c>
      <c r="BI70" s="68" t="s">
        <v>107</v>
      </c>
      <c r="BJ70" s="68" t="s">
        <v>98</v>
      </c>
      <c r="BK70" s="68" t="s">
        <v>98</v>
      </c>
      <c r="BL70" s="29"/>
      <c r="BO70" s="35" t="s">
        <v>1800</v>
      </c>
      <c r="BQ70" s="1" t="s">
        <v>1982</v>
      </c>
    </row>
    <row r="71" spans="1:69" ht="15" hidden="1" customHeight="1">
      <c r="A71" s="1" t="s">
        <v>43</v>
      </c>
      <c r="C71" s="1" t="str">
        <f t="shared" si="4"/>
        <v>2511</v>
      </c>
      <c r="D71" s="1" t="str">
        <f t="shared" si="5"/>
        <v>1812</v>
      </c>
      <c r="E71" s="19" t="s">
        <v>48</v>
      </c>
      <c r="F71" s="62" t="s">
        <v>49</v>
      </c>
      <c r="G71" s="62">
        <v>2112</v>
      </c>
      <c r="H71" s="62" t="s">
        <v>247</v>
      </c>
      <c r="I71" s="62" t="s">
        <v>248</v>
      </c>
      <c r="J71" s="118">
        <v>6</v>
      </c>
      <c r="K71" s="119"/>
      <c r="L71" s="62" t="s">
        <v>77</v>
      </c>
      <c r="M71" s="120" t="s">
        <v>249</v>
      </c>
      <c r="N71" s="65">
        <v>43433</v>
      </c>
      <c r="O71" s="24">
        <v>16295.76</v>
      </c>
      <c r="P71" s="24">
        <v>23355</v>
      </c>
      <c r="Q71" s="64">
        <v>380587474.80000001</v>
      </c>
      <c r="R71" s="64">
        <v>6405804.1969051827</v>
      </c>
      <c r="S71" s="64"/>
      <c r="T71" s="64">
        <v>1576252.6893333399</v>
      </c>
      <c r="U71" s="64" t="s">
        <v>250</v>
      </c>
      <c r="V71" s="121">
        <v>388569532</v>
      </c>
      <c r="W71" s="122">
        <v>0</v>
      </c>
      <c r="X71" s="64">
        <v>388569532</v>
      </c>
      <c r="Y71" s="121">
        <v>-323807943.33333302</v>
      </c>
      <c r="Z71" s="121">
        <v>5</v>
      </c>
      <c r="AA71" s="123">
        <v>43622</v>
      </c>
      <c r="AB71" s="123" t="s">
        <v>251</v>
      </c>
      <c r="AC71" s="64">
        <v>64761588.666666985</v>
      </c>
      <c r="AD71" s="65">
        <v>43435</v>
      </c>
      <c r="AE71" s="65">
        <v>45990</v>
      </c>
      <c r="AF71" s="62">
        <v>7</v>
      </c>
      <c r="AG71" s="119">
        <v>83.999995676450112</v>
      </c>
      <c r="AH71" s="25">
        <v>770971.33333333337</v>
      </c>
      <c r="AI71" s="78">
        <v>46900771.366666995</v>
      </c>
      <c r="AJ71" s="78">
        <v>17860817.29999999</v>
      </c>
      <c r="AK71" s="27">
        <f t="shared" si="6"/>
        <v>770971.33333333337</v>
      </c>
      <c r="AL71" s="27">
        <f t="shared" si="7"/>
        <v>770971.33333333337</v>
      </c>
      <c r="AM71" s="27"/>
      <c r="AN71" s="27"/>
      <c r="AO71" s="27"/>
      <c r="AP71" s="27"/>
      <c r="AQ71" s="27"/>
      <c r="AR71" s="27"/>
      <c r="AS71" s="27"/>
      <c r="AT71" s="27"/>
      <c r="AU71" s="27"/>
      <c r="AV71" s="27"/>
      <c r="AW71" s="27">
        <f t="shared" si="8"/>
        <v>1541942.6666666667</v>
      </c>
      <c r="AX71" s="79">
        <f t="shared" si="9"/>
        <v>16318874.633333324</v>
      </c>
      <c r="AY71" s="79">
        <f t="shared" si="10"/>
        <v>48442714.033333659</v>
      </c>
      <c r="AZ71" s="25">
        <v>1</v>
      </c>
      <c r="BA71" s="62" t="s">
        <v>79</v>
      </c>
      <c r="BB71" s="66">
        <v>1</v>
      </c>
      <c r="BC71" s="66"/>
      <c r="BD71" s="66"/>
      <c r="BE71" s="67">
        <f t="shared" si="11"/>
        <v>770971.33333333337</v>
      </c>
      <c r="BF71" s="67">
        <f t="shared" si="12"/>
        <v>0</v>
      </c>
      <c r="BG71" s="67">
        <f t="shared" si="3"/>
        <v>0</v>
      </c>
      <c r="BH71" s="66"/>
      <c r="BI71" s="68" t="s">
        <v>146</v>
      </c>
      <c r="BJ71" s="68" t="s">
        <v>85</v>
      </c>
      <c r="BK71" s="68" t="s">
        <v>85</v>
      </c>
      <c r="BL71" s="29"/>
      <c r="BO71" s="35" t="s">
        <v>1800</v>
      </c>
      <c r="BP71" s="1" t="s">
        <v>1806</v>
      </c>
      <c r="BQ71" s="1" t="e">
        <v>#N/A</v>
      </c>
    </row>
    <row r="72" spans="1:69" ht="15" hidden="1" customHeight="1">
      <c r="A72" s="1" t="s">
        <v>43</v>
      </c>
      <c r="C72" s="1" t="str">
        <f t="shared" si="4"/>
        <v>2511</v>
      </c>
      <c r="D72" s="1" t="str">
        <f t="shared" si="5"/>
        <v>1812</v>
      </c>
      <c r="E72" s="19" t="s">
        <v>48</v>
      </c>
      <c r="F72" s="62" t="s">
        <v>49</v>
      </c>
      <c r="G72" s="62">
        <v>2112</v>
      </c>
      <c r="H72" s="62" t="s">
        <v>252</v>
      </c>
      <c r="I72" s="62" t="s">
        <v>253</v>
      </c>
      <c r="J72" s="118">
        <v>10</v>
      </c>
      <c r="K72" s="119"/>
      <c r="L72" s="62" t="s">
        <v>77</v>
      </c>
      <c r="M72" s="120" t="s">
        <v>249</v>
      </c>
      <c r="N72" s="65">
        <v>43433</v>
      </c>
      <c r="O72" s="24">
        <v>76628.800000000003</v>
      </c>
      <c r="P72" s="24">
        <v>23355</v>
      </c>
      <c r="Q72" s="64">
        <v>1789665624</v>
      </c>
      <c r="R72" s="64">
        <v>30122503.561896335</v>
      </c>
      <c r="S72" s="64"/>
      <c r="T72" s="64">
        <v>7412133.7133332007</v>
      </c>
      <c r="U72" s="64" t="s">
        <v>250</v>
      </c>
      <c r="V72" s="121">
        <v>1827200261.2750001</v>
      </c>
      <c r="W72" s="122">
        <v>-2.2935867309570313E-4</v>
      </c>
      <c r="X72" s="64">
        <v>1827200261.2752295</v>
      </c>
      <c r="Y72" s="121"/>
      <c r="Z72" s="121"/>
      <c r="AA72" s="121"/>
      <c r="AB72" s="121"/>
      <c r="AC72" s="64">
        <v>1827200261.2747707</v>
      </c>
      <c r="AD72" s="65">
        <v>43435</v>
      </c>
      <c r="AE72" s="65">
        <v>45990</v>
      </c>
      <c r="AF72" s="62">
        <v>7</v>
      </c>
      <c r="AG72" s="119">
        <v>84</v>
      </c>
      <c r="AH72" s="25">
        <v>21752384.06279489</v>
      </c>
      <c r="AI72" s="78">
        <v>1326895424.9027197</v>
      </c>
      <c r="AJ72" s="78">
        <v>500304836.37205106</v>
      </c>
      <c r="AK72" s="27">
        <f t="shared" si="6"/>
        <v>21752384.06279489</v>
      </c>
      <c r="AL72" s="27">
        <f t="shared" si="7"/>
        <v>21752384.06279489</v>
      </c>
      <c r="AM72" s="27"/>
      <c r="AN72" s="27"/>
      <c r="AO72" s="27"/>
      <c r="AP72" s="27"/>
      <c r="AQ72" s="27"/>
      <c r="AR72" s="27"/>
      <c r="AS72" s="27"/>
      <c r="AT72" s="27"/>
      <c r="AU72" s="27"/>
      <c r="AV72" s="27"/>
      <c r="AW72" s="27">
        <f t="shared" si="8"/>
        <v>43504768.125589781</v>
      </c>
      <c r="AX72" s="79">
        <f t="shared" si="9"/>
        <v>456800068.24646121</v>
      </c>
      <c r="AY72" s="79">
        <f t="shared" si="10"/>
        <v>1370400193.0283096</v>
      </c>
      <c r="AZ72" s="25">
        <v>10</v>
      </c>
      <c r="BA72" s="62" t="s">
        <v>79</v>
      </c>
      <c r="BB72" s="66">
        <v>1</v>
      </c>
      <c r="BC72" s="66"/>
      <c r="BD72" s="66"/>
      <c r="BE72" s="67">
        <f t="shared" si="11"/>
        <v>21752384.06279489</v>
      </c>
      <c r="BF72" s="67">
        <f t="shared" si="12"/>
        <v>0</v>
      </c>
      <c r="BG72" s="67">
        <f t="shared" si="3"/>
        <v>0</v>
      </c>
      <c r="BH72" s="66"/>
      <c r="BI72" s="68" t="s">
        <v>84</v>
      </c>
      <c r="BJ72" s="68" t="s">
        <v>85</v>
      </c>
      <c r="BK72" s="68" t="s">
        <v>85</v>
      </c>
      <c r="BL72" s="29"/>
      <c r="BO72" s="35" t="s">
        <v>1800</v>
      </c>
      <c r="BQ72" s="1" t="e">
        <v>#N/A</v>
      </c>
    </row>
    <row r="73" spans="1:69" ht="15" hidden="1" customHeight="1">
      <c r="A73" s="1" t="s">
        <v>43</v>
      </c>
      <c r="C73" s="1" t="str">
        <f t="shared" si="4"/>
        <v>2111</v>
      </c>
      <c r="D73" s="1" t="str">
        <f t="shared" si="5"/>
        <v>1812</v>
      </c>
      <c r="E73" s="19" t="s">
        <v>48</v>
      </c>
      <c r="F73" s="62" t="s">
        <v>49</v>
      </c>
      <c r="G73" s="62">
        <v>2112</v>
      </c>
      <c r="H73" s="62" t="s">
        <v>254</v>
      </c>
      <c r="I73" s="62" t="s">
        <v>255</v>
      </c>
      <c r="J73" s="118">
        <v>2</v>
      </c>
      <c r="K73" s="119"/>
      <c r="L73" s="62" t="s">
        <v>77</v>
      </c>
      <c r="M73" s="120" t="s">
        <v>249</v>
      </c>
      <c r="N73" s="65">
        <v>43433</v>
      </c>
      <c r="O73" s="24">
        <v>3686</v>
      </c>
      <c r="P73" s="24">
        <v>23355</v>
      </c>
      <c r="Q73" s="64">
        <v>86086530</v>
      </c>
      <c r="R73" s="64">
        <v>1448953.2411984776</v>
      </c>
      <c r="S73" s="64"/>
      <c r="T73" s="64">
        <v>356538.59733345918</v>
      </c>
      <c r="U73" s="64" t="s">
        <v>250</v>
      </c>
      <c r="V73" s="121">
        <v>87892021.839000002</v>
      </c>
      <c r="W73" s="122">
        <v>4.6806037425994873E-4</v>
      </c>
      <c r="X73" s="64">
        <v>87892021.838531941</v>
      </c>
      <c r="Y73" s="121"/>
      <c r="Z73" s="121"/>
      <c r="AA73" s="121"/>
      <c r="AB73" s="121"/>
      <c r="AC73" s="64">
        <v>87892021.839468062</v>
      </c>
      <c r="AD73" s="65">
        <v>43435</v>
      </c>
      <c r="AE73" s="65">
        <v>44530</v>
      </c>
      <c r="AF73" s="62">
        <v>3</v>
      </c>
      <c r="AG73" s="119">
        <v>36</v>
      </c>
      <c r="AH73" s="25">
        <v>2441445.0510963351</v>
      </c>
      <c r="AI73" s="78">
        <v>87892021.839468062</v>
      </c>
      <c r="AJ73" s="78">
        <v>0</v>
      </c>
      <c r="AK73" s="27">
        <f t="shared" si="6"/>
        <v>0</v>
      </c>
      <c r="AL73" s="27">
        <f t="shared" si="7"/>
        <v>0</v>
      </c>
      <c r="AM73" s="27"/>
      <c r="AN73" s="27"/>
      <c r="AO73" s="27"/>
      <c r="AP73" s="27"/>
      <c r="AQ73" s="27"/>
      <c r="AR73" s="27"/>
      <c r="AS73" s="27"/>
      <c r="AT73" s="27"/>
      <c r="AU73" s="27"/>
      <c r="AV73" s="27"/>
      <c r="AW73" s="27">
        <f t="shared" si="8"/>
        <v>0</v>
      </c>
      <c r="AX73" s="79">
        <f t="shared" si="9"/>
        <v>0</v>
      </c>
      <c r="AY73" s="79">
        <f t="shared" si="10"/>
        <v>87892021.839468062</v>
      </c>
      <c r="AZ73" s="25">
        <v>2</v>
      </c>
      <c r="BA73" s="62" t="s">
        <v>79</v>
      </c>
      <c r="BB73" s="66">
        <v>1</v>
      </c>
      <c r="BC73" s="66"/>
      <c r="BD73" s="66"/>
      <c r="BE73" s="67">
        <f t="shared" si="11"/>
        <v>0</v>
      </c>
      <c r="BF73" s="67">
        <f t="shared" si="12"/>
        <v>0</v>
      </c>
      <c r="BG73" s="67">
        <f t="shared" si="3"/>
        <v>0</v>
      </c>
      <c r="BH73" s="66"/>
      <c r="BI73" s="68" t="s">
        <v>242</v>
      </c>
      <c r="BJ73" s="68" t="s">
        <v>81</v>
      </c>
      <c r="BK73" s="68" t="s">
        <v>81</v>
      </c>
      <c r="BL73" s="29"/>
      <c r="BO73" s="35" t="s">
        <v>1801</v>
      </c>
      <c r="BQ73" s="1" t="s">
        <v>1930</v>
      </c>
    </row>
    <row r="74" spans="1:69" ht="15" hidden="1" customHeight="1">
      <c r="A74" s="1" t="s">
        <v>43</v>
      </c>
      <c r="C74" s="1" t="str">
        <f t="shared" si="4"/>
        <v>2511</v>
      </c>
      <c r="D74" s="1" t="str">
        <f t="shared" si="5"/>
        <v>1812</v>
      </c>
      <c r="E74" s="19" t="s">
        <v>48</v>
      </c>
      <c r="F74" s="62" t="s">
        <v>49</v>
      </c>
      <c r="G74" s="62">
        <v>2112</v>
      </c>
      <c r="H74" s="62" t="s">
        <v>256</v>
      </c>
      <c r="I74" s="62" t="s">
        <v>257</v>
      </c>
      <c r="J74" s="118">
        <v>2</v>
      </c>
      <c r="K74" s="119"/>
      <c r="L74" s="62" t="s">
        <v>77</v>
      </c>
      <c r="M74" s="120" t="s">
        <v>258</v>
      </c>
      <c r="N74" s="65">
        <v>43434</v>
      </c>
      <c r="O74" s="24">
        <v>42862</v>
      </c>
      <c r="P74" s="24">
        <v>23340</v>
      </c>
      <c r="Q74" s="64">
        <v>1000399080</v>
      </c>
      <c r="R74" s="64"/>
      <c r="S74" s="64"/>
      <c r="T74" s="64">
        <v>6080053</v>
      </c>
      <c r="U74" s="64" t="s">
        <v>259</v>
      </c>
      <c r="V74" s="121">
        <v>1006479133</v>
      </c>
      <c r="W74" s="122">
        <v>0</v>
      </c>
      <c r="X74" s="64">
        <v>1006479133</v>
      </c>
      <c r="Y74" s="121"/>
      <c r="Z74" s="121"/>
      <c r="AA74" s="121"/>
      <c r="AB74" s="121"/>
      <c r="AC74" s="64">
        <v>1006479133</v>
      </c>
      <c r="AD74" s="65">
        <v>43435</v>
      </c>
      <c r="AE74" s="65">
        <v>45990</v>
      </c>
      <c r="AF74" s="62">
        <v>7</v>
      </c>
      <c r="AG74" s="119">
        <v>84</v>
      </c>
      <c r="AH74" s="25">
        <v>11981894.44047619</v>
      </c>
      <c r="AI74" s="78">
        <v>730895538.40476191</v>
      </c>
      <c r="AJ74" s="78">
        <v>275583594.59523809</v>
      </c>
      <c r="AK74" s="27">
        <f t="shared" si="6"/>
        <v>11981894.44047619</v>
      </c>
      <c r="AL74" s="27">
        <f t="shared" si="7"/>
        <v>11981894.44047619</v>
      </c>
      <c r="AM74" s="27"/>
      <c r="AN74" s="27"/>
      <c r="AO74" s="27"/>
      <c r="AP74" s="27"/>
      <c r="AQ74" s="27"/>
      <c r="AR74" s="27"/>
      <c r="AS74" s="27"/>
      <c r="AT74" s="27"/>
      <c r="AU74" s="27"/>
      <c r="AV74" s="27"/>
      <c r="AW74" s="27">
        <f t="shared" ref="AW74:AW144" si="13">+SUM(AK74:AV74)</f>
        <v>23963788.880952381</v>
      </c>
      <c r="AX74" s="79">
        <f t="shared" ref="AX74:AX144" si="14">AC74-AI74-AW74</f>
        <v>251619805.7142857</v>
      </c>
      <c r="AY74" s="79">
        <f t="shared" ref="AY74:AY144" si="15">AW74+AI74</f>
        <v>754859327.28571427</v>
      </c>
      <c r="AZ74" s="25">
        <v>2</v>
      </c>
      <c r="BA74" s="62" t="s">
        <v>79</v>
      </c>
      <c r="BB74" s="66">
        <v>1</v>
      </c>
      <c r="BC74" s="66"/>
      <c r="BD74" s="66"/>
      <c r="BE74" s="67">
        <f t="shared" si="11"/>
        <v>11981894.44047619</v>
      </c>
      <c r="BF74" s="67">
        <f t="shared" si="12"/>
        <v>0</v>
      </c>
      <c r="BG74" s="67">
        <f t="shared" ref="BG74:BG137" si="16">+$AL74*BD74</f>
        <v>0</v>
      </c>
      <c r="BH74" s="66"/>
      <c r="BI74" s="68" t="s">
        <v>242</v>
      </c>
      <c r="BJ74" s="68" t="s">
        <v>58</v>
      </c>
      <c r="BK74" s="68" t="s">
        <v>159</v>
      </c>
      <c r="BL74" s="29"/>
      <c r="BO74" s="35" t="s">
        <v>1804</v>
      </c>
      <c r="BQ74" s="1" t="s">
        <v>1989</v>
      </c>
    </row>
    <row r="75" spans="1:69" ht="15" hidden="1" customHeight="1">
      <c r="A75" s="1" t="s">
        <v>43</v>
      </c>
      <c r="C75" s="1" t="str">
        <f t="shared" ref="C75:C145" si="17">+RIGHT(YEAR(AE75),2)&amp;IF(LEN(MONTH(AE75))=2,MONTH(AE75),"0"&amp;MONTH(AE75))</f>
        <v>2111</v>
      </c>
      <c r="D75" s="1" t="str">
        <f t="shared" ref="D75:D145" si="18">+RIGHT(YEAR(AD75),2)&amp;IF(LEN(MONTH(AD75))=2,MONTH(AD75),"0"&amp;MONTH(AD75))</f>
        <v>1812</v>
      </c>
      <c r="E75" s="19" t="s">
        <v>48</v>
      </c>
      <c r="F75" s="62" t="s">
        <v>49</v>
      </c>
      <c r="G75" s="62">
        <v>2112</v>
      </c>
      <c r="H75" s="62" t="s">
        <v>260</v>
      </c>
      <c r="I75" s="62" t="s">
        <v>261</v>
      </c>
      <c r="J75" s="118">
        <v>3</v>
      </c>
      <c r="K75" s="119"/>
      <c r="L75" s="62" t="s">
        <v>77</v>
      </c>
      <c r="M75" s="120" t="s">
        <v>262</v>
      </c>
      <c r="N75" s="65">
        <v>43440</v>
      </c>
      <c r="O75" s="24">
        <v>7274.799</v>
      </c>
      <c r="P75" s="24">
        <v>23355.00003506631</v>
      </c>
      <c r="Q75" s="64">
        <v>169902930.90010035</v>
      </c>
      <c r="R75" s="64"/>
      <c r="S75" s="64"/>
      <c r="T75" s="64">
        <v>1138268</v>
      </c>
      <c r="U75" s="64"/>
      <c r="V75" s="121">
        <v>171041198.90000001</v>
      </c>
      <c r="W75" s="122">
        <v>-1.0034441947937012E-4</v>
      </c>
      <c r="X75" s="64">
        <v>171041198.90010035</v>
      </c>
      <c r="Y75" s="121"/>
      <c r="Z75" s="121"/>
      <c r="AA75" s="121"/>
      <c r="AB75" s="121"/>
      <c r="AC75" s="64">
        <v>171041198.89989966</v>
      </c>
      <c r="AD75" s="65">
        <v>43435</v>
      </c>
      <c r="AE75" s="65">
        <v>44530</v>
      </c>
      <c r="AF75" s="62">
        <v>3</v>
      </c>
      <c r="AG75" s="119">
        <v>36</v>
      </c>
      <c r="AH75" s="25">
        <v>4751144.4138861019</v>
      </c>
      <c r="AI75" s="78">
        <v>171041198.89989966</v>
      </c>
      <c r="AJ75" s="78">
        <v>0</v>
      </c>
      <c r="AK75" s="27">
        <f t="shared" ref="AK75:AK145" si="19">+IF(AND(AK$3&gt;=$D75,AK$3&lt;$C75),$AH75,$AJ75)</f>
        <v>0</v>
      </c>
      <c r="AL75" s="27">
        <f t="shared" ref="AL75:AL86" si="20">+IF(AND(AL$3&gt;=$D75,AL$3&lt;$C75),$AH75,$AJ75-SUM(AJ75:AK75))</f>
        <v>0</v>
      </c>
      <c r="AM75" s="27"/>
      <c r="AN75" s="27"/>
      <c r="AO75" s="27"/>
      <c r="AP75" s="27"/>
      <c r="AQ75" s="27"/>
      <c r="AR75" s="27"/>
      <c r="AS75" s="27"/>
      <c r="AT75" s="27"/>
      <c r="AU75" s="27"/>
      <c r="AV75" s="27"/>
      <c r="AW75" s="27">
        <f t="shared" si="13"/>
        <v>0</v>
      </c>
      <c r="AX75" s="79">
        <f t="shared" si="14"/>
        <v>0</v>
      </c>
      <c r="AY75" s="79">
        <f t="shared" si="15"/>
        <v>171041198.89989966</v>
      </c>
      <c r="AZ75" s="25">
        <v>3</v>
      </c>
      <c r="BA75" s="62" t="s">
        <v>97</v>
      </c>
      <c r="BB75" s="66">
        <v>1</v>
      </c>
      <c r="BC75" s="66"/>
      <c r="BD75" s="66"/>
      <c r="BE75" s="67">
        <f t="shared" ref="BE75:BE83" si="21">+$AL75*BB75</f>
        <v>0</v>
      </c>
      <c r="BF75" s="67">
        <f t="shared" ref="BF75:BF138" si="22">+$AL75*BC75</f>
        <v>0</v>
      </c>
      <c r="BG75" s="67">
        <f t="shared" si="16"/>
        <v>0</v>
      </c>
      <c r="BH75" s="66"/>
      <c r="BI75" s="68"/>
      <c r="BJ75" s="68" t="s">
        <v>117</v>
      </c>
      <c r="BK75" s="68" t="s">
        <v>117</v>
      </c>
      <c r="BL75" s="29"/>
      <c r="BM75" s="1" t="s">
        <v>1887</v>
      </c>
      <c r="BO75" s="35" t="s">
        <v>1807</v>
      </c>
      <c r="BQ75" s="1" t="e">
        <v>#N/A</v>
      </c>
    </row>
    <row r="76" spans="1:69" ht="15" hidden="1" customHeight="1">
      <c r="A76" s="1" t="s">
        <v>43</v>
      </c>
      <c r="C76" s="1" t="str">
        <f t="shared" si="17"/>
        <v>2111</v>
      </c>
      <c r="D76" s="1" t="str">
        <f t="shared" si="18"/>
        <v>1812</v>
      </c>
      <c r="E76" s="19" t="s">
        <v>48</v>
      </c>
      <c r="F76" s="62" t="s">
        <v>49</v>
      </c>
      <c r="G76" s="62">
        <v>2112</v>
      </c>
      <c r="H76" s="62" t="s">
        <v>263</v>
      </c>
      <c r="I76" s="62" t="s">
        <v>264</v>
      </c>
      <c r="J76" s="118">
        <v>3</v>
      </c>
      <c r="K76" s="119"/>
      <c r="L76" s="62" t="s">
        <v>77</v>
      </c>
      <c r="M76" s="120" t="s">
        <v>262</v>
      </c>
      <c r="N76" s="65">
        <v>43440</v>
      </c>
      <c r="O76" s="24">
        <v>6983.9009999999998</v>
      </c>
      <c r="P76" s="24">
        <v>23355.00003506631</v>
      </c>
      <c r="Q76" s="64">
        <v>163109008.09989965</v>
      </c>
      <c r="R76" s="64"/>
      <c r="S76" s="64"/>
      <c r="T76" s="64"/>
      <c r="U76" s="64"/>
      <c r="V76" s="121">
        <v>163109008.09999999</v>
      </c>
      <c r="W76" s="122">
        <v>1.0034441947937012E-4</v>
      </c>
      <c r="X76" s="64">
        <v>163109008.09989965</v>
      </c>
      <c r="Y76" s="121"/>
      <c r="Z76" s="121"/>
      <c r="AA76" s="121"/>
      <c r="AB76" s="121"/>
      <c r="AC76" s="64">
        <v>163109008.10010034</v>
      </c>
      <c r="AD76" s="65">
        <v>43435</v>
      </c>
      <c r="AE76" s="65">
        <v>44530</v>
      </c>
      <c r="AF76" s="62">
        <v>3</v>
      </c>
      <c r="AG76" s="119">
        <v>36</v>
      </c>
      <c r="AH76" s="25">
        <v>4530805.780558343</v>
      </c>
      <c r="AI76" s="78">
        <v>163109008.10010034</v>
      </c>
      <c r="AJ76" s="78">
        <v>0</v>
      </c>
      <c r="AK76" s="27">
        <f t="shared" si="19"/>
        <v>0</v>
      </c>
      <c r="AL76" s="27">
        <f t="shared" si="20"/>
        <v>0</v>
      </c>
      <c r="AM76" s="27"/>
      <c r="AN76" s="27"/>
      <c r="AO76" s="27"/>
      <c r="AP76" s="27"/>
      <c r="AQ76" s="27"/>
      <c r="AR76" s="27"/>
      <c r="AS76" s="27"/>
      <c r="AT76" s="27"/>
      <c r="AU76" s="27"/>
      <c r="AV76" s="27"/>
      <c r="AW76" s="27">
        <f t="shared" si="13"/>
        <v>0</v>
      </c>
      <c r="AX76" s="79">
        <f t="shared" si="14"/>
        <v>0</v>
      </c>
      <c r="AY76" s="79">
        <f t="shared" si="15"/>
        <v>163109008.10010034</v>
      </c>
      <c r="AZ76" s="25">
        <v>3</v>
      </c>
      <c r="BA76" s="62" t="s">
        <v>97</v>
      </c>
      <c r="BB76" s="66">
        <v>1</v>
      </c>
      <c r="BC76" s="66"/>
      <c r="BD76" s="66"/>
      <c r="BE76" s="67">
        <f t="shared" si="21"/>
        <v>0</v>
      </c>
      <c r="BF76" s="67">
        <f t="shared" si="22"/>
        <v>0</v>
      </c>
      <c r="BG76" s="67">
        <f t="shared" si="16"/>
        <v>0</v>
      </c>
      <c r="BH76" s="66"/>
      <c r="BI76" s="68"/>
      <c r="BJ76" s="68" t="s">
        <v>117</v>
      </c>
      <c r="BK76" s="68" t="s">
        <v>117</v>
      </c>
      <c r="BL76" s="29"/>
      <c r="BO76" s="35" t="s">
        <v>1807</v>
      </c>
      <c r="BQ76" s="1" t="e">
        <v>#N/A</v>
      </c>
    </row>
    <row r="77" spans="1:69" ht="15" hidden="1" customHeight="1">
      <c r="A77" s="1" t="s">
        <v>43</v>
      </c>
      <c r="C77" s="1" t="str">
        <f t="shared" si="17"/>
        <v>2111</v>
      </c>
      <c r="D77" s="1" t="str">
        <f t="shared" si="18"/>
        <v>1812</v>
      </c>
      <c r="E77" s="19" t="s">
        <v>48</v>
      </c>
      <c r="F77" s="62" t="s">
        <v>49</v>
      </c>
      <c r="G77" s="62">
        <v>2112</v>
      </c>
      <c r="H77" s="62" t="s">
        <v>265</v>
      </c>
      <c r="I77" s="62" t="s">
        <v>266</v>
      </c>
      <c r="J77" s="118">
        <v>1</v>
      </c>
      <c r="K77" s="119"/>
      <c r="L77" s="62" t="s">
        <v>77</v>
      </c>
      <c r="M77" s="120" t="s">
        <v>267</v>
      </c>
      <c r="N77" s="65">
        <v>43453</v>
      </c>
      <c r="O77" s="24">
        <v>1636.37</v>
      </c>
      <c r="P77" s="24">
        <v>23325</v>
      </c>
      <c r="Q77" s="64">
        <v>38168330.25</v>
      </c>
      <c r="R77" s="64">
        <v>1901462</v>
      </c>
      <c r="S77" s="64"/>
      <c r="T77" s="64">
        <v>6578335</v>
      </c>
      <c r="U77" s="64" t="s">
        <v>268</v>
      </c>
      <c r="V77" s="121">
        <v>46648127.25</v>
      </c>
      <c r="W77" s="122">
        <v>0</v>
      </c>
      <c r="X77" s="64">
        <v>46648127.25</v>
      </c>
      <c r="Y77" s="121"/>
      <c r="Z77" s="121"/>
      <c r="AA77" s="121"/>
      <c r="AB77" s="121"/>
      <c r="AC77" s="64">
        <v>46648127.25</v>
      </c>
      <c r="AD77" s="65">
        <v>43435</v>
      </c>
      <c r="AE77" s="65">
        <v>44530</v>
      </c>
      <c r="AF77" s="62">
        <v>3</v>
      </c>
      <c r="AG77" s="119">
        <v>36</v>
      </c>
      <c r="AH77" s="25">
        <v>1295781.3125</v>
      </c>
      <c r="AI77" s="78">
        <v>46648127.25</v>
      </c>
      <c r="AJ77" s="78">
        <v>0</v>
      </c>
      <c r="AK77" s="27">
        <f t="shared" si="19"/>
        <v>0</v>
      </c>
      <c r="AL77" s="27">
        <f t="shared" si="20"/>
        <v>0</v>
      </c>
      <c r="AM77" s="27"/>
      <c r="AN77" s="27"/>
      <c r="AO77" s="27"/>
      <c r="AP77" s="27"/>
      <c r="AQ77" s="27"/>
      <c r="AR77" s="27"/>
      <c r="AS77" s="27"/>
      <c r="AT77" s="27"/>
      <c r="AU77" s="27"/>
      <c r="AV77" s="27"/>
      <c r="AW77" s="27">
        <f t="shared" si="13"/>
        <v>0</v>
      </c>
      <c r="AX77" s="79">
        <f t="shared" si="14"/>
        <v>0</v>
      </c>
      <c r="AY77" s="79">
        <f t="shared" si="15"/>
        <v>46648127.25</v>
      </c>
      <c r="AZ77" s="25">
        <v>1</v>
      </c>
      <c r="BA77" s="62" t="s">
        <v>97</v>
      </c>
      <c r="BB77" s="66">
        <v>1</v>
      </c>
      <c r="BC77" s="66"/>
      <c r="BD77" s="66"/>
      <c r="BE77" s="67">
        <f t="shared" si="21"/>
        <v>0</v>
      </c>
      <c r="BF77" s="67">
        <f t="shared" si="22"/>
        <v>0</v>
      </c>
      <c r="BG77" s="67">
        <f t="shared" si="16"/>
        <v>0</v>
      </c>
      <c r="BH77" s="66"/>
      <c r="BI77" s="68"/>
      <c r="BJ77" s="68" t="s">
        <v>117</v>
      </c>
      <c r="BK77" s="68" t="s">
        <v>117</v>
      </c>
      <c r="BL77" s="29"/>
      <c r="BM77" s="1" t="s">
        <v>1887</v>
      </c>
      <c r="BO77" s="35" t="s">
        <v>1807</v>
      </c>
      <c r="BQ77" s="1" t="e">
        <v>#N/A</v>
      </c>
    </row>
    <row r="78" spans="1:69" ht="15" hidden="1" customHeight="1">
      <c r="A78" s="1" t="s">
        <v>43</v>
      </c>
      <c r="C78" s="1" t="str">
        <f t="shared" si="17"/>
        <v>2111</v>
      </c>
      <c r="D78" s="1" t="str">
        <f t="shared" si="18"/>
        <v>1812</v>
      </c>
      <c r="E78" s="19" t="s">
        <v>48</v>
      </c>
      <c r="F78" s="62" t="s">
        <v>49</v>
      </c>
      <c r="G78" s="62">
        <v>2113</v>
      </c>
      <c r="H78" s="62" t="s">
        <v>269</v>
      </c>
      <c r="I78" s="62" t="s">
        <v>270</v>
      </c>
      <c r="J78" s="118">
        <v>1</v>
      </c>
      <c r="K78" s="119" t="s">
        <v>271</v>
      </c>
      <c r="L78" s="62" t="s">
        <v>272</v>
      </c>
      <c r="M78" s="120" t="s">
        <v>273</v>
      </c>
      <c r="N78" s="65">
        <v>43410</v>
      </c>
      <c r="O78" s="24"/>
      <c r="P78" s="24"/>
      <c r="Q78" s="64">
        <v>195454545</v>
      </c>
      <c r="R78" s="64"/>
      <c r="S78" s="64"/>
      <c r="T78" s="64"/>
      <c r="U78" s="64"/>
      <c r="V78" s="121">
        <v>195454545</v>
      </c>
      <c r="W78" s="122">
        <v>195454545</v>
      </c>
      <c r="X78" s="64">
        <v>0</v>
      </c>
      <c r="Y78" s="121">
        <v>-195454545</v>
      </c>
      <c r="Z78" s="121">
        <v>1</v>
      </c>
      <c r="AA78" s="127">
        <v>43922</v>
      </c>
      <c r="AB78" s="123" t="s">
        <v>274</v>
      </c>
      <c r="AC78" s="64">
        <v>0</v>
      </c>
      <c r="AD78" s="65">
        <v>43435</v>
      </c>
      <c r="AE78" s="65">
        <v>44530</v>
      </c>
      <c r="AF78" s="62">
        <v>3</v>
      </c>
      <c r="AG78" s="119">
        <v>36</v>
      </c>
      <c r="AH78" s="25">
        <v>0</v>
      </c>
      <c r="AI78" s="78">
        <v>0</v>
      </c>
      <c r="AJ78" s="78">
        <v>0</v>
      </c>
      <c r="AK78" s="27">
        <f t="shared" si="19"/>
        <v>0</v>
      </c>
      <c r="AL78" s="27">
        <f t="shared" si="20"/>
        <v>0</v>
      </c>
      <c r="AM78" s="27"/>
      <c r="AN78" s="27"/>
      <c r="AO78" s="27"/>
      <c r="AP78" s="27"/>
      <c r="AQ78" s="27"/>
      <c r="AR78" s="27"/>
      <c r="AS78" s="27"/>
      <c r="AT78" s="27"/>
      <c r="AU78" s="27"/>
      <c r="AV78" s="27"/>
      <c r="AW78" s="27">
        <f t="shared" si="13"/>
        <v>0</v>
      </c>
      <c r="AX78" s="79">
        <f t="shared" si="14"/>
        <v>0</v>
      </c>
      <c r="AY78" s="79">
        <f t="shared" si="15"/>
        <v>0</v>
      </c>
      <c r="AZ78" s="25">
        <v>0</v>
      </c>
      <c r="BA78" s="62" t="s">
        <v>275</v>
      </c>
      <c r="BB78" s="66">
        <v>1</v>
      </c>
      <c r="BC78" s="66"/>
      <c r="BD78" s="66"/>
      <c r="BE78" s="67">
        <f t="shared" si="21"/>
        <v>0</v>
      </c>
      <c r="BF78" s="67">
        <f t="shared" si="22"/>
        <v>0</v>
      </c>
      <c r="BG78" s="67">
        <f t="shared" si="16"/>
        <v>0</v>
      </c>
      <c r="BH78" s="66"/>
      <c r="BI78" s="68" t="s">
        <v>135</v>
      </c>
      <c r="BJ78" s="68" t="s">
        <v>58</v>
      </c>
      <c r="BK78" s="68" t="s">
        <v>59</v>
      </c>
      <c r="BL78" s="29"/>
      <c r="BQ78" s="1" t="e">
        <v>#N/A</v>
      </c>
    </row>
    <row r="79" spans="1:69" ht="15" hidden="1" customHeight="1">
      <c r="A79" s="1" t="s">
        <v>43</v>
      </c>
      <c r="C79" s="1" t="str">
        <f t="shared" si="17"/>
        <v>2611</v>
      </c>
      <c r="D79" s="1" t="str">
        <f t="shared" si="18"/>
        <v>1812</v>
      </c>
      <c r="E79" s="19" t="s">
        <v>48</v>
      </c>
      <c r="F79" s="62" t="s">
        <v>49</v>
      </c>
      <c r="G79" s="62">
        <v>2113</v>
      </c>
      <c r="H79" s="62" t="s">
        <v>276</v>
      </c>
      <c r="I79" s="62" t="s">
        <v>270</v>
      </c>
      <c r="J79" s="118">
        <v>1</v>
      </c>
      <c r="K79" s="119" t="s">
        <v>271</v>
      </c>
      <c r="L79" s="62" t="s">
        <v>272</v>
      </c>
      <c r="M79" s="120" t="s">
        <v>273</v>
      </c>
      <c r="N79" s="65">
        <v>43410</v>
      </c>
      <c r="O79" s="24"/>
      <c r="P79" s="24"/>
      <c r="Q79" s="64">
        <v>195454545</v>
      </c>
      <c r="R79" s="64"/>
      <c r="S79" s="64"/>
      <c r="T79" s="64"/>
      <c r="U79" s="64"/>
      <c r="V79" s="121">
        <v>195454545</v>
      </c>
      <c r="W79" s="122">
        <v>0</v>
      </c>
      <c r="X79" s="64">
        <v>195454545</v>
      </c>
      <c r="Y79" s="121"/>
      <c r="Z79" s="121"/>
      <c r="AA79" s="121"/>
      <c r="AB79" s="121"/>
      <c r="AC79" s="64">
        <v>195454545</v>
      </c>
      <c r="AD79" s="65">
        <v>43435</v>
      </c>
      <c r="AE79" s="65">
        <v>46356</v>
      </c>
      <c r="AF79" s="62">
        <v>8</v>
      </c>
      <c r="AG79" s="119">
        <v>96</v>
      </c>
      <c r="AH79" s="25">
        <v>2035984.84375</v>
      </c>
      <c r="AI79" s="78">
        <v>124195083.4375</v>
      </c>
      <c r="AJ79" s="78">
        <v>71259461.5625</v>
      </c>
      <c r="AK79" s="27">
        <f t="shared" si="19"/>
        <v>2035984.84375</v>
      </c>
      <c r="AL79" s="27">
        <f t="shared" si="20"/>
        <v>2035984.84375</v>
      </c>
      <c r="AM79" s="27"/>
      <c r="AN79" s="27"/>
      <c r="AO79" s="27"/>
      <c r="AP79" s="27"/>
      <c r="AQ79" s="27"/>
      <c r="AR79" s="27"/>
      <c r="AS79" s="27"/>
      <c r="AT79" s="27"/>
      <c r="AU79" s="27"/>
      <c r="AV79" s="27"/>
      <c r="AW79" s="27">
        <f t="shared" si="13"/>
        <v>4071969.6875</v>
      </c>
      <c r="AX79" s="79">
        <f t="shared" si="14"/>
        <v>67187491.875</v>
      </c>
      <c r="AY79" s="79">
        <f t="shared" si="15"/>
        <v>128267053.125</v>
      </c>
      <c r="AZ79" s="25">
        <v>1</v>
      </c>
      <c r="BA79" s="62" t="s">
        <v>275</v>
      </c>
      <c r="BB79" s="66">
        <v>1</v>
      </c>
      <c r="BC79" s="66"/>
      <c r="BD79" s="66"/>
      <c r="BE79" s="67">
        <f t="shared" si="21"/>
        <v>2035984.84375</v>
      </c>
      <c r="BF79" s="67">
        <f t="shared" si="22"/>
        <v>0</v>
      </c>
      <c r="BG79" s="67">
        <f t="shared" si="16"/>
        <v>0</v>
      </c>
      <c r="BH79" s="66"/>
      <c r="BI79" s="68" t="s">
        <v>135</v>
      </c>
      <c r="BJ79" s="68" t="s">
        <v>58</v>
      </c>
      <c r="BK79" s="68" t="s">
        <v>59</v>
      </c>
      <c r="BL79" s="29"/>
      <c r="BO79" s="35" t="s">
        <v>1804</v>
      </c>
      <c r="BQ79" s="1" t="e">
        <v>#N/A</v>
      </c>
    </row>
    <row r="80" spans="1:69" ht="15" hidden="1" customHeight="1">
      <c r="A80" s="1" t="s">
        <v>43</v>
      </c>
      <c r="C80" s="1" t="str">
        <f t="shared" si="17"/>
        <v>2601</v>
      </c>
      <c r="D80" s="1" t="str">
        <f t="shared" si="18"/>
        <v>1902</v>
      </c>
      <c r="E80" s="19" t="s">
        <v>48</v>
      </c>
      <c r="F80" s="62" t="s">
        <v>49</v>
      </c>
      <c r="G80" s="62">
        <v>2112</v>
      </c>
      <c r="H80" s="62" t="s">
        <v>277</v>
      </c>
      <c r="I80" s="62" t="s">
        <v>278</v>
      </c>
      <c r="J80" s="118">
        <v>3</v>
      </c>
      <c r="K80" s="119"/>
      <c r="L80" s="62" t="s">
        <v>77</v>
      </c>
      <c r="M80" s="120" t="s">
        <v>279</v>
      </c>
      <c r="N80" s="65">
        <v>43493</v>
      </c>
      <c r="O80" s="24">
        <v>67910.23</v>
      </c>
      <c r="P80" s="24">
        <v>23237</v>
      </c>
      <c r="Q80" s="64">
        <v>1578030014.51</v>
      </c>
      <c r="R80" s="64"/>
      <c r="S80" s="64"/>
      <c r="T80" s="64">
        <v>3499795</v>
      </c>
      <c r="U80" s="64" t="s">
        <v>280</v>
      </c>
      <c r="V80" s="121">
        <v>1581529810</v>
      </c>
      <c r="W80" s="122">
        <v>0</v>
      </c>
      <c r="X80" s="64">
        <v>1581529810</v>
      </c>
      <c r="Y80" s="121"/>
      <c r="Z80" s="121"/>
      <c r="AA80" s="121"/>
      <c r="AB80" s="121"/>
      <c r="AC80" s="64">
        <v>1581529810</v>
      </c>
      <c r="AD80" s="65">
        <v>43497</v>
      </c>
      <c r="AE80" s="65">
        <v>46053</v>
      </c>
      <c r="AF80" s="62">
        <v>10</v>
      </c>
      <c r="AG80" s="119">
        <v>120</v>
      </c>
      <c r="AH80" s="25">
        <v>13179415.083333334</v>
      </c>
      <c r="AI80" s="78">
        <v>777585485.83333337</v>
      </c>
      <c r="AJ80" s="78">
        <v>803944324.16666663</v>
      </c>
      <c r="AK80" s="27">
        <f t="shared" si="19"/>
        <v>13179415.083333334</v>
      </c>
      <c r="AL80" s="27">
        <f t="shared" si="20"/>
        <v>13179415.083333334</v>
      </c>
      <c r="AM80" s="27"/>
      <c r="AN80" s="27"/>
      <c r="AO80" s="27"/>
      <c r="AP80" s="27"/>
      <c r="AQ80" s="27"/>
      <c r="AR80" s="27"/>
      <c r="AS80" s="27"/>
      <c r="AT80" s="27"/>
      <c r="AU80" s="27"/>
      <c r="AV80" s="27"/>
      <c r="AW80" s="27">
        <f t="shared" si="13"/>
        <v>26358830.166666668</v>
      </c>
      <c r="AX80" s="79">
        <f t="shared" si="14"/>
        <v>777585494</v>
      </c>
      <c r="AY80" s="79">
        <f t="shared" si="15"/>
        <v>803944316</v>
      </c>
      <c r="AZ80" s="25">
        <v>3</v>
      </c>
      <c r="BA80" s="62" t="s">
        <v>97</v>
      </c>
      <c r="BB80" s="66">
        <v>1</v>
      </c>
      <c r="BC80" s="66"/>
      <c r="BD80" s="66"/>
      <c r="BE80" s="67">
        <f t="shared" si="21"/>
        <v>13179415.083333334</v>
      </c>
      <c r="BF80" s="67">
        <f t="shared" si="22"/>
        <v>0</v>
      </c>
      <c r="BG80" s="67">
        <f t="shared" si="16"/>
        <v>0</v>
      </c>
      <c r="BH80" s="66"/>
      <c r="BI80" s="68" t="s">
        <v>281</v>
      </c>
      <c r="BJ80" s="68" t="s">
        <v>81</v>
      </c>
      <c r="BK80" s="68" t="s">
        <v>81</v>
      </c>
      <c r="BL80" s="29"/>
      <c r="BO80" s="35" t="s">
        <v>1800</v>
      </c>
      <c r="BP80" s="1" t="s">
        <v>1806</v>
      </c>
      <c r="BQ80" s="1" t="e">
        <v>#N/A</v>
      </c>
    </row>
    <row r="81" spans="1:69" ht="15" hidden="1" customHeight="1">
      <c r="A81" s="1" t="s">
        <v>43</v>
      </c>
      <c r="C81" s="1" t="str">
        <f t="shared" si="17"/>
        <v>2601</v>
      </c>
      <c r="D81" s="1" t="str">
        <f t="shared" si="18"/>
        <v>1902</v>
      </c>
      <c r="E81" s="19" t="s">
        <v>48</v>
      </c>
      <c r="F81" s="62" t="s">
        <v>49</v>
      </c>
      <c r="G81" s="62">
        <v>2112</v>
      </c>
      <c r="H81" s="62" t="s">
        <v>282</v>
      </c>
      <c r="I81" s="129" t="s">
        <v>283</v>
      </c>
      <c r="J81" s="118">
        <v>1</v>
      </c>
      <c r="K81" s="119"/>
      <c r="L81" s="62" t="s">
        <v>77</v>
      </c>
      <c r="M81" s="120" t="s">
        <v>284</v>
      </c>
      <c r="N81" s="65">
        <v>43468</v>
      </c>
      <c r="O81" s="24">
        <v>29937.07</v>
      </c>
      <c r="P81" s="24">
        <v>23243</v>
      </c>
      <c r="Q81" s="64">
        <v>695827318.00999999</v>
      </c>
      <c r="R81" s="64"/>
      <c r="S81" s="64"/>
      <c r="T81" s="64">
        <v>7414454.4780000001</v>
      </c>
      <c r="U81" s="64" t="s">
        <v>285</v>
      </c>
      <c r="V81" s="121">
        <v>703241772</v>
      </c>
      <c r="W81" s="122">
        <v>0</v>
      </c>
      <c r="X81" s="64">
        <v>703241772</v>
      </c>
      <c r="Y81" s="121"/>
      <c r="Z81" s="121"/>
      <c r="AA81" s="121"/>
      <c r="AB81" s="121"/>
      <c r="AC81" s="64">
        <v>703241772</v>
      </c>
      <c r="AD81" s="65">
        <v>43497</v>
      </c>
      <c r="AE81" s="65">
        <v>46053</v>
      </c>
      <c r="AF81" s="62">
        <v>7</v>
      </c>
      <c r="AG81" s="119">
        <v>84</v>
      </c>
      <c r="AH81" s="25">
        <v>8371925.8571428573</v>
      </c>
      <c r="AI81" s="78">
        <v>493943632.57142854</v>
      </c>
      <c r="AJ81" s="78">
        <v>209298139.42857146</v>
      </c>
      <c r="AK81" s="27">
        <f t="shared" si="19"/>
        <v>8371925.8571428573</v>
      </c>
      <c r="AL81" s="27">
        <f t="shared" si="20"/>
        <v>8371925.8571428573</v>
      </c>
      <c r="AM81" s="27"/>
      <c r="AN81" s="27"/>
      <c r="AO81" s="27"/>
      <c r="AP81" s="27"/>
      <c r="AQ81" s="27"/>
      <c r="AR81" s="27"/>
      <c r="AS81" s="27"/>
      <c r="AT81" s="27"/>
      <c r="AU81" s="27"/>
      <c r="AV81" s="27"/>
      <c r="AW81" s="27">
        <f t="shared" si="13"/>
        <v>16743851.714285715</v>
      </c>
      <c r="AX81" s="79">
        <f t="shared" si="14"/>
        <v>192554287.71428576</v>
      </c>
      <c r="AY81" s="79">
        <f t="shared" si="15"/>
        <v>510687484.28571427</v>
      </c>
      <c r="AZ81" s="25">
        <v>1</v>
      </c>
      <c r="BA81" s="62" t="s">
        <v>97</v>
      </c>
      <c r="BB81" s="66">
        <v>1</v>
      </c>
      <c r="BC81" s="66"/>
      <c r="BD81" s="66"/>
      <c r="BE81" s="67">
        <f t="shared" si="21"/>
        <v>8371925.8571428573</v>
      </c>
      <c r="BF81" s="67">
        <f t="shared" si="22"/>
        <v>0</v>
      </c>
      <c r="BG81" s="67">
        <f t="shared" si="16"/>
        <v>0</v>
      </c>
      <c r="BH81" s="66" t="s">
        <v>1662</v>
      </c>
      <c r="BI81" s="68" t="s">
        <v>107</v>
      </c>
      <c r="BJ81" s="68" t="s">
        <v>124</v>
      </c>
      <c r="BK81" s="68" t="s">
        <v>124</v>
      </c>
      <c r="BL81" s="29"/>
      <c r="BO81" s="35" t="s">
        <v>1801</v>
      </c>
      <c r="BQ81" s="1" t="e">
        <v>#N/A</v>
      </c>
    </row>
    <row r="82" spans="1:69" ht="15" hidden="1" customHeight="1">
      <c r="A82" s="1" t="s">
        <v>43</v>
      </c>
      <c r="C82" s="1" t="str">
        <f t="shared" si="17"/>
        <v>2601</v>
      </c>
      <c r="D82" s="1" t="str">
        <f t="shared" si="18"/>
        <v>1902</v>
      </c>
      <c r="E82" s="19" t="s">
        <v>48</v>
      </c>
      <c r="F82" s="62" t="s">
        <v>49</v>
      </c>
      <c r="G82" s="62">
        <v>2112</v>
      </c>
      <c r="H82" s="62" t="s">
        <v>286</v>
      </c>
      <c r="I82" s="62" t="s">
        <v>287</v>
      </c>
      <c r="J82" s="118">
        <v>1</v>
      </c>
      <c r="K82" s="119"/>
      <c r="L82" s="62" t="s">
        <v>77</v>
      </c>
      <c r="M82" s="120" t="s">
        <v>284</v>
      </c>
      <c r="N82" s="65">
        <v>43468</v>
      </c>
      <c r="O82" s="24">
        <v>7436.55</v>
      </c>
      <c r="P82" s="24">
        <v>23243</v>
      </c>
      <c r="Q82" s="64">
        <v>172847731.65000001</v>
      </c>
      <c r="R82" s="64"/>
      <c r="S82" s="64"/>
      <c r="T82" s="64">
        <v>1841795.5220000001</v>
      </c>
      <c r="U82" s="64" t="s">
        <v>285</v>
      </c>
      <c r="V82" s="121">
        <v>174689527</v>
      </c>
      <c r="W82" s="122">
        <v>0</v>
      </c>
      <c r="X82" s="64">
        <v>174689527</v>
      </c>
      <c r="Y82" s="121"/>
      <c r="Z82" s="121"/>
      <c r="AA82" s="121"/>
      <c r="AB82" s="121"/>
      <c r="AC82" s="64">
        <v>174689527</v>
      </c>
      <c r="AD82" s="65">
        <v>43497</v>
      </c>
      <c r="AE82" s="65">
        <v>46053</v>
      </c>
      <c r="AF82" s="62">
        <v>10</v>
      </c>
      <c r="AG82" s="119">
        <v>120</v>
      </c>
      <c r="AH82" s="25">
        <v>1455746.0583333333</v>
      </c>
      <c r="AI82" s="78">
        <v>85889014.583333343</v>
      </c>
      <c r="AJ82" s="78">
        <v>88800512.416666657</v>
      </c>
      <c r="AK82" s="27">
        <f t="shared" si="19"/>
        <v>1455746.0583333333</v>
      </c>
      <c r="AL82" s="27">
        <f t="shared" si="20"/>
        <v>1455746.0583333333</v>
      </c>
      <c r="AM82" s="27"/>
      <c r="AN82" s="27"/>
      <c r="AO82" s="27"/>
      <c r="AP82" s="27"/>
      <c r="AQ82" s="27"/>
      <c r="AR82" s="27"/>
      <c r="AS82" s="27"/>
      <c r="AT82" s="27"/>
      <c r="AU82" s="27"/>
      <c r="AV82" s="27"/>
      <c r="AW82" s="27">
        <f t="shared" si="13"/>
        <v>2911492.1166666667</v>
      </c>
      <c r="AX82" s="79">
        <f t="shared" si="14"/>
        <v>85889020.299999997</v>
      </c>
      <c r="AY82" s="79">
        <f t="shared" si="15"/>
        <v>88800506.700000003</v>
      </c>
      <c r="AZ82" s="25">
        <v>1</v>
      </c>
      <c r="BA82" s="62" t="s">
        <v>97</v>
      </c>
      <c r="BB82" s="66">
        <v>1</v>
      </c>
      <c r="BC82" s="66"/>
      <c r="BD82" s="66"/>
      <c r="BE82" s="67">
        <f t="shared" si="21"/>
        <v>1455746.0583333333</v>
      </c>
      <c r="BF82" s="67">
        <f t="shared" si="22"/>
        <v>0</v>
      </c>
      <c r="BG82" s="67">
        <f t="shared" si="16"/>
        <v>0</v>
      </c>
      <c r="BH82" s="66"/>
      <c r="BI82" s="68">
        <v>0</v>
      </c>
      <c r="BJ82" s="68" t="s">
        <v>58</v>
      </c>
      <c r="BK82" s="68" t="s">
        <v>159</v>
      </c>
      <c r="BL82" s="29"/>
      <c r="BO82" s="35" t="s">
        <v>1804</v>
      </c>
      <c r="BQ82" s="1" t="e">
        <v>#N/A</v>
      </c>
    </row>
    <row r="83" spans="1:69" ht="15" customHeight="1">
      <c r="A83" s="1" t="s">
        <v>43</v>
      </c>
      <c r="C83" s="1" t="str">
        <f t="shared" si="17"/>
        <v>2601</v>
      </c>
      <c r="D83" s="1" t="str">
        <f t="shared" si="18"/>
        <v>1902</v>
      </c>
      <c r="E83" s="19" t="s">
        <v>48</v>
      </c>
      <c r="F83" s="62" t="s">
        <v>49</v>
      </c>
      <c r="G83" s="62">
        <v>2112</v>
      </c>
      <c r="H83" s="62" t="s">
        <v>288</v>
      </c>
      <c r="I83" s="62" t="s">
        <v>289</v>
      </c>
      <c r="J83" s="118">
        <v>3</v>
      </c>
      <c r="K83" s="119"/>
      <c r="L83" s="62" t="s">
        <v>77</v>
      </c>
      <c r="M83" s="120" t="s">
        <v>290</v>
      </c>
      <c r="N83" s="65">
        <v>43474</v>
      </c>
      <c r="O83" s="24">
        <v>139761</v>
      </c>
      <c r="P83" s="24">
        <v>23239</v>
      </c>
      <c r="Q83" s="64">
        <v>3247905879</v>
      </c>
      <c r="R83" s="64"/>
      <c r="S83" s="64"/>
      <c r="T83" s="64"/>
      <c r="U83" s="64"/>
      <c r="V83" s="121">
        <v>3247905879</v>
      </c>
      <c r="W83" s="122">
        <v>0</v>
      </c>
      <c r="X83" s="64">
        <v>3247905879</v>
      </c>
      <c r="Y83" s="121"/>
      <c r="Z83" s="121"/>
      <c r="AA83" s="121"/>
      <c r="AB83" s="121"/>
      <c r="AC83" s="64">
        <v>3247905879</v>
      </c>
      <c r="AD83" s="65">
        <v>43497</v>
      </c>
      <c r="AE83" s="65">
        <v>46053</v>
      </c>
      <c r="AF83" s="62">
        <v>10</v>
      </c>
      <c r="AG83" s="119">
        <v>120</v>
      </c>
      <c r="AH83" s="25">
        <v>27065882.324999999</v>
      </c>
      <c r="AI83" s="78">
        <v>1596887041.25</v>
      </c>
      <c r="AJ83" s="78">
        <v>1651018837.75</v>
      </c>
      <c r="AK83" s="27">
        <f t="shared" si="19"/>
        <v>27065882.324999999</v>
      </c>
      <c r="AL83" s="27">
        <f t="shared" si="20"/>
        <v>27065882.324999999</v>
      </c>
      <c r="AM83" s="27"/>
      <c r="AN83" s="27"/>
      <c r="AO83" s="27"/>
      <c r="AP83" s="27"/>
      <c r="AQ83" s="27"/>
      <c r="AR83" s="27"/>
      <c r="AS83" s="27"/>
      <c r="AT83" s="27"/>
      <c r="AU83" s="27"/>
      <c r="AV83" s="27"/>
      <c r="AW83" s="27">
        <f t="shared" si="13"/>
        <v>54131764.649999999</v>
      </c>
      <c r="AX83" s="79">
        <f t="shared" si="14"/>
        <v>1596887073.0999999</v>
      </c>
      <c r="AY83" s="79">
        <f t="shared" si="15"/>
        <v>1651018805.9000001</v>
      </c>
      <c r="AZ83" s="25">
        <v>3</v>
      </c>
      <c r="BA83" s="62" t="s">
        <v>97</v>
      </c>
      <c r="BB83" s="66">
        <v>1</v>
      </c>
      <c r="BC83" s="66"/>
      <c r="BD83" s="66"/>
      <c r="BE83" s="67">
        <f t="shared" si="21"/>
        <v>27065882.324999999</v>
      </c>
      <c r="BF83" s="67">
        <f t="shared" si="22"/>
        <v>0</v>
      </c>
      <c r="BG83" s="67">
        <f t="shared" si="16"/>
        <v>0</v>
      </c>
      <c r="BH83" s="66"/>
      <c r="BI83" s="68" t="s">
        <v>229</v>
      </c>
      <c r="BJ83" s="68" t="s">
        <v>98</v>
      </c>
      <c r="BK83" s="68" t="s">
        <v>98</v>
      </c>
      <c r="BL83" s="29"/>
      <c r="BO83" s="35" t="s">
        <v>1800</v>
      </c>
      <c r="BP83" s="1" t="s">
        <v>1808</v>
      </c>
      <c r="BQ83" s="1" t="s">
        <v>1982</v>
      </c>
    </row>
    <row r="84" spans="1:69" ht="15" hidden="1" customHeight="1">
      <c r="C84" s="1" t="str">
        <f>+RIGHT(YEAR(AE84),2)&amp;IF(LEN(MONTH(AE84))=2,MONTH(AE84),"0"&amp;MONTH(AE84))</f>
        <v>2901</v>
      </c>
      <c r="D84" s="1" t="str">
        <f>+RIGHT(YEAR(AD84),2)&amp;IF(LEN(MONTH(AD84))=2,MONTH(AD84),"0"&amp;MONTH(AD84))</f>
        <v>2402</v>
      </c>
      <c r="E84" s="19" t="s">
        <v>48</v>
      </c>
      <c r="F84" s="62" t="s">
        <v>1896</v>
      </c>
      <c r="G84" s="62">
        <v>2112</v>
      </c>
      <c r="H84" s="62" t="s">
        <v>1997</v>
      </c>
      <c r="I84" s="62" t="s">
        <v>292</v>
      </c>
      <c r="J84" s="118">
        <v>1</v>
      </c>
      <c r="K84" s="119"/>
      <c r="L84" s="62" t="s">
        <v>77</v>
      </c>
      <c r="M84" s="120" t="s">
        <v>290</v>
      </c>
      <c r="N84" s="65">
        <v>43474</v>
      </c>
      <c r="O84" s="24">
        <f>ROUND($O$87/4,0)</f>
        <v>17927</v>
      </c>
      <c r="P84" s="24">
        <v>23239</v>
      </c>
      <c r="Q84" s="64">
        <f>P84*O84</f>
        <v>416605553</v>
      </c>
      <c r="R84" s="64"/>
      <c r="S84" s="64"/>
      <c r="T84" s="64"/>
      <c r="U84" s="64"/>
      <c r="V84" s="121">
        <f>+V87-SUM(V85:V86)</f>
        <v>555481817</v>
      </c>
      <c r="W84" s="122"/>
      <c r="X84" s="64">
        <f>V84</f>
        <v>555481817</v>
      </c>
      <c r="Y84" s="121"/>
      <c r="Z84" s="121"/>
      <c r="AA84" s="121"/>
      <c r="AB84" s="121"/>
      <c r="AC84" s="64">
        <f>V84-Y84</f>
        <v>555481817</v>
      </c>
      <c r="AD84" s="65">
        <v>45323</v>
      </c>
      <c r="AE84" s="65">
        <v>47149</v>
      </c>
      <c r="AF84" s="62">
        <v>5</v>
      </c>
      <c r="AG84" s="119">
        <f>+AF84*12</f>
        <v>60</v>
      </c>
      <c r="AH84" s="25">
        <f>ROUND($AH$87/3,0)</f>
        <v>4629015</v>
      </c>
      <c r="AI84" s="78">
        <v>273111886</v>
      </c>
      <c r="AJ84" s="78">
        <v>282369931</v>
      </c>
      <c r="AK84" s="27">
        <v>4629015</v>
      </c>
      <c r="AL84" s="27">
        <f t="shared" si="20"/>
        <v>4629015</v>
      </c>
      <c r="AM84" s="27"/>
      <c r="AN84" s="27"/>
      <c r="AO84" s="27"/>
      <c r="AP84" s="27"/>
      <c r="AQ84" s="27"/>
      <c r="AR84" s="27"/>
      <c r="AS84" s="27"/>
      <c r="AT84" s="27"/>
      <c r="AU84" s="27"/>
      <c r="AV84" s="27"/>
      <c r="AW84" s="27">
        <f t="shared" si="13"/>
        <v>9258030</v>
      </c>
      <c r="AX84" s="79">
        <f t="shared" si="14"/>
        <v>273111901</v>
      </c>
      <c r="AY84" s="79">
        <f t="shared" si="15"/>
        <v>282369916</v>
      </c>
      <c r="AZ84" s="25">
        <f>J84-Z84</f>
        <v>1</v>
      </c>
      <c r="BA84" s="62"/>
      <c r="BB84" s="66">
        <v>1</v>
      </c>
      <c r="BC84" s="66"/>
      <c r="BD84" s="66"/>
      <c r="BE84" s="67">
        <f>+$AL84*BB84</f>
        <v>4629015</v>
      </c>
      <c r="BF84" s="67">
        <f t="shared" si="22"/>
        <v>0</v>
      </c>
      <c r="BG84" s="67">
        <f t="shared" si="16"/>
        <v>0</v>
      </c>
      <c r="BH84" s="66"/>
      <c r="BI84" s="68"/>
      <c r="BJ84" s="68" t="s">
        <v>1930</v>
      </c>
      <c r="BK84" s="68" t="s">
        <v>1930</v>
      </c>
      <c r="BL84" s="29"/>
      <c r="BQ84" s="1" t="s">
        <v>1930</v>
      </c>
    </row>
    <row r="85" spans="1:69" ht="15" hidden="1" customHeight="1">
      <c r="C85" s="1" t="str">
        <f>+RIGHT(YEAR(AE85),2)&amp;IF(LEN(MONTH(AE85))=2,MONTH(AE85),"0"&amp;MONTH(AE85))</f>
        <v>2901</v>
      </c>
      <c r="D85" s="1" t="str">
        <f>+RIGHT(YEAR(AD85),2)&amp;IF(LEN(MONTH(AD85))=2,MONTH(AD85),"0"&amp;MONTH(AD85))</f>
        <v>2402</v>
      </c>
      <c r="E85" s="19" t="s">
        <v>48</v>
      </c>
      <c r="F85" s="62" t="s">
        <v>1896</v>
      </c>
      <c r="G85" s="62">
        <v>2112</v>
      </c>
      <c r="H85" s="62" t="s">
        <v>1996</v>
      </c>
      <c r="I85" s="62" t="s">
        <v>292</v>
      </c>
      <c r="J85" s="118">
        <v>1</v>
      </c>
      <c r="K85" s="119"/>
      <c r="L85" s="62" t="s">
        <v>77</v>
      </c>
      <c r="M85" s="120" t="s">
        <v>290</v>
      </c>
      <c r="N85" s="65">
        <v>43474</v>
      </c>
      <c r="O85" s="24">
        <f>ROUND($O$87/4,0)</f>
        <v>17927</v>
      </c>
      <c r="P85" s="24">
        <v>23239</v>
      </c>
      <c r="Q85" s="64">
        <f>P85*O85</f>
        <v>416605553</v>
      </c>
      <c r="R85" s="64"/>
      <c r="S85" s="64"/>
      <c r="T85" s="64"/>
      <c r="U85" s="64"/>
      <c r="V85" s="121">
        <f>+V86</f>
        <v>555481817</v>
      </c>
      <c r="W85" s="122"/>
      <c r="X85" s="64">
        <f>V85</f>
        <v>555481817</v>
      </c>
      <c r="Y85" s="121"/>
      <c r="Z85" s="121"/>
      <c r="AA85" s="121"/>
      <c r="AB85" s="121"/>
      <c r="AC85" s="64">
        <f>V85-Y85</f>
        <v>555481817</v>
      </c>
      <c r="AD85" s="65">
        <v>45323</v>
      </c>
      <c r="AE85" s="65">
        <v>47149</v>
      </c>
      <c r="AF85" s="62">
        <v>5</v>
      </c>
      <c r="AG85" s="119">
        <f>+AF85*12</f>
        <v>60</v>
      </c>
      <c r="AH85" s="25">
        <f>ROUND($AH$87/3,0)</f>
        <v>4629015</v>
      </c>
      <c r="AI85" s="78">
        <v>273111886</v>
      </c>
      <c r="AJ85" s="78">
        <v>282369931</v>
      </c>
      <c r="AK85" s="27">
        <v>4629015</v>
      </c>
      <c r="AL85" s="27">
        <f t="shared" si="20"/>
        <v>4629015</v>
      </c>
      <c r="AM85" s="27"/>
      <c r="AN85" s="27"/>
      <c r="AO85" s="27"/>
      <c r="AP85" s="27"/>
      <c r="AQ85" s="27"/>
      <c r="AR85" s="27"/>
      <c r="AS85" s="27"/>
      <c r="AT85" s="27"/>
      <c r="AU85" s="27"/>
      <c r="AV85" s="27"/>
      <c r="AW85" s="27">
        <f t="shared" si="13"/>
        <v>9258030</v>
      </c>
      <c r="AX85" s="79">
        <f t="shared" si="14"/>
        <v>273111901</v>
      </c>
      <c r="AY85" s="79">
        <f t="shared" si="15"/>
        <v>282369916</v>
      </c>
      <c r="AZ85" s="25">
        <f>J85-Z85</f>
        <v>1</v>
      </c>
      <c r="BA85" s="62"/>
      <c r="BB85" s="66">
        <v>1</v>
      </c>
      <c r="BC85" s="66"/>
      <c r="BD85" s="66"/>
      <c r="BE85" s="67">
        <f t="shared" ref="BE85:BE148" si="23">+$AL85*BB85</f>
        <v>4629015</v>
      </c>
      <c r="BF85" s="67">
        <f t="shared" si="22"/>
        <v>0</v>
      </c>
      <c r="BG85" s="67">
        <f t="shared" si="16"/>
        <v>0</v>
      </c>
      <c r="BH85" s="66"/>
      <c r="BI85" s="68"/>
      <c r="BJ85" s="68" t="s">
        <v>1930</v>
      </c>
      <c r="BK85" s="68" t="s">
        <v>1930</v>
      </c>
      <c r="BL85" s="29"/>
      <c r="BQ85" s="1" t="s">
        <v>1930</v>
      </c>
    </row>
    <row r="86" spans="1:69" ht="15" hidden="1" customHeight="1">
      <c r="C86" s="1" t="str">
        <f>+RIGHT(YEAR(AE86),2)&amp;IF(LEN(MONTH(AE86))=2,MONTH(AE86),"0"&amp;MONTH(AE86))</f>
        <v>2901</v>
      </c>
      <c r="D86" s="1" t="str">
        <f>+RIGHT(YEAR(AD86),2)&amp;IF(LEN(MONTH(AD86))=2,MONTH(AD86),"0"&amp;MONTH(AD86))</f>
        <v>2402</v>
      </c>
      <c r="E86" s="19" t="s">
        <v>48</v>
      </c>
      <c r="F86" s="62" t="s">
        <v>1923</v>
      </c>
      <c r="G86" s="62">
        <v>2112</v>
      </c>
      <c r="H86" s="62" t="s">
        <v>1995</v>
      </c>
      <c r="I86" s="62" t="s">
        <v>292</v>
      </c>
      <c r="J86" s="118">
        <v>1</v>
      </c>
      <c r="K86" s="119"/>
      <c r="L86" s="62" t="s">
        <v>77</v>
      </c>
      <c r="M86" s="120" t="s">
        <v>290</v>
      </c>
      <c r="N86" s="65">
        <v>43474</v>
      </c>
      <c r="O86" s="24">
        <f>ROUND($O$87/4,0)</f>
        <v>17927</v>
      </c>
      <c r="P86" s="24">
        <v>23239</v>
      </c>
      <c r="Q86" s="64">
        <f>P86*O86</f>
        <v>416605553</v>
      </c>
      <c r="R86" s="64"/>
      <c r="S86" s="64"/>
      <c r="T86" s="64"/>
      <c r="U86" s="64"/>
      <c r="V86" s="121">
        <f>+ROUND(V87/3,0)</f>
        <v>555481817</v>
      </c>
      <c r="W86" s="122"/>
      <c r="X86" s="64">
        <f>V86</f>
        <v>555481817</v>
      </c>
      <c r="Y86" s="121"/>
      <c r="Z86" s="121"/>
      <c r="AA86" s="121"/>
      <c r="AB86" s="121"/>
      <c r="AC86" s="64">
        <f>V86-Y86</f>
        <v>555481817</v>
      </c>
      <c r="AD86" s="65">
        <v>45323</v>
      </c>
      <c r="AE86" s="65">
        <v>47149</v>
      </c>
      <c r="AF86" s="62">
        <v>5</v>
      </c>
      <c r="AG86" s="119">
        <f>+AF86*12</f>
        <v>60</v>
      </c>
      <c r="AH86" s="25">
        <f>ROUND($AH$87/3,0)</f>
        <v>4629015</v>
      </c>
      <c r="AI86" s="78">
        <v>273111886</v>
      </c>
      <c r="AJ86" s="78">
        <v>282369931</v>
      </c>
      <c r="AK86" s="27">
        <v>4629015</v>
      </c>
      <c r="AL86" s="27">
        <f t="shared" si="20"/>
        <v>4629015</v>
      </c>
      <c r="AM86" s="27"/>
      <c r="AN86" s="27"/>
      <c r="AO86" s="27"/>
      <c r="AP86" s="27"/>
      <c r="AQ86" s="27"/>
      <c r="AR86" s="27"/>
      <c r="AS86" s="27"/>
      <c r="AT86" s="27"/>
      <c r="AU86" s="27"/>
      <c r="AV86" s="27"/>
      <c r="AW86" s="27">
        <f t="shared" si="13"/>
        <v>9258030</v>
      </c>
      <c r="AX86" s="79">
        <f t="shared" si="14"/>
        <v>273111901</v>
      </c>
      <c r="AY86" s="79">
        <f t="shared" si="15"/>
        <v>282369916</v>
      </c>
      <c r="AZ86" s="25">
        <f>J86-Z86</f>
        <v>1</v>
      </c>
      <c r="BA86" s="62"/>
      <c r="BB86" s="66">
        <v>1</v>
      </c>
      <c r="BC86" s="66"/>
      <c r="BD86" s="66"/>
      <c r="BE86" s="67">
        <f t="shared" si="23"/>
        <v>4629015</v>
      </c>
      <c r="BF86" s="67">
        <f t="shared" si="22"/>
        <v>0</v>
      </c>
      <c r="BG86" s="67">
        <f t="shared" si="16"/>
        <v>0</v>
      </c>
      <c r="BH86" s="66"/>
      <c r="BI86" s="68"/>
      <c r="BJ86" s="68" t="s">
        <v>81</v>
      </c>
      <c r="BK86" s="68" t="s">
        <v>81</v>
      </c>
      <c r="BL86" s="29"/>
      <c r="BQ86" s="1" t="e">
        <v>#N/A</v>
      </c>
    </row>
    <row r="87" spans="1:69" s="107" customFormat="1" ht="15" hidden="1" customHeight="1">
      <c r="A87" s="1" t="s">
        <v>43</v>
      </c>
      <c r="B87" s="1"/>
      <c r="C87" s="1">
        <v>2402</v>
      </c>
      <c r="D87" s="1" t="str">
        <f t="shared" si="18"/>
        <v>1902</v>
      </c>
      <c r="E87" s="19" t="s">
        <v>48</v>
      </c>
      <c r="F87" s="62" t="s">
        <v>49</v>
      </c>
      <c r="G87" s="62">
        <v>2112</v>
      </c>
      <c r="H87" s="62" t="s">
        <v>291</v>
      </c>
      <c r="I87" s="62" t="s">
        <v>292</v>
      </c>
      <c r="J87" s="118">
        <v>3</v>
      </c>
      <c r="K87" s="119"/>
      <c r="L87" s="62" t="s">
        <v>77</v>
      </c>
      <c r="M87" s="120" t="s">
        <v>290</v>
      </c>
      <c r="N87" s="65">
        <v>43474</v>
      </c>
      <c r="O87" s="24">
        <v>71709</v>
      </c>
      <c r="P87" s="24">
        <v>23239</v>
      </c>
      <c r="Q87" s="64">
        <v>1666445451</v>
      </c>
      <c r="R87" s="64"/>
      <c r="S87" s="64"/>
      <c r="T87" s="64"/>
      <c r="U87" s="64"/>
      <c r="V87" s="121">
        <v>1666445451</v>
      </c>
      <c r="W87" s="122">
        <v>0</v>
      </c>
      <c r="X87" s="64">
        <v>1666445451</v>
      </c>
      <c r="Y87" s="121">
        <f>-V87</f>
        <v>-1666445451</v>
      </c>
      <c r="Z87" s="121">
        <v>3</v>
      </c>
      <c r="AA87" s="125">
        <v>45323</v>
      </c>
      <c r="AB87" s="121" t="s">
        <v>1998</v>
      </c>
      <c r="AC87" s="64">
        <f>+Y87+V87</f>
        <v>0</v>
      </c>
      <c r="AD87" s="65">
        <v>43497</v>
      </c>
      <c r="AE87" s="65">
        <v>47149</v>
      </c>
      <c r="AF87" s="62">
        <v>10</v>
      </c>
      <c r="AG87" s="119">
        <v>120</v>
      </c>
      <c r="AH87" s="25">
        <v>13887045.425000001</v>
      </c>
      <c r="AI87" s="78">
        <v>0</v>
      </c>
      <c r="AJ87" s="78">
        <v>0</v>
      </c>
      <c r="AK87" s="110"/>
      <c r="AL87" s="27">
        <f>+IF(AND(AL$3&gt;=$D87,AL$3&lt;$C87),$AH87,$AJ87-SUM(AJ87:AK87))</f>
        <v>0</v>
      </c>
      <c r="AM87" s="110"/>
      <c r="AN87" s="110"/>
      <c r="AO87" s="110"/>
      <c r="AP87" s="110"/>
      <c r="AQ87" s="110"/>
      <c r="AR87" s="110"/>
      <c r="AS87" s="110"/>
      <c r="AT87" s="110"/>
      <c r="AU87" s="110"/>
      <c r="AV87" s="110"/>
      <c r="AW87" s="27">
        <f t="shared" si="13"/>
        <v>0</v>
      </c>
      <c r="AX87" s="79">
        <f t="shared" si="14"/>
        <v>0</v>
      </c>
      <c r="AY87" s="79">
        <f t="shared" si="15"/>
        <v>0</v>
      </c>
      <c r="AZ87" s="109">
        <f>J87-Z87</f>
        <v>0</v>
      </c>
      <c r="BA87" s="108" t="s">
        <v>97</v>
      </c>
      <c r="BB87" s="111">
        <v>0</v>
      </c>
      <c r="BC87" s="111"/>
      <c r="BD87" s="111"/>
      <c r="BE87" s="67">
        <f t="shared" si="23"/>
        <v>0</v>
      </c>
      <c r="BF87" s="67">
        <f t="shared" si="22"/>
        <v>0</v>
      </c>
      <c r="BG87" s="67">
        <f t="shared" si="16"/>
        <v>0</v>
      </c>
      <c r="BH87" s="111"/>
      <c r="BI87" s="112" t="s">
        <v>229</v>
      </c>
      <c r="BJ87" s="112" t="s">
        <v>81</v>
      </c>
      <c r="BK87" s="112" t="s">
        <v>81</v>
      </c>
      <c r="BL87" s="113"/>
      <c r="BO87" s="107" t="s">
        <v>1801</v>
      </c>
      <c r="BQ87" s="1" t="e">
        <v>#N/A</v>
      </c>
    </row>
    <row r="88" spans="1:69" ht="15" hidden="1" customHeight="1">
      <c r="A88" s="1" t="s">
        <v>43</v>
      </c>
      <c r="C88" s="1" t="str">
        <f t="shared" si="17"/>
        <v>2403</v>
      </c>
      <c r="D88" s="1" t="str">
        <f t="shared" si="18"/>
        <v>1904</v>
      </c>
      <c r="E88" s="19" t="s">
        <v>48</v>
      </c>
      <c r="F88" s="62" t="s">
        <v>49</v>
      </c>
      <c r="G88" s="62">
        <v>2112</v>
      </c>
      <c r="H88" s="62" t="s">
        <v>293</v>
      </c>
      <c r="I88" s="62" t="s">
        <v>294</v>
      </c>
      <c r="J88" s="118">
        <v>2</v>
      </c>
      <c r="K88" s="119"/>
      <c r="L88" s="62" t="s">
        <v>77</v>
      </c>
      <c r="M88" s="120" t="s">
        <v>295</v>
      </c>
      <c r="N88" s="65">
        <v>43529</v>
      </c>
      <c r="O88" s="24">
        <v>42862</v>
      </c>
      <c r="P88" s="24">
        <v>23253</v>
      </c>
      <c r="Q88" s="64">
        <v>996670086</v>
      </c>
      <c r="R88" s="64"/>
      <c r="S88" s="64"/>
      <c r="T88" s="64">
        <v>15872425.4941983</v>
      </c>
      <c r="U88" s="64" t="s">
        <v>296</v>
      </c>
      <c r="V88" s="121">
        <v>1012542511</v>
      </c>
      <c r="W88" s="122">
        <v>0</v>
      </c>
      <c r="X88" s="64">
        <v>1012542511</v>
      </c>
      <c r="Y88" s="121"/>
      <c r="Z88" s="121"/>
      <c r="AA88" s="121"/>
      <c r="AB88" s="121"/>
      <c r="AC88" s="64">
        <v>1012542511</v>
      </c>
      <c r="AD88" s="65">
        <v>43556</v>
      </c>
      <c r="AE88" s="65">
        <v>45382</v>
      </c>
      <c r="AF88" s="62">
        <v>5</v>
      </c>
      <c r="AG88" s="119">
        <v>60</v>
      </c>
      <c r="AH88" s="25">
        <v>16875708.516666666</v>
      </c>
      <c r="AI88" s="78">
        <v>961915408.16666663</v>
      </c>
      <c r="AJ88" s="78">
        <v>50627102.833333403</v>
      </c>
      <c r="AK88" s="27">
        <f>+IF(AND(AK$3&gt;=$D88,AK$3&lt;$C88),$AH88,$AJ88-SUM(AI88:AJ88))</f>
        <v>16875708.516666666</v>
      </c>
      <c r="AL88" s="27">
        <f t="shared" ref="AL88:AL151" si="24">+IF(AND(AL$3&gt;=$D88,AL$3&lt;$C88),$AH88,$AJ88-SUM(AJ88:AK88))</f>
        <v>16875708.516666666</v>
      </c>
      <c r="AM88" s="27"/>
      <c r="AN88" s="27"/>
      <c r="AO88" s="27"/>
      <c r="AP88" s="27"/>
      <c r="AQ88" s="27"/>
      <c r="AR88" s="27"/>
      <c r="AS88" s="27"/>
      <c r="AT88" s="27"/>
      <c r="AU88" s="27"/>
      <c r="AV88" s="27"/>
      <c r="AW88" s="27">
        <f t="shared" si="13"/>
        <v>33751417.033333331</v>
      </c>
      <c r="AX88" s="79">
        <f t="shared" si="14"/>
        <v>16875685.800000042</v>
      </c>
      <c r="AY88" s="79">
        <f t="shared" si="15"/>
        <v>995666825.19999993</v>
      </c>
      <c r="AZ88" s="25">
        <v>2</v>
      </c>
      <c r="BA88" s="62" t="s">
        <v>97</v>
      </c>
      <c r="BB88" s="66">
        <v>1</v>
      </c>
      <c r="BC88" s="66"/>
      <c r="BD88" s="66"/>
      <c r="BE88" s="67">
        <f t="shared" si="23"/>
        <v>16875708.516666666</v>
      </c>
      <c r="BF88" s="67">
        <f t="shared" si="22"/>
        <v>0</v>
      </c>
      <c r="BG88" s="67">
        <f t="shared" si="16"/>
        <v>0</v>
      </c>
      <c r="BH88" s="66"/>
      <c r="BI88" s="68" t="s">
        <v>183</v>
      </c>
      <c r="BJ88" s="68" t="s">
        <v>58</v>
      </c>
      <c r="BK88" s="68" t="s">
        <v>159</v>
      </c>
      <c r="BL88" s="29"/>
      <c r="BO88" s="35" t="s">
        <v>1804</v>
      </c>
      <c r="BQ88" s="1" t="e">
        <v>#N/A</v>
      </c>
    </row>
    <row r="89" spans="1:69" ht="15" hidden="1" customHeight="1">
      <c r="A89" s="1" t="s">
        <v>43</v>
      </c>
      <c r="C89" s="1" t="str">
        <f t="shared" si="17"/>
        <v>2603</v>
      </c>
      <c r="D89" s="1" t="str">
        <f t="shared" si="18"/>
        <v>1904</v>
      </c>
      <c r="E89" s="19" t="s">
        <v>48</v>
      </c>
      <c r="F89" s="62" t="s">
        <v>49</v>
      </c>
      <c r="G89" s="62">
        <v>2112</v>
      </c>
      <c r="H89" s="62" t="s">
        <v>297</v>
      </c>
      <c r="I89" s="62" t="s">
        <v>298</v>
      </c>
      <c r="J89" s="118">
        <v>1</v>
      </c>
      <c r="K89" s="119"/>
      <c r="L89" s="62" t="s">
        <v>77</v>
      </c>
      <c r="M89" s="120" t="s">
        <v>299</v>
      </c>
      <c r="N89" s="65">
        <v>43549</v>
      </c>
      <c r="O89" s="24">
        <v>69854.84</v>
      </c>
      <c r="P89" s="24">
        <v>23251</v>
      </c>
      <c r="Q89" s="64">
        <v>1624194884.8399999</v>
      </c>
      <c r="R89" s="64">
        <v>48524664.605999999</v>
      </c>
      <c r="S89" s="64"/>
      <c r="T89" s="64">
        <v>18265765</v>
      </c>
      <c r="U89" s="64" t="s">
        <v>300</v>
      </c>
      <c r="V89" s="121">
        <v>1690985314.4460001</v>
      </c>
      <c r="W89" s="122">
        <v>4.6000003814697266E-2</v>
      </c>
      <c r="X89" s="64">
        <v>1690985314.4000001</v>
      </c>
      <c r="Y89" s="121"/>
      <c r="Z89" s="121"/>
      <c r="AA89" s="121"/>
      <c r="AB89" s="121"/>
      <c r="AC89" s="64">
        <v>1690985314.4920001</v>
      </c>
      <c r="AD89" s="65">
        <v>43556</v>
      </c>
      <c r="AE89" s="65">
        <v>46112</v>
      </c>
      <c r="AF89" s="62">
        <v>10</v>
      </c>
      <c r="AG89" s="119">
        <v>120</v>
      </c>
      <c r="AH89" s="25">
        <v>14091544.287433334</v>
      </c>
      <c r="AI89" s="78">
        <v>803218011.36633337</v>
      </c>
      <c r="AJ89" s="78">
        <v>887767303.12566674</v>
      </c>
      <c r="AK89" s="27">
        <f t="shared" si="19"/>
        <v>14091544.287433334</v>
      </c>
      <c r="AL89" s="27">
        <f t="shared" si="24"/>
        <v>14091544.287433334</v>
      </c>
      <c r="AM89" s="27"/>
      <c r="AN89" s="27"/>
      <c r="AO89" s="27"/>
      <c r="AP89" s="27"/>
      <c r="AQ89" s="27"/>
      <c r="AR89" s="27"/>
      <c r="AS89" s="27"/>
      <c r="AT89" s="27"/>
      <c r="AU89" s="27"/>
      <c r="AV89" s="27"/>
      <c r="AW89" s="27">
        <f t="shared" si="13"/>
        <v>28183088.574866667</v>
      </c>
      <c r="AX89" s="79">
        <f t="shared" si="14"/>
        <v>859584214.55080009</v>
      </c>
      <c r="AY89" s="79">
        <f t="shared" si="15"/>
        <v>831401099.94120002</v>
      </c>
      <c r="AZ89" s="25">
        <v>1</v>
      </c>
      <c r="BA89" s="62" t="s">
        <v>97</v>
      </c>
      <c r="BB89" s="66">
        <v>1</v>
      </c>
      <c r="BC89" s="66"/>
      <c r="BD89" s="66"/>
      <c r="BE89" s="67">
        <f t="shared" si="23"/>
        <v>14091544.287433334</v>
      </c>
      <c r="BF89" s="67">
        <f t="shared" si="22"/>
        <v>0</v>
      </c>
      <c r="BG89" s="67">
        <f t="shared" si="16"/>
        <v>0</v>
      </c>
      <c r="BH89" s="66"/>
      <c r="BI89" s="68" t="s">
        <v>191</v>
      </c>
      <c r="BJ89" s="68" t="s">
        <v>121</v>
      </c>
      <c r="BK89" s="68" t="s">
        <v>301</v>
      </c>
      <c r="BL89" s="29"/>
      <c r="BO89" s="35" t="s">
        <v>1800</v>
      </c>
      <c r="BP89" s="1" t="s">
        <v>1808</v>
      </c>
      <c r="BQ89" s="1" t="e">
        <v>#N/A</v>
      </c>
    </row>
    <row r="90" spans="1:69" ht="15" hidden="1" customHeight="1">
      <c r="A90" s="1" t="s">
        <v>43</v>
      </c>
      <c r="C90" s="1" t="str">
        <f t="shared" si="17"/>
        <v>2601</v>
      </c>
      <c r="D90" s="1" t="str">
        <f t="shared" si="18"/>
        <v>1902</v>
      </c>
      <c r="E90" s="19" t="s">
        <v>48</v>
      </c>
      <c r="F90" s="62" t="s">
        <v>49</v>
      </c>
      <c r="G90" s="62">
        <v>2112</v>
      </c>
      <c r="H90" s="62" t="s">
        <v>302</v>
      </c>
      <c r="I90" s="62" t="s">
        <v>303</v>
      </c>
      <c r="J90" s="118">
        <v>1</v>
      </c>
      <c r="K90" s="119"/>
      <c r="L90" s="62" t="s">
        <v>304</v>
      </c>
      <c r="M90" s="120" t="s">
        <v>305</v>
      </c>
      <c r="N90" s="65">
        <v>43477</v>
      </c>
      <c r="O90" s="24"/>
      <c r="P90" s="24"/>
      <c r="Q90" s="32">
        <v>100400000</v>
      </c>
      <c r="R90" s="64"/>
      <c r="S90" s="64"/>
      <c r="T90" s="64"/>
      <c r="U90" s="64"/>
      <c r="V90" s="121">
        <v>100400000</v>
      </c>
      <c r="W90" s="122">
        <v>0</v>
      </c>
      <c r="X90" s="64">
        <v>100400000</v>
      </c>
      <c r="Y90" s="121"/>
      <c r="Z90" s="121"/>
      <c r="AA90" s="121"/>
      <c r="AB90" s="121"/>
      <c r="AC90" s="64">
        <v>100400000</v>
      </c>
      <c r="AD90" s="65">
        <v>43497</v>
      </c>
      <c r="AE90" s="65">
        <v>46053</v>
      </c>
      <c r="AF90" s="62">
        <v>7</v>
      </c>
      <c r="AG90" s="119">
        <v>84</v>
      </c>
      <c r="AH90" s="25">
        <v>1195238.0952380951</v>
      </c>
      <c r="AI90" s="78">
        <v>70519042.952380955</v>
      </c>
      <c r="AJ90" s="78">
        <v>29880957.047619049</v>
      </c>
      <c r="AK90" s="27">
        <f t="shared" si="19"/>
        <v>1195238.0952380951</v>
      </c>
      <c r="AL90" s="27">
        <f t="shared" si="24"/>
        <v>1195238.0952380951</v>
      </c>
      <c r="AM90" s="27"/>
      <c r="AN90" s="27"/>
      <c r="AO90" s="27"/>
      <c r="AP90" s="27"/>
      <c r="AQ90" s="27"/>
      <c r="AR90" s="27"/>
      <c r="AS90" s="27"/>
      <c r="AT90" s="27"/>
      <c r="AU90" s="27"/>
      <c r="AV90" s="27"/>
      <c r="AW90" s="27">
        <f t="shared" si="13"/>
        <v>2390476.1904761903</v>
      </c>
      <c r="AX90" s="79">
        <f t="shared" si="14"/>
        <v>27490480.857142854</v>
      </c>
      <c r="AY90" s="79">
        <f t="shared" si="15"/>
        <v>72909519.142857149</v>
      </c>
      <c r="AZ90" s="25">
        <v>1</v>
      </c>
      <c r="BA90" s="62" t="s">
        <v>97</v>
      </c>
      <c r="BB90" s="66">
        <v>1</v>
      </c>
      <c r="BC90" s="66"/>
      <c r="BD90" s="66"/>
      <c r="BE90" s="67">
        <f t="shared" si="23"/>
        <v>1195238.0952380951</v>
      </c>
      <c r="BF90" s="67">
        <f t="shared" si="22"/>
        <v>0</v>
      </c>
      <c r="BG90" s="67">
        <f t="shared" si="16"/>
        <v>0</v>
      </c>
      <c r="BH90" s="66"/>
      <c r="BI90" s="68" t="s">
        <v>140</v>
      </c>
      <c r="BJ90" s="68" t="s">
        <v>58</v>
      </c>
      <c r="BK90" s="68" t="s">
        <v>59</v>
      </c>
      <c r="BL90" s="29"/>
      <c r="BO90" s="35" t="s">
        <v>1804</v>
      </c>
      <c r="BQ90" s="1" t="e">
        <v>#N/A</v>
      </c>
    </row>
    <row r="91" spans="1:69" ht="15" hidden="1" customHeight="1">
      <c r="A91" s="1" t="s">
        <v>43</v>
      </c>
      <c r="C91" s="1" t="str">
        <f t="shared" si="17"/>
        <v>4402</v>
      </c>
      <c r="D91" s="1" t="str">
        <f t="shared" si="18"/>
        <v>1903</v>
      </c>
      <c r="E91" s="19" t="s">
        <v>48</v>
      </c>
      <c r="F91" s="62" t="s">
        <v>49</v>
      </c>
      <c r="G91" s="62">
        <v>2111</v>
      </c>
      <c r="H91" s="62" t="s">
        <v>306</v>
      </c>
      <c r="I91" s="62" t="s">
        <v>307</v>
      </c>
      <c r="J91" s="118">
        <v>1</v>
      </c>
      <c r="K91" s="119"/>
      <c r="L91" s="62" t="s">
        <v>62</v>
      </c>
      <c r="M91" s="120" t="s">
        <v>308</v>
      </c>
      <c r="N91" s="65">
        <v>43524</v>
      </c>
      <c r="O91" s="24"/>
      <c r="P91" s="24"/>
      <c r="Q91" s="64">
        <v>8455000000</v>
      </c>
      <c r="R91" s="64"/>
      <c r="S91" s="64"/>
      <c r="T91" s="64"/>
      <c r="U91" s="64"/>
      <c r="V91" s="121">
        <v>8455000000</v>
      </c>
      <c r="W91" s="122">
        <v>0</v>
      </c>
      <c r="X91" s="64">
        <v>8455000000</v>
      </c>
      <c r="Y91" s="121"/>
      <c r="Z91" s="121"/>
      <c r="AA91" s="121"/>
      <c r="AB91" s="121"/>
      <c r="AC91" s="64">
        <v>8455000000</v>
      </c>
      <c r="AD91" s="65">
        <v>43525</v>
      </c>
      <c r="AE91" s="65">
        <v>52656</v>
      </c>
      <c r="AF91" s="62">
        <v>25</v>
      </c>
      <c r="AG91" s="119">
        <v>300</v>
      </c>
      <c r="AH91" s="25">
        <v>28183333.333333332</v>
      </c>
      <c r="AI91" s="78">
        <v>1634633317.3333333</v>
      </c>
      <c r="AJ91" s="78">
        <v>6820366682.666667</v>
      </c>
      <c r="AK91" s="27">
        <f t="shared" si="19"/>
        <v>28183333.333333332</v>
      </c>
      <c r="AL91" s="27">
        <f t="shared" si="24"/>
        <v>28183333.333333332</v>
      </c>
      <c r="AM91" s="27"/>
      <c r="AN91" s="27"/>
      <c r="AO91" s="27"/>
      <c r="AP91" s="27"/>
      <c r="AQ91" s="27"/>
      <c r="AR91" s="27"/>
      <c r="AS91" s="27"/>
      <c r="AT91" s="27"/>
      <c r="AU91" s="27"/>
      <c r="AV91" s="27"/>
      <c r="AW91" s="27">
        <f t="shared" si="13"/>
        <v>56366666.666666664</v>
      </c>
      <c r="AX91" s="79">
        <f t="shared" si="14"/>
        <v>6764000016</v>
      </c>
      <c r="AY91" s="79">
        <f t="shared" si="15"/>
        <v>1690999984</v>
      </c>
      <c r="AZ91" s="25">
        <v>1</v>
      </c>
      <c r="BA91" s="62" t="s">
        <v>56</v>
      </c>
      <c r="BB91" s="66">
        <v>0.5</v>
      </c>
      <c r="BC91" s="66">
        <v>0.5</v>
      </c>
      <c r="BD91" s="66"/>
      <c r="BE91" s="67">
        <f t="shared" si="23"/>
        <v>14091666.666666666</v>
      </c>
      <c r="BF91" s="67">
        <f t="shared" si="22"/>
        <v>14091666.666666666</v>
      </c>
      <c r="BG91" s="67">
        <f t="shared" si="16"/>
        <v>0</v>
      </c>
      <c r="BH91" s="66"/>
      <c r="BI91" s="68" t="s">
        <v>57</v>
      </c>
      <c r="BJ91" s="68" t="s">
        <v>58</v>
      </c>
      <c r="BK91" s="68" t="s">
        <v>59</v>
      </c>
      <c r="BL91" s="29"/>
      <c r="BO91" s="35" t="s">
        <v>1799</v>
      </c>
      <c r="BQ91" s="1" t="e">
        <v>#N/A</v>
      </c>
    </row>
    <row r="92" spans="1:69" ht="15" hidden="1" customHeight="1">
      <c r="A92" s="1" t="s">
        <v>43</v>
      </c>
      <c r="C92" s="1" t="str">
        <f t="shared" si="17"/>
        <v>2904</v>
      </c>
      <c r="D92" s="1" t="str">
        <f t="shared" si="18"/>
        <v>1905</v>
      </c>
      <c r="E92" s="19" t="s">
        <v>48</v>
      </c>
      <c r="F92" s="62" t="s">
        <v>49</v>
      </c>
      <c r="G92" s="62">
        <v>2112</v>
      </c>
      <c r="H92" s="62" t="s">
        <v>309</v>
      </c>
      <c r="I92" s="62" t="s">
        <v>310</v>
      </c>
      <c r="J92" s="118">
        <v>3</v>
      </c>
      <c r="K92" s="119"/>
      <c r="L92" s="62" t="s">
        <v>77</v>
      </c>
      <c r="M92" s="120" t="s">
        <v>311</v>
      </c>
      <c r="N92" s="65">
        <v>43558</v>
      </c>
      <c r="O92" s="24">
        <v>643183.72</v>
      </c>
      <c r="P92" s="24">
        <v>23252</v>
      </c>
      <c r="Q92" s="64">
        <v>14955307857.439999</v>
      </c>
      <c r="R92" s="64"/>
      <c r="S92" s="64"/>
      <c r="T92" s="64">
        <v>24194323</v>
      </c>
      <c r="U92" s="64" t="s">
        <v>312</v>
      </c>
      <c r="V92" s="121">
        <v>14979502180</v>
      </c>
      <c r="W92" s="122">
        <v>0</v>
      </c>
      <c r="X92" s="64">
        <v>14979502180</v>
      </c>
      <c r="Y92" s="121"/>
      <c r="Z92" s="121"/>
      <c r="AA92" s="121"/>
      <c r="AB92" s="121"/>
      <c r="AC92" s="64">
        <v>14979502180</v>
      </c>
      <c r="AD92" s="65">
        <v>43586</v>
      </c>
      <c r="AE92" s="65">
        <v>47236</v>
      </c>
      <c r="AF92" s="62">
        <v>10</v>
      </c>
      <c r="AG92" s="119">
        <v>120</v>
      </c>
      <c r="AH92" s="25">
        <v>124829184.83333333</v>
      </c>
      <c r="AI92" s="78">
        <v>6990434357.8933325</v>
      </c>
      <c r="AJ92" s="78">
        <v>7989067822.1066675</v>
      </c>
      <c r="AK92" s="27">
        <f t="shared" si="19"/>
        <v>124829184.83333333</v>
      </c>
      <c r="AL92" s="27">
        <f t="shared" si="24"/>
        <v>124829184.83333333</v>
      </c>
      <c r="AM92" s="27"/>
      <c r="AN92" s="27"/>
      <c r="AO92" s="27"/>
      <c r="AP92" s="27"/>
      <c r="AQ92" s="27"/>
      <c r="AR92" s="27"/>
      <c r="AS92" s="27"/>
      <c r="AT92" s="27"/>
      <c r="AU92" s="27"/>
      <c r="AV92" s="27"/>
      <c r="AW92" s="27">
        <f t="shared" si="13"/>
        <v>249658369.66666666</v>
      </c>
      <c r="AX92" s="79">
        <f t="shared" si="14"/>
        <v>7739409452.4400005</v>
      </c>
      <c r="AY92" s="79">
        <f t="shared" si="15"/>
        <v>7240092727.5599995</v>
      </c>
      <c r="AZ92" s="25">
        <v>3</v>
      </c>
      <c r="BA92" s="62" t="s">
        <v>97</v>
      </c>
      <c r="BB92" s="66">
        <v>1</v>
      </c>
      <c r="BC92" s="66"/>
      <c r="BD92" s="66"/>
      <c r="BE92" s="67">
        <f t="shared" si="23"/>
        <v>124829184.83333333</v>
      </c>
      <c r="BF92" s="67">
        <f t="shared" si="22"/>
        <v>0</v>
      </c>
      <c r="BG92" s="67">
        <f t="shared" si="16"/>
        <v>0</v>
      </c>
      <c r="BH92" s="66"/>
      <c r="BI92" s="68" t="s">
        <v>313</v>
      </c>
      <c r="BJ92" s="68" t="s">
        <v>85</v>
      </c>
      <c r="BK92" s="68" t="s">
        <v>85</v>
      </c>
      <c r="BL92" s="29"/>
      <c r="BO92" s="35" t="s">
        <v>1800</v>
      </c>
      <c r="BP92" s="1" t="s">
        <v>1809</v>
      </c>
      <c r="BQ92" s="1" t="e">
        <v>#N/A</v>
      </c>
    </row>
    <row r="93" spans="1:69" ht="15" hidden="1" customHeight="1">
      <c r="A93" s="1" t="s">
        <v>43</v>
      </c>
      <c r="C93" s="1" t="str">
        <f t="shared" si="17"/>
        <v>2604</v>
      </c>
      <c r="D93" s="1" t="str">
        <f t="shared" si="18"/>
        <v>1905</v>
      </c>
      <c r="E93" s="19" t="s">
        <v>48</v>
      </c>
      <c r="F93" s="62" t="s">
        <v>49</v>
      </c>
      <c r="G93" s="62">
        <v>2112</v>
      </c>
      <c r="H93" s="62" t="s">
        <v>314</v>
      </c>
      <c r="I93" s="62" t="s">
        <v>315</v>
      </c>
      <c r="J93" s="118">
        <v>1</v>
      </c>
      <c r="K93" s="119"/>
      <c r="L93" s="62" t="s">
        <v>77</v>
      </c>
      <c r="M93" s="120" t="s">
        <v>316</v>
      </c>
      <c r="N93" s="65">
        <v>43563</v>
      </c>
      <c r="O93" s="24">
        <v>3115.15</v>
      </c>
      <c r="P93" s="24">
        <v>23251</v>
      </c>
      <c r="Q93" s="64">
        <v>72430352.650000006</v>
      </c>
      <c r="R93" s="64"/>
      <c r="S93" s="64"/>
      <c r="T93" s="64">
        <v>1011884.091</v>
      </c>
      <c r="U93" s="64" t="s">
        <v>317</v>
      </c>
      <c r="V93" s="121">
        <v>73442237</v>
      </c>
      <c r="W93" s="122">
        <v>0</v>
      </c>
      <c r="X93" s="64">
        <v>73442237</v>
      </c>
      <c r="Y93" s="121"/>
      <c r="Z93" s="121"/>
      <c r="AA93" s="121"/>
      <c r="AB93" s="121"/>
      <c r="AC93" s="64">
        <v>73442237</v>
      </c>
      <c r="AD93" s="65">
        <v>43586</v>
      </c>
      <c r="AE93" s="65">
        <v>46141</v>
      </c>
      <c r="AF93" s="62">
        <v>7</v>
      </c>
      <c r="AG93" s="119">
        <v>84</v>
      </c>
      <c r="AH93" s="25">
        <v>874312.34523809527</v>
      </c>
      <c r="AI93" s="78">
        <v>48961475.712380946</v>
      </c>
      <c r="AJ93" s="78">
        <v>24480761.287619051</v>
      </c>
      <c r="AK93" s="27">
        <f t="shared" si="19"/>
        <v>874312.34523809527</v>
      </c>
      <c r="AL93" s="27">
        <f t="shared" si="24"/>
        <v>874312.34523809527</v>
      </c>
      <c r="AM93" s="27"/>
      <c r="AN93" s="27"/>
      <c r="AO93" s="27"/>
      <c r="AP93" s="27"/>
      <c r="AQ93" s="27"/>
      <c r="AR93" s="27"/>
      <c r="AS93" s="27"/>
      <c r="AT93" s="27"/>
      <c r="AU93" s="27"/>
      <c r="AV93" s="27"/>
      <c r="AW93" s="27">
        <f t="shared" si="13"/>
        <v>1748624.6904761905</v>
      </c>
      <c r="AX93" s="79">
        <f t="shared" si="14"/>
        <v>22732136.597142864</v>
      </c>
      <c r="AY93" s="79">
        <f t="shared" si="15"/>
        <v>50710100.40285714</v>
      </c>
      <c r="AZ93" s="25">
        <v>1</v>
      </c>
      <c r="BA93" s="62" t="s">
        <v>97</v>
      </c>
      <c r="BB93" s="66">
        <v>1</v>
      </c>
      <c r="BC93" s="66"/>
      <c r="BD93" s="66"/>
      <c r="BE93" s="67">
        <f t="shared" si="23"/>
        <v>874312.34523809527</v>
      </c>
      <c r="BF93" s="67">
        <f t="shared" si="22"/>
        <v>0</v>
      </c>
      <c r="BG93" s="67">
        <f t="shared" si="16"/>
        <v>0</v>
      </c>
      <c r="BH93" s="66"/>
      <c r="BI93" s="68" t="s">
        <v>84</v>
      </c>
      <c r="BJ93" s="68" t="s">
        <v>85</v>
      </c>
      <c r="BK93" s="68" t="s">
        <v>85</v>
      </c>
      <c r="BL93" s="29"/>
      <c r="BO93" s="35" t="s">
        <v>1804</v>
      </c>
      <c r="BQ93" s="1" t="e">
        <v>#N/A</v>
      </c>
    </row>
    <row r="94" spans="1:69" ht="15" hidden="1" customHeight="1">
      <c r="A94" s="1" t="s">
        <v>43</v>
      </c>
      <c r="C94" s="1" t="str">
        <f t="shared" si="17"/>
        <v>2904</v>
      </c>
      <c r="D94" s="1" t="str">
        <f t="shared" si="18"/>
        <v>1905</v>
      </c>
      <c r="E94" s="19" t="s">
        <v>48</v>
      </c>
      <c r="F94" s="62" t="s">
        <v>49</v>
      </c>
      <c r="G94" s="62">
        <v>2112</v>
      </c>
      <c r="H94" s="62" t="s">
        <v>318</v>
      </c>
      <c r="I94" s="62" t="s">
        <v>319</v>
      </c>
      <c r="J94" s="118">
        <v>1</v>
      </c>
      <c r="K94" s="119"/>
      <c r="L94" s="62" t="s">
        <v>77</v>
      </c>
      <c r="M94" s="120" t="s">
        <v>320</v>
      </c>
      <c r="N94" s="65">
        <v>43565</v>
      </c>
      <c r="O94" s="24">
        <v>138765.70000000001</v>
      </c>
      <c r="P94" s="24">
        <v>23251</v>
      </c>
      <c r="Q94" s="64">
        <v>3226441290.7000003</v>
      </c>
      <c r="R94" s="64">
        <v>321242595</v>
      </c>
      <c r="S94" s="64"/>
      <c r="T94" s="130">
        <v>2203385.2779999999</v>
      </c>
      <c r="U94" s="64" t="s">
        <v>321</v>
      </c>
      <c r="V94" s="121">
        <v>3549887271</v>
      </c>
      <c r="W94" s="122">
        <v>0</v>
      </c>
      <c r="X94" s="64">
        <v>3549887271</v>
      </c>
      <c r="Y94" s="121"/>
      <c r="Z94" s="121"/>
      <c r="AA94" s="121"/>
      <c r="AB94" s="121"/>
      <c r="AC94" s="64">
        <v>3549887271</v>
      </c>
      <c r="AD94" s="65">
        <v>43586</v>
      </c>
      <c r="AE94" s="65">
        <v>47236</v>
      </c>
      <c r="AF94" s="62">
        <v>10</v>
      </c>
      <c r="AG94" s="119">
        <v>120</v>
      </c>
      <c r="AH94" s="25">
        <v>29582393.925000001</v>
      </c>
      <c r="AI94" s="78">
        <v>1656614063.27</v>
      </c>
      <c r="AJ94" s="78">
        <v>1893273207.73</v>
      </c>
      <c r="AK94" s="27">
        <f t="shared" si="19"/>
        <v>29582393.925000001</v>
      </c>
      <c r="AL94" s="27">
        <f t="shared" si="24"/>
        <v>29582393.925000001</v>
      </c>
      <c r="AM94" s="27"/>
      <c r="AN94" s="27"/>
      <c r="AO94" s="27"/>
      <c r="AP94" s="27"/>
      <c r="AQ94" s="27"/>
      <c r="AR94" s="27"/>
      <c r="AS94" s="27"/>
      <c r="AT94" s="27"/>
      <c r="AU94" s="27"/>
      <c r="AV94" s="27"/>
      <c r="AW94" s="27">
        <f>+SUM(AK94:AV94)</f>
        <v>59164787.850000001</v>
      </c>
      <c r="AX94" s="79">
        <f t="shared" si="14"/>
        <v>1834108419.8800001</v>
      </c>
      <c r="AY94" s="79">
        <f t="shared" si="15"/>
        <v>1715778851.1199999</v>
      </c>
      <c r="AZ94" s="25">
        <v>1</v>
      </c>
      <c r="BA94" s="62" t="s">
        <v>79</v>
      </c>
      <c r="BB94" s="66">
        <v>1</v>
      </c>
      <c r="BC94" s="66"/>
      <c r="BD94" s="66"/>
      <c r="BE94" s="67">
        <f t="shared" si="23"/>
        <v>29582393.925000001</v>
      </c>
      <c r="BF94" s="67">
        <f t="shared" si="22"/>
        <v>0</v>
      </c>
      <c r="BG94" s="67">
        <f t="shared" si="16"/>
        <v>0</v>
      </c>
      <c r="BH94" s="66"/>
      <c r="BI94" s="68" t="s">
        <v>146</v>
      </c>
      <c r="BJ94" s="68" t="s">
        <v>85</v>
      </c>
      <c r="BK94" s="68" t="s">
        <v>85</v>
      </c>
      <c r="BL94" s="29"/>
      <c r="BO94" s="35" t="s">
        <v>1804</v>
      </c>
      <c r="BQ94" s="1" t="e">
        <v>#N/A</v>
      </c>
    </row>
    <row r="95" spans="1:69" ht="15" hidden="1" customHeight="1">
      <c r="A95" s="1" t="s">
        <v>43</v>
      </c>
      <c r="C95" s="1" t="str">
        <f t="shared" si="17"/>
        <v>2604</v>
      </c>
      <c r="D95" s="1" t="str">
        <f t="shared" si="18"/>
        <v>1905</v>
      </c>
      <c r="E95" s="19" t="s">
        <v>48</v>
      </c>
      <c r="F95" s="62" t="s">
        <v>49</v>
      </c>
      <c r="G95" s="62">
        <v>2112</v>
      </c>
      <c r="H95" s="62" t="s">
        <v>322</v>
      </c>
      <c r="I95" s="62" t="s">
        <v>323</v>
      </c>
      <c r="J95" s="118">
        <v>2</v>
      </c>
      <c r="K95" s="119"/>
      <c r="L95" s="62" t="s">
        <v>77</v>
      </c>
      <c r="M95" s="120" t="s">
        <v>320</v>
      </c>
      <c r="N95" s="65">
        <v>43565</v>
      </c>
      <c r="O95" s="24">
        <v>12000</v>
      </c>
      <c r="P95" s="24">
        <v>23251</v>
      </c>
      <c r="Q95" s="64">
        <v>279012000</v>
      </c>
      <c r="R95" s="64">
        <v>0</v>
      </c>
      <c r="S95" s="64"/>
      <c r="T95" s="130">
        <v>190541.49</v>
      </c>
      <c r="U95" s="64" t="s">
        <v>321</v>
      </c>
      <c r="V95" s="121">
        <v>279202541.49000001</v>
      </c>
      <c r="W95" s="122">
        <v>-9.9999904632568359E-3</v>
      </c>
      <c r="X95" s="64">
        <v>279202541.5</v>
      </c>
      <c r="Y95" s="121"/>
      <c r="Z95" s="121"/>
      <c r="AA95" s="121"/>
      <c r="AB95" s="121"/>
      <c r="AC95" s="64">
        <v>279202541.48000002</v>
      </c>
      <c r="AD95" s="65">
        <v>43586</v>
      </c>
      <c r="AE95" s="65">
        <v>46141</v>
      </c>
      <c r="AF95" s="62">
        <v>7</v>
      </c>
      <c r="AG95" s="119">
        <v>84</v>
      </c>
      <c r="AH95" s="25">
        <v>3323839.7795238099</v>
      </c>
      <c r="AI95" s="78">
        <v>186135037.78523812</v>
      </c>
      <c r="AJ95" s="78">
        <v>93067503.694761902</v>
      </c>
      <c r="AK95" s="27">
        <f t="shared" si="19"/>
        <v>3323839.7795238099</v>
      </c>
      <c r="AL95" s="27">
        <f t="shared" si="24"/>
        <v>3323839.7795238099</v>
      </c>
      <c r="AM95" s="27"/>
      <c r="AN95" s="27"/>
      <c r="AO95" s="27"/>
      <c r="AP95" s="27"/>
      <c r="AQ95" s="27"/>
      <c r="AR95" s="27"/>
      <c r="AS95" s="27"/>
      <c r="AT95" s="27"/>
      <c r="AU95" s="27"/>
      <c r="AV95" s="27"/>
      <c r="AW95" s="27">
        <f t="shared" si="13"/>
        <v>6647679.5590476198</v>
      </c>
      <c r="AX95" s="79">
        <f t="shared" si="14"/>
        <v>86419824.135714278</v>
      </c>
      <c r="AY95" s="79">
        <f t="shared" si="15"/>
        <v>192782717.34428573</v>
      </c>
      <c r="AZ95" s="25">
        <v>2</v>
      </c>
      <c r="BA95" s="62" t="s">
        <v>97</v>
      </c>
      <c r="BB95" s="66">
        <v>1</v>
      </c>
      <c r="BC95" s="66"/>
      <c r="BD95" s="66"/>
      <c r="BE95" s="67">
        <f t="shared" si="23"/>
        <v>3323839.7795238099</v>
      </c>
      <c r="BF95" s="67">
        <f t="shared" si="22"/>
        <v>0</v>
      </c>
      <c r="BG95" s="67">
        <f t="shared" si="16"/>
        <v>0</v>
      </c>
      <c r="BH95" s="66"/>
      <c r="BI95" s="68" t="s">
        <v>80</v>
      </c>
      <c r="BJ95" s="68" t="s">
        <v>117</v>
      </c>
      <c r="BK95" s="68" t="s">
        <v>117</v>
      </c>
      <c r="BL95" s="29"/>
      <c r="BO95" s="35" t="s">
        <v>1805</v>
      </c>
      <c r="BQ95" s="1">
        <v>0</v>
      </c>
    </row>
    <row r="96" spans="1:69" ht="15" hidden="1" customHeight="1">
      <c r="A96" s="1" t="s">
        <v>43</v>
      </c>
      <c r="C96" s="1" t="str">
        <f t="shared" si="17"/>
        <v>2604</v>
      </c>
      <c r="D96" s="1" t="str">
        <f t="shared" si="18"/>
        <v>1905</v>
      </c>
      <c r="E96" s="19" t="s">
        <v>48</v>
      </c>
      <c r="F96" s="62" t="s">
        <v>49</v>
      </c>
      <c r="G96" s="62">
        <v>2112</v>
      </c>
      <c r="H96" s="62" t="s">
        <v>324</v>
      </c>
      <c r="I96" s="62" t="s">
        <v>325</v>
      </c>
      <c r="J96" s="118">
        <v>1</v>
      </c>
      <c r="K96" s="119"/>
      <c r="L96" s="62" t="s">
        <v>77</v>
      </c>
      <c r="M96" s="120" t="s">
        <v>320</v>
      </c>
      <c r="N96" s="65">
        <v>43565</v>
      </c>
      <c r="O96" s="24">
        <v>34927.42</v>
      </c>
      <c r="P96" s="24">
        <v>23251</v>
      </c>
      <c r="Q96" s="64">
        <v>812097442.41999996</v>
      </c>
      <c r="R96" s="64">
        <v>40428489</v>
      </c>
      <c r="S96" s="64"/>
      <c r="T96" s="130">
        <v>554593.55500000005</v>
      </c>
      <c r="U96" s="64" t="s">
        <v>321</v>
      </c>
      <c r="V96" s="121">
        <v>853080525</v>
      </c>
      <c r="W96" s="122">
        <v>0</v>
      </c>
      <c r="X96" s="64">
        <v>853080525</v>
      </c>
      <c r="Y96" s="121"/>
      <c r="Z96" s="121"/>
      <c r="AA96" s="121"/>
      <c r="AB96" s="121"/>
      <c r="AC96" s="64">
        <v>853080525</v>
      </c>
      <c r="AD96" s="65">
        <v>43586</v>
      </c>
      <c r="AE96" s="65">
        <v>46141</v>
      </c>
      <c r="AF96" s="62">
        <v>7</v>
      </c>
      <c r="AG96" s="119">
        <v>84</v>
      </c>
      <c r="AH96" s="25">
        <v>10155720.535714285</v>
      </c>
      <c r="AI96" s="78">
        <v>568720371.38714278</v>
      </c>
      <c r="AJ96" s="78">
        <v>284360153.61285722</v>
      </c>
      <c r="AK96" s="27">
        <f t="shared" si="19"/>
        <v>10155720.535714285</v>
      </c>
      <c r="AL96" s="27">
        <f t="shared" si="24"/>
        <v>10155720.535714285</v>
      </c>
      <c r="AM96" s="27"/>
      <c r="AN96" s="27"/>
      <c r="AO96" s="27"/>
      <c r="AP96" s="27"/>
      <c r="AQ96" s="27"/>
      <c r="AR96" s="27"/>
      <c r="AS96" s="27"/>
      <c r="AT96" s="27"/>
      <c r="AU96" s="27"/>
      <c r="AV96" s="27"/>
      <c r="AW96" s="27">
        <f t="shared" si="13"/>
        <v>20311441.071428571</v>
      </c>
      <c r="AX96" s="79">
        <f t="shared" si="14"/>
        <v>264048712.54142866</v>
      </c>
      <c r="AY96" s="79">
        <f t="shared" si="15"/>
        <v>589031812.45857131</v>
      </c>
      <c r="AZ96" s="25">
        <v>1</v>
      </c>
      <c r="BA96" s="62" t="s">
        <v>97</v>
      </c>
      <c r="BB96" s="66">
        <v>1</v>
      </c>
      <c r="BC96" s="66"/>
      <c r="BD96" s="66"/>
      <c r="BE96" s="67">
        <f t="shared" si="23"/>
        <v>10155720.535714285</v>
      </c>
      <c r="BF96" s="67">
        <f t="shared" si="22"/>
        <v>0</v>
      </c>
      <c r="BG96" s="67">
        <f t="shared" si="16"/>
        <v>0</v>
      </c>
      <c r="BH96" s="66"/>
      <c r="BI96" s="68" t="s">
        <v>326</v>
      </c>
      <c r="BJ96" s="68" t="s">
        <v>117</v>
      </c>
      <c r="BK96" s="68" t="s">
        <v>117</v>
      </c>
      <c r="BL96" s="29"/>
      <c r="BM96" s="1" t="s">
        <v>1887</v>
      </c>
      <c r="BO96" s="35" t="s">
        <v>1807</v>
      </c>
      <c r="BQ96" s="1" t="e">
        <v>#N/A</v>
      </c>
    </row>
    <row r="97" spans="1:69" ht="15" hidden="1" customHeight="1">
      <c r="A97" s="1" t="s">
        <v>43</v>
      </c>
      <c r="C97" s="1" t="str">
        <f t="shared" si="17"/>
        <v>2406</v>
      </c>
      <c r="D97" s="1" t="str">
        <f t="shared" si="18"/>
        <v>1907</v>
      </c>
      <c r="E97" s="19" t="s">
        <v>48</v>
      </c>
      <c r="F97" s="62" t="s">
        <v>49</v>
      </c>
      <c r="G97" s="62">
        <v>2112</v>
      </c>
      <c r="H97" s="62" t="s">
        <v>327</v>
      </c>
      <c r="I97" s="62" t="s">
        <v>328</v>
      </c>
      <c r="J97" s="118">
        <v>1</v>
      </c>
      <c r="K97" s="119"/>
      <c r="L97" s="62" t="s">
        <v>77</v>
      </c>
      <c r="M97" s="120" t="s">
        <v>320</v>
      </c>
      <c r="N97" s="65">
        <v>43565</v>
      </c>
      <c r="O97" s="24">
        <v>3000</v>
      </c>
      <c r="P97" s="24">
        <v>23251</v>
      </c>
      <c r="Q97" s="64">
        <v>69753000</v>
      </c>
      <c r="R97" s="64">
        <v>3472500</v>
      </c>
      <c r="S97" s="64"/>
      <c r="T97" s="130">
        <v>47635.373</v>
      </c>
      <c r="U97" s="64" t="s">
        <v>321</v>
      </c>
      <c r="V97" s="121">
        <v>73273135</v>
      </c>
      <c r="W97" s="122">
        <v>0</v>
      </c>
      <c r="X97" s="64">
        <v>73273135</v>
      </c>
      <c r="Y97" s="121"/>
      <c r="Z97" s="121"/>
      <c r="AA97" s="121"/>
      <c r="AB97" s="121"/>
      <c r="AC97" s="64">
        <v>73273135</v>
      </c>
      <c r="AD97" s="65">
        <v>43647</v>
      </c>
      <c r="AE97" s="65">
        <v>45472</v>
      </c>
      <c r="AF97" s="62">
        <v>5</v>
      </c>
      <c r="AG97" s="119">
        <v>60</v>
      </c>
      <c r="AH97" s="25">
        <v>1221218.9166666667</v>
      </c>
      <c r="AI97" s="78">
        <v>65945824.796666667</v>
      </c>
      <c r="AJ97" s="78">
        <v>7327310.2033333331</v>
      </c>
      <c r="AK97" s="27">
        <f t="shared" si="19"/>
        <v>1221218.9166666667</v>
      </c>
      <c r="AL97" s="27">
        <f t="shared" si="24"/>
        <v>1221218.9166666667</v>
      </c>
      <c r="AM97" s="27"/>
      <c r="AN97" s="27"/>
      <c r="AO97" s="27"/>
      <c r="AP97" s="27"/>
      <c r="AQ97" s="27"/>
      <c r="AR97" s="27"/>
      <c r="AS97" s="27"/>
      <c r="AT97" s="27"/>
      <c r="AU97" s="27"/>
      <c r="AV97" s="27"/>
      <c r="AW97" s="27">
        <f t="shared" si="13"/>
        <v>2442437.8333333335</v>
      </c>
      <c r="AX97" s="79">
        <f t="shared" si="14"/>
        <v>4884872.3699999992</v>
      </c>
      <c r="AY97" s="79">
        <f t="shared" si="15"/>
        <v>68388262.629999995</v>
      </c>
      <c r="AZ97" s="25">
        <v>1</v>
      </c>
      <c r="BA97" s="62" t="s">
        <v>97</v>
      </c>
      <c r="BB97" s="66">
        <v>1</v>
      </c>
      <c r="BC97" s="66"/>
      <c r="BD97" s="66"/>
      <c r="BE97" s="67">
        <f t="shared" si="23"/>
        <v>1221218.9166666667</v>
      </c>
      <c r="BF97" s="67">
        <f t="shared" si="22"/>
        <v>0</v>
      </c>
      <c r="BG97" s="67">
        <f t="shared" si="16"/>
        <v>0</v>
      </c>
      <c r="BH97" s="66" t="s">
        <v>1707</v>
      </c>
      <c r="BI97" s="68" t="s">
        <v>80</v>
      </c>
      <c r="BJ97" s="68" t="s">
        <v>117</v>
      </c>
      <c r="BK97" s="68" t="s">
        <v>117</v>
      </c>
      <c r="BL97" s="29"/>
      <c r="BM97" s="1" t="s">
        <v>1887</v>
      </c>
      <c r="BO97" s="35" t="s">
        <v>1807</v>
      </c>
      <c r="BQ97" s="1" t="e">
        <v>#N/A</v>
      </c>
    </row>
    <row r="98" spans="1:69" ht="15" hidden="1" customHeight="1">
      <c r="A98" s="1" t="s">
        <v>43</v>
      </c>
      <c r="C98" s="1" t="str">
        <f t="shared" si="17"/>
        <v>2604</v>
      </c>
      <c r="D98" s="1" t="str">
        <f t="shared" si="18"/>
        <v>1905</v>
      </c>
      <c r="E98" s="19" t="s">
        <v>48</v>
      </c>
      <c r="F98" s="62" t="s">
        <v>49</v>
      </c>
      <c r="G98" s="62">
        <v>2112</v>
      </c>
      <c r="H98" s="62" t="s">
        <v>329</v>
      </c>
      <c r="I98" s="62" t="s">
        <v>330</v>
      </c>
      <c r="J98" s="118">
        <v>1</v>
      </c>
      <c r="K98" s="119"/>
      <c r="L98" s="62" t="s">
        <v>77</v>
      </c>
      <c r="M98" s="120" t="s">
        <v>331</v>
      </c>
      <c r="N98" s="65">
        <v>43566</v>
      </c>
      <c r="O98" s="24">
        <v>196348.74</v>
      </c>
      <c r="P98" s="24">
        <v>23250</v>
      </c>
      <c r="Q98" s="64">
        <v>4565108205</v>
      </c>
      <c r="R98" s="64">
        <v>136364195</v>
      </c>
      <c r="S98" s="64"/>
      <c r="T98" s="130">
        <v>75716352.336999997</v>
      </c>
      <c r="U98" s="64" t="s">
        <v>332</v>
      </c>
      <c r="V98" s="121">
        <v>4777188752</v>
      </c>
      <c r="W98" s="122">
        <v>0</v>
      </c>
      <c r="X98" s="64">
        <v>4777188752</v>
      </c>
      <c r="Y98" s="121"/>
      <c r="Z98" s="121"/>
      <c r="AA98" s="121"/>
      <c r="AB98" s="121"/>
      <c r="AC98" s="64">
        <v>4777188752</v>
      </c>
      <c r="AD98" s="65">
        <v>43586</v>
      </c>
      <c r="AE98" s="65">
        <v>46141</v>
      </c>
      <c r="AF98" s="62">
        <v>7</v>
      </c>
      <c r="AG98" s="119">
        <v>84</v>
      </c>
      <c r="AH98" s="25">
        <v>56871294.666666664</v>
      </c>
      <c r="AI98" s="78">
        <v>3184792516.3266664</v>
      </c>
      <c r="AJ98" s="78">
        <v>1592396235.6733336</v>
      </c>
      <c r="AK98" s="27">
        <f t="shared" si="19"/>
        <v>56871294.666666664</v>
      </c>
      <c r="AL98" s="27">
        <f t="shared" si="24"/>
        <v>56871294.666666664</v>
      </c>
      <c r="AM98" s="27"/>
      <c r="AN98" s="27"/>
      <c r="AO98" s="27"/>
      <c r="AP98" s="27"/>
      <c r="AQ98" s="27"/>
      <c r="AR98" s="27"/>
      <c r="AS98" s="27"/>
      <c r="AT98" s="27"/>
      <c r="AU98" s="27"/>
      <c r="AV98" s="27"/>
      <c r="AW98" s="27">
        <f t="shared" si="13"/>
        <v>113742589.33333333</v>
      </c>
      <c r="AX98" s="79">
        <f t="shared" si="14"/>
        <v>1478653646.3400004</v>
      </c>
      <c r="AY98" s="79">
        <f t="shared" si="15"/>
        <v>3298535105.6599998</v>
      </c>
      <c r="AZ98" s="25">
        <v>1</v>
      </c>
      <c r="BA98" s="62" t="s">
        <v>79</v>
      </c>
      <c r="BB98" s="66">
        <v>1</v>
      </c>
      <c r="BC98" s="66"/>
      <c r="BD98" s="66"/>
      <c r="BE98" s="67">
        <f t="shared" si="23"/>
        <v>56871294.666666664</v>
      </c>
      <c r="BF98" s="67">
        <f t="shared" si="22"/>
        <v>0</v>
      </c>
      <c r="BG98" s="67">
        <f t="shared" si="16"/>
        <v>0</v>
      </c>
      <c r="BH98" s="66"/>
      <c r="BI98" s="68" t="s">
        <v>146</v>
      </c>
      <c r="BJ98" s="68" t="s">
        <v>117</v>
      </c>
      <c r="BK98" s="68" t="s">
        <v>117</v>
      </c>
      <c r="BL98" s="29"/>
      <c r="BO98" s="35" t="s">
        <v>1801</v>
      </c>
      <c r="BQ98" s="1" t="e">
        <v>#N/A</v>
      </c>
    </row>
    <row r="99" spans="1:69" ht="15" hidden="1" customHeight="1">
      <c r="A99" s="1" t="s">
        <v>43</v>
      </c>
      <c r="C99" s="1" t="str">
        <f t="shared" si="17"/>
        <v>2904</v>
      </c>
      <c r="D99" s="1" t="str">
        <f t="shared" si="18"/>
        <v>1905</v>
      </c>
      <c r="E99" s="19" t="s">
        <v>48</v>
      </c>
      <c r="F99" s="62" t="s">
        <v>49</v>
      </c>
      <c r="G99" s="62">
        <v>2112</v>
      </c>
      <c r="H99" s="62" t="s">
        <v>333</v>
      </c>
      <c r="I99" s="62" t="s">
        <v>334</v>
      </c>
      <c r="J99" s="118">
        <v>1</v>
      </c>
      <c r="K99" s="119"/>
      <c r="L99" s="62" t="s">
        <v>77</v>
      </c>
      <c r="M99" s="120" t="s">
        <v>331</v>
      </c>
      <c r="N99" s="65">
        <v>43566</v>
      </c>
      <c r="O99" s="24">
        <v>280363.34000000003</v>
      </c>
      <c r="P99" s="24">
        <v>23250</v>
      </c>
      <c r="Q99" s="64">
        <v>6518447655.000001</v>
      </c>
      <c r="R99" s="64"/>
      <c r="S99" s="64"/>
      <c r="T99" s="130">
        <v>108114212.663</v>
      </c>
      <c r="U99" s="64" t="s">
        <v>332</v>
      </c>
      <c r="V99" s="121">
        <v>6626561868</v>
      </c>
      <c r="W99" s="122">
        <v>0</v>
      </c>
      <c r="X99" s="64">
        <v>6626561868</v>
      </c>
      <c r="Y99" s="121"/>
      <c r="Z99" s="121"/>
      <c r="AA99" s="121"/>
      <c r="AB99" s="121"/>
      <c r="AC99" s="64">
        <v>6626561868</v>
      </c>
      <c r="AD99" s="65">
        <v>43586</v>
      </c>
      <c r="AE99" s="65">
        <v>47236</v>
      </c>
      <c r="AF99" s="62">
        <v>10</v>
      </c>
      <c r="AG99" s="119">
        <v>120</v>
      </c>
      <c r="AH99" s="25">
        <v>55221348.899999999</v>
      </c>
      <c r="AI99" s="78">
        <v>3092395543.3400002</v>
      </c>
      <c r="AJ99" s="78">
        <v>3534166324.6599998</v>
      </c>
      <c r="AK99" s="27">
        <f t="shared" si="19"/>
        <v>55221348.899999999</v>
      </c>
      <c r="AL99" s="27">
        <f t="shared" si="24"/>
        <v>55221348.899999999</v>
      </c>
      <c r="AM99" s="27"/>
      <c r="AN99" s="27"/>
      <c r="AO99" s="27"/>
      <c r="AP99" s="27"/>
      <c r="AQ99" s="27"/>
      <c r="AR99" s="27"/>
      <c r="AS99" s="27"/>
      <c r="AT99" s="27"/>
      <c r="AU99" s="27"/>
      <c r="AV99" s="27"/>
      <c r="AW99" s="27">
        <f t="shared" si="13"/>
        <v>110442697.8</v>
      </c>
      <c r="AX99" s="79">
        <f t="shared" si="14"/>
        <v>3423723626.8599997</v>
      </c>
      <c r="AY99" s="79">
        <f t="shared" si="15"/>
        <v>3202838241.1400003</v>
      </c>
      <c r="AZ99" s="25">
        <v>1</v>
      </c>
      <c r="BA99" s="62" t="s">
        <v>97</v>
      </c>
      <c r="BB99" s="66">
        <v>1</v>
      </c>
      <c r="BC99" s="66"/>
      <c r="BD99" s="66"/>
      <c r="BE99" s="67">
        <f t="shared" si="23"/>
        <v>55221348.899999999</v>
      </c>
      <c r="BF99" s="67">
        <f t="shared" si="22"/>
        <v>0</v>
      </c>
      <c r="BG99" s="67">
        <f t="shared" si="16"/>
        <v>0</v>
      </c>
      <c r="BH99" s="66"/>
      <c r="BI99" s="68" t="s">
        <v>146</v>
      </c>
      <c r="BJ99" s="68" t="s">
        <v>117</v>
      </c>
      <c r="BK99" s="68" t="s">
        <v>117</v>
      </c>
      <c r="BL99" s="29"/>
      <c r="BO99" s="35" t="s">
        <v>1801</v>
      </c>
      <c r="BQ99" s="1" t="e">
        <v>#N/A</v>
      </c>
    </row>
    <row r="100" spans="1:69" ht="15" hidden="1" customHeight="1">
      <c r="C100" s="1" t="str">
        <f>+RIGHT(YEAR(AE100),2)&amp;IF(LEN(MONTH(AE100))=2,MONTH(AE100),"0"&amp;MONTH(AE100))</f>
        <v>2904</v>
      </c>
      <c r="D100" s="1" t="str">
        <f>+RIGHT(YEAR(AD100),2)&amp;IF(LEN(MONTH(AD100))=2,MONTH(AD100),"0"&amp;MONTH(AD100))</f>
        <v>2402</v>
      </c>
      <c r="E100" s="19" t="s">
        <v>48</v>
      </c>
      <c r="F100" s="62" t="s">
        <v>1896</v>
      </c>
      <c r="G100" s="62">
        <v>2112</v>
      </c>
      <c r="H100" s="62" t="s">
        <v>1990</v>
      </c>
      <c r="I100" s="62" t="s">
        <v>336</v>
      </c>
      <c r="J100" s="118">
        <v>1</v>
      </c>
      <c r="K100" s="119"/>
      <c r="L100" s="62" t="s">
        <v>77</v>
      </c>
      <c r="M100" s="120" t="s">
        <v>337</v>
      </c>
      <c r="N100" s="65">
        <v>43567</v>
      </c>
      <c r="O100" s="24">
        <f>$O$104/4</f>
        <v>25368.45</v>
      </c>
      <c r="P100" s="24">
        <v>23251</v>
      </c>
      <c r="Q100" s="64">
        <f>P100*O100</f>
        <v>589841830.95000005</v>
      </c>
      <c r="R100" s="64"/>
      <c r="S100" s="64"/>
      <c r="T100" s="130">
        <f>ROUND($T$104/4,0)</f>
        <v>4439495</v>
      </c>
      <c r="U100" s="64" t="s">
        <v>338</v>
      </c>
      <c r="V100" s="121">
        <f>Q100+T100</f>
        <v>594281325.95000005</v>
      </c>
      <c r="W100" s="122"/>
      <c r="X100" s="64">
        <f>V100</f>
        <v>594281325.95000005</v>
      </c>
      <c r="Y100" s="121"/>
      <c r="Z100" s="121"/>
      <c r="AA100" s="121"/>
      <c r="AB100" s="121"/>
      <c r="AC100" s="64">
        <f>V100-Y100</f>
        <v>594281325.95000005</v>
      </c>
      <c r="AD100" s="65">
        <v>45323</v>
      </c>
      <c r="AE100" s="65">
        <v>47236</v>
      </c>
      <c r="AF100" s="62"/>
      <c r="AG100" s="119">
        <v>63</v>
      </c>
      <c r="AH100" s="25">
        <f>ROUND($AH$104/4,0)</f>
        <v>4952344</v>
      </c>
      <c r="AI100" s="116">
        <v>277331290.76333332</v>
      </c>
      <c r="AJ100" s="115">
        <v>316950035.23666668</v>
      </c>
      <c r="AK100" s="25">
        <f>AH100</f>
        <v>4952344</v>
      </c>
      <c r="AL100" s="27">
        <f t="shared" si="24"/>
        <v>4952344</v>
      </c>
      <c r="AM100" s="27"/>
      <c r="AN100" s="27"/>
      <c r="AO100" s="27"/>
      <c r="AP100" s="27"/>
      <c r="AQ100" s="27"/>
      <c r="AR100" s="27"/>
      <c r="AS100" s="27"/>
      <c r="AT100" s="27"/>
      <c r="AU100" s="27"/>
      <c r="AV100" s="27"/>
      <c r="AW100" s="27">
        <f t="shared" si="13"/>
        <v>9904688</v>
      </c>
      <c r="AX100" s="79">
        <f t="shared" si="14"/>
        <v>307045347.18666673</v>
      </c>
      <c r="AY100" s="79">
        <f t="shared" si="15"/>
        <v>287235978.76333332</v>
      </c>
      <c r="AZ100" s="25">
        <f>J100-Z100</f>
        <v>1</v>
      </c>
      <c r="BA100" s="62"/>
      <c r="BB100" s="66">
        <v>1</v>
      </c>
      <c r="BC100" s="66"/>
      <c r="BD100" s="66"/>
      <c r="BE100" s="67">
        <f t="shared" si="23"/>
        <v>4952344</v>
      </c>
      <c r="BF100" s="67">
        <f t="shared" si="22"/>
        <v>0</v>
      </c>
      <c r="BG100" s="67">
        <f t="shared" si="16"/>
        <v>0</v>
      </c>
      <c r="BH100" s="66"/>
      <c r="BI100" s="68"/>
      <c r="BJ100" s="114" t="s">
        <v>1980</v>
      </c>
      <c r="BK100" s="114" t="s">
        <v>1980</v>
      </c>
      <c r="BL100" s="29"/>
      <c r="BQ100" s="1" t="s">
        <v>1980</v>
      </c>
    </row>
    <row r="101" spans="1:69" ht="15" hidden="1" customHeight="1">
      <c r="C101" s="1" t="str">
        <f>+RIGHT(YEAR(AE101),2)&amp;IF(LEN(MONTH(AE101))=2,MONTH(AE101),"0"&amp;MONTH(AE101))</f>
        <v>2904</v>
      </c>
      <c r="D101" s="1" t="str">
        <f>+RIGHT(YEAR(AD101),2)&amp;IF(LEN(MONTH(AD101))=2,MONTH(AD101),"0"&amp;MONTH(AD101))</f>
        <v>2402</v>
      </c>
      <c r="E101" s="19" t="s">
        <v>48</v>
      </c>
      <c r="F101" s="62" t="s">
        <v>1896</v>
      </c>
      <c r="G101" s="62">
        <v>2112</v>
      </c>
      <c r="H101" s="62" t="s">
        <v>1991</v>
      </c>
      <c r="I101" s="62" t="s">
        <v>336</v>
      </c>
      <c r="J101" s="118">
        <v>1</v>
      </c>
      <c r="K101" s="119"/>
      <c r="L101" s="62" t="s">
        <v>77</v>
      </c>
      <c r="M101" s="120" t="s">
        <v>337</v>
      </c>
      <c r="N101" s="65">
        <v>43567</v>
      </c>
      <c r="O101" s="24">
        <f>$O$104/4</f>
        <v>25368.45</v>
      </c>
      <c r="P101" s="24">
        <v>23251</v>
      </c>
      <c r="Q101" s="64">
        <f>P101*O101</f>
        <v>589841830.95000005</v>
      </c>
      <c r="R101" s="64"/>
      <c r="S101" s="64"/>
      <c r="T101" s="130">
        <f>ROUND($T$104/4,0)</f>
        <v>4439495</v>
      </c>
      <c r="U101" s="64" t="s">
        <v>338</v>
      </c>
      <c r="V101" s="121">
        <f>Q101+T101</f>
        <v>594281325.95000005</v>
      </c>
      <c r="W101" s="122"/>
      <c r="X101" s="64">
        <f>V101</f>
        <v>594281325.95000005</v>
      </c>
      <c r="Y101" s="121"/>
      <c r="Z101" s="121"/>
      <c r="AA101" s="121"/>
      <c r="AB101" s="121"/>
      <c r="AC101" s="64">
        <f>V101-Y101</f>
        <v>594281325.95000005</v>
      </c>
      <c r="AD101" s="65">
        <v>45323</v>
      </c>
      <c r="AE101" s="65">
        <v>47236</v>
      </c>
      <c r="AF101" s="62"/>
      <c r="AG101" s="119">
        <v>63</v>
      </c>
      <c r="AH101" s="25">
        <f>ROUND($AH$104/4,0)</f>
        <v>4952344</v>
      </c>
      <c r="AI101" s="116">
        <v>277331290.76333332</v>
      </c>
      <c r="AJ101" s="115">
        <v>316950035.23666668</v>
      </c>
      <c r="AK101" s="25">
        <f>AH101</f>
        <v>4952344</v>
      </c>
      <c r="AL101" s="27">
        <f t="shared" si="24"/>
        <v>4952344</v>
      </c>
      <c r="AM101" s="27"/>
      <c r="AN101" s="27"/>
      <c r="AO101" s="27"/>
      <c r="AP101" s="27"/>
      <c r="AQ101" s="27"/>
      <c r="AR101" s="27"/>
      <c r="AS101" s="27"/>
      <c r="AT101" s="27"/>
      <c r="AU101" s="27"/>
      <c r="AV101" s="27"/>
      <c r="AW101" s="27">
        <f t="shared" si="13"/>
        <v>9904688</v>
      </c>
      <c r="AX101" s="79">
        <f t="shared" si="14"/>
        <v>307045347.18666673</v>
      </c>
      <c r="AY101" s="79">
        <f t="shared" si="15"/>
        <v>287235978.76333332</v>
      </c>
      <c r="AZ101" s="25">
        <f>J101-Z101</f>
        <v>1</v>
      </c>
      <c r="BA101" s="62"/>
      <c r="BB101" s="66">
        <v>1</v>
      </c>
      <c r="BC101" s="66"/>
      <c r="BD101" s="66"/>
      <c r="BE101" s="67">
        <f t="shared" si="23"/>
        <v>4952344</v>
      </c>
      <c r="BF101" s="67">
        <f t="shared" si="22"/>
        <v>0</v>
      </c>
      <c r="BG101" s="67">
        <f t="shared" si="16"/>
        <v>0</v>
      </c>
      <c r="BH101" s="66"/>
      <c r="BI101" s="68"/>
      <c r="BJ101" s="114" t="s">
        <v>1980</v>
      </c>
      <c r="BK101" s="114" t="s">
        <v>1980</v>
      </c>
      <c r="BL101" s="29"/>
      <c r="BQ101" s="1" t="s">
        <v>1980</v>
      </c>
    </row>
    <row r="102" spans="1:69" ht="15" hidden="1" customHeight="1">
      <c r="C102" s="1" t="str">
        <f>+RIGHT(YEAR(AE102),2)&amp;IF(LEN(MONTH(AE102))=2,MONTH(AE102),"0"&amp;MONTH(AE102))</f>
        <v>2904</v>
      </c>
      <c r="D102" s="1" t="str">
        <f>+RIGHT(YEAR(AD102),2)&amp;IF(LEN(MONTH(AD102))=2,MONTH(AD102),"0"&amp;MONTH(AD102))</f>
        <v>2402</v>
      </c>
      <c r="E102" s="19" t="s">
        <v>48</v>
      </c>
      <c r="F102" s="62" t="s">
        <v>1896</v>
      </c>
      <c r="G102" s="62">
        <v>2112</v>
      </c>
      <c r="H102" s="62" t="s">
        <v>1992</v>
      </c>
      <c r="I102" s="62" t="s">
        <v>336</v>
      </c>
      <c r="J102" s="118">
        <v>1</v>
      </c>
      <c r="K102" s="119"/>
      <c r="L102" s="62" t="s">
        <v>77</v>
      </c>
      <c r="M102" s="120" t="s">
        <v>337</v>
      </c>
      <c r="N102" s="65">
        <v>43567</v>
      </c>
      <c r="O102" s="24">
        <f>$O$104/4</f>
        <v>25368.45</v>
      </c>
      <c r="P102" s="24">
        <v>23251</v>
      </c>
      <c r="Q102" s="64">
        <f>P102*O102</f>
        <v>589841830.95000005</v>
      </c>
      <c r="R102" s="64"/>
      <c r="S102" s="64"/>
      <c r="T102" s="130">
        <f>ROUND($T$104/4,0)</f>
        <v>4439495</v>
      </c>
      <c r="U102" s="64" t="s">
        <v>338</v>
      </c>
      <c r="V102" s="121">
        <f>Q102+T102</f>
        <v>594281325.95000005</v>
      </c>
      <c r="W102" s="122"/>
      <c r="X102" s="64">
        <f>V102</f>
        <v>594281325.95000005</v>
      </c>
      <c r="Y102" s="121"/>
      <c r="Z102" s="121"/>
      <c r="AA102" s="121"/>
      <c r="AB102" s="121"/>
      <c r="AC102" s="64">
        <f>V102-Y102</f>
        <v>594281325.95000005</v>
      </c>
      <c r="AD102" s="65">
        <v>45323</v>
      </c>
      <c r="AE102" s="65">
        <v>47236</v>
      </c>
      <c r="AF102" s="62"/>
      <c r="AG102" s="119">
        <v>63</v>
      </c>
      <c r="AH102" s="25">
        <f>ROUND($AH$104/4,0)</f>
        <v>4952344</v>
      </c>
      <c r="AI102" s="116">
        <v>277331290.76333332</v>
      </c>
      <c r="AJ102" s="115">
        <v>316950035.23666668</v>
      </c>
      <c r="AK102" s="25">
        <f>AH102</f>
        <v>4952344</v>
      </c>
      <c r="AL102" s="27">
        <f t="shared" si="24"/>
        <v>4952344</v>
      </c>
      <c r="AM102" s="27"/>
      <c r="AN102" s="27"/>
      <c r="AO102" s="27"/>
      <c r="AP102" s="27"/>
      <c r="AQ102" s="27"/>
      <c r="AR102" s="27"/>
      <c r="AS102" s="27"/>
      <c r="AT102" s="27"/>
      <c r="AU102" s="27"/>
      <c r="AV102" s="27"/>
      <c r="AW102" s="27">
        <f t="shared" si="13"/>
        <v>9904688</v>
      </c>
      <c r="AX102" s="79">
        <f t="shared" si="14"/>
        <v>307045347.18666673</v>
      </c>
      <c r="AY102" s="79">
        <f t="shared" si="15"/>
        <v>287235978.76333332</v>
      </c>
      <c r="AZ102" s="25">
        <f>J102-Z102</f>
        <v>1</v>
      </c>
      <c r="BA102" s="62"/>
      <c r="BB102" s="66">
        <v>1</v>
      </c>
      <c r="BC102" s="66"/>
      <c r="BD102" s="66"/>
      <c r="BE102" s="67">
        <f t="shared" si="23"/>
        <v>4952344</v>
      </c>
      <c r="BF102" s="67">
        <f t="shared" si="22"/>
        <v>0</v>
      </c>
      <c r="BG102" s="67">
        <f t="shared" si="16"/>
        <v>0</v>
      </c>
      <c r="BH102" s="66"/>
      <c r="BI102" s="68"/>
      <c r="BJ102" s="114" t="s">
        <v>1980</v>
      </c>
      <c r="BK102" s="114" t="s">
        <v>1980</v>
      </c>
      <c r="BL102" s="29"/>
      <c r="BQ102" s="1" t="s">
        <v>1980</v>
      </c>
    </row>
    <row r="103" spans="1:69" ht="15" hidden="1" customHeight="1">
      <c r="C103" s="1" t="str">
        <f>+RIGHT(YEAR(AE103),2)&amp;IF(LEN(MONTH(AE103))=2,MONTH(AE103),"0"&amp;MONTH(AE103))</f>
        <v>2904</v>
      </c>
      <c r="D103" s="1" t="str">
        <f>+RIGHT(YEAR(AD103),2)&amp;IF(LEN(MONTH(AD103))=2,MONTH(AD103),"0"&amp;MONTH(AD103))</f>
        <v>2402</v>
      </c>
      <c r="E103" s="19" t="s">
        <v>48</v>
      </c>
      <c r="F103" s="62" t="s">
        <v>1923</v>
      </c>
      <c r="G103" s="62">
        <v>2112</v>
      </c>
      <c r="H103" s="62" t="s">
        <v>1993</v>
      </c>
      <c r="I103" s="62" t="s">
        <v>336</v>
      </c>
      <c r="J103" s="118">
        <v>1</v>
      </c>
      <c r="K103" s="119"/>
      <c r="L103" s="62" t="s">
        <v>77</v>
      </c>
      <c r="M103" s="120" t="s">
        <v>337</v>
      </c>
      <c r="N103" s="65">
        <v>43567</v>
      </c>
      <c r="O103" s="24">
        <f>$O$104/4</f>
        <v>25368.45</v>
      </c>
      <c r="P103" s="24">
        <v>23251</v>
      </c>
      <c r="Q103" s="64">
        <f>P103*O103</f>
        <v>589841830.95000005</v>
      </c>
      <c r="R103" s="64"/>
      <c r="S103" s="64"/>
      <c r="T103" s="130">
        <f>ROUND($T$104/4,0)</f>
        <v>4439495</v>
      </c>
      <c r="U103" s="64" t="s">
        <v>338</v>
      </c>
      <c r="V103" s="121">
        <f>Q103+T103</f>
        <v>594281325.95000005</v>
      </c>
      <c r="W103" s="122"/>
      <c r="X103" s="64">
        <f>V103</f>
        <v>594281325.95000005</v>
      </c>
      <c r="Y103" s="121"/>
      <c r="Z103" s="121"/>
      <c r="AA103" s="121"/>
      <c r="AB103" s="121"/>
      <c r="AC103" s="64">
        <f>V103-Y103</f>
        <v>594281325.95000005</v>
      </c>
      <c r="AD103" s="65">
        <v>45323</v>
      </c>
      <c r="AE103" s="65">
        <v>47236</v>
      </c>
      <c r="AF103" s="62"/>
      <c r="AG103" s="119">
        <v>63</v>
      </c>
      <c r="AH103" s="25">
        <f>ROUND($AH$104/4,0)</f>
        <v>4952344</v>
      </c>
      <c r="AI103" s="116">
        <v>277331290.76333332</v>
      </c>
      <c r="AJ103" s="115">
        <v>316950035.23666668</v>
      </c>
      <c r="AK103" s="25">
        <f>AH103</f>
        <v>4952344</v>
      </c>
      <c r="AL103" s="27">
        <f t="shared" si="24"/>
        <v>4952344</v>
      </c>
      <c r="AM103" s="27"/>
      <c r="AN103" s="27"/>
      <c r="AO103" s="27"/>
      <c r="AP103" s="27"/>
      <c r="AQ103" s="27"/>
      <c r="AR103" s="27"/>
      <c r="AS103" s="27"/>
      <c r="AT103" s="27"/>
      <c r="AU103" s="27"/>
      <c r="AV103" s="27"/>
      <c r="AW103" s="27">
        <f t="shared" si="13"/>
        <v>9904688</v>
      </c>
      <c r="AX103" s="79">
        <f t="shared" si="14"/>
        <v>307045347.18666673</v>
      </c>
      <c r="AY103" s="79">
        <f t="shared" si="15"/>
        <v>287235978.76333332</v>
      </c>
      <c r="AZ103" s="25">
        <f>J103-Z103</f>
        <v>1</v>
      </c>
      <c r="BA103" s="62"/>
      <c r="BB103" s="66">
        <v>1</v>
      </c>
      <c r="BC103" s="66"/>
      <c r="BD103" s="66"/>
      <c r="BE103" s="67">
        <f t="shared" si="23"/>
        <v>4952344</v>
      </c>
      <c r="BF103" s="67">
        <f t="shared" si="22"/>
        <v>0</v>
      </c>
      <c r="BG103" s="67">
        <f t="shared" si="16"/>
        <v>0</v>
      </c>
      <c r="BH103" s="66"/>
      <c r="BI103" s="68"/>
      <c r="BJ103" s="68" t="s">
        <v>85</v>
      </c>
      <c r="BK103" s="68" t="s">
        <v>85</v>
      </c>
      <c r="BL103" s="29"/>
      <c r="BQ103" s="1" t="e">
        <v>#N/A</v>
      </c>
    </row>
    <row r="104" spans="1:69" s="107" customFormat="1" ht="15" hidden="1" customHeight="1">
      <c r="A104" s="1" t="s">
        <v>43</v>
      </c>
      <c r="B104" s="1"/>
      <c r="C104" s="1">
        <v>2402</v>
      </c>
      <c r="D104" s="1" t="str">
        <f t="shared" si="18"/>
        <v>1905</v>
      </c>
      <c r="E104" s="19" t="s">
        <v>48</v>
      </c>
      <c r="F104" s="62" t="s">
        <v>49</v>
      </c>
      <c r="G104" s="62">
        <v>2112</v>
      </c>
      <c r="H104" s="62" t="s">
        <v>335</v>
      </c>
      <c r="I104" s="62" t="s">
        <v>336</v>
      </c>
      <c r="J104" s="118">
        <v>4</v>
      </c>
      <c r="K104" s="119"/>
      <c r="L104" s="62" t="s">
        <v>77</v>
      </c>
      <c r="M104" s="120" t="s">
        <v>337</v>
      </c>
      <c r="N104" s="65">
        <v>43567</v>
      </c>
      <c r="O104" s="24">
        <v>101473.8</v>
      </c>
      <c r="P104" s="24">
        <v>23251</v>
      </c>
      <c r="Q104" s="64">
        <v>2359367323.8000002</v>
      </c>
      <c r="R104" s="64"/>
      <c r="S104" s="64"/>
      <c r="T104" s="130">
        <v>17757980.483999997</v>
      </c>
      <c r="U104" s="64" t="s">
        <v>338</v>
      </c>
      <c r="V104" s="121">
        <v>2377125304</v>
      </c>
      <c r="W104" s="122">
        <v>0</v>
      </c>
      <c r="X104" s="64">
        <v>2377125304</v>
      </c>
      <c r="Y104" s="121">
        <f>-V104</f>
        <v>-2377125304</v>
      </c>
      <c r="Z104" s="121">
        <v>4</v>
      </c>
      <c r="AA104" s="125">
        <v>45323</v>
      </c>
      <c r="AB104" s="121" t="s">
        <v>1994</v>
      </c>
      <c r="AC104" s="64">
        <f>V104+Y104</f>
        <v>0</v>
      </c>
      <c r="AD104" s="65">
        <v>43586</v>
      </c>
      <c r="AE104" s="65">
        <v>47236</v>
      </c>
      <c r="AF104" s="62">
        <v>10</v>
      </c>
      <c r="AG104" s="119">
        <v>120</v>
      </c>
      <c r="AH104" s="25">
        <v>19809377.533333335</v>
      </c>
      <c r="AI104" s="78">
        <v>0</v>
      </c>
      <c r="AJ104" s="78">
        <v>0</v>
      </c>
      <c r="AK104" s="110"/>
      <c r="AL104" s="27">
        <f>+IF(AND(AL$3&gt;=$D104,AL$3&lt;$C104),$AH104,$AJ104-SUM(AJ104:AK104))</f>
        <v>0</v>
      </c>
      <c r="AM104" s="110"/>
      <c r="AN104" s="110"/>
      <c r="AO104" s="110"/>
      <c r="AP104" s="110"/>
      <c r="AQ104" s="110"/>
      <c r="AR104" s="110"/>
      <c r="AS104" s="110"/>
      <c r="AT104" s="110"/>
      <c r="AU104" s="110"/>
      <c r="AV104" s="110"/>
      <c r="AW104" s="27">
        <f t="shared" si="13"/>
        <v>0</v>
      </c>
      <c r="AX104" s="79">
        <v>0</v>
      </c>
      <c r="AY104" s="79">
        <v>0</v>
      </c>
      <c r="AZ104" s="25">
        <f>J104-Z104</f>
        <v>0</v>
      </c>
      <c r="BA104" s="108" t="s">
        <v>79</v>
      </c>
      <c r="BB104" s="111">
        <v>0</v>
      </c>
      <c r="BC104" s="111"/>
      <c r="BD104" s="111"/>
      <c r="BE104" s="67">
        <f t="shared" si="23"/>
        <v>0</v>
      </c>
      <c r="BF104" s="67">
        <f t="shared" si="22"/>
        <v>0</v>
      </c>
      <c r="BG104" s="67">
        <f t="shared" si="16"/>
        <v>0</v>
      </c>
      <c r="BH104" s="111"/>
      <c r="BI104" s="112" t="s">
        <v>339</v>
      </c>
      <c r="BJ104" s="112" t="s">
        <v>85</v>
      </c>
      <c r="BK104" s="112" t="s">
        <v>85</v>
      </c>
      <c r="BL104" s="113"/>
      <c r="BO104" s="107" t="s">
        <v>1801</v>
      </c>
      <c r="BQ104" s="1" t="e">
        <v>#N/A</v>
      </c>
    </row>
    <row r="105" spans="1:69" ht="15" hidden="1" customHeight="1">
      <c r="A105" s="1" t="s">
        <v>43</v>
      </c>
      <c r="C105" s="1" t="str">
        <f t="shared" si="17"/>
        <v>2904</v>
      </c>
      <c r="D105" s="1" t="str">
        <f t="shared" si="18"/>
        <v>1905</v>
      </c>
      <c r="E105" s="19" t="s">
        <v>48</v>
      </c>
      <c r="F105" s="62" t="s">
        <v>49</v>
      </c>
      <c r="G105" s="62">
        <v>2112</v>
      </c>
      <c r="H105" s="62" t="s">
        <v>340</v>
      </c>
      <c r="I105" s="62" t="s">
        <v>341</v>
      </c>
      <c r="J105" s="118">
        <v>1</v>
      </c>
      <c r="K105" s="119"/>
      <c r="L105" s="62" t="s">
        <v>77</v>
      </c>
      <c r="M105" s="120" t="s">
        <v>342</v>
      </c>
      <c r="N105" s="65">
        <v>43574</v>
      </c>
      <c r="O105" s="24">
        <v>69854.84</v>
      </c>
      <c r="P105" s="24">
        <v>23262</v>
      </c>
      <c r="Q105" s="64">
        <v>1624963288.0799999</v>
      </c>
      <c r="R105" s="64">
        <v>48514186</v>
      </c>
      <c r="S105" s="64"/>
      <c r="T105" s="64">
        <v>7087099.5899999999</v>
      </c>
      <c r="U105" s="64" t="s">
        <v>343</v>
      </c>
      <c r="V105" s="121">
        <v>1680564574</v>
      </c>
      <c r="W105" s="122">
        <v>0</v>
      </c>
      <c r="X105" s="64">
        <v>1680564574</v>
      </c>
      <c r="Y105" s="121"/>
      <c r="Z105" s="121"/>
      <c r="AA105" s="121"/>
      <c r="AB105" s="121"/>
      <c r="AC105" s="64">
        <v>1680564574</v>
      </c>
      <c r="AD105" s="65">
        <v>43586</v>
      </c>
      <c r="AE105" s="65">
        <v>47236</v>
      </c>
      <c r="AF105" s="62">
        <v>10</v>
      </c>
      <c r="AG105" s="119">
        <v>120</v>
      </c>
      <c r="AH105" s="25">
        <v>14004704.783333333</v>
      </c>
      <c r="AI105" s="78">
        <v>784263478.16333318</v>
      </c>
      <c r="AJ105" s="78">
        <v>896301095.83666682</v>
      </c>
      <c r="AK105" s="27">
        <f t="shared" si="19"/>
        <v>14004704.783333333</v>
      </c>
      <c r="AL105" s="27">
        <f t="shared" si="24"/>
        <v>14004704.783333333</v>
      </c>
      <c r="AM105" s="27"/>
      <c r="AN105" s="27"/>
      <c r="AO105" s="27"/>
      <c r="AP105" s="27"/>
      <c r="AQ105" s="27"/>
      <c r="AR105" s="27"/>
      <c r="AS105" s="27"/>
      <c r="AT105" s="27"/>
      <c r="AU105" s="27"/>
      <c r="AV105" s="27"/>
      <c r="AW105" s="27">
        <f t="shared" si="13"/>
        <v>28009409.566666666</v>
      </c>
      <c r="AX105" s="79">
        <f t="shared" si="14"/>
        <v>868291686.2700001</v>
      </c>
      <c r="AY105" s="79">
        <f t="shared" si="15"/>
        <v>812272887.7299999</v>
      </c>
      <c r="AZ105" s="25">
        <v>1</v>
      </c>
      <c r="BA105" s="62" t="s">
        <v>97</v>
      </c>
      <c r="BB105" s="66">
        <v>1</v>
      </c>
      <c r="BC105" s="66"/>
      <c r="BD105" s="66"/>
      <c r="BE105" s="67">
        <f t="shared" si="23"/>
        <v>14004704.783333333</v>
      </c>
      <c r="BF105" s="67">
        <f t="shared" si="22"/>
        <v>0</v>
      </c>
      <c r="BG105" s="67">
        <f t="shared" si="16"/>
        <v>0</v>
      </c>
      <c r="BH105" s="66"/>
      <c r="BI105" s="68" t="s">
        <v>344</v>
      </c>
      <c r="BJ105" s="68" t="s">
        <v>121</v>
      </c>
      <c r="BK105" s="68" t="s">
        <v>301</v>
      </c>
      <c r="BL105" s="29"/>
      <c r="BO105" s="35" t="s">
        <v>1800</v>
      </c>
      <c r="BP105" s="1" t="s">
        <v>1810</v>
      </c>
      <c r="BQ105" s="1" t="e">
        <v>#N/A</v>
      </c>
    </row>
    <row r="106" spans="1:69" ht="15" hidden="1" customHeight="1">
      <c r="A106" s="1" t="s">
        <v>43</v>
      </c>
      <c r="C106" s="1" t="str">
        <f t="shared" si="17"/>
        <v>2604</v>
      </c>
      <c r="D106" s="1" t="str">
        <f t="shared" si="18"/>
        <v>1905</v>
      </c>
      <c r="E106" s="19" t="s">
        <v>48</v>
      </c>
      <c r="F106" s="62" t="s">
        <v>49</v>
      </c>
      <c r="G106" s="62">
        <v>2112</v>
      </c>
      <c r="H106" s="62" t="s">
        <v>345</v>
      </c>
      <c r="I106" s="62" t="s">
        <v>346</v>
      </c>
      <c r="J106" s="118">
        <v>1</v>
      </c>
      <c r="K106" s="119"/>
      <c r="L106" s="62" t="s">
        <v>77</v>
      </c>
      <c r="M106" s="120" t="s">
        <v>347</v>
      </c>
      <c r="N106" s="65">
        <v>43579</v>
      </c>
      <c r="O106" s="24">
        <v>3500</v>
      </c>
      <c r="P106" s="24">
        <v>23295</v>
      </c>
      <c r="Q106" s="64">
        <v>81532500</v>
      </c>
      <c r="R106" s="64">
        <v>1157500</v>
      </c>
      <c r="S106" s="64"/>
      <c r="T106" s="130">
        <v>3491712.5920000002</v>
      </c>
      <c r="U106" s="64" t="s">
        <v>348</v>
      </c>
      <c r="V106" s="121">
        <v>86181713</v>
      </c>
      <c r="W106" s="122">
        <v>0</v>
      </c>
      <c r="X106" s="64">
        <v>86181713</v>
      </c>
      <c r="Y106" s="121"/>
      <c r="Z106" s="121"/>
      <c r="AA106" s="121"/>
      <c r="AB106" s="121"/>
      <c r="AC106" s="64">
        <v>86181713</v>
      </c>
      <c r="AD106" s="65">
        <v>43586</v>
      </c>
      <c r="AE106" s="65">
        <v>46141</v>
      </c>
      <c r="AF106" s="62">
        <v>7</v>
      </c>
      <c r="AG106" s="119">
        <v>84</v>
      </c>
      <c r="AH106" s="25">
        <v>1025972.7738095238</v>
      </c>
      <c r="AI106" s="78">
        <v>57454486.148095235</v>
      </c>
      <c r="AJ106" s="78">
        <v>28727226.851904765</v>
      </c>
      <c r="AK106" s="27">
        <f t="shared" si="19"/>
        <v>1025972.7738095238</v>
      </c>
      <c r="AL106" s="27">
        <f t="shared" si="24"/>
        <v>1025972.7738095238</v>
      </c>
      <c r="AM106" s="27"/>
      <c r="AN106" s="27"/>
      <c r="AO106" s="27"/>
      <c r="AP106" s="27"/>
      <c r="AQ106" s="27"/>
      <c r="AR106" s="27"/>
      <c r="AS106" s="27"/>
      <c r="AT106" s="27"/>
      <c r="AU106" s="27"/>
      <c r="AV106" s="27"/>
      <c r="AW106" s="27">
        <f t="shared" si="13"/>
        <v>2051945.5476190476</v>
      </c>
      <c r="AX106" s="79">
        <f t="shared" si="14"/>
        <v>26675281.304285716</v>
      </c>
      <c r="AY106" s="79">
        <f t="shared" si="15"/>
        <v>59506431.69571428</v>
      </c>
      <c r="AZ106" s="25">
        <v>1</v>
      </c>
      <c r="BA106" s="62" t="s">
        <v>79</v>
      </c>
      <c r="BB106" s="66">
        <v>1</v>
      </c>
      <c r="BC106" s="66"/>
      <c r="BD106" s="66"/>
      <c r="BE106" s="67">
        <f t="shared" si="23"/>
        <v>1025972.7738095238</v>
      </c>
      <c r="BF106" s="67">
        <f t="shared" si="22"/>
        <v>0</v>
      </c>
      <c r="BG106" s="67">
        <f t="shared" si="16"/>
        <v>0</v>
      </c>
      <c r="BH106" s="66"/>
      <c r="BI106" s="68" t="s">
        <v>101</v>
      </c>
      <c r="BJ106" s="68" t="s">
        <v>349</v>
      </c>
      <c r="BK106" s="68" t="s">
        <v>349</v>
      </c>
      <c r="BL106" s="29"/>
      <c r="BO106" s="35" t="s">
        <v>1802</v>
      </c>
      <c r="BQ106" s="1" t="e">
        <v>#N/A</v>
      </c>
    </row>
    <row r="107" spans="1:69" ht="15" hidden="1" customHeight="1">
      <c r="A107" s="1" t="s">
        <v>43</v>
      </c>
      <c r="C107" s="1" t="str">
        <f t="shared" si="17"/>
        <v>2604</v>
      </c>
      <c r="D107" s="1" t="str">
        <f t="shared" si="18"/>
        <v>1905</v>
      </c>
      <c r="E107" s="19" t="s">
        <v>48</v>
      </c>
      <c r="F107" s="62" t="s">
        <v>49</v>
      </c>
      <c r="G107" s="62">
        <v>2112</v>
      </c>
      <c r="H107" s="62" t="s">
        <v>350</v>
      </c>
      <c r="I107" s="62" t="s">
        <v>351</v>
      </c>
      <c r="J107" s="118">
        <v>1</v>
      </c>
      <c r="K107" s="119"/>
      <c r="L107" s="62" t="s">
        <v>77</v>
      </c>
      <c r="M107" s="120" t="s">
        <v>347</v>
      </c>
      <c r="N107" s="65">
        <v>43579</v>
      </c>
      <c r="O107" s="24">
        <v>196000</v>
      </c>
      <c r="P107" s="24">
        <v>23295</v>
      </c>
      <c r="Q107" s="64">
        <v>4565820000</v>
      </c>
      <c r="R107" s="64"/>
      <c r="S107" s="64"/>
      <c r="T107" s="130">
        <v>195535905.155</v>
      </c>
      <c r="U107" s="64" t="s">
        <v>348</v>
      </c>
      <c r="V107" s="121">
        <v>4761355905</v>
      </c>
      <c r="W107" s="122">
        <v>0</v>
      </c>
      <c r="X107" s="64">
        <v>4761355905</v>
      </c>
      <c r="Y107" s="121"/>
      <c r="Z107" s="121"/>
      <c r="AA107" s="121"/>
      <c r="AB107" s="121"/>
      <c r="AC107" s="64">
        <v>4761355905</v>
      </c>
      <c r="AD107" s="65">
        <v>43586</v>
      </c>
      <c r="AE107" s="65">
        <v>46141</v>
      </c>
      <c r="AF107" s="62">
        <v>7</v>
      </c>
      <c r="AG107" s="119">
        <v>84</v>
      </c>
      <c r="AH107" s="25">
        <v>56682808.392857142</v>
      </c>
      <c r="AI107" s="78">
        <v>3174237251.7785711</v>
      </c>
      <c r="AJ107" s="78">
        <v>1587118653.2214286</v>
      </c>
      <c r="AK107" s="27">
        <f t="shared" si="19"/>
        <v>56682808.392857142</v>
      </c>
      <c r="AL107" s="27">
        <f t="shared" si="24"/>
        <v>56682808.392857142</v>
      </c>
      <c r="AM107" s="27"/>
      <c r="AN107" s="27"/>
      <c r="AO107" s="27"/>
      <c r="AP107" s="27"/>
      <c r="AQ107" s="27"/>
      <c r="AR107" s="27"/>
      <c r="AS107" s="27"/>
      <c r="AT107" s="27"/>
      <c r="AU107" s="27"/>
      <c r="AV107" s="27"/>
      <c r="AW107" s="27">
        <f t="shared" si="13"/>
        <v>113365616.78571428</v>
      </c>
      <c r="AX107" s="79">
        <f t="shared" si="14"/>
        <v>1473753036.4357145</v>
      </c>
      <c r="AY107" s="79">
        <f t="shared" si="15"/>
        <v>3287602868.5642853</v>
      </c>
      <c r="AZ107" s="25">
        <v>1</v>
      </c>
      <c r="BA107" s="62" t="s">
        <v>97</v>
      </c>
      <c r="BB107" s="66">
        <v>1</v>
      </c>
      <c r="BC107" s="66"/>
      <c r="BD107" s="66"/>
      <c r="BE107" s="67">
        <f t="shared" si="23"/>
        <v>56682808.392857142</v>
      </c>
      <c r="BF107" s="67">
        <f t="shared" si="22"/>
        <v>0</v>
      </c>
      <c r="BG107" s="67">
        <f t="shared" si="16"/>
        <v>0</v>
      </c>
      <c r="BH107" s="66"/>
      <c r="BI107" s="68" t="s">
        <v>101</v>
      </c>
      <c r="BJ107" s="68" t="s">
        <v>349</v>
      </c>
      <c r="BK107" s="68" t="s">
        <v>349</v>
      </c>
      <c r="BL107" s="29"/>
      <c r="BO107" s="35" t="s">
        <v>1802</v>
      </c>
      <c r="BQ107" s="1" t="e">
        <v>#N/A</v>
      </c>
    </row>
    <row r="108" spans="1:69" ht="15" hidden="1" customHeight="1">
      <c r="A108" s="1" t="s">
        <v>43</v>
      </c>
      <c r="C108" s="1" t="str">
        <f t="shared" si="17"/>
        <v>2404</v>
      </c>
      <c r="D108" s="1" t="str">
        <f t="shared" si="18"/>
        <v>1905</v>
      </c>
      <c r="E108" s="19" t="s">
        <v>48</v>
      </c>
      <c r="F108" s="62" t="s">
        <v>49</v>
      </c>
      <c r="G108" s="62">
        <v>2112</v>
      </c>
      <c r="H108" s="62" t="s">
        <v>352</v>
      </c>
      <c r="I108" s="62" t="s">
        <v>353</v>
      </c>
      <c r="J108" s="118">
        <v>1</v>
      </c>
      <c r="K108" s="119"/>
      <c r="L108" s="62" t="s">
        <v>77</v>
      </c>
      <c r="M108" s="120" t="s">
        <v>347</v>
      </c>
      <c r="N108" s="65">
        <v>43579</v>
      </c>
      <c r="O108" s="24">
        <v>1500</v>
      </c>
      <c r="P108" s="24">
        <v>23295</v>
      </c>
      <c r="Q108" s="64">
        <v>34942500</v>
      </c>
      <c r="R108" s="64"/>
      <c r="S108" s="64"/>
      <c r="T108" s="130">
        <v>1496448.253</v>
      </c>
      <c r="U108" s="64" t="s">
        <v>348</v>
      </c>
      <c r="V108" s="121">
        <v>36438948</v>
      </c>
      <c r="W108" s="122">
        <v>0</v>
      </c>
      <c r="X108" s="64">
        <v>36438948</v>
      </c>
      <c r="Y108" s="121"/>
      <c r="Z108" s="121"/>
      <c r="AA108" s="121"/>
      <c r="AB108" s="121"/>
      <c r="AC108" s="64">
        <v>36438948</v>
      </c>
      <c r="AD108" s="65">
        <v>43586</v>
      </c>
      <c r="AE108" s="65">
        <v>45411</v>
      </c>
      <c r="AF108" s="62">
        <v>5</v>
      </c>
      <c r="AG108" s="119">
        <v>60</v>
      </c>
      <c r="AH108" s="25">
        <v>607315.80000000005</v>
      </c>
      <c r="AI108" s="78">
        <v>34009693.75</v>
      </c>
      <c r="AJ108" s="78">
        <v>2429254.2500000009</v>
      </c>
      <c r="AK108" s="27">
        <f>+IF(AND(AK$3&gt;=$D108,AK$3&lt;$C108),$AH108,$AJ108-SUM(AI108:AJ108))</f>
        <v>607315.80000000005</v>
      </c>
      <c r="AL108" s="27">
        <f t="shared" si="24"/>
        <v>607315.80000000005</v>
      </c>
      <c r="AM108" s="27"/>
      <c r="AN108" s="27"/>
      <c r="AO108" s="27"/>
      <c r="AP108" s="27"/>
      <c r="AQ108" s="27"/>
      <c r="AR108" s="27"/>
      <c r="AS108" s="27"/>
      <c r="AT108" s="27"/>
      <c r="AU108" s="27"/>
      <c r="AV108" s="27"/>
      <c r="AW108" s="27">
        <f t="shared" si="13"/>
        <v>1214631.6000000001</v>
      </c>
      <c r="AX108" s="79">
        <f t="shared" si="14"/>
        <v>1214622.6499999999</v>
      </c>
      <c r="AY108" s="79">
        <f t="shared" si="15"/>
        <v>35224325.350000001</v>
      </c>
      <c r="AZ108" s="25">
        <v>1</v>
      </c>
      <c r="BA108" s="62" t="s">
        <v>79</v>
      </c>
      <c r="BB108" s="66">
        <v>1</v>
      </c>
      <c r="BC108" s="66"/>
      <c r="BD108" s="66"/>
      <c r="BE108" s="67">
        <f t="shared" si="23"/>
        <v>607315.80000000005</v>
      </c>
      <c r="BF108" s="67">
        <f t="shared" si="22"/>
        <v>0</v>
      </c>
      <c r="BG108" s="67">
        <f t="shared" si="16"/>
        <v>0</v>
      </c>
      <c r="BH108" s="66"/>
      <c r="BI108" s="68" t="s">
        <v>101</v>
      </c>
      <c r="BJ108" s="68" t="s">
        <v>349</v>
      </c>
      <c r="BK108" s="68" t="s">
        <v>349</v>
      </c>
      <c r="BL108" s="29"/>
      <c r="BO108" s="35" t="s">
        <v>1802</v>
      </c>
      <c r="BQ108" s="1" t="e">
        <v>#N/A</v>
      </c>
    </row>
    <row r="109" spans="1:69" ht="15" hidden="1" customHeight="1">
      <c r="A109" s="1" t="s">
        <v>43</v>
      </c>
      <c r="C109" s="1" t="str">
        <f t="shared" si="17"/>
        <v>2604</v>
      </c>
      <c r="D109" s="1" t="str">
        <f t="shared" si="18"/>
        <v>1905</v>
      </c>
      <c r="E109" s="19" t="s">
        <v>48</v>
      </c>
      <c r="F109" s="62" t="s">
        <v>49</v>
      </c>
      <c r="G109" s="62">
        <v>2112</v>
      </c>
      <c r="H109" s="62" t="s">
        <v>354</v>
      </c>
      <c r="I109" s="62" t="s">
        <v>355</v>
      </c>
      <c r="J109" s="118">
        <v>1</v>
      </c>
      <c r="K109" s="119"/>
      <c r="L109" s="62" t="s">
        <v>77</v>
      </c>
      <c r="M109" s="120" t="s">
        <v>356</v>
      </c>
      <c r="N109" s="65">
        <v>43579</v>
      </c>
      <c r="O109" s="24">
        <v>79000</v>
      </c>
      <c r="P109" s="24">
        <v>23295</v>
      </c>
      <c r="Q109" s="64">
        <v>1840305000</v>
      </c>
      <c r="R109" s="64"/>
      <c r="S109" s="64"/>
      <c r="T109" s="64">
        <v>46251477</v>
      </c>
      <c r="U109" s="64" t="s">
        <v>357</v>
      </c>
      <c r="V109" s="121">
        <v>1886556477</v>
      </c>
      <c r="W109" s="122">
        <v>0</v>
      </c>
      <c r="X109" s="64">
        <v>1886556477</v>
      </c>
      <c r="Y109" s="121">
        <v>-1886556477</v>
      </c>
      <c r="Z109" s="121">
        <v>1</v>
      </c>
      <c r="AA109" s="127">
        <v>44536</v>
      </c>
      <c r="AB109" s="121" t="s">
        <v>1653</v>
      </c>
      <c r="AC109" s="64">
        <v>0</v>
      </c>
      <c r="AD109" s="65">
        <v>43586</v>
      </c>
      <c r="AE109" s="65">
        <v>46141</v>
      </c>
      <c r="AF109" s="62">
        <v>7</v>
      </c>
      <c r="AG109" s="119">
        <v>84</v>
      </c>
      <c r="AH109" s="25">
        <v>0</v>
      </c>
      <c r="AI109" s="78">
        <v>0</v>
      </c>
      <c r="AJ109" s="78">
        <v>0</v>
      </c>
      <c r="AK109" s="27">
        <f t="shared" si="19"/>
        <v>0</v>
      </c>
      <c r="AL109" s="27">
        <f t="shared" si="24"/>
        <v>0</v>
      </c>
      <c r="AM109" s="27"/>
      <c r="AN109" s="27"/>
      <c r="AO109" s="27"/>
      <c r="AP109" s="27"/>
      <c r="AQ109" s="27"/>
      <c r="AR109" s="27"/>
      <c r="AS109" s="27"/>
      <c r="AT109" s="27"/>
      <c r="AU109" s="27"/>
      <c r="AV109" s="27"/>
      <c r="AW109" s="27">
        <f t="shared" si="13"/>
        <v>0</v>
      </c>
      <c r="AX109" s="79">
        <f t="shared" si="14"/>
        <v>0</v>
      </c>
      <c r="AY109" s="79">
        <f t="shared" si="15"/>
        <v>0</v>
      </c>
      <c r="AZ109" s="25">
        <v>0</v>
      </c>
      <c r="BA109" s="62" t="s">
        <v>97</v>
      </c>
      <c r="BB109" s="66">
        <v>1</v>
      </c>
      <c r="BC109" s="66"/>
      <c r="BD109" s="66"/>
      <c r="BE109" s="67">
        <f t="shared" si="23"/>
        <v>0</v>
      </c>
      <c r="BF109" s="67">
        <f t="shared" si="22"/>
        <v>0</v>
      </c>
      <c r="BG109" s="67">
        <f t="shared" si="16"/>
        <v>0</v>
      </c>
      <c r="BH109" s="66"/>
      <c r="BI109" s="68" t="s">
        <v>101</v>
      </c>
      <c r="BJ109" s="68" t="s">
        <v>349</v>
      </c>
      <c r="BK109" s="68" t="s">
        <v>349</v>
      </c>
      <c r="BL109" s="29"/>
      <c r="BQ109" s="1" t="e">
        <v>#N/A</v>
      </c>
    </row>
    <row r="110" spans="1:69" ht="15" hidden="1" customHeight="1">
      <c r="A110" s="1" t="s">
        <v>43</v>
      </c>
      <c r="C110" s="1" t="str">
        <f t="shared" si="17"/>
        <v>2904</v>
      </c>
      <c r="D110" s="1" t="str">
        <f t="shared" si="18"/>
        <v>1905</v>
      </c>
      <c r="E110" s="19" t="s">
        <v>48</v>
      </c>
      <c r="F110" s="62" t="s">
        <v>49</v>
      </c>
      <c r="G110" s="62">
        <v>2112</v>
      </c>
      <c r="H110" s="62" t="s">
        <v>358</v>
      </c>
      <c r="I110" s="62" t="s">
        <v>359</v>
      </c>
      <c r="J110" s="118">
        <v>3</v>
      </c>
      <c r="K110" s="119"/>
      <c r="L110" s="62" t="s">
        <v>77</v>
      </c>
      <c r="M110" s="120" t="s">
        <v>360</v>
      </c>
      <c r="N110" s="65">
        <v>43580</v>
      </c>
      <c r="O110" s="24">
        <v>118741.2</v>
      </c>
      <c r="P110" s="24">
        <v>23327</v>
      </c>
      <c r="Q110" s="64">
        <v>2769875972.4000001</v>
      </c>
      <c r="R110" s="64"/>
      <c r="S110" s="64"/>
      <c r="T110" s="64">
        <v>5115000</v>
      </c>
      <c r="U110" s="64" t="s">
        <v>343</v>
      </c>
      <c r="V110" s="121">
        <v>2774990972</v>
      </c>
      <c r="W110" s="122">
        <v>0</v>
      </c>
      <c r="X110" s="64">
        <v>2774990972</v>
      </c>
      <c r="Y110" s="121"/>
      <c r="Z110" s="121"/>
      <c r="AA110" s="121"/>
      <c r="AB110" s="121"/>
      <c r="AC110" s="64">
        <v>2774990972</v>
      </c>
      <c r="AD110" s="65">
        <v>43586</v>
      </c>
      <c r="AE110" s="65">
        <v>47236</v>
      </c>
      <c r="AF110" s="62">
        <v>10</v>
      </c>
      <c r="AG110" s="119">
        <v>120</v>
      </c>
      <c r="AH110" s="25">
        <v>23124924.766666666</v>
      </c>
      <c r="AI110" s="78">
        <v>1294995797.2666664</v>
      </c>
      <c r="AJ110" s="78">
        <v>1479995174.7333336</v>
      </c>
      <c r="AK110" s="27">
        <f t="shared" si="19"/>
        <v>23124924.766666666</v>
      </c>
      <c r="AL110" s="27">
        <f t="shared" si="24"/>
        <v>23124924.766666666</v>
      </c>
      <c r="AM110" s="27"/>
      <c r="AN110" s="27"/>
      <c r="AO110" s="27"/>
      <c r="AP110" s="27"/>
      <c r="AQ110" s="27"/>
      <c r="AR110" s="27"/>
      <c r="AS110" s="27"/>
      <c r="AT110" s="27"/>
      <c r="AU110" s="27"/>
      <c r="AV110" s="27"/>
      <c r="AW110" s="27">
        <f t="shared" si="13"/>
        <v>46249849.533333331</v>
      </c>
      <c r="AX110" s="79">
        <f t="shared" si="14"/>
        <v>1433745325.2000003</v>
      </c>
      <c r="AY110" s="79">
        <f t="shared" si="15"/>
        <v>1341245646.7999997</v>
      </c>
      <c r="AZ110" s="25">
        <v>3</v>
      </c>
      <c r="BA110" s="62" t="s">
        <v>97</v>
      </c>
      <c r="BB110" s="66">
        <v>1</v>
      </c>
      <c r="BC110" s="66"/>
      <c r="BD110" s="66"/>
      <c r="BE110" s="67">
        <f t="shared" si="23"/>
        <v>23124924.766666666</v>
      </c>
      <c r="BF110" s="67">
        <f t="shared" si="22"/>
        <v>0</v>
      </c>
      <c r="BG110" s="67">
        <f t="shared" si="16"/>
        <v>0</v>
      </c>
      <c r="BH110" s="66"/>
      <c r="BI110" s="68" t="s">
        <v>361</v>
      </c>
      <c r="BJ110" s="68" t="s">
        <v>121</v>
      </c>
      <c r="BK110" s="68" t="s">
        <v>121</v>
      </c>
      <c r="BL110" s="29"/>
      <c r="BO110" s="35" t="s">
        <v>1800</v>
      </c>
      <c r="BP110" s="1" t="s">
        <v>1811</v>
      </c>
      <c r="BQ110" s="1" t="e">
        <v>#N/A</v>
      </c>
    </row>
    <row r="111" spans="1:69" ht="15" hidden="1" customHeight="1">
      <c r="A111" s="1" t="s">
        <v>43</v>
      </c>
      <c r="C111" s="1" t="str">
        <f t="shared" si="17"/>
        <v>2604</v>
      </c>
      <c r="D111" s="1" t="str">
        <f t="shared" si="18"/>
        <v>1905</v>
      </c>
      <c r="E111" s="19" t="s">
        <v>48</v>
      </c>
      <c r="F111" s="62" t="s">
        <v>49</v>
      </c>
      <c r="G111" s="62">
        <v>2112</v>
      </c>
      <c r="H111" s="62" t="s">
        <v>362</v>
      </c>
      <c r="I111" s="62" t="s">
        <v>363</v>
      </c>
      <c r="J111" s="118">
        <v>1</v>
      </c>
      <c r="K111" s="119"/>
      <c r="L111" s="62" t="s">
        <v>304</v>
      </c>
      <c r="M111" s="120" t="s">
        <v>364</v>
      </c>
      <c r="N111" s="65">
        <v>43574</v>
      </c>
      <c r="O111" s="24"/>
      <c r="P111" s="24"/>
      <c r="Q111" s="64">
        <v>155000000</v>
      </c>
      <c r="R111" s="64"/>
      <c r="S111" s="64"/>
      <c r="T111" s="64"/>
      <c r="U111" s="64"/>
      <c r="V111" s="121">
        <v>155000000</v>
      </c>
      <c r="W111" s="122">
        <v>0</v>
      </c>
      <c r="X111" s="64">
        <v>155000000</v>
      </c>
      <c r="Y111" s="121"/>
      <c r="Z111" s="121"/>
      <c r="AA111" s="121"/>
      <c r="AB111" s="121"/>
      <c r="AC111" s="64">
        <v>155000000</v>
      </c>
      <c r="AD111" s="65">
        <v>43586</v>
      </c>
      <c r="AE111" s="65">
        <v>46141</v>
      </c>
      <c r="AF111" s="62">
        <v>7</v>
      </c>
      <c r="AG111" s="119">
        <v>84</v>
      </c>
      <c r="AH111" s="25">
        <v>1845238.0952380951</v>
      </c>
      <c r="AI111" s="78">
        <v>103333328.95238096</v>
      </c>
      <c r="AJ111" s="78">
        <v>51666671.047619045</v>
      </c>
      <c r="AK111" s="27">
        <f t="shared" si="19"/>
        <v>1845238.0952380951</v>
      </c>
      <c r="AL111" s="27">
        <f t="shared" si="24"/>
        <v>1845238.0952380951</v>
      </c>
      <c r="AM111" s="27"/>
      <c r="AN111" s="27"/>
      <c r="AO111" s="27"/>
      <c r="AP111" s="27"/>
      <c r="AQ111" s="27"/>
      <c r="AR111" s="27"/>
      <c r="AS111" s="27"/>
      <c r="AT111" s="27"/>
      <c r="AU111" s="27"/>
      <c r="AV111" s="27"/>
      <c r="AW111" s="27">
        <f t="shared" si="13"/>
        <v>3690476.1904761903</v>
      </c>
      <c r="AX111" s="79">
        <f t="shared" si="14"/>
        <v>47976194.857142851</v>
      </c>
      <c r="AY111" s="79">
        <f t="shared" si="15"/>
        <v>107023805.14285715</v>
      </c>
      <c r="AZ111" s="25">
        <v>1</v>
      </c>
      <c r="BA111" s="62" t="s">
        <v>97</v>
      </c>
      <c r="BB111" s="66">
        <v>1</v>
      </c>
      <c r="BC111" s="66"/>
      <c r="BD111" s="66"/>
      <c r="BE111" s="67">
        <f t="shared" si="23"/>
        <v>1845238.0952380951</v>
      </c>
      <c r="BF111" s="67">
        <f t="shared" si="22"/>
        <v>0</v>
      </c>
      <c r="BG111" s="67">
        <f t="shared" si="16"/>
        <v>0</v>
      </c>
      <c r="BH111" s="66"/>
      <c r="BI111" s="68" t="s">
        <v>101</v>
      </c>
      <c r="BJ111" s="68" t="s">
        <v>58</v>
      </c>
      <c r="BK111" s="68" t="s">
        <v>59</v>
      </c>
      <c r="BL111" s="29"/>
      <c r="BO111" s="35" t="s">
        <v>1802</v>
      </c>
      <c r="BQ111" s="1" t="e">
        <v>#N/A</v>
      </c>
    </row>
    <row r="112" spans="1:69" ht="15" hidden="1" customHeight="1">
      <c r="A112" s="1" t="s">
        <v>43</v>
      </c>
      <c r="C112" s="1" t="str">
        <f t="shared" si="17"/>
        <v>2605</v>
      </c>
      <c r="D112" s="1" t="str">
        <f t="shared" si="18"/>
        <v>1905</v>
      </c>
      <c r="E112" s="19" t="s">
        <v>48</v>
      </c>
      <c r="F112" s="62" t="s">
        <v>49</v>
      </c>
      <c r="G112" s="62">
        <v>2112</v>
      </c>
      <c r="H112" s="62" t="s">
        <v>365</v>
      </c>
      <c r="I112" s="62" t="s">
        <v>366</v>
      </c>
      <c r="J112" s="118">
        <v>1</v>
      </c>
      <c r="K112" s="119"/>
      <c r="L112" s="62" t="s">
        <v>367</v>
      </c>
      <c r="M112" s="120" t="s">
        <v>368</v>
      </c>
      <c r="N112" s="65">
        <v>43608</v>
      </c>
      <c r="O112" s="24"/>
      <c r="P112" s="24"/>
      <c r="Q112" s="64">
        <v>72500000</v>
      </c>
      <c r="R112" s="64"/>
      <c r="S112" s="64"/>
      <c r="T112" s="64"/>
      <c r="U112" s="64"/>
      <c r="V112" s="121">
        <v>72500000</v>
      </c>
      <c r="W112" s="122">
        <v>0</v>
      </c>
      <c r="X112" s="64">
        <v>72500000</v>
      </c>
      <c r="Y112" s="121"/>
      <c r="Z112" s="121"/>
      <c r="AA112" s="121"/>
      <c r="AB112" s="121"/>
      <c r="AC112" s="64">
        <v>72500000</v>
      </c>
      <c r="AD112" s="65">
        <v>43608</v>
      </c>
      <c r="AE112" s="65">
        <v>46163</v>
      </c>
      <c r="AF112" s="62">
        <v>7</v>
      </c>
      <c r="AG112" s="119">
        <v>84</v>
      </c>
      <c r="AH112" s="25">
        <v>863095.23809523811</v>
      </c>
      <c r="AI112" s="78">
        <v>47720803.380952381</v>
      </c>
      <c r="AJ112" s="78">
        <v>24779196.619047619</v>
      </c>
      <c r="AK112" s="27">
        <f t="shared" si="19"/>
        <v>863095.23809523811</v>
      </c>
      <c r="AL112" s="27">
        <f t="shared" si="24"/>
        <v>863095.23809523811</v>
      </c>
      <c r="AM112" s="27"/>
      <c r="AN112" s="27"/>
      <c r="AO112" s="27"/>
      <c r="AP112" s="27"/>
      <c r="AQ112" s="27"/>
      <c r="AR112" s="27"/>
      <c r="AS112" s="27"/>
      <c r="AT112" s="27"/>
      <c r="AU112" s="27"/>
      <c r="AV112" s="27"/>
      <c r="AW112" s="27">
        <f t="shared" si="13"/>
        <v>1726190.4761904762</v>
      </c>
      <c r="AX112" s="79">
        <f t="shared" si="14"/>
        <v>23053006.142857142</v>
      </c>
      <c r="AY112" s="79">
        <f t="shared" si="15"/>
        <v>49446993.857142858</v>
      </c>
      <c r="AZ112" s="25">
        <v>1</v>
      </c>
      <c r="BA112" s="62" t="s">
        <v>97</v>
      </c>
      <c r="BB112" s="66">
        <v>1</v>
      </c>
      <c r="BC112" s="66"/>
      <c r="BD112" s="66"/>
      <c r="BE112" s="67">
        <f t="shared" si="23"/>
        <v>863095.23809523811</v>
      </c>
      <c r="BF112" s="67">
        <f t="shared" si="22"/>
        <v>0</v>
      </c>
      <c r="BG112" s="67">
        <f t="shared" si="16"/>
        <v>0</v>
      </c>
      <c r="BH112" s="66"/>
      <c r="BI112" s="68" t="s">
        <v>101</v>
      </c>
      <c r="BJ112" s="68" t="s">
        <v>349</v>
      </c>
      <c r="BK112" s="68" t="s">
        <v>349</v>
      </c>
      <c r="BL112" s="29"/>
      <c r="BO112" s="35" t="s">
        <v>1802</v>
      </c>
      <c r="BQ112" s="1" t="e">
        <v>#N/A</v>
      </c>
    </row>
    <row r="113" spans="1:69" ht="15" hidden="1" customHeight="1">
      <c r="A113" s="1" t="s">
        <v>43</v>
      </c>
      <c r="C113" s="1" t="str">
        <f t="shared" si="17"/>
        <v>2905</v>
      </c>
      <c r="D113" s="1" t="str">
        <f t="shared" si="18"/>
        <v>1906</v>
      </c>
      <c r="E113" s="19" t="s">
        <v>48</v>
      </c>
      <c r="F113" s="62" t="s">
        <v>49</v>
      </c>
      <c r="G113" s="62">
        <v>2112</v>
      </c>
      <c r="H113" s="62" t="s">
        <v>369</v>
      </c>
      <c r="I113" s="62" t="s">
        <v>370</v>
      </c>
      <c r="J113" s="118">
        <v>6</v>
      </c>
      <c r="K113" s="119"/>
      <c r="L113" s="62" t="s">
        <v>77</v>
      </c>
      <c r="M113" s="120" t="s">
        <v>371</v>
      </c>
      <c r="N113" s="65">
        <v>43587</v>
      </c>
      <c r="O113" s="24">
        <v>135933.73000000001</v>
      </c>
      <c r="P113" s="24">
        <v>23313</v>
      </c>
      <c r="Q113" s="64">
        <v>3169023047.4900002</v>
      </c>
      <c r="R113" s="64">
        <v>0</v>
      </c>
      <c r="S113" s="64"/>
      <c r="T113" s="64">
        <v>20083874</v>
      </c>
      <c r="U113" s="64" t="s">
        <v>372</v>
      </c>
      <c r="V113" s="121">
        <v>3189106921</v>
      </c>
      <c r="W113" s="122">
        <v>0</v>
      </c>
      <c r="X113" s="64">
        <v>3189106921</v>
      </c>
      <c r="Y113" s="121"/>
      <c r="Z113" s="121"/>
      <c r="AA113" s="121"/>
      <c r="AB113" s="121"/>
      <c r="AC113" s="64">
        <v>3189106921</v>
      </c>
      <c r="AD113" s="65">
        <v>43617</v>
      </c>
      <c r="AE113" s="65">
        <v>47267</v>
      </c>
      <c r="AF113" s="62">
        <v>10</v>
      </c>
      <c r="AG113" s="119">
        <v>120</v>
      </c>
      <c r="AH113" s="25">
        <v>26575891.008333333</v>
      </c>
      <c r="AI113" s="78">
        <v>1461674004.5933335</v>
      </c>
      <c r="AJ113" s="78">
        <v>1727432916.4066665</v>
      </c>
      <c r="AK113" s="27">
        <f t="shared" si="19"/>
        <v>26575891.008333333</v>
      </c>
      <c r="AL113" s="27">
        <f t="shared" si="24"/>
        <v>26575891.008333333</v>
      </c>
      <c r="AM113" s="27"/>
      <c r="AN113" s="27"/>
      <c r="AO113" s="27"/>
      <c r="AP113" s="27"/>
      <c r="AQ113" s="27"/>
      <c r="AR113" s="27"/>
      <c r="AS113" s="27"/>
      <c r="AT113" s="27"/>
      <c r="AU113" s="27"/>
      <c r="AV113" s="27"/>
      <c r="AW113" s="27">
        <f t="shared" si="13"/>
        <v>53151782.016666666</v>
      </c>
      <c r="AX113" s="79">
        <f t="shared" si="14"/>
        <v>1674281134.3899999</v>
      </c>
      <c r="AY113" s="79">
        <f t="shared" si="15"/>
        <v>1514825786.6100001</v>
      </c>
      <c r="AZ113" s="25">
        <v>6</v>
      </c>
      <c r="BA113" s="62" t="s">
        <v>97</v>
      </c>
      <c r="BB113" s="66">
        <v>1</v>
      </c>
      <c r="BC113" s="66"/>
      <c r="BD113" s="66"/>
      <c r="BE113" s="67">
        <f t="shared" si="23"/>
        <v>26575891.008333333</v>
      </c>
      <c r="BF113" s="67">
        <f t="shared" si="22"/>
        <v>0</v>
      </c>
      <c r="BG113" s="67">
        <f t="shared" si="16"/>
        <v>0</v>
      </c>
      <c r="BH113" s="66"/>
      <c r="BI113" s="68" t="s">
        <v>373</v>
      </c>
      <c r="BJ113" s="68" t="s">
        <v>81</v>
      </c>
      <c r="BK113" s="68" t="s">
        <v>81</v>
      </c>
      <c r="BL113" s="29"/>
      <c r="BO113" s="35" t="s">
        <v>1800</v>
      </c>
      <c r="BP113" s="1" t="s">
        <v>1811</v>
      </c>
      <c r="BQ113" s="1" t="s">
        <v>1930</v>
      </c>
    </row>
    <row r="114" spans="1:69" ht="15" hidden="1" customHeight="1">
      <c r="A114" s="1" t="s">
        <v>43</v>
      </c>
      <c r="C114" s="1" t="str">
        <f t="shared" si="17"/>
        <v>2605</v>
      </c>
      <c r="D114" s="1" t="str">
        <f t="shared" si="18"/>
        <v>1906</v>
      </c>
      <c r="E114" s="19" t="s">
        <v>48</v>
      </c>
      <c r="F114" s="62" t="s">
        <v>49</v>
      </c>
      <c r="G114" s="62">
        <v>2112</v>
      </c>
      <c r="H114" s="62" t="s">
        <v>374</v>
      </c>
      <c r="I114" s="62" t="s">
        <v>375</v>
      </c>
      <c r="J114" s="118">
        <v>3</v>
      </c>
      <c r="K114" s="119"/>
      <c r="L114" s="62" t="s">
        <v>77</v>
      </c>
      <c r="M114" s="120" t="s">
        <v>376</v>
      </c>
      <c r="N114" s="65">
        <v>43595</v>
      </c>
      <c r="O114" s="24">
        <v>5663.91</v>
      </c>
      <c r="P114" s="24">
        <v>23325</v>
      </c>
      <c r="Q114" s="64">
        <v>132110700.75</v>
      </c>
      <c r="R114" s="64">
        <v>0</v>
      </c>
      <c r="S114" s="64"/>
      <c r="T114" s="130">
        <v>2657196.58</v>
      </c>
      <c r="U114" s="64" t="s">
        <v>377</v>
      </c>
      <c r="V114" s="121">
        <v>134767897</v>
      </c>
      <c r="W114" s="122">
        <v>0</v>
      </c>
      <c r="X114" s="64">
        <v>134767897</v>
      </c>
      <c r="Y114" s="121"/>
      <c r="Z114" s="121"/>
      <c r="AA114" s="121"/>
      <c r="AB114" s="121"/>
      <c r="AC114" s="64">
        <v>134767897</v>
      </c>
      <c r="AD114" s="65">
        <v>43617</v>
      </c>
      <c r="AE114" s="65">
        <v>46172</v>
      </c>
      <c r="AF114" s="62">
        <v>7</v>
      </c>
      <c r="AG114" s="119">
        <v>84</v>
      </c>
      <c r="AH114" s="25">
        <v>1604379.7261904762</v>
      </c>
      <c r="AI114" s="78">
        <v>88240896.931904763</v>
      </c>
      <c r="AJ114" s="78">
        <v>46527000.068095237</v>
      </c>
      <c r="AK114" s="27">
        <f t="shared" si="19"/>
        <v>1604379.7261904762</v>
      </c>
      <c r="AL114" s="27">
        <f t="shared" si="24"/>
        <v>1604379.7261904762</v>
      </c>
      <c r="AM114" s="27"/>
      <c r="AN114" s="27"/>
      <c r="AO114" s="27"/>
      <c r="AP114" s="27"/>
      <c r="AQ114" s="27"/>
      <c r="AR114" s="27"/>
      <c r="AS114" s="27"/>
      <c r="AT114" s="27"/>
      <c r="AU114" s="27"/>
      <c r="AV114" s="27"/>
      <c r="AW114" s="27">
        <f t="shared" si="13"/>
        <v>3208759.4523809524</v>
      </c>
      <c r="AX114" s="79">
        <f t="shared" si="14"/>
        <v>43318240.615714282</v>
      </c>
      <c r="AY114" s="79">
        <f t="shared" si="15"/>
        <v>91449656.384285718</v>
      </c>
      <c r="AZ114" s="25">
        <v>3</v>
      </c>
      <c r="BA114" s="62" t="s">
        <v>97</v>
      </c>
      <c r="BB114" s="66">
        <v>1</v>
      </c>
      <c r="BC114" s="66"/>
      <c r="BD114" s="66"/>
      <c r="BE114" s="67">
        <f t="shared" si="23"/>
        <v>1604379.7261904762</v>
      </c>
      <c r="BF114" s="67">
        <f t="shared" si="22"/>
        <v>0</v>
      </c>
      <c r="BG114" s="67">
        <f t="shared" si="16"/>
        <v>0</v>
      </c>
      <c r="BH114" s="66"/>
      <c r="BI114" s="68" t="s">
        <v>146</v>
      </c>
      <c r="BJ114" s="68" t="s">
        <v>58</v>
      </c>
      <c r="BK114" s="68" t="s">
        <v>159</v>
      </c>
      <c r="BL114" s="29"/>
      <c r="BO114" s="35" t="s">
        <v>1804</v>
      </c>
      <c r="BQ114" s="1" t="e">
        <v>#N/A</v>
      </c>
    </row>
    <row r="115" spans="1:69" ht="15" hidden="1" customHeight="1">
      <c r="A115" s="1" t="s">
        <v>43</v>
      </c>
      <c r="C115" s="1" t="str">
        <f t="shared" si="17"/>
        <v>2405</v>
      </c>
      <c r="D115" s="1" t="str">
        <f t="shared" si="18"/>
        <v>1906</v>
      </c>
      <c r="E115" s="19" t="s">
        <v>48</v>
      </c>
      <c r="F115" s="62" t="s">
        <v>49</v>
      </c>
      <c r="G115" s="62">
        <v>2112</v>
      </c>
      <c r="H115" s="62" t="s">
        <v>378</v>
      </c>
      <c r="I115" s="62" t="s">
        <v>379</v>
      </c>
      <c r="J115" s="118">
        <v>6</v>
      </c>
      <c r="K115" s="119"/>
      <c r="L115" s="62" t="s">
        <v>77</v>
      </c>
      <c r="M115" s="120" t="s">
        <v>376</v>
      </c>
      <c r="N115" s="65">
        <v>43595</v>
      </c>
      <c r="O115" s="24">
        <v>14329.68</v>
      </c>
      <c r="P115" s="24">
        <v>23325</v>
      </c>
      <c r="Q115" s="64">
        <v>334239786</v>
      </c>
      <c r="R115" s="64">
        <v>0</v>
      </c>
      <c r="S115" s="64"/>
      <c r="T115" s="130">
        <v>6722701.5599999996</v>
      </c>
      <c r="U115" s="64" t="s">
        <v>377</v>
      </c>
      <c r="V115" s="121">
        <v>340962488</v>
      </c>
      <c r="W115" s="122">
        <v>0</v>
      </c>
      <c r="X115" s="64">
        <v>340962488</v>
      </c>
      <c r="Y115" s="121"/>
      <c r="Z115" s="121"/>
      <c r="AA115" s="121"/>
      <c r="AB115" s="121"/>
      <c r="AC115" s="64">
        <v>340962488</v>
      </c>
      <c r="AD115" s="65">
        <v>43617</v>
      </c>
      <c r="AE115" s="65">
        <v>45442</v>
      </c>
      <c r="AF115" s="62">
        <v>5</v>
      </c>
      <c r="AG115" s="119">
        <v>60</v>
      </c>
      <c r="AH115" s="25">
        <v>5682708.1333333338</v>
      </c>
      <c r="AI115" s="78">
        <v>312548941.77333331</v>
      </c>
      <c r="AJ115" s="78">
        <v>28413546.226666674</v>
      </c>
      <c r="AK115" s="27">
        <f t="shared" si="19"/>
        <v>5682708.1333333338</v>
      </c>
      <c r="AL115" s="27">
        <f t="shared" si="24"/>
        <v>5682708.1333333338</v>
      </c>
      <c r="AM115" s="27"/>
      <c r="AN115" s="27"/>
      <c r="AO115" s="27"/>
      <c r="AP115" s="27"/>
      <c r="AQ115" s="27"/>
      <c r="AR115" s="27"/>
      <c r="AS115" s="27"/>
      <c r="AT115" s="27"/>
      <c r="AU115" s="27"/>
      <c r="AV115" s="27"/>
      <c r="AW115" s="27">
        <f t="shared" si="13"/>
        <v>11365416.266666668</v>
      </c>
      <c r="AX115" s="79">
        <f t="shared" si="14"/>
        <v>17048129.960000023</v>
      </c>
      <c r="AY115" s="79">
        <f t="shared" si="15"/>
        <v>323914358.03999996</v>
      </c>
      <c r="AZ115" s="25">
        <v>6</v>
      </c>
      <c r="BA115" s="62" t="s">
        <v>97</v>
      </c>
      <c r="BB115" s="66">
        <v>1</v>
      </c>
      <c r="BC115" s="66"/>
      <c r="BD115" s="66"/>
      <c r="BE115" s="67">
        <f t="shared" si="23"/>
        <v>5682708.1333333338</v>
      </c>
      <c r="BF115" s="67">
        <f t="shared" si="22"/>
        <v>0</v>
      </c>
      <c r="BG115" s="67">
        <f t="shared" si="16"/>
        <v>0</v>
      </c>
      <c r="BH115" s="66"/>
      <c r="BI115" s="68">
        <v>0</v>
      </c>
      <c r="BJ115" s="68" t="s">
        <v>58</v>
      </c>
      <c r="BK115" s="68" t="s">
        <v>159</v>
      </c>
      <c r="BL115" s="29"/>
      <c r="BO115" s="35" t="s">
        <v>1804</v>
      </c>
      <c r="BQ115" s="1" t="e">
        <v>#N/A</v>
      </c>
    </row>
    <row r="116" spans="1:69" ht="15" hidden="1" customHeight="1">
      <c r="A116" s="1" t="s">
        <v>43</v>
      </c>
      <c r="C116" s="1" t="str">
        <f t="shared" si="17"/>
        <v>2605</v>
      </c>
      <c r="D116" s="1" t="str">
        <f t="shared" si="18"/>
        <v>1906</v>
      </c>
      <c r="E116" s="19" t="s">
        <v>48</v>
      </c>
      <c r="F116" s="62" t="s">
        <v>49</v>
      </c>
      <c r="G116" s="62">
        <v>2112</v>
      </c>
      <c r="H116" s="62" t="s">
        <v>380</v>
      </c>
      <c r="I116" s="62" t="s">
        <v>381</v>
      </c>
      <c r="J116" s="118">
        <v>1</v>
      </c>
      <c r="K116" s="119"/>
      <c r="L116" s="62" t="s">
        <v>77</v>
      </c>
      <c r="M116" s="120" t="s">
        <v>382</v>
      </c>
      <c r="N116" s="65">
        <v>43606</v>
      </c>
      <c r="O116" s="24">
        <v>3040</v>
      </c>
      <c r="P116" s="24">
        <v>23458</v>
      </c>
      <c r="Q116" s="64">
        <v>71312320</v>
      </c>
      <c r="R116" s="64">
        <v>0</v>
      </c>
      <c r="S116" s="64"/>
      <c r="T116" s="130">
        <v>1617185.72</v>
      </c>
      <c r="U116" s="64" t="s">
        <v>383</v>
      </c>
      <c r="V116" s="121">
        <v>72929506</v>
      </c>
      <c r="W116" s="122">
        <v>0</v>
      </c>
      <c r="X116" s="64">
        <v>72929506</v>
      </c>
      <c r="Y116" s="121"/>
      <c r="Z116" s="121"/>
      <c r="AA116" s="121"/>
      <c r="AB116" s="121"/>
      <c r="AC116" s="64">
        <v>72929506</v>
      </c>
      <c r="AD116" s="65">
        <v>43617</v>
      </c>
      <c r="AE116" s="65">
        <v>46172</v>
      </c>
      <c r="AF116" s="62">
        <v>7</v>
      </c>
      <c r="AG116" s="119">
        <v>84</v>
      </c>
      <c r="AH116" s="25">
        <v>868208.40476190473</v>
      </c>
      <c r="AI116" s="78">
        <v>47751444.327619046</v>
      </c>
      <c r="AJ116" s="78">
        <v>25178061.67238095</v>
      </c>
      <c r="AK116" s="27">
        <f t="shared" si="19"/>
        <v>868208.40476190473</v>
      </c>
      <c r="AL116" s="27">
        <f t="shared" si="24"/>
        <v>868208.40476190473</v>
      </c>
      <c r="AM116" s="27"/>
      <c r="AN116" s="27"/>
      <c r="AO116" s="27"/>
      <c r="AP116" s="27"/>
      <c r="AQ116" s="27"/>
      <c r="AR116" s="27"/>
      <c r="AS116" s="27"/>
      <c r="AT116" s="27"/>
      <c r="AU116" s="27"/>
      <c r="AV116" s="27"/>
      <c r="AW116" s="27">
        <f t="shared" si="13"/>
        <v>1736416.8095238095</v>
      </c>
      <c r="AX116" s="79">
        <f t="shared" si="14"/>
        <v>23441644.862857144</v>
      </c>
      <c r="AY116" s="79">
        <f t="shared" si="15"/>
        <v>49487861.137142852</v>
      </c>
      <c r="AZ116" s="25">
        <v>1</v>
      </c>
      <c r="BA116" s="62" t="s">
        <v>97</v>
      </c>
      <c r="BB116" s="66">
        <v>1</v>
      </c>
      <c r="BC116" s="66"/>
      <c r="BD116" s="66"/>
      <c r="BE116" s="67">
        <f t="shared" si="23"/>
        <v>868208.40476190473</v>
      </c>
      <c r="BF116" s="67">
        <f t="shared" si="22"/>
        <v>0</v>
      </c>
      <c r="BG116" s="67">
        <f t="shared" si="16"/>
        <v>0</v>
      </c>
      <c r="BH116" s="66"/>
      <c r="BI116" s="68" t="s">
        <v>84</v>
      </c>
      <c r="BJ116" s="68" t="s">
        <v>85</v>
      </c>
      <c r="BK116" s="68" t="s">
        <v>85</v>
      </c>
      <c r="BL116" s="29"/>
      <c r="BO116" s="35" t="s">
        <v>1805</v>
      </c>
      <c r="BQ116" s="1" t="e">
        <v>#N/A</v>
      </c>
    </row>
    <row r="117" spans="1:69" ht="15" hidden="1" customHeight="1">
      <c r="A117" s="1" t="s">
        <v>43</v>
      </c>
      <c r="C117" s="1" t="str">
        <f t="shared" si="17"/>
        <v>2605</v>
      </c>
      <c r="D117" s="1" t="str">
        <f t="shared" si="18"/>
        <v>1906</v>
      </c>
      <c r="E117" s="19" t="s">
        <v>48</v>
      </c>
      <c r="F117" s="62" t="s">
        <v>49</v>
      </c>
      <c r="G117" s="62">
        <v>2112</v>
      </c>
      <c r="H117" s="62" t="s">
        <v>384</v>
      </c>
      <c r="I117" s="62" t="s">
        <v>385</v>
      </c>
      <c r="J117" s="118">
        <v>1</v>
      </c>
      <c r="K117" s="119"/>
      <c r="L117" s="62" t="s">
        <v>77</v>
      </c>
      <c r="M117" s="120" t="s">
        <v>382</v>
      </c>
      <c r="N117" s="65">
        <v>43606</v>
      </c>
      <c r="O117" s="24">
        <v>3040</v>
      </c>
      <c r="P117" s="24">
        <v>23458</v>
      </c>
      <c r="Q117" s="64">
        <v>71312320</v>
      </c>
      <c r="R117" s="64">
        <v>0</v>
      </c>
      <c r="S117" s="64"/>
      <c r="T117" s="64">
        <v>1617185.72</v>
      </c>
      <c r="U117" s="64" t="s">
        <v>383</v>
      </c>
      <c r="V117" s="121">
        <v>72929506</v>
      </c>
      <c r="W117" s="122">
        <v>0</v>
      </c>
      <c r="X117" s="64">
        <v>72929506</v>
      </c>
      <c r="Y117" s="121"/>
      <c r="Z117" s="121"/>
      <c r="AA117" s="121"/>
      <c r="AB117" s="121"/>
      <c r="AC117" s="64">
        <v>72929506</v>
      </c>
      <c r="AD117" s="65">
        <v>43617</v>
      </c>
      <c r="AE117" s="65">
        <v>46172</v>
      </c>
      <c r="AF117" s="62">
        <v>7</v>
      </c>
      <c r="AG117" s="119">
        <v>84</v>
      </c>
      <c r="AH117" s="25">
        <v>868208.40476190473</v>
      </c>
      <c r="AI117" s="78">
        <v>47751444.327619046</v>
      </c>
      <c r="AJ117" s="78">
        <v>25178061.67238095</v>
      </c>
      <c r="AK117" s="27">
        <f t="shared" si="19"/>
        <v>868208.40476190473</v>
      </c>
      <c r="AL117" s="27">
        <f t="shared" si="24"/>
        <v>868208.40476190473</v>
      </c>
      <c r="AM117" s="27"/>
      <c r="AN117" s="27"/>
      <c r="AO117" s="27"/>
      <c r="AP117" s="27"/>
      <c r="AQ117" s="27"/>
      <c r="AR117" s="27"/>
      <c r="AS117" s="27"/>
      <c r="AT117" s="27"/>
      <c r="AU117" s="27"/>
      <c r="AV117" s="27"/>
      <c r="AW117" s="27">
        <f t="shared" si="13"/>
        <v>1736416.8095238095</v>
      </c>
      <c r="AX117" s="79">
        <f t="shared" si="14"/>
        <v>23441644.862857144</v>
      </c>
      <c r="AY117" s="79">
        <f t="shared" si="15"/>
        <v>49487861.137142852</v>
      </c>
      <c r="AZ117" s="25">
        <v>1</v>
      </c>
      <c r="BA117" s="62" t="s">
        <v>97</v>
      </c>
      <c r="BB117" s="66">
        <v>1</v>
      </c>
      <c r="BC117" s="66"/>
      <c r="BD117" s="66"/>
      <c r="BE117" s="67">
        <f t="shared" si="23"/>
        <v>868208.40476190473</v>
      </c>
      <c r="BF117" s="67">
        <f t="shared" si="22"/>
        <v>0</v>
      </c>
      <c r="BG117" s="67">
        <f t="shared" si="16"/>
        <v>0</v>
      </c>
      <c r="BH117" s="66"/>
      <c r="BI117" s="68">
        <v>0</v>
      </c>
      <c r="BJ117" s="68" t="s">
        <v>85</v>
      </c>
      <c r="BK117" s="68" t="s">
        <v>85</v>
      </c>
      <c r="BL117" s="29"/>
      <c r="BO117" s="35" t="s">
        <v>1805</v>
      </c>
      <c r="BQ117" s="1" t="s">
        <v>1980</v>
      </c>
    </row>
    <row r="118" spans="1:69" ht="15" hidden="1" customHeight="1">
      <c r="A118" s="1" t="s">
        <v>43</v>
      </c>
      <c r="C118" s="1" t="str">
        <f t="shared" si="17"/>
        <v>2605</v>
      </c>
      <c r="D118" s="1" t="str">
        <f t="shared" si="18"/>
        <v>1906</v>
      </c>
      <c r="E118" s="19" t="s">
        <v>48</v>
      </c>
      <c r="F118" s="62" t="s">
        <v>49</v>
      </c>
      <c r="G118" s="62">
        <v>2112</v>
      </c>
      <c r="H118" s="62" t="s">
        <v>386</v>
      </c>
      <c r="I118" s="62" t="s">
        <v>387</v>
      </c>
      <c r="J118" s="118">
        <v>1</v>
      </c>
      <c r="K118" s="119"/>
      <c r="L118" s="62" t="s">
        <v>77</v>
      </c>
      <c r="M118" s="120" t="s">
        <v>382</v>
      </c>
      <c r="N118" s="65">
        <v>43606</v>
      </c>
      <c r="O118" s="24">
        <v>3040</v>
      </c>
      <c r="P118" s="24">
        <v>23458</v>
      </c>
      <c r="Q118" s="64">
        <v>71312320</v>
      </c>
      <c r="R118" s="64">
        <v>0</v>
      </c>
      <c r="S118" s="64"/>
      <c r="T118" s="64">
        <v>1617185.72</v>
      </c>
      <c r="U118" s="64" t="s">
        <v>383</v>
      </c>
      <c r="V118" s="121">
        <v>72929506</v>
      </c>
      <c r="W118" s="122">
        <v>0</v>
      </c>
      <c r="X118" s="64">
        <v>72929506</v>
      </c>
      <c r="Y118" s="121"/>
      <c r="Z118" s="121"/>
      <c r="AA118" s="121"/>
      <c r="AB118" s="121"/>
      <c r="AC118" s="64">
        <v>72929506</v>
      </c>
      <c r="AD118" s="65">
        <v>43617</v>
      </c>
      <c r="AE118" s="65">
        <v>46172</v>
      </c>
      <c r="AF118" s="62">
        <v>7</v>
      </c>
      <c r="AG118" s="119">
        <v>84</v>
      </c>
      <c r="AH118" s="25">
        <v>868208.40476190473</v>
      </c>
      <c r="AI118" s="78">
        <v>47751444.327619046</v>
      </c>
      <c r="AJ118" s="78">
        <v>25178061.67238095</v>
      </c>
      <c r="AK118" s="27">
        <f t="shared" si="19"/>
        <v>868208.40476190473</v>
      </c>
      <c r="AL118" s="27">
        <f t="shared" si="24"/>
        <v>868208.40476190473</v>
      </c>
      <c r="AM118" s="27"/>
      <c r="AN118" s="27"/>
      <c r="AO118" s="27"/>
      <c r="AP118" s="27"/>
      <c r="AQ118" s="27"/>
      <c r="AR118" s="27"/>
      <c r="AS118" s="27"/>
      <c r="AT118" s="27"/>
      <c r="AU118" s="27"/>
      <c r="AV118" s="27"/>
      <c r="AW118" s="27">
        <f t="shared" si="13"/>
        <v>1736416.8095238095</v>
      </c>
      <c r="AX118" s="79">
        <f t="shared" si="14"/>
        <v>23441644.862857144</v>
      </c>
      <c r="AY118" s="79">
        <f t="shared" si="15"/>
        <v>49487861.137142852</v>
      </c>
      <c r="AZ118" s="25">
        <v>1</v>
      </c>
      <c r="BA118" s="62" t="s">
        <v>97</v>
      </c>
      <c r="BB118" s="66">
        <v>1</v>
      </c>
      <c r="BC118" s="66"/>
      <c r="BD118" s="66"/>
      <c r="BE118" s="67">
        <f t="shared" si="23"/>
        <v>868208.40476190473</v>
      </c>
      <c r="BF118" s="67">
        <f t="shared" si="22"/>
        <v>0</v>
      </c>
      <c r="BG118" s="67">
        <f t="shared" si="16"/>
        <v>0</v>
      </c>
      <c r="BH118" s="66"/>
      <c r="BI118" s="68" t="s">
        <v>80</v>
      </c>
      <c r="BJ118" s="68" t="s">
        <v>81</v>
      </c>
      <c r="BK118" s="68" t="s">
        <v>81</v>
      </c>
      <c r="BL118" s="29"/>
      <c r="BO118" s="35" t="s">
        <v>1805</v>
      </c>
      <c r="BQ118" s="1" t="s">
        <v>1930</v>
      </c>
    </row>
    <row r="119" spans="1:69" ht="15" hidden="1" customHeight="1">
      <c r="A119" s="1" t="s">
        <v>43</v>
      </c>
      <c r="C119" s="1" t="str">
        <f t="shared" si="17"/>
        <v>2605</v>
      </c>
      <c r="D119" s="1" t="str">
        <f t="shared" si="18"/>
        <v>1906</v>
      </c>
      <c r="E119" s="19" t="s">
        <v>48</v>
      </c>
      <c r="F119" s="62" t="s">
        <v>49</v>
      </c>
      <c r="G119" s="62">
        <v>2112</v>
      </c>
      <c r="H119" s="62" t="s">
        <v>388</v>
      </c>
      <c r="I119" s="62" t="s">
        <v>389</v>
      </c>
      <c r="J119" s="118">
        <v>1</v>
      </c>
      <c r="K119" s="119"/>
      <c r="L119" s="62" t="s">
        <v>77</v>
      </c>
      <c r="M119" s="120" t="s">
        <v>382</v>
      </c>
      <c r="N119" s="65">
        <v>43606</v>
      </c>
      <c r="O119" s="24">
        <v>17345.78</v>
      </c>
      <c r="P119" s="24">
        <v>23458</v>
      </c>
      <c r="Q119" s="64">
        <v>406897307.23999995</v>
      </c>
      <c r="R119" s="64">
        <v>0</v>
      </c>
      <c r="S119" s="64"/>
      <c r="T119" s="64">
        <v>9227416.9900000002</v>
      </c>
      <c r="U119" s="64" t="s">
        <v>383</v>
      </c>
      <c r="V119" s="121">
        <v>416124724</v>
      </c>
      <c r="W119" s="122">
        <v>0</v>
      </c>
      <c r="X119" s="64">
        <v>416124724</v>
      </c>
      <c r="Y119" s="121"/>
      <c r="Z119" s="121"/>
      <c r="AA119" s="121"/>
      <c r="AB119" s="121"/>
      <c r="AC119" s="64">
        <v>416124724</v>
      </c>
      <c r="AD119" s="65">
        <v>43617</v>
      </c>
      <c r="AE119" s="65">
        <v>46172</v>
      </c>
      <c r="AF119" s="62">
        <v>7</v>
      </c>
      <c r="AG119" s="119">
        <v>84</v>
      </c>
      <c r="AH119" s="25">
        <v>4953865.7619047621</v>
      </c>
      <c r="AI119" s="78">
        <v>272462627.38904762</v>
      </c>
      <c r="AJ119" s="78">
        <v>143662096.61095241</v>
      </c>
      <c r="AK119" s="27">
        <f t="shared" si="19"/>
        <v>4953865.7619047621</v>
      </c>
      <c r="AL119" s="27">
        <f t="shared" si="24"/>
        <v>4953865.7619047621</v>
      </c>
      <c r="AM119" s="27"/>
      <c r="AN119" s="27"/>
      <c r="AO119" s="27"/>
      <c r="AP119" s="27"/>
      <c r="AQ119" s="27"/>
      <c r="AR119" s="27"/>
      <c r="AS119" s="27"/>
      <c r="AT119" s="27"/>
      <c r="AU119" s="27"/>
      <c r="AV119" s="27"/>
      <c r="AW119" s="27">
        <f t="shared" si="13"/>
        <v>9907731.5238095243</v>
      </c>
      <c r="AX119" s="79">
        <f t="shared" si="14"/>
        <v>133754365.08714285</v>
      </c>
      <c r="AY119" s="79">
        <f t="shared" si="15"/>
        <v>282370358.91285717</v>
      </c>
      <c r="AZ119" s="25">
        <v>1</v>
      </c>
      <c r="BA119" s="62" t="s">
        <v>97</v>
      </c>
      <c r="BB119" s="66">
        <v>1</v>
      </c>
      <c r="BC119" s="66"/>
      <c r="BD119" s="66"/>
      <c r="BE119" s="67">
        <f t="shared" si="23"/>
        <v>4953865.7619047621</v>
      </c>
      <c r="BF119" s="67">
        <f t="shared" si="22"/>
        <v>0</v>
      </c>
      <c r="BG119" s="67">
        <f t="shared" si="16"/>
        <v>0</v>
      </c>
      <c r="BH119" s="66"/>
      <c r="BI119" s="68" t="s">
        <v>80</v>
      </c>
      <c r="BJ119" s="68" t="s">
        <v>81</v>
      </c>
      <c r="BK119" s="68" t="s">
        <v>81</v>
      </c>
      <c r="BL119" s="29"/>
      <c r="BO119" s="35" t="s">
        <v>1805</v>
      </c>
      <c r="BQ119" s="1" t="s">
        <v>1930</v>
      </c>
    </row>
    <row r="120" spans="1:69" ht="15" hidden="1" customHeight="1">
      <c r="A120" s="1" t="s">
        <v>43</v>
      </c>
      <c r="C120" s="1" t="str">
        <f t="shared" si="17"/>
        <v>2605</v>
      </c>
      <c r="D120" s="1" t="str">
        <f t="shared" si="18"/>
        <v>1906</v>
      </c>
      <c r="E120" s="19" t="s">
        <v>48</v>
      </c>
      <c r="F120" s="62" t="s">
        <v>49</v>
      </c>
      <c r="G120" s="62">
        <v>2112</v>
      </c>
      <c r="H120" s="62" t="s">
        <v>390</v>
      </c>
      <c r="I120" s="62" t="s">
        <v>391</v>
      </c>
      <c r="J120" s="118">
        <v>1</v>
      </c>
      <c r="K120" s="119"/>
      <c r="L120" s="62" t="s">
        <v>77</v>
      </c>
      <c r="M120" s="120" t="s">
        <v>392</v>
      </c>
      <c r="N120" s="65">
        <v>43612</v>
      </c>
      <c r="O120" s="24">
        <v>1887.97</v>
      </c>
      <c r="P120" s="24">
        <v>23452</v>
      </c>
      <c r="Q120" s="64">
        <v>44276672.439999998</v>
      </c>
      <c r="R120" s="64">
        <v>0</v>
      </c>
      <c r="S120" s="64"/>
      <c r="T120" s="131">
        <v>599581.15</v>
      </c>
      <c r="U120" s="64" t="s">
        <v>393</v>
      </c>
      <c r="V120" s="121">
        <v>44876254</v>
      </c>
      <c r="W120" s="122">
        <v>0</v>
      </c>
      <c r="X120" s="64">
        <v>44876254</v>
      </c>
      <c r="Y120" s="121"/>
      <c r="Z120" s="121"/>
      <c r="AA120" s="121"/>
      <c r="AB120" s="121"/>
      <c r="AC120" s="64">
        <v>44876254</v>
      </c>
      <c r="AD120" s="65">
        <v>43617</v>
      </c>
      <c r="AE120" s="65">
        <v>46172</v>
      </c>
      <c r="AF120" s="62">
        <v>7</v>
      </c>
      <c r="AG120" s="119">
        <v>84</v>
      </c>
      <c r="AH120" s="25">
        <v>534241.11904761905</v>
      </c>
      <c r="AI120" s="78">
        <v>29383256.600476187</v>
      </c>
      <c r="AJ120" s="78">
        <v>15492997.399523813</v>
      </c>
      <c r="AK120" s="27">
        <f t="shared" si="19"/>
        <v>534241.11904761905</v>
      </c>
      <c r="AL120" s="27">
        <f t="shared" si="24"/>
        <v>534241.11904761905</v>
      </c>
      <c r="AM120" s="27"/>
      <c r="AN120" s="27"/>
      <c r="AO120" s="27"/>
      <c r="AP120" s="27"/>
      <c r="AQ120" s="27"/>
      <c r="AR120" s="27"/>
      <c r="AS120" s="27"/>
      <c r="AT120" s="27"/>
      <c r="AU120" s="27"/>
      <c r="AV120" s="27"/>
      <c r="AW120" s="27">
        <f t="shared" si="13"/>
        <v>1068482.2380952381</v>
      </c>
      <c r="AX120" s="79">
        <f t="shared" si="14"/>
        <v>14424515.161428574</v>
      </c>
      <c r="AY120" s="79">
        <f t="shared" si="15"/>
        <v>30451738.838571426</v>
      </c>
      <c r="AZ120" s="25">
        <v>1</v>
      </c>
      <c r="BA120" s="62" t="s">
        <v>97</v>
      </c>
      <c r="BB120" s="66">
        <v>1</v>
      </c>
      <c r="BC120" s="66"/>
      <c r="BD120" s="66"/>
      <c r="BE120" s="67">
        <f t="shared" si="23"/>
        <v>534241.11904761905</v>
      </c>
      <c r="BF120" s="67">
        <f t="shared" si="22"/>
        <v>0</v>
      </c>
      <c r="BG120" s="67">
        <f t="shared" si="16"/>
        <v>0</v>
      </c>
      <c r="BH120" s="66"/>
      <c r="BI120" s="68" t="s">
        <v>146</v>
      </c>
      <c r="BJ120" s="68" t="s">
        <v>58</v>
      </c>
      <c r="BK120" s="68" t="s">
        <v>159</v>
      </c>
      <c r="BL120" s="29"/>
      <c r="BO120" s="35" t="s">
        <v>1804</v>
      </c>
      <c r="BQ120" s="1" t="e">
        <v>#N/A</v>
      </c>
    </row>
    <row r="121" spans="1:69" ht="15" hidden="1" customHeight="1">
      <c r="A121" s="1" t="s">
        <v>43</v>
      </c>
      <c r="C121" s="1" t="str">
        <f t="shared" si="17"/>
        <v>2605</v>
      </c>
      <c r="D121" s="1" t="str">
        <f t="shared" si="18"/>
        <v>1906</v>
      </c>
      <c r="E121" s="19" t="s">
        <v>48</v>
      </c>
      <c r="F121" s="62" t="s">
        <v>394</v>
      </c>
      <c r="G121" s="62">
        <v>2112</v>
      </c>
      <c r="H121" s="62" t="s">
        <v>395</v>
      </c>
      <c r="I121" s="62" t="s">
        <v>396</v>
      </c>
      <c r="J121" s="118">
        <v>1</v>
      </c>
      <c r="K121" s="119"/>
      <c r="L121" s="62" t="s">
        <v>77</v>
      </c>
      <c r="M121" s="120" t="s">
        <v>397</v>
      </c>
      <c r="N121" s="65">
        <v>43615</v>
      </c>
      <c r="O121" s="24">
        <v>45395.82</v>
      </c>
      <c r="P121" s="24">
        <v>23479</v>
      </c>
      <c r="Q121" s="64">
        <v>1065848457.78</v>
      </c>
      <c r="R121" s="64">
        <v>0</v>
      </c>
      <c r="S121" s="64"/>
      <c r="T121" s="64">
        <v>19359209.214000002</v>
      </c>
      <c r="U121" s="64" t="s">
        <v>398</v>
      </c>
      <c r="V121" s="121">
        <v>1085207667</v>
      </c>
      <c r="W121" s="122">
        <v>0</v>
      </c>
      <c r="X121" s="64">
        <v>1085207667</v>
      </c>
      <c r="Y121" s="121"/>
      <c r="Z121" s="121"/>
      <c r="AA121" s="121"/>
      <c r="AB121" s="121"/>
      <c r="AC121" s="64">
        <v>1085207667</v>
      </c>
      <c r="AD121" s="65">
        <v>43617</v>
      </c>
      <c r="AE121" s="65">
        <v>46172</v>
      </c>
      <c r="AF121" s="62">
        <v>7</v>
      </c>
      <c r="AG121" s="119">
        <v>84</v>
      </c>
      <c r="AH121" s="25">
        <v>12919138.892857144</v>
      </c>
      <c r="AI121" s="78">
        <v>710552643.93857145</v>
      </c>
      <c r="AJ121" s="78">
        <v>374655023.06142855</v>
      </c>
      <c r="AK121" s="27">
        <f t="shared" si="19"/>
        <v>12919138.892857144</v>
      </c>
      <c r="AL121" s="27">
        <f t="shared" si="24"/>
        <v>12919138.892857144</v>
      </c>
      <c r="AM121" s="27"/>
      <c r="AN121" s="27"/>
      <c r="AO121" s="27"/>
      <c r="AP121" s="27"/>
      <c r="AQ121" s="27"/>
      <c r="AR121" s="27"/>
      <c r="AS121" s="27"/>
      <c r="AT121" s="27"/>
      <c r="AU121" s="27"/>
      <c r="AV121" s="27"/>
      <c r="AW121" s="27">
        <f t="shared" si="13"/>
        <v>25838277.785714287</v>
      </c>
      <c r="AX121" s="79">
        <f t="shared" si="14"/>
        <v>348816745.27571428</v>
      </c>
      <c r="AY121" s="79">
        <f t="shared" si="15"/>
        <v>736390921.72428572</v>
      </c>
      <c r="AZ121" s="25">
        <v>1</v>
      </c>
      <c r="BA121" s="62" t="s">
        <v>97</v>
      </c>
      <c r="BB121" s="66">
        <v>1</v>
      </c>
      <c r="BC121" s="66"/>
      <c r="BD121" s="66"/>
      <c r="BE121" s="67">
        <f t="shared" si="23"/>
        <v>12919138.892857144</v>
      </c>
      <c r="BF121" s="67">
        <f t="shared" si="22"/>
        <v>0</v>
      </c>
      <c r="BG121" s="67">
        <f t="shared" si="16"/>
        <v>0</v>
      </c>
      <c r="BH121" s="66"/>
      <c r="BI121" s="68" t="s">
        <v>57</v>
      </c>
      <c r="BJ121" s="68" t="s">
        <v>399</v>
      </c>
      <c r="BK121" s="68" t="s">
        <v>98</v>
      </c>
      <c r="BL121" s="29"/>
      <c r="BM121" s="1" t="s">
        <v>1887</v>
      </c>
      <c r="BO121" s="35" t="s">
        <v>1807</v>
      </c>
      <c r="BQ121" s="1" t="s">
        <v>1982</v>
      </c>
    </row>
    <row r="122" spans="1:69" s="41" customFormat="1" ht="15" hidden="1" customHeight="1">
      <c r="A122" s="1" t="s">
        <v>43</v>
      </c>
      <c r="C122" s="1" t="str">
        <f t="shared" si="17"/>
        <v>2606</v>
      </c>
      <c r="D122" s="1" t="str">
        <f t="shared" si="18"/>
        <v>1906</v>
      </c>
      <c r="E122" s="19" t="s">
        <v>48</v>
      </c>
      <c r="F122" s="62" t="s">
        <v>49</v>
      </c>
      <c r="G122" s="62">
        <v>2114</v>
      </c>
      <c r="H122" s="62" t="s">
        <v>400</v>
      </c>
      <c r="I122" s="62" t="s">
        <v>401</v>
      </c>
      <c r="J122" s="118">
        <v>1</v>
      </c>
      <c r="K122" s="119"/>
      <c r="L122" s="62" t="s">
        <v>402</v>
      </c>
      <c r="M122" s="120" t="s">
        <v>403</v>
      </c>
      <c r="N122" s="65">
        <v>43627</v>
      </c>
      <c r="O122" s="24"/>
      <c r="P122" s="24"/>
      <c r="Q122" s="64">
        <v>52800000</v>
      </c>
      <c r="R122" s="64"/>
      <c r="S122" s="64"/>
      <c r="T122" s="64"/>
      <c r="U122" s="64"/>
      <c r="V122" s="121">
        <v>52800000</v>
      </c>
      <c r="W122" s="122">
        <v>0</v>
      </c>
      <c r="X122" s="64">
        <v>52800000</v>
      </c>
      <c r="Y122" s="121"/>
      <c r="Z122" s="121"/>
      <c r="AA122" s="121"/>
      <c r="AB122" s="121"/>
      <c r="AC122" s="64">
        <v>52800000</v>
      </c>
      <c r="AD122" s="65">
        <v>43627</v>
      </c>
      <c r="AE122" s="65">
        <v>46182</v>
      </c>
      <c r="AF122" s="62">
        <v>7</v>
      </c>
      <c r="AG122" s="119">
        <v>84</v>
      </c>
      <c r="AH122" s="25">
        <v>628571.42857142852</v>
      </c>
      <c r="AI122" s="78">
        <v>34361885.285714284</v>
      </c>
      <c r="AJ122" s="78">
        <v>18438114.714285716</v>
      </c>
      <c r="AK122" s="27">
        <f t="shared" si="19"/>
        <v>628571.42857142852</v>
      </c>
      <c r="AL122" s="27">
        <f t="shared" si="24"/>
        <v>628571.42857142852</v>
      </c>
      <c r="AM122" s="27"/>
      <c r="AN122" s="27"/>
      <c r="AO122" s="27"/>
      <c r="AP122" s="27"/>
      <c r="AQ122" s="27"/>
      <c r="AR122" s="27"/>
      <c r="AS122" s="27"/>
      <c r="AT122" s="27"/>
      <c r="AU122" s="27"/>
      <c r="AV122" s="27"/>
      <c r="AW122" s="27">
        <f t="shared" si="13"/>
        <v>1257142.857142857</v>
      </c>
      <c r="AX122" s="79">
        <f>AC122-AI122-AW122</f>
        <v>17180971.857142858</v>
      </c>
      <c r="AY122" s="79">
        <f t="shared" si="15"/>
        <v>35619028.142857142</v>
      </c>
      <c r="AZ122" s="25">
        <v>1</v>
      </c>
      <c r="BA122" s="62" t="s">
        <v>97</v>
      </c>
      <c r="BB122" s="66">
        <v>1</v>
      </c>
      <c r="BC122" s="66"/>
      <c r="BD122" s="66"/>
      <c r="BE122" s="67">
        <f t="shared" si="23"/>
        <v>628571.42857142852</v>
      </c>
      <c r="BF122" s="67">
        <f t="shared" si="22"/>
        <v>0</v>
      </c>
      <c r="BG122" s="67">
        <f t="shared" si="16"/>
        <v>0</v>
      </c>
      <c r="BH122" s="66"/>
      <c r="BI122" s="68" t="s">
        <v>80</v>
      </c>
      <c r="BJ122" s="68" t="s">
        <v>81</v>
      </c>
      <c r="BK122" s="68" t="s">
        <v>81</v>
      </c>
      <c r="BL122" s="29"/>
      <c r="BM122" s="1"/>
      <c r="BO122" s="35" t="s">
        <v>1801</v>
      </c>
      <c r="BP122" s="1"/>
      <c r="BQ122" s="1" t="s">
        <v>1930</v>
      </c>
    </row>
    <row r="123" spans="1:69" ht="15" hidden="1" customHeight="1">
      <c r="A123" s="1" t="s">
        <v>43</v>
      </c>
      <c r="C123" s="1" t="str">
        <f t="shared" si="17"/>
        <v>2706</v>
      </c>
      <c r="D123" s="1" t="str">
        <f t="shared" si="18"/>
        <v>1906</v>
      </c>
      <c r="E123" s="19" t="s">
        <v>48</v>
      </c>
      <c r="F123" s="62" t="s">
        <v>49</v>
      </c>
      <c r="G123" s="62">
        <v>2111</v>
      </c>
      <c r="H123" s="62" t="s">
        <v>404</v>
      </c>
      <c r="I123" s="62" t="s">
        <v>405</v>
      </c>
      <c r="J123" s="118">
        <v>1</v>
      </c>
      <c r="K123" s="119"/>
      <c r="L123" s="62" t="s">
        <v>70</v>
      </c>
      <c r="M123" s="120" t="s">
        <v>406</v>
      </c>
      <c r="N123" s="65">
        <v>43631</v>
      </c>
      <c r="O123" s="24"/>
      <c r="P123" s="24"/>
      <c r="Q123" s="64">
        <v>44167200</v>
      </c>
      <c r="R123" s="64"/>
      <c r="S123" s="64"/>
      <c r="T123" s="64"/>
      <c r="U123" s="64"/>
      <c r="V123" s="121">
        <v>44167200</v>
      </c>
      <c r="W123" s="122">
        <v>0</v>
      </c>
      <c r="X123" s="64">
        <v>44167200</v>
      </c>
      <c r="Y123" s="121"/>
      <c r="Z123" s="121"/>
      <c r="AA123" s="121"/>
      <c r="AB123" s="121"/>
      <c r="AC123" s="64">
        <v>44167200</v>
      </c>
      <c r="AD123" s="65">
        <v>43631</v>
      </c>
      <c r="AE123" s="65">
        <v>46552</v>
      </c>
      <c r="AF123" s="62">
        <v>8</v>
      </c>
      <c r="AG123" s="119">
        <v>96</v>
      </c>
      <c r="AH123" s="25">
        <v>460075</v>
      </c>
      <c r="AI123" s="78">
        <v>25089423</v>
      </c>
      <c r="AJ123" s="78">
        <v>19077777</v>
      </c>
      <c r="AK123" s="27">
        <f t="shared" si="19"/>
        <v>460075</v>
      </c>
      <c r="AL123" s="27">
        <f t="shared" si="24"/>
        <v>460075</v>
      </c>
      <c r="AM123" s="27"/>
      <c r="AN123" s="27"/>
      <c r="AO123" s="27"/>
      <c r="AP123" s="27"/>
      <c r="AQ123" s="27"/>
      <c r="AR123" s="27"/>
      <c r="AS123" s="27"/>
      <c r="AT123" s="27"/>
      <c r="AU123" s="27"/>
      <c r="AV123" s="27"/>
      <c r="AW123" s="27">
        <f t="shared" si="13"/>
        <v>920150</v>
      </c>
      <c r="AX123" s="79">
        <f t="shared" si="14"/>
        <v>18157627</v>
      </c>
      <c r="AY123" s="79">
        <f t="shared" si="15"/>
        <v>26009573</v>
      </c>
      <c r="AZ123" s="25">
        <v>1</v>
      </c>
      <c r="BA123" s="62" t="s">
        <v>56</v>
      </c>
      <c r="BB123" s="66">
        <v>1</v>
      </c>
      <c r="BC123" s="66"/>
      <c r="BD123" s="66"/>
      <c r="BE123" s="67">
        <f t="shared" si="23"/>
        <v>460075</v>
      </c>
      <c r="BF123" s="67">
        <f t="shared" si="22"/>
        <v>0</v>
      </c>
      <c r="BG123" s="67">
        <f t="shared" si="16"/>
        <v>0</v>
      </c>
      <c r="BH123" s="66"/>
      <c r="BI123" s="68" t="s">
        <v>57</v>
      </c>
      <c r="BJ123" s="68" t="s">
        <v>58</v>
      </c>
      <c r="BK123" s="68" t="s">
        <v>59</v>
      </c>
      <c r="BL123" s="29"/>
      <c r="BO123" s="35" t="s">
        <v>1799</v>
      </c>
      <c r="BQ123" s="1" t="e">
        <v>#N/A</v>
      </c>
    </row>
    <row r="124" spans="1:69" ht="15" hidden="1" customHeight="1">
      <c r="A124" s="1" t="s">
        <v>43</v>
      </c>
      <c r="C124" s="1" t="str">
        <f t="shared" si="17"/>
        <v>2406</v>
      </c>
      <c r="D124" s="1" t="str">
        <f t="shared" si="18"/>
        <v>1907</v>
      </c>
      <c r="E124" s="19" t="s">
        <v>48</v>
      </c>
      <c r="F124" s="62" t="s">
        <v>49</v>
      </c>
      <c r="G124" s="62">
        <v>2112</v>
      </c>
      <c r="H124" s="62" t="s">
        <v>407</v>
      </c>
      <c r="I124" s="62" t="s">
        <v>408</v>
      </c>
      <c r="J124" s="118">
        <v>1</v>
      </c>
      <c r="K124" s="119"/>
      <c r="L124" s="62" t="s">
        <v>77</v>
      </c>
      <c r="M124" s="120" t="s">
        <v>409</v>
      </c>
      <c r="N124" s="65">
        <v>43643</v>
      </c>
      <c r="O124" s="24">
        <v>9500</v>
      </c>
      <c r="P124" s="24">
        <v>23396</v>
      </c>
      <c r="Q124" s="64">
        <v>222262000</v>
      </c>
      <c r="R124" s="64">
        <v>0</v>
      </c>
      <c r="S124" s="64"/>
      <c r="T124" s="64">
        <v>2128544.6809999999</v>
      </c>
      <c r="U124" s="64" t="s">
        <v>410</v>
      </c>
      <c r="V124" s="121">
        <v>224390545</v>
      </c>
      <c r="W124" s="122">
        <v>0</v>
      </c>
      <c r="X124" s="64">
        <v>224390545</v>
      </c>
      <c r="Y124" s="121"/>
      <c r="Z124" s="121"/>
      <c r="AA124" s="121"/>
      <c r="AB124" s="121"/>
      <c r="AC124" s="64">
        <v>224390545</v>
      </c>
      <c r="AD124" s="65">
        <v>43647</v>
      </c>
      <c r="AE124" s="65">
        <v>45472</v>
      </c>
      <c r="AF124" s="62">
        <v>5</v>
      </c>
      <c r="AG124" s="119">
        <v>60</v>
      </c>
      <c r="AH124" s="25">
        <v>3739842.4166666665</v>
      </c>
      <c r="AI124" s="78">
        <v>201951472.48666665</v>
      </c>
      <c r="AJ124" s="78">
        <v>22439072.513333343</v>
      </c>
      <c r="AK124" s="27">
        <f t="shared" si="19"/>
        <v>3739842.4166666665</v>
      </c>
      <c r="AL124" s="27">
        <f t="shared" si="24"/>
        <v>3739842.4166666665</v>
      </c>
      <c r="AM124" s="27"/>
      <c r="AN124" s="27"/>
      <c r="AO124" s="27"/>
      <c r="AP124" s="27"/>
      <c r="AQ124" s="27"/>
      <c r="AR124" s="27"/>
      <c r="AS124" s="27"/>
      <c r="AT124" s="27"/>
      <c r="AU124" s="27"/>
      <c r="AV124" s="27"/>
      <c r="AW124" s="27">
        <f t="shared" si="13"/>
        <v>7479684.833333333</v>
      </c>
      <c r="AX124" s="79">
        <f t="shared" si="14"/>
        <v>14959387.680000018</v>
      </c>
      <c r="AY124" s="79">
        <f t="shared" si="15"/>
        <v>209431157.31999999</v>
      </c>
      <c r="AZ124" s="25">
        <v>1</v>
      </c>
      <c r="BA124" s="62" t="s">
        <v>97</v>
      </c>
      <c r="BB124" s="66">
        <v>1</v>
      </c>
      <c r="BC124" s="66"/>
      <c r="BD124" s="66"/>
      <c r="BE124" s="67">
        <f t="shared" si="23"/>
        <v>3739842.4166666665</v>
      </c>
      <c r="BF124" s="67">
        <f t="shared" si="22"/>
        <v>0</v>
      </c>
      <c r="BG124" s="67">
        <f t="shared" si="16"/>
        <v>0</v>
      </c>
      <c r="BH124" s="66"/>
      <c r="BI124" s="68" t="s">
        <v>411</v>
      </c>
      <c r="BJ124" s="68" t="s">
        <v>98</v>
      </c>
      <c r="BK124" s="68" t="s">
        <v>98</v>
      </c>
      <c r="BL124" s="29"/>
      <c r="BO124" s="35" t="s">
        <v>1805</v>
      </c>
      <c r="BQ124" s="1" t="s">
        <v>1982</v>
      </c>
    </row>
    <row r="125" spans="1:69" ht="15" hidden="1" customHeight="1">
      <c r="A125" s="1" t="s">
        <v>43</v>
      </c>
      <c r="C125" s="1" t="str">
        <f t="shared" si="17"/>
        <v>2606</v>
      </c>
      <c r="D125" s="1" t="str">
        <f t="shared" si="18"/>
        <v>1907</v>
      </c>
      <c r="E125" s="19" t="s">
        <v>48</v>
      </c>
      <c r="F125" s="62" t="s">
        <v>49</v>
      </c>
      <c r="G125" s="62">
        <v>2112</v>
      </c>
      <c r="H125" s="62" t="s">
        <v>412</v>
      </c>
      <c r="I125" s="62" t="s">
        <v>413</v>
      </c>
      <c r="J125" s="118">
        <v>1</v>
      </c>
      <c r="K125" s="119"/>
      <c r="L125" s="62" t="s">
        <v>77</v>
      </c>
      <c r="M125" s="120" t="s">
        <v>409</v>
      </c>
      <c r="N125" s="65">
        <v>43643</v>
      </c>
      <c r="O125" s="24">
        <v>11620</v>
      </c>
      <c r="P125" s="24">
        <v>23396</v>
      </c>
      <c r="Q125" s="64">
        <v>271861520</v>
      </c>
      <c r="R125" s="64">
        <v>0</v>
      </c>
      <c r="S125" s="64"/>
      <c r="T125" s="64">
        <v>2603546.23</v>
      </c>
      <c r="U125" s="64" t="s">
        <v>410</v>
      </c>
      <c r="V125" s="121">
        <v>274465066</v>
      </c>
      <c r="W125" s="122">
        <v>0</v>
      </c>
      <c r="X125" s="64">
        <v>274465066</v>
      </c>
      <c r="Y125" s="121"/>
      <c r="Z125" s="121"/>
      <c r="AA125" s="121"/>
      <c r="AB125" s="121"/>
      <c r="AC125" s="64">
        <v>274465066</v>
      </c>
      <c r="AD125" s="65">
        <v>43647</v>
      </c>
      <c r="AE125" s="65">
        <v>46202</v>
      </c>
      <c r="AF125" s="62">
        <v>7</v>
      </c>
      <c r="AG125" s="119">
        <v>84</v>
      </c>
      <c r="AH125" s="25">
        <v>3267441.2619047621</v>
      </c>
      <c r="AI125" s="78">
        <v>176441816.38904762</v>
      </c>
      <c r="AJ125" s="78">
        <v>98023249.610952377</v>
      </c>
      <c r="AK125" s="27">
        <f t="shared" si="19"/>
        <v>3267441.2619047621</v>
      </c>
      <c r="AL125" s="27">
        <f t="shared" si="24"/>
        <v>3267441.2619047621</v>
      </c>
      <c r="AM125" s="27"/>
      <c r="AN125" s="27"/>
      <c r="AO125" s="27"/>
      <c r="AP125" s="27"/>
      <c r="AQ125" s="27"/>
      <c r="AR125" s="27"/>
      <c r="AS125" s="27"/>
      <c r="AT125" s="27"/>
      <c r="AU125" s="27"/>
      <c r="AV125" s="27"/>
      <c r="AW125" s="27">
        <f t="shared" si="13"/>
        <v>6534882.5238095243</v>
      </c>
      <c r="AX125" s="79">
        <f t="shared" si="14"/>
        <v>91488367.087142855</v>
      </c>
      <c r="AY125" s="79">
        <f t="shared" si="15"/>
        <v>182976698.91285715</v>
      </c>
      <c r="AZ125" s="25">
        <v>1</v>
      </c>
      <c r="BA125" s="62" t="s">
        <v>97</v>
      </c>
      <c r="BB125" s="66">
        <v>1</v>
      </c>
      <c r="BC125" s="66"/>
      <c r="BD125" s="66"/>
      <c r="BE125" s="67">
        <f t="shared" si="23"/>
        <v>3267441.2619047621</v>
      </c>
      <c r="BF125" s="67">
        <f t="shared" si="22"/>
        <v>0</v>
      </c>
      <c r="BG125" s="67">
        <f t="shared" si="16"/>
        <v>0</v>
      </c>
      <c r="BH125" s="66"/>
      <c r="BI125" s="68" t="s">
        <v>414</v>
      </c>
      <c r="BJ125" s="68" t="s">
        <v>81</v>
      </c>
      <c r="BK125" s="68" t="s">
        <v>81</v>
      </c>
      <c r="BL125" s="29"/>
      <c r="BO125" s="35" t="s">
        <v>1805</v>
      </c>
      <c r="BQ125" s="1" t="s">
        <v>1930</v>
      </c>
    </row>
    <row r="126" spans="1:69" ht="15" hidden="1" customHeight="1">
      <c r="A126" s="1" t="s">
        <v>43</v>
      </c>
      <c r="C126" s="1" t="str">
        <f t="shared" si="17"/>
        <v>2606</v>
      </c>
      <c r="D126" s="1" t="str">
        <f t="shared" si="18"/>
        <v>1907</v>
      </c>
      <c r="E126" s="19" t="s">
        <v>48</v>
      </c>
      <c r="F126" s="62" t="s">
        <v>49</v>
      </c>
      <c r="G126" s="62">
        <v>2112</v>
      </c>
      <c r="H126" s="62" t="s">
        <v>415</v>
      </c>
      <c r="I126" s="62" t="s">
        <v>416</v>
      </c>
      <c r="J126" s="118">
        <v>1</v>
      </c>
      <c r="K126" s="119"/>
      <c r="L126" s="62" t="s">
        <v>77</v>
      </c>
      <c r="M126" s="120" t="s">
        <v>409</v>
      </c>
      <c r="N126" s="65">
        <v>43643</v>
      </c>
      <c r="O126" s="24">
        <v>17340</v>
      </c>
      <c r="P126" s="24">
        <v>23396</v>
      </c>
      <c r="Q126" s="64">
        <v>405686640</v>
      </c>
      <c r="R126" s="64">
        <v>0</v>
      </c>
      <c r="S126" s="64"/>
      <c r="T126" s="64">
        <v>3885154.1910000001</v>
      </c>
      <c r="U126" s="64" t="s">
        <v>410</v>
      </c>
      <c r="V126" s="121">
        <v>409571794</v>
      </c>
      <c r="W126" s="122">
        <v>0</v>
      </c>
      <c r="X126" s="64">
        <v>409571794</v>
      </c>
      <c r="Y126" s="121"/>
      <c r="Z126" s="121"/>
      <c r="AA126" s="121"/>
      <c r="AB126" s="121"/>
      <c r="AC126" s="64">
        <v>409571794</v>
      </c>
      <c r="AD126" s="65">
        <v>43647</v>
      </c>
      <c r="AE126" s="65">
        <v>46202</v>
      </c>
      <c r="AF126" s="62">
        <v>7</v>
      </c>
      <c r="AG126" s="119">
        <v>84</v>
      </c>
      <c r="AH126" s="25">
        <v>4875854.6904761903</v>
      </c>
      <c r="AI126" s="78">
        <v>263296166.71476191</v>
      </c>
      <c r="AJ126" s="78">
        <v>146275627.28523809</v>
      </c>
      <c r="AK126" s="27">
        <f t="shared" si="19"/>
        <v>4875854.6904761903</v>
      </c>
      <c r="AL126" s="27">
        <f t="shared" si="24"/>
        <v>4875854.6904761903</v>
      </c>
      <c r="AM126" s="27"/>
      <c r="AN126" s="27"/>
      <c r="AO126" s="27"/>
      <c r="AP126" s="27"/>
      <c r="AQ126" s="27"/>
      <c r="AR126" s="27"/>
      <c r="AS126" s="27"/>
      <c r="AT126" s="27"/>
      <c r="AU126" s="27"/>
      <c r="AV126" s="27"/>
      <c r="AW126" s="27">
        <f t="shared" si="13"/>
        <v>9751709.3809523806</v>
      </c>
      <c r="AX126" s="79">
        <f t="shared" si="14"/>
        <v>136523917.9042857</v>
      </c>
      <c r="AY126" s="79">
        <f t="shared" si="15"/>
        <v>273047876.09571427</v>
      </c>
      <c r="AZ126" s="25">
        <v>1</v>
      </c>
      <c r="BA126" s="62" t="s">
        <v>97</v>
      </c>
      <c r="BB126" s="66">
        <v>1</v>
      </c>
      <c r="BC126" s="66"/>
      <c r="BD126" s="66"/>
      <c r="BE126" s="67">
        <f t="shared" si="23"/>
        <v>4875854.6904761903</v>
      </c>
      <c r="BF126" s="67">
        <f t="shared" si="22"/>
        <v>0</v>
      </c>
      <c r="BG126" s="67">
        <f t="shared" si="16"/>
        <v>0</v>
      </c>
      <c r="BH126" s="66"/>
      <c r="BI126" s="68" t="s">
        <v>414</v>
      </c>
      <c r="BJ126" s="68" t="s">
        <v>81</v>
      </c>
      <c r="BK126" s="68" t="s">
        <v>81</v>
      </c>
      <c r="BL126" s="29"/>
      <c r="BO126" s="35" t="s">
        <v>1805</v>
      </c>
      <c r="BQ126" s="1" t="s">
        <v>1930</v>
      </c>
    </row>
    <row r="127" spans="1:69" ht="15" hidden="1" customHeight="1">
      <c r="A127" s="1" t="s">
        <v>43</v>
      </c>
      <c r="C127" s="1" t="str">
        <f t="shared" si="17"/>
        <v>2606</v>
      </c>
      <c r="D127" s="1" t="str">
        <f t="shared" si="18"/>
        <v>1907</v>
      </c>
      <c r="E127" s="19" t="s">
        <v>48</v>
      </c>
      <c r="F127" s="62" t="s">
        <v>49</v>
      </c>
      <c r="G127" s="62">
        <v>2112</v>
      </c>
      <c r="H127" s="62" t="s">
        <v>417</v>
      </c>
      <c r="I127" s="62" t="s">
        <v>418</v>
      </c>
      <c r="J127" s="118">
        <v>1</v>
      </c>
      <c r="K127" s="119"/>
      <c r="L127" s="62" t="s">
        <v>77</v>
      </c>
      <c r="M127" s="120" t="s">
        <v>409</v>
      </c>
      <c r="N127" s="65">
        <v>43643</v>
      </c>
      <c r="O127" s="24">
        <v>15060</v>
      </c>
      <c r="P127" s="24">
        <v>23396</v>
      </c>
      <c r="Q127" s="64">
        <v>352343760</v>
      </c>
      <c r="R127" s="64">
        <v>10502091</v>
      </c>
      <c r="S127" s="64"/>
      <c r="T127" s="64">
        <v>3374303.469</v>
      </c>
      <c r="U127" s="64" t="s">
        <v>410</v>
      </c>
      <c r="V127" s="121">
        <v>366220154</v>
      </c>
      <c r="W127" s="122">
        <v>0</v>
      </c>
      <c r="X127" s="64">
        <v>366220154</v>
      </c>
      <c r="Y127" s="121">
        <v>-366220154</v>
      </c>
      <c r="Z127" s="121">
        <v>1</v>
      </c>
      <c r="AA127" s="128">
        <v>44455</v>
      </c>
      <c r="AB127" s="121" t="s">
        <v>419</v>
      </c>
      <c r="AC127" s="64">
        <v>0</v>
      </c>
      <c r="AD127" s="65">
        <v>43647</v>
      </c>
      <c r="AE127" s="65">
        <v>46202</v>
      </c>
      <c r="AF127" s="62">
        <v>7</v>
      </c>
      <c r="AG127" s="119">
        <v>84</v>
      </c>
      <c r="AH127" s="25">
        <v>0</v>
      </c>
      <c r="AI127" s="78">
        <v>-3.333359956741333E-3</v>
      </c>
      <c r="AJ127" s="78">
        <v>3.333359956741333E-3</v>
      </c>
      <c r="AK127" s="27">
        <f t="shared" si="19"/>
        <v>0</v>
      </c>
      <c r="AL127" s="27">
        <f t="shared" si="24"/>
        <v>0</v>
      </c>
      <c r="AM127" s="27"/>
      <c r="AN127" s="27"/>
      <c r="AO127" s="27"/>
      <c r="AP127" s="27"/>
      <c r="AQ127" s="27"/>
      <c r="AR127" s="27"/>
      <c r="AS127" s="27"/>
      <c r="AT127" s="27"/>
      <c r="AU127" s="27"/>
      <c r="AV127" s="27"/>
      <c r="AW127" s="27">
        <f t="shared" si="13"/>
        <v>0</v>
      </c>
      <c r="AX127" s="79">
        <f t="shared" si="14"/>
        <v>3.333359956741333E-3</v>
      </c>
      <c r="AY127" s="79">
        <f t="shared" si="15"/>
        <v>-3.333359956741333E-3</v>
      </c>
      <c r="AZ127" s="25">
        <v>0</v>
      </c>
      <c r="BA127" s="62" t="s">
        <v>97</v>
      </c>
      <c r="BB127" s="66">
        <v>1</v>
      </c>
      <c r="BC127" s="66"/>
      <c r="BD127" s="66"/>
      <c r="BE127" s="67">
        <f t="shared" si="23"/>
        <v>0</v>
      </c>
      <c r="BF127" s="67">
        <f t="shared" si="22"/>
        <v>0</v>
      </c>
      <c r="BG127" s="67">
        <f t="shared" si="16"/>
        <v>0</v>
      </c>
      <c r="BH127" s="66"/>
      <c r="BI127" s="68" t="s">
        <v>420</v>
      </c>
      <c r="BJ127" s="68" t="s">
        <v>121</v>
      </c>
      <c r="BK127" s="68" t="s">
        <v>121</v>
      </c>
      <c r="BL127" s="31">
        <v>250541083</v>
      </c>
      <c r="BQ127" s="1" t="e">
        <v>#N/A</v>
      </c>
    </row>
    <row r="128" spans="1:69" ht="15" hidden="1" customHeight="1">
      <c r="A128" s="1" t="s">
        <v>43</v>
      </c>
      <c r="C128" s="1" t="str">
        <f t="shared" si="17"/>
        <v>2606</v>
      </c>
      <c r="D128" s="1" t="str">
        <f t="shared" si="18"/>
        <v>1907</v>
      </c>
      <c r="E128" s="19" t="s">
        <v>48</v>
      </c>
      <c r="F128" s="62" t="s">
        <v>49</v>
      </c>
      <c r="G128" s="62">
        <v>2112</v>
      </c>
      <c r="H128" s="62" t="s">
        <v>421</v>
      </c>
      <c r="I128" s="62" t="s">
        <v>422</v>
      </c>
      <c r="J128" s="118">
        <v>1</v>
      </c>
      <c r="K128" s="119"/>
      <c r="L128" s="62" t="s">
        <v>77</v>
      </c>
      <c r="M128" s="120" t="s">
        <v>409</v>
      </c>
      <c r="N128" s="65">
        <v>43643</v>
      </c>
      <c r="O128" s="24">
        <v>40120</v>
      </c>
      <c r="P128" s="24">
        <v>23396</v>
      </c>
      <c r="Q128" s="64">
        <v>938647520</v>
      </c>
      <c r="R128" s="64">
        <v>0</v>
      </c>
      <c r="S128" s="64"/>
      <c r="T128" s="64">
        <v>8989180.2819999978</v>
      </c>
      <c r="U128" s="64" t="s">
        <v>410</v>
      </c>
      <c r="V128" s="121">
        <v>947636700</v>
      </c>
      <c r="W128" s="122">
        <v>0</v>
      </c>
      <c r="X128" s="64">
        <v>947636700</v>
      </c>
      <c r="Y128" s="121"/>
      <c r="Z128" s="121"/>
      <c r="AA128" s="121"/>
      <c r="AB128" s="121"/>
      <c r="AC128" s="64">
        <v>947636700</v>
      </c>
      <c r="AD128" s="65">
        <v>43647</v>
      </c>
      <c r="AE128" s="65">
        <v>46202</v>
      </c>
      <c r="AF128" s="62">
        <v>7</v>
      </c>
      <c r="AG128" s="119">
        <v>84</v>
      </c>
      <c r="AH128" s="25">
        <v>11281389.285714285</v>
      </c>
      <c r="AI128" s="78">
        <v>609195008.57714283</v>
      </c>
      <c r="AJ128" s="78">
        <v>338441691.42285717</v>
      </c>
      <c r="AK128" s="27">
        <f t="shared" si="19"/>
        <v>11281389.285714285</v>
      </c>
      <c r="AL128" s="27">
        <f t="shared" si="24"/>
        <v>11281389.285714285</v>
      </c>
      <c r="AM128" s="27"/>
      <c r="AN128" s="27"/>
      <c r="AO128" s="27"/>
      <c r="AP128" s="27"/>
      <c r="AQ128" s="27"/>
      <c r="AR128" s="27"/>
      <c r="AS128" s="27"/>
      <c r="AT128" s="27"/>
      <c r="AU128" s="27"/>
      <c r="AV128" s="27"/>
      <c r="AW128" s="27">
        <f t="shared" si="13"/>
        <v>22562778.571428571</v>
      </c>
      <c r="AX128" s="79">
        <f t="shared" si="14"/>
        <v>315878912.85142857</v>
      </c>
      <c r="AY128" s="79">
        <f t="shared" si="15"/>
        <v>631757787.14857137</v>
      </c>
      <c r="AZ128" s="25">
        <v>1</v>
      </c>
      <c r="BA128" s="62" t="s">
        <v>97</v>
      </c>
      <c r="BB128" s="66">
        <v>1</v>
      </c>
      <c r="BC128" s="66"/>
      <c r="BD128" s="66"/>
      <c r="BE128" s="67">
        <f t="shared" si="23"/>
        <v>11281389.285714285</v>
      </c>
      <c r="BF128" s="67">
        <f t="shared" si="22"/>
        <v>0</v>
      </c>
      <c r="BG128" s="67">
        <f t="shared" si="16"/>
        <v>0</v>
      </c>
      <c r="BH128" s="66" t="s">
        <v>1662</v>
      </c>
      <c r="BI128" s="68" t="s">
        <v>107</v>
      </c>
      <c r="BJ128" s="68" t="s">
        <v>124</v>
      </c>
      <c r="BK128" s="68" t="s">
        <v>124</v>
      </c>
      <c r="BL128" s="29"/>
      <c r="BO128" s="35" t="s">
        <v>1805</v>
      </c>
      <c r="BQ128" s="1" t="s">
        <v>2049</v>
      </c>
    </row>
    <row r="129" spans="1:69" ht="15" hidden="1" customHeight="1">
      <c r="A129" s="1" t="s">
        <v>43</v>
      </c>
      <c r="C129" s="1" t="str">
        <f t="shared" si="17"/>
        <v>2606</v>
      </c>
      <c r="D129" s="1" t="str">
        <f t="shared" si="18"/>
        <v>1907</v>
      </c>
      <c r="E129" s="19" t="s">
        <v>48</v>
      </c>
      <c r="F129" s="62" t="s">
        <v>49</v>
      </c>
      <c r="G129" s="62">
        <v>2112</v>
      </c>
      <c r="H129" s="62" t="s">
        <v>423</v>
      </c>
      <c r="I129" s="62" t="s">
        <v>424</v>
      </c>
      <c r="J129" s="118">
        <v>1</v>
      </c>
      <c r="K129" s="119"/>
      <c r="L129" s="62" t="s">
        <v>77</v>
      </c>
      <c r="M129" s="120" t="s">
        <v>409</v>
      </c>
      <c r="N129" s="65">
        <v>43643</v>
      </c>
      <c r="O129" s="24">
        <v>43210</v>
      </c>
      <c r="P129" s="24">
        <v>23396</v>
      </c>
      <c r="Q129" s="64">
        <v>1010941160</v>
      </c>
      <c r="R129" s="64">
        <v>0</v>
      </c>
      <c r="S129" s="64"/>
      <c r="T129" s="64">
        <v>9681517.4480000008</v>
      </c>
      <c r="U129" s="64" t="s">
        <v>410</v>
      </c>
      <c r="V129" s="121">
        <v>1020622677</v>
      </c>
      <c r="W129" s="122">
        <v>0</v>
      </c>
      <c r="X129" s="64">
        <v>1020622677</v>
      </c>
      <c r="Y129" s="121"/>
      <c r="Z129" s="121"/>
      <c r="AA129" s="121"/>
      <c r="AB129" s="121"/>
      <c r="AC129" s="64">
        <v>1020622677</v>
      </c>
      <c r="AD129" s="65">
        <v>43647</v>
      </c>
      <c r="AE129" s="65">
        <v>46202</v>
      </c>
      <c r="AF129" s="62">
        <v>7</v>
      </c>
      <c r="AG129" s="119">
        <v>84</v>
      </c>
      <c r="AH129" s="25">
        <v>12150269.964285715</v>
      </c>
      <c r="AI129" s="78">
        <v>656114579.19285715</v>
      </c>
      <c r="AJ129" s="78">
        <v>364508097.80714285</v>
      </c>
      <c r="AK129" s="27">
        <f t="shared" si="19"/>
        <v>12150269.964285715</v>
      </c>
      <c r="AL129" s="27">
        <f t="shared" si="24"/>
        <v>12150269.964285715</v>
      </c>
      <c r="AM129" s="27"/>
      <c r="AN129" s="27"/>
      <c r="AO129" s="27"/>
      <c r="AP129" s="27"/>
      <c r="AQ129" s="27"/>
      <c r="AR129" s="27"/>
      <c r="AS129" s="27"/>
      <c r="AT129" s="27"/>
      <c r="AU129" s="27"/>
      <c r="AV129" s="27"/>
      <c r="AW129" s="27">
        <f t="shared" si="13"/>
        <v>24300539.928571429</v>
      </c>
      <c r="AX129" s="79">
        <f t="shared" si="14"/>
        <v>340207557.87857145</v>
      </c>
      <c r="AY129" s="79">
        <f t="shared" si="15"/>
        <v>680415119.12142861</v>
      </c>
      <c r="AZ129" s="25">
        <v>1</v>
      </c>
      <c r="BA129" s="62" t="s">
        <v>97</v>
      </c>
      <c r="BB129" s="66">
        <v>1</v>
      </c>
      <c r="BC129" s="66"/>
      <c r="BD129" s="66"/>
      <c r="BE129" s="67">
        <f t="shared" si="23"/>
        <v>12150269.964285715</v>
      </c>
      <c r="BF129" s="67">
        <f t="shared" si="22"/>
        <v>0</v>
      </c>
      <c r="BG129" s="67">
        <f t="shared" si="16"/>
        <v>0</v>
      </c>
      <c r="BH129" s="66"/>
      <c r="BI129" s="68" t="s">
        <v>411</v>
      </c>
      <c r="BJ129" s="68" t="s">
        <v>121</v>
      </c>
      <c r="BK129" s="68" t="s">
        <v>121</v>
      </c>
      <c r="BL129" s="29"/>
      <c r="BO129" s="35" t="s">
        <v>1800</v>
      </c>
      <c r="BP129" s="1" t="s">
        <v>1812</v>
      </c>
      <c r="BQ129" s="1" t="e">
        <v>#N/A</v>
      </c>
    </row>
    <row r="130" spans="1:69" ht="15" hidden="1" customHeight="1">
      <c r="A130" s="1" t="s">
        <v>43</v>
      </c>
      <c r="C130" s="1" t="str">
        <f t="shared" si="17"/>
        <v>2606</v>
      </c>
      <c r="D130" s="1" t="str">
        <f t="shared" si="18"/>
        <v>1907</v>
      </c>
      <c r="E130" s="19" t="s">
        <v>48</v>
      </c>
      <c r="F130" s="62" t="s">
        <v>49</v>
      </c>
      <c r="G130" s="62">
        <v>2112</v>
      </c>
      <c r="H130" s="62" t="s">
        <v>425</v>
      </c>
      <c r="I130" s="62" t="s">
        <v>426</v>
      </c>
      <c r="J130" s="118">
        <v>1</v>
      </c>
      <c r="K130" s="119"/>
      <c r="L130" s="62" t="s">
        <v>77</v>
      </c>
      <c r="M130" s="120" t="s">
        <v>409</v>
      </c>
      <c r="N130" s="65">
        <v>43643</v>
      </c>
      <c r="O130" s="24">
        <v>70370</v>
      </c>
      <c r="P130" s="24">
        <v>23396</v>
      </c>
      <c r="Q130" s="64">
        <v>1646376520</v>
      </c>
      <c r="R130" s="64">
        <v>0</v>
      </c>
      <c r="S130" s="64"/>
      <c r="T130" s="64">
        <v>15766914.665999999</v>
      </c>
      <c r="U130" s="64" t="s">
        <v>410</v>
      </c>
      <c r="V130" s="121">
        <v>1662143435</v>
      </c>
      <c r="W130" s="122">
        <v>0</v>
      </c>
      <c r="X130" s="64">
        <v>1662143435</v>
      </c>
      <c r="Y130" s="121"/>
      <c r="Z130" s="121"/>
      <c r="AA130" s="121"/>
      <c r="AB130" s="121"/>
      <c r="AC130" s="64">
        <v>1662143435</v>
      </c>
      <c r="AD130" s="65">
        <v>43647</v>
      </c>
      <c r="AE130" s="65">
        <v>46202</v>
      </c>
      <c r="AF130" s="62">
        <v>7</v>
      </c>
      <c r="AG130" s="119">
        <v>84</v>
      </c>
      <c r="AH130" s="25">
        <v>19787421.845238097</v>
      </c>
      <c r="AI130" s="78">
        <v>1068520786.7823808</v>
      </c>
      <c r="AJ130" s="78">
        <v>593622648.21761918</v>
      </c>
      <c r="AK130" s="27">
        <f t="shared" si="19"/>
        <v>19787421.845238097</v>
      </c>
      <c r="AL130" s="27">
        <f t="shared" si="24"/>
        <v>19787421.845238097</v>
      </c>
      <c r="AM130" s="27"/>
      <c r="AN130" s="27"/>
      <c r="AO130" s="27"/>
      <c r="AP130" s="27"/>
      <c r="AQ130" s="27"/>
      <c r="AR130" s="27"/>
      <c r="AS130" s="27"/>
      <c r="AT130" s="27"/>
      <c r="AU130" s="27"/>
      <c r="AV130" s="27"/>
      <c r="AW130" s="27">
        <f t="shared" si="13"/>
        <v>39574843.690476194</v>
      </c>
      <c r="AX130" s="79">
        <f t="shared" si="14"/>
        <v>554047804.527143</v>
      </c>
      <c r="AY130" s="79">
        <f t="shared" si="15"/>
        <v>1108095630.472857</v>
      </c>
      <c r="AZ130" s="25">
        <v>1</v>
      </c>
      <c r="BA130" s="62" t="s">
        <v>97</v>
      </c>
      <c r="BB130" s="66">
        <v>1</v>
      </c>
      <c r="BC130" s="66"/>
      <c r="BD130" s="66"/>
      <c r="BE130" s="67">
        <f t="shared" si="23"/>
        <v>19787421.845238097</v>
      </c>
      <c r="BF130" s="67">
        <f t="shared" si="22"/>
        <v>0</v>
      </c>
      <c r="BG130" s="67">
        <f t="shared" si="16"/>
        <v>0</v>
      </c>
      <c r="BH130" s="66"/>
      <c r="BI130" s="68" t="s">
        <v>427</v>
      </c>
      <c r="BJ130" s="68" t="s">
        <v>85</v>
      </c>
      <c r="BK130" s="68" t="s">
        <v>85</v>
      </c>
      <c r="BL130" s="29"/>
      <c r="BO130" s="35" t="s">
        <v>1805</v>
      </c>
      <c r="BQ130" s="1" t="e">
        <v>#N/A</v>
      </c>
    </row>
    <row r="131" spans="1:69" ht="15" hidden="1" customHeight="1">
      <c r="A131" s="1" t="s">
        <v>43</v>
      </c>
      <c r="C131" s="1" t="str">
        <f t="shared" si="17"/>
        <v>2608</v>
      </c>
      <c r="D131" s="1" t="str">
        <f t="shared" si="18"/>
        <v>1909</v>
      </c>
      <c r="E131" s="19" t="s">
        <v>48</v>
      </c>
      <c r="F131" s="62" t="s">
        <v>49</v>
      </c>
      <c r="G131" s="62">
        <v>2112</v>
      </c>
      <c r="H131" s="62" t="s">
        <v>428</v>
      </c>
      <c r="I131" s="62" t="s">
        <v>429</v>
      </c>
      <c r="J131" s="118">
        <v>4</v>
      </c>
      <c r="K131" s="119"/>
      <c r="L131" s="62" t="s">
        <v>77</v>
      </c>
      <c r="M131" s="120" t="s">
        <v>409</v>
      </c>
      <c r="N131" s="65">
        <v>43643</v>
      </c>
      <c r="O131" s="24">
        <v>7640</v>
      </c>
      <c r="P131" s="24">
        <v>23396</v>
      </c>
      <c r="Q131" s="64">
        <v>178745440</v>
      </c>
      <c r="R131" s="64">
        <v>0</v>
      </c>
      <c r="S131" s="64"/>
      <c r="T131" s="64">
        <v>1711798.0359999996</v>
      </c>
      <c r="U131" s="64" t="s">
        <v>410</v>
      </c>
      <c r="V131" s="121">
        <v>180457238</v>
      </c>
      <c r="W131" s="122">
        <v>0</v>
      </c>
      <c r="X131" s="64">
        <v>180457238</v>
      </c>
      <c r="Y131" s="121"/>
      <c r="Z131" s="121"/>
      <c r="AA131" s="121"/>
      <c r="AB131" s="121"/>
      <c r="AC131" s="64">
        <v>180457238</v>
      </c>
      <c r="AD131" s="65">
        <v>43709</v>
      </c>
      <c r="AE131" s="65">
        <v>46264</v>
      </c>
      <c r="AF131" s="62">
        <v>7</v>
      </c>
      <c r="AG131" s="119">
        <v>84</v>
      </c>
      <c r="AH131" s="25">
        <v>2148300.4523809524</v>
      </c>
      <c r="AI131" s="78">
        <v>111711604.48380953</v>
      </c>
      <c r="AJ131" s="78">
        <v>68745633.516190469</v>
      </c>
      <c r="AK131" s="27">
        <f t="shared" si="19"/>
        <v>2148300.4523809524</v>
      </c>
      <c r="AL131" s="27">
        <f t="shared" si="24"/>
        <v>2148300.4523809524</v>
      </c>
      <c r="AM131" s="27"/>
      <c r="AN131" s="27"/>
      <c r="AO131" s="27"/>
      <c r="AP131" s="27"/>
      <c r="AQ131" s="27"/>
      <c r="AR131" s="27"/>
      <c r="AS131" s="27"/>
      <c r="AT131" s="27"/>
      <c r="AU131" s="27"/>
      <c r="AV131" s="27"/>
      <c r="AW131" s="27">
        <f t="shared" si="13"/>
        <v>4296600.9047619049</v>
      </c>
      <c r="AX131" s="79">
        <f t="shared" si="14"/>
        <v>64449032.611428566</v>
      </c>
      <c r="AY131" s="79">
        <f t="shared" si="15"/>
        <v>116008205.38857144</v>
      </c>
      <c r="AZ131" s="25">
        <v>4</v>
      </c>
      <c r="BA131" s="62" t="s">
        <v>79</v>
      </c>
      <c r="BB131" s="66">
        <v>1</v>
      </c>
      <c r="BC131" s="66"/>
      <c r="BD131" s="66"/>
      <c r="BE131" s="67">
        <f t="shared" si="23"/>
        <v>2148300.4523809524</v>
      </c>
      <c r="BF131" s="67">
        <f t="shared" si="22"/>
        <v>0</v>
      </c>
      <c r="BG131" s="67">
        <f t="shared" si="16"/>
        <v>0</v>
      </c>
      <c r="BH131" s="66"/>
      <c r="BI131" s="68" t="s">
        <v>430</v>
      </c>
      <c r="BJ131" s="68" t="s">
        <v>85</v>
      </c>
      <c r="BK131" s="68" t="s">
        <v>85</v>
      </c>
      <c r="BL131" s="29"/>
      <c r="BO131" s="35" t="s">
        <v>1805</v>
      </c>
      <c r="BQ131" s="1" t="s">
        <v>1980</v>
      </c>
    </row>
    <row r="132" spans="1:69" ht="15" hidden="1" customHeight="1">
      <c r="A132" s="1" t="s">
        <v>43</v>
      </c>
      <c r="C132" s="1" t="str">
        <f t="shared" si="17"/>
        <v>2408</v>
      </c>
      <c r="D132" s="1" t="str">
        <f t="shared" si="18"/>
        <v>1909</v>
      </c>
      <c r="E132" s="19" t="s">
        <v>48</v>
      </c>
      <c r="F132" s="62" t="s">
        <v>49</v>
      </c>
      <c r="G132" s="62">
        <v>2112</v>
      </c>
      <c r="H132" s="62" t="s">
        <v>431</v>
      </c>
      <c r="I132" s="62" t="s">
        <v>432</v>
      </c>
      <c r="J132" s="118">
        <v>1</v>
      </c>
      <c r="K132" s="119"/>
      <c r="L132" s="62" t="s">
        <v>77</v>
      </c>
      <c r="M132" s="120" t="s">
        <v>433</v>
      </c>
      <c r="N132" s="65">
        <v>43642</v>
      </c>
      <c r="O132" s="24">
        <v>1828.59</v>
      </c>
      <c r="P132" s="24">
        <v>23356</v>
      </c>
      <c r="Q132" s="64">
        <v>42708548.039999999</v>
      </c>
      <c r="R132" s="64">
        <v>0</v>
      </c>
      <c r="S132" s="64"/>
      <c r="T132" s="64">
        <v>214721.25999999998</v>
      </c>
      <c r="U132" s="64" t="s">
        <v>434</v>
      </c>
      <c r="V132" s="121">
        <v>42923269</v>
      </c>
      <c r="W132" s="122">
        <v>0</v>
      </c>
      <c r="X132" s="64">
        <v>42923269</v>
      </c>
      <c r="Y132" s="121"/>
      <c r="Z132" s="121"/>
      <c r="AA132" s="121"/>
      <c r="AB132" s="121"/>
      <c r="AC132" s="64">
        <v>42923269</v>
      </c>
      <c r="AD132" s="65">
        <v>43709</v>
      </c>
      <c r="AE132" s="65">
        <v>45534</v>
      </c>
      <c r="AF132" s="62">
        <v>5</v>
      </c>
      <c r="AG132" s="119">
        <v>60</v>
      </c>
      <c r="AH132" s="25">
        <v>715387.81666666665</v>
      </c>
      <c r="AI132" s="78">
        <v>37200173.86666666</v>
      </c>
      <c r="AJ132" s="78">
        <v>5723095.1333333366</v>
      </c>
      <c r="AK132" s="27">
        <f t="shared" si="19"/>
        <v>715387.81666666665</v>
      </c>
      <c r="AL132" s="27">
        <f t="shared" si="24"/>
        <v>715387.81666666665</v>
      </c>
      <c r="AM132" s="27"/>
      <c r="AN132" s="27"/>
      <c r="AO132" s="27"/>
      <c r="AP132" s="27"/>
      <c r="AQ132" s="27"/>
      <c r="AR132" s="27"/>
      <c r="AS132" s="27"/>
      <c r="AT132" s="27"/>
      <c r="AU132" s="27"/>
      <c r="AV132" s="27"/>
      <c r="AW132" s="27">
        <f t="shared" si="13"/>
        <v>1430775.6333333333</v>
      </c>
      <c r="AX132" s="79">
        <f t="shared" si="14"/>
        <v>4292319.5000000075</v>
      </c>
      <c r="AY132" s="79">
        <f t="shared" si="15"/>
        <v>38630949.499999993</v>
      </c>
      <c r="AZ132" s="25">
        <v>1</v>
      </c>
      <c r="BA132" s="62" t="s">
        <v>79</v>
      </c>
      <c r="BB132" s="66">
        <v>1</v>
      </c>
      <c r="BC132" s="66"/>
      <c r="BD132" s="66"/>
      <c r="BE132" s="67">
        <f t="shared" si="23"/>
        <v>715387.81666666665</v>
      </c>
      <c r="BF132" s="67">
        <f t="shared" si="22"/>
        <v>0</v>
      </c>
      <c r="BG132" s="67">
        <f t="shared" si="16"/>
        <v>0</v>
      </c>
      <c r="BH132" s="66"/>
      <c r="BI132" s="68">
        <v>0</v>
      </c>
      <c r="BJ132" s="68" t="s">
        <v>58</v>
      </c>
      <c r="BK132" s="68" t="s">
        <v>159</v>
      </c>
      <c r="BL132" s="29"/>
      <c r="BO132" s="35" t="s">
        <v>1804</v>
      </c>
      <c r="BQ132" s="1" t="e">
        <v>#N/A</v>
      </c>
    </row>
    <row r="133" spans="1:69" ht="15" hidden="1" customHeight="1">
      <c r="A133" s="1" t="s">
        <v>43</v>
      </c>
      <c r="C133" s="1" t="str">
        <f t="shared" si="17"/>
        <v>2906</v>
      </c>
      <c r="D133" s="1" t="str">
        <f t="shared" si="18"/>
        <v>1907</v>
      </c>
      <c r="E133" s="19" t="s">
        <v>48</v>
      </c>
      <c r="F133" s="62" t="s">
        <v>49</v>
      </c>
      <c r="G133" s="62">
        <v>2112</v>
      </c>
      <c r="H133" s="62" t="s">
        <v>435</v>
      </c>
      <c r="I133" s="62" t="s">
        <v>436</v>
      </c>
      <c r="J133" s="118">
        <v>1</v>
      </c>
      <c r="K133" s="119"/>
      <c r="L133" s="62" t="s">
        <v>77</v>
      </c>
      <c r="M133" s="120" t="s">
        <v>437</v>
      </c>
      <c r="N133" s="65">
        <v>43628</v>
      </c>
      <c r="O133" s="24">
        <v>46799</v>
      </c>
      <c r="P133" s="24">
        <v>23387</v>
      </c>
      <c r="Q133" s="64">
        <v>1094488213</v>
      </c>
      <c r="R133" s="64">
        <v>0</v>
      </c>
      <c r="S133" s="64"/>
      <c r="T133" s="64"/>
      <c r="U133" s="64"/>
      <c r="V133" s="121">
        <v>1094488213</v>
      </c>
      <c r="W133" s="122">
        <v>0</v>
      </c>
      <c r="X133" s="64">
        <v>1094488213</v>
      </c>
      <c r="Y133" s="121"/>
      <c r="Z133" s="121"/>
      <c r="AA133" s="121"/>
      <c r="AB133" s="121"/>
      <c r="AC133" s="64">
        <v>1094488213</v>
      </c>
      <c r="AD133" s="65">
        <v>43647</v>
      </c>
      <c r="AE133" s="65">
        <v>47297</v>
      </c>
      <c r="AF133" s="62">
        <v>10</v>
      </c>
      <c r="AG133" s="119">
        <v>120</v>
      </c>
      <c r="AH133" s="25">
        <v>9120735.1083333325</v>
      </c>
      <c r="AI133" s="78">
        <v>492519691.08333337</v>
      </c>
      <c r="AJ133" s="78">
        <v>601968521.91666663</v>
      </c>
      <c r="AK133" s="27">
        <f t="shared" si="19"/>
        <v>9120735.1083333325</v>
      </c>
      <c r="AL133" s="27">
        <f t="shared" si="24"/>
        <v>9120735.1083333325</v>
      </c>
      <c r="AM133" s="27"/>
      <c r="AN133" s="27"/>
      <c r="AO133" s="27"/>
      <c r="AP133" s="27"/>
      <c r="AQ133" s="27"/>
      <c r="AR133" s="27"/>
      <c r="AS133" s="27"/>
      <c r="AT133" s="27"/>
      <c r="AU133" s="27"/>
      <c r="AV133" s="27"/>
      <c r="AW133" s="27">
        <f t="shared" si="13"/>
        <v>18241470.216666665</v>
      </c>
      <c r="AX133" s="79">
        <f t="shared" si="14"/>
        <v>583727051.69999993</v>
      </c>
      <c r="AY133" s="79">
        <f t="shared" si="15"/>
        <v>510761161.30000001</v>
      </c>
      <c r="AZ133" s="25">
        <v>1</v>
      </c>
      <c r="BA133" s="62" t="s">
        <v>97</v>
      </c>
      <c r="BB133" s="66">
        <v>1</v>
      </c>
      <c r="BC133" s="66"/>
      <c r="BD133" s="66"/>
      <c r="BE133" s="67">
        <f t="shared" si="23"/>
        <v>9120735.1083333325</v>
      </c>
      <c r="BF133" s="67">
        <f t="shared" si="22"/>
        <v>0</v>
      </c>
      <c r="BG133" s="67">
        <f t="shared" si="16"/>
        <v>0</v>
      </c>
      <c r="BH133" s="66"/>
      <c r="BI133" s="68" t="s">
        <v>80</v>
      </c>
      <c r="BJ133" s="68" t="s">
        <v>124</v>
      </c>
      <c r="BK133" s="68" t="s">
        <v>124</v>
      </c>
      <c r="BL133" s="29"/>
      <c r="BO133" s="35" t="s">
        <v>1801</v>
      </c>
      <c r="BQ133" s="1" t="e">
        <v>#N/A</v>
      </c>
    </row>
    <row r="134" spans="1:69" ht="15" hidden="1" customHeight="1">
      <c r="A134" s="1" t="s">
        <v>43</v>
      </c>
      <c r="C134" s="1" t="str">
        <f t="shared" si="17"/>
        <v>2906</v>
      </c>
      <c r="D134" s="1" t="str">
        <f t="shared" si="18"/>
        <v>1907</v>
      </c>
      <c r="E134" s="19" t="s">
        <v>48</v>
      </c>
      <c r="F134" s="62" t="s">
        <v>49</v>
      </c>
      <c r="G134" s="62">
        <v>2112</v>
      </c>
      <c r="H134" s="62" t="s">
        <v>438</v>
      </c>
      <c r="I134" s="62" t="s">
        <v>439</v>
      </c>
      <c r="J134" s="118">
        <v>2</v>
      </c>
      <c r="K134" s="119"/>
      <c r="L134" s="62" t="s">
        <v>77</v>
      </c>
      <c r="M134" s="120" t="s">
        <v>440</v>
      </c>
      <c r="N134" s="65">
        <v>43621</v>
      </c>
      <c r="O134" s="24">
        <v>308460</v>
      </c>
      <c r="P134" s="24">
        <v>23464</v>
      </c>
      <c r="Q134" s="64">
        <v>7237705440</v>
      </c>
      <c r="R134" s="64">
        <v>0</v>
      </c>
      <c r="S134" s="64"/>
      <c r="T134" s="64">
        <v>5815000</v>
      </c>
      <c r="U134" s="64" t="s">
        <v>441</v>
      </c>
      <c r="V134" s="121">
        <v>7243520440</v>
      </c>
      <c r="W134" s="122">
        <v>0</v>
      </c>
      <c r="X134" s="64">
        <v>7243520440</v>
      </c>
      <c r="Y134" s="121"/>
      <c r="Z134" s="121"/>
      <c r="AA134" s="121"/>
      <c r="AB134" s="121"/>
      <c r="AC134" s="64">
        <v>7243520440</v>
      </c>
      <c r="AD134" s="65">
        <v>43647</v>
      </c>
      <c r="AE134" s="65">
        <v>47297</v>
      </c>
      <c r="AF134" s="62">
        <v>10</v>
      </c>
      <c r="AG134" s="119">
        <v>120</v>
      </c>
      <c r="AH134" s="25">
        <v>60362670.333333336</v>
      </c>
      <c r="AI134" s="78">
        <v>3259584183.3333335</v>
      </c>
      <c r="AJ134" s="78">
        <v>3983936256.6666665</v>
      </c>
      <c r="AK134" s="27">
        <f t="shared" si="19"/>
        <v>60362670.333333336</v>
      </c>
      <c r="AL134" s="27">
        <f t="shared" si="24"/>
        <v>60362670.333333336</v>
      </c>
      <c r="AM134" s="27"/>
      <c r="AN134" s="27"/>
      <c r="AO134" s="27"/>
      <c r="AP134" s="27"/>
      <c r="AQ134" s="27"/>
      <c r="AR134" s="27"/>
      <c r="AS134" s="27"/>
      <c r="AT134" s="27"/>
      <c r="AU134" s="27"/>
      <c r="AV134" s="27"/>
      <c r="AW134" s="27">
        <f t="shared" si="13"/>
        <v>120725340.66666667</v>
      </c>
      <c r="AX134" s="79">
        <f t="shared" si="14"/>
        <v>3863210916</v>
      </c>
      <c r="AY134" s="79">
        <f t="shared" si="15"/>
        <v>3380309524</v>
      </c>
      <c r="AZ134" s="25">
        <v>2</v>
      </c>
      <c r="BA134" s="62" t="s">
        <v>97</v>
      </c>
      <c r="BB134" s="66">
        <v>1</v>
      </c>
      <c r="BC134" s="66"/>
      <c r="BD134" s="66"/>
      <c r="BE134" s="67">
        <f t="shared" si="23"/>
        <v>60362670.333333336</v>
      </c>
      <c r="BF134" s="67">
        <f t="shared" si="22"/>
        <v>0</v>
      </c>
      <c r="BG134" s="67">
        <f t="shared" si="16"/>
        <v>0</v>
      </c>
      <c r="BH134" s="66"/>
      <c r="BI134" s="68" t="s">
        <v>80</v>
      </c>
      <c r="BJ134" s="68" t="s">
        <v>121</v>
      </c>
      <c r="BK134" s="68" t="s">
        <v>121</v>
      </c>
      <c r="BL134" s="29"/>
      <c r="BO134" s="35" t="s">
        <v>1801</v>
      </c>
      <c r="BP134" s="1" t="s">
        <v>1813</v>
      </c>
      <c r="BQ134" s="1" t="s">
        <v>1979</v>
      </c>
    </row>
    <row r="135" spans="1:69" ht="15" hidden="1" customHeight="1">
      <c r="A135" s="1" t="s">
        <v>43</v>
      </c>
      <c r="C135" s="1" t="str">
        <f t="shared" si="17"/>
        <v>2206</v>
      </c>
      <c r="D135" s="1" t="str">
        <f t="shared" si="18"/>
        <v>1907</v>
      </c>
      <c r="E135" s="19" t="s">
        <v>48</v>
      </c>
      <c r="F135" s="62" t="s">
        <v>49</v>
      </c>
      <c r="G135" s="62">
        <v>2112</v>
      </c>
      <c r="H135" s="62" t="s">
        <v>442</v>
      </c>
      <c r="I135" s="62" t="s">
        <v>443</v>
      </c>
      <c r="J135" s="118">
        <v>2</v>
      </c>
      <c r="K135" s="119"/>
      <c r="L135" s="62" t="s">
        <v>77</v>
      </c>
      <c r="M135" s="120" t="s">
        <v>444</v>
      </c>
      <c r="N135" s="65">
        <v>43619</v>
      </c>
      <c r="O135" s="24">
        <v>1746.37</v>
      </c>
      <c r="P135" s="24">
        <v>23462</v>
      </c>
      <c r="Q135" s="64">
        <v>40973332.939999998</v>
      </c>
      <c r="R135" s="64">
        <v>0</v>
      </c>
      <c r="S135" s="64"/>
      <c r="T135" s="64">
        <v>254440.51699999999</v>
      </c>
      <c r="U135" s="64" t="s">
        <v>445</v>
      </c>
      <c r="V135" s="121">
        <v>41227773</v>
      </c>
      <c r="W135" s="122">
        <v>0</v>
      </c>
      <c r="X135" s="64">
        <v>41227773</v>
      </c>
      <c r="Y135" s="121"/>
      <c r="Z135" s="121"/>
      <c r="AA135" s="121"/>
      <c r="AB135" s="121"/>
      <c r="AC135" s="64">
        <v>41227773</v>
      </c>
      <c r="AD135" s="65">
        <v>43647</v>
      </c>
      <c r="AE135" s="65">
        <v>44742</v>
      </c>
      <c r="AF135" s="62">
        <v>3</v>
      </c>
      <c r="AG135" s="119">
        <v>36</v>
      </c>
      <c r="AH135" s="25">
        <v>1145215.9166666667</v>
      </c>
      <c r="AI135" s="78">
        <v>41227773</v>
      </c>
      <c r="AJ135" s="78">
        <v>0</v>
      </c>
      <c r="AK135" s="27">
        <f t="shared" si="19"/>
        <v>0</v>
      </c>
      <c r="AL135" s="27">
        <f t="shared" si="24"/>
        <v>0</v>
      </c>
      <c r="AM135" s="27"/>
      <c r="AN135" s="27"/>
      <c r="AO135" s="27"/>
      <c r="AP135" s="27"/>
      <c r="AQ135" s="27"/>
      <c r="AR135" s="27"/>
      <c r="AS135" s="27"/>
      <c r="AT135" s="27"/>
      <c r="AU135" s="27"/>
      <c r="AV135" s="27"/>
      <c r="AW135" s="27">
        <f t="shared" si="13"/>
        <v>0</v>
      </c>
      <c r="AX135" s="79">
        <f t="shared" si="14"/>
        <v>0</v>
      </c>
      <c r="AY135" s="79">
        <f t="shared" si="15"/>
        <v>41227773</v>
      </c>
      <c r="AZ135" s="25">
        <v>2</v>
      </c>
      <c r="BA135" s="62" t="s">
        <v>79</v>
      </c>
      <c r="BB135" s="66">
        <v>1</v>
      </c>
      <c r="BC135" s="66"/>
      <c r="BD135" s="66"/>
      <c r="BE135" s="67">
        <f t="shared" si="23"/>
        <v>0</v>
      </c>
      <c r="BF135" s="67">
        <f t="shared" si="22"/>
        <v>0</v>
      </c>
      <c r="BG135" s="67">
        <f t="shared" si="16"/>
        <v>0</v>
      </c>
      <c r="BH135" s="66"/>
      <c r="BI135" s="68" t="s">
        <v>446</v>
      </c>
      <c r="BJ135" s="68" t="s">
        <v>58</v>
      </c>
      <c r="BK135" s="68" t="s">
        <v>159</v>
      </c>
      <c r="BL135" s="29"/>
      <c r="BO135" s="35" t="s">
        <v>1805</v>
      </c>
      <c r="BQ135" s="1" t="e">
        <v>#N/A</v>
      </c>
    </row>
    <row r="136" spans="1:69" ht="15" hidden="1" customHeight="1">
      <c r="A136" s="1" t="s">
        <v>43</v>
      </c>
      <c r="C136" s="1" t="str">
        <f t="shared" si="17"/>
        <v>2606</v>
      </c>
      <c r="D136" s="1" t="str">
        <f t="shared" si="18"/>
        <v>1906</v>
      </c>
      <c r="E136" s="19" t="s">
        <v>48</v>
      </c>
      <c r="F136" s="62" t="s">
        <v>49</v>
      </c>
      <c r="G136" s="62">
        <v>2114</v>
      </c>
      <c r="H136" s="62" t="s">
        <v>447</v>
      </c>
      <c r="I136" s="62" t="s">
        <v>448</v>
      </c>
      <c r="J136" s="118">
        <v>1</v>
      </c>
      <c r="K136" s="119"/>
      <c r="L136" s="62" t="s">
        <v>449</v>
      </c>
      <c r="M136" s="120" t="s">
        <v>450</v>
      </c>
      <c r="N136" s="65">
        <v>43621</v>
      </c>
      <c r="O136" s="24"/>
      <c r="P136" s="24"/>
      <c r="Q136" s="64">
        <v>55000000</v>
      </c>
      <c r="R136" s="64"/>
      <c r="S136" s="64"/>
      <c r="T136" s="64"/>
      <c r="U136" s="64"/>
      <c r="V136" s="121">
        <v>55000000</v>
      </c>
      <c r="W136" s="122">
        <v>0</v>
      </c>
      <c r="X136" s="64">
        <v>55000000</v>
      </c>
      <c r="Y136" s="121"/>
      <c r="Z136" s="121"/>
      <c r="AA136" s="121"/>
      <c r="AB136" s="121"/>
      <c r="AC136" s="64">
        <v>55000000</v>
      </c>
      <c r="AD136" s="65">
        <v>43621</v>
      </c>
      <c r="AE136" s="65">
        <v>46176</v>
      </c>
      <c r="AF136" s="62">
        <v>7</v>
      </c>
      <c r="AG136" s="119">
        <v>84</v>
      </c>
      <c r="AH136" s="25">
        <v>654761.90476190473</v>
      </c>
      <c r="AI136" s="78">
        <v>35924607.047619045</v>
      </c>
      <c r="AJ136" s="78">
        <v>19075392.952380951</v>
      </c>
      <c r="AK136" s="27">
        <f t="shared" si="19"/>
        <v>654761.90476190473</v>
      </c>
      <c r="AL136" s="27">
        <f t="shared" si="24"/>
        <v>654761.90476190473</v>
      </c>
      <c r="AM136" s="27"/>
      <c r="AN136" s="27"/>
      <c r="AO136" s="27"/>
      <c r="AP136" s="27"/>
      <c r="AQ136" s="27"/>
      <c r="AR136" s="27"/>
      <c r="AS136" s="27"/>
      <c r="AT136" s="27"/>
      <c r="AU136" s="27"/>
      <c r="AV136" s="27"/>
      <c r="AW136" s="27">
        <f t="shared" si="13"/>
        <v>1309523.8095238095</v>
      </c>
      <c r="AX136" s="79">
        <f t="shared" si="14"/>
        <v>17765869.142857146</v>
      </c>
      <c r="AY136" s="79">
        <f t="shared" si="15"/>
        <v>37234130.857142851</v>
      </c>
      <c r="AZ136" s="25">
        <v>1</v>
      </c>
      <c r="BA136" s="62" t="s">
        <v>97</v>
      </c>
      <c r="BB136" s="66"/>
      <c r="BC136" s="66">
        <v>1</v>
      </c>
      <c r="BD136" s="66"/>
      <c r="BE136" s="67">
        <f t="shared" si="23"/>
        <v>0</v>
      </c>
      <c r="BF136" s="67">
        <f t="shared" si="22"/>
        <v>654761.90476190473</v>
      </c>
      <c r="BG136" s="67">
        <f t="shared" si="16"/>
        <v>0</v>
      </c>
      <c r="BH136" s="66"/>
      <c r="BI136" s="68" t="s">
        <v>451</v>
      </c>
      <c r="BJ136" s="68" t="s">
        <v>58</v>
      </c>
      <c r="BK136" s="68" t="s">
        <v>59</v>
      </c>
      <c r="BL136" s="29"/>
      <c r="BO136" s="35" t="s">
        <v>1799</v>
      </c>
      <c r="BQ136" s="1" t="e">
        <v>#N/A</v>
      </c>
    </row>
    <row r="137" spans="1:69" ht="15" hidden="1" customHeight="1">
      <c r="A137" s="1" t="s">
        <v>43</v>
      </c>
      <c r="C137" s="1" t="str">
        <f t="shared" si="17"/>
        <v>2606</v>
      </c>
      <c r="D137" s="1" t="str">
        <f t="shared" si="18"/>
        <v>1906</v>
      </c>
      <c r="E137" s="19" t="s">
        <v>48</v>
      </c>
      <c r="F137" s="62" t="s">
        <v>49</v>
      </c>
      <c r="G137" s="62">
        <v>2114</v>
      </c>
      <c r="H137" s="62" t="s">
        <v>452</v>
      </c>
      <c r="I137" s="62" t="s">
        <v>453</v>
      </c>
      <c r="J137" s="118">
        <v>1</v>
      </c>
      <c r="K137" s="119"/>
      <c r="L137" s="62" t="s">
        <v>449</v>
      </c>
      <c r="M137" s="120" t="s">
        <v>450</v>
      </c>
      <c r="N137" s="65">
        <v>43621</v>
      </c>
      <c r="O137" s="24"/>
      <c r="P137" s="24"/>
      <c r="Q137" s="64">
        <v>42750000</v>
      </c>
      <c r="R137" s="64"/>
      <c r="S137" s="64"/>
      <c r="T137" s="64"/>
      <c r="U137" s="64"/>
      <c r="V137" s="121">
        <v>42750000</v>
      </c>
      <c r="W137" s="122">
        <v>0</v>
      </c>
      <c r="X137" s="64">
        <v>42750000</v>
      </c>
      <c r="Y137" s="121"/>
      <c r="Z137" s="121"/>
      <c r="AA137" s="121"/>
      <c r="AB137" s="121"/>
      <c r="AC137" s="64">
        <v>42750000</v>
      </c>
      <c r="AD137" s="65">
        <v>43621</v>
      </c>
      <c r="AE137" s="65">
        <v>46176</v>
      </c>
      <c r="AF137" s="62">
        <v>7</v>
      </c>
      <c r="AG137" s="119">
        <v>84</v>
      </c>
      <c r="AH137" s="25">
        <v>508928.57142857142</v>
      </c>
      <c r="AI137" s="78">
        <v>27923233.714285716</v>
      </c>
      <c r="AJ137" s="78">
        <v>14826766.285714284</v>
      </c>
      <c r="AK137" s="27">
        <f t="shared" si="19"/>
        <v>508928.57142857142</v>
      </c>
      <c r="AL137" s="27">
        <f t="shared" si="24"/>
        <v>508928.57142857142</v>
      </c>
      <c r="AM137" s="27"/>
      <c r="AN137" s="27"/>
      <c r="AO137" s="27"/>
      <c r="AP137" s="27"/>
      <c r="AQ137" s="27"/>
      <c r="AR137" s="27"/>
      <c r="AS137" s="27"/>
      <c r="AT137" s="27"/>
      <c r="AU137" s="27"/>
      <c r="AV137" s="27"/>
      <c r="AW137" s="27">
        <f t="shared" si="13"/>
        <v>1017857.1428571428</v>
      </c>
      <c r="AX137" s="79">
        <f t="shared" si="14"/>
        <v>13808909.14285714</v>
      </c>
      <c r="AY137" s="79">
        <f t="shared" si="15"/>
        <v>28941090.857142858</v>
      </c>
      <c r="AZ137" s="25">
        <v>1</v>
      </c>
      <c r="BA137" s="62" t="s">
        <v>79</v>
      </c>
      <c r="BB137" s="66"/>
      <c r="BC137" s="66">
        <v>1</v>
      </c>
      <c r="BD137" s="66"/>
      <c r="BE137" s="67">
        <f t="shared" si="23"/>
        <v>0</v>
      </c>
      <c r="BF137" s="67">
        <f t="shared" si="22"/>
        <v>508928.57142857142</v>
      </c>
      <c r="BG137" s="67">
        <f t="shared" si="16"/>
        <v>0</v>
      </c>
      <c r="BH137" s="66"/>
      <c r="BI137" s="68" t="s">
        <v>451</v>
      </c>
      <c r="BJ137" s="68" t="s">
        <v>58</v>
      </c>
      <c r="BK137" s="68" t="s">
        <v>59</v>
      </c>
      <c r="BL137" s="29"/>
      <c r="BO137" s="35" t="s">
        <v>1799</v>
      </c>
      <c r="BQ137" s="1" t="e">
        <v>#N/A</v>
      </c>
    </row>
    <row r="138" spans="1:69" ht="15" hidden="1" customHeight="1">
      <c r="A138" s="1" t="s">
        <v>43</v>
      </c>
      <c r="C138" s="1" t="str">
        <f t="shared" si="17"/>
        <v>2707</v>
      </c>
      <c r="D138" s="1" t="str">
        <f t="shared" si="18"/>
        <v>1907</v>
      </c>
      <c r="E138" s="19" t="s">
        <v>48</v>
      </c>
      <c r="F138" s="62" t="s">
        <v>49</v>
      </c>
      <c r="G138" s="62">
        <v>2111</v>
      </c>
      <c r="H138" s="62" t="s">
        <v>454</v>
      </c>
      <c r="I138" s="62" t="s">
        <v>455</v>
      </c>
      <c r="J138" s="118">
        <v>1</v>
      </c>
      <c r="K138" s="119"/>
      <c r="L138" s="62" t="s">
        <v>70</v>
      </c>
      <c r="M138" s="120" t="s">
        <v>456</v>
      </c>
      <c r="N138" s="65">
        <v>43668</v>
      </c>
      <c r="O138" s="24"/>
      <c r="P138" s="24"/>
      <c r="Q138" s="64">
        <v>127322534</v>
      </c>
      <c r="R138" s="64"/>
      <c r="S138" s="64"/>
      <c r="T138" s="64"/>
      <c r="U138" s="64"/>
      <c r="V138" s="121">
        <v>127322534</v>
      </c>
      <c r="W138" s="122">
        <v>0</v>
      </c>
      <c r="X138" s="64">
        <v>127322534</v>
      </c>
      <c r="Y138" s="121"/>
      <c r="Z138" s="121"/>
      <c r="AA138" s="121"/>
      <c r="AB138" s="121"/>
      <c r="AC138" s="64">
        <v>127322534</v>
      </c>
      <c r="AD138" s="65">
        <v>43668</v>
      </c>
      <c r="AE138" s="65">
        <v>46589</v>
      </c>
      <c r="AF138" s="62">
        <v>8</v>
      </c>
      <c r="AG138" s="119">
        <v>96</v>
      </c>
      <c r="AH138" s="25">
        <v>1326276.3958333333</v>
      </c>
      <c r="AI138" s="78">
        <v>70720462.958333343</v>
      </c>
      <c r="AJ138" s="78">
        <v>56602071.041666664</v>
      </c>
      <c r="AK138" s="27">
        <f t="shared" si="19"/>
        <v>1326276.3958333333</v>
      </c>
      <c r="AL138" s="27">
        <f t="shared" si="24"/>
        <v>1326276.3958333333</v>
      </c>
      <c r="AM138" s="27"/>
      <c r="AN138" s="27"/>
      <c r="AO138" s="27"/>
      <c r="AP138" s="27"/>
      <c r="AQ138" s="27"/>
      <c r="AR138" s="27"/>
      <c r="AS138" s="27"/>
      <c r="AT138" s="27"/>
      <c r="AU138" s="27"/>
      <c r="AV138" s="27"/>
      <c r="AW138" s="27">
        <f t="shared" si="13"/>
        <v>2652552.7916666665</v>
      </c>
      <c r="AX138" s="79">
        <f t="shared" si="14"/>
        <v>53949518.249999993</v>
      </c>
      <c r="AY138" s="79">
        <f t="shared" si="15"/>
        <v>73373015.750000015</v>
      </c>
      <c r="AZ138" s="25">
        <v>1</v>
      </c>
      <c r="BA138" s="62" t="s">
        <v>56</v>
      </c>
      <c r="BB138" s="66">
        <v>1</v>
      </c>
      <c r="BC138" s="66"/>
      <c r="BD138" s="66"/>
      <c r="BE138" s="67">
        <f t="shared" si="23"/>
        <v>1326276.3958333333</v>
      </c>
      <c r="BF138" s="67">
        <f t="shared" si="22"/>
        <v>0</v>
      </c>
      <c r="BG138" s="67">
        <f t="shared" ref="BG138:BG201" si="25">+$AL138*BD138</f>
        <v>0</v>
      </c>
      <c r="BH138" s="66"/>
      <c r="BI138" s="68" t="s">
        <v>457</v>
      </c>
      <c r="BJ138" s="68" t="s">
        <v>58</v>
      </c>
      <c r="BK138" s="68" t="s">
        <v>59</v>
      </c>
      <c r="BL138" s="29"/>
      <c r="BO138" s="35" t="s">
        <v>1799</v>
      </c>
      <c r="BQ138" s="1" t="e">
        <v>#N/A</v>
      </c>
    </row>
    <row r="139" spans="1:69" ht="15" hidden="1" customHeight="1">
      <c r="A139" s="1" t="s">
        <v>43</v>
      </c>
      <c r="C139" s="1" t="str">
        <f t="shared" si="17"/>
        <v>2907</v>
      </c>
      <c r="D139" s="1" t="str">
        <f t="shared" si="18"/>
        <v>1908</v>
      </c>
      <c r="E139" s="19" t="s">
        <v>48</v>
      </c>
      <c r="F139" s="62" t="s">
        <v>49</v>
      </c>
      <c r="G139" s="62">
        <v>2112</v>
      </c>
      <c r="H139" s="62" t="s">
        <v>458</v>
      </c>
      <c r="I139" s="62" t="s">
        <v>459</v>
      </c>
      <c r="J139" s="118">
        <v>1</v>
      </c>
      <c r="K139" s="119"/>
      <c r="L139" s="62" t="s">
        <v>77</v>
      </c>
      <c r="M139" s="120" t="s">
        <v>460</v>
      </c>
      <c r="N139" s="65">
        <v>43651</v>
      </c>
      <c r="O139" s="24">
        <v>7436.55</v>
      </c>
      <c r="P139" s="24">
        <v>23296</v>
      </c>
      <c r="Q139" s="64">
        <v>173241868.80000001</v>
      </c>
      <c r="R139" s="64">
        <v>0</v>
      </c>
      <c r="S139" s="64"/>
      <c r="T139" s="64">
        <v>18533.484</v>
      </c>
      <c r="U139" s="64" t="s">
        <v>461</v>
      </c>
      <c r="V139" s="121">
        <v>173260402</v>
      </c>
      <c r="W139" s="122">
        <v>0</v>
      </c>
      <c r="X139" s="64">
        <v>173260402</v>
      </c>
      <c r="Y139" s="121"/>
      <c r="Z139" s="121"/>
      <c r="AA139" s="121"/>
      <c r="AB139" s="121"/>
      <c r="AC139" s="64">
        <v>173260402</v>
      </c>
      <c r="AD139" s="65">
        <v>43678</v>
      </c>
      <c r="AE139" s="65">
        <v>47328</v>
      </c>
      <c r="AF139" s="62">
        <v>10</v>
      </c>
      <c r="AG139" s="119">
        <v>120</v>
      </c>
      <c r="AH139" s="25">
        <v>1443836.6833333333</v>
      </c>
      <c r="AI139" s="78">
        <v>76523357.553333342</v>
      </c>
      <c r="AJ139" s="78">
        <v>96737044.446666658</v>
      </c>
      <c r="AK139" s="27">
        <f t="shared" si="19"/>
        <v>1443836.6833333333</v>
      </c>
      <c r="AL139" s="27">
        <f t="shared" si="24"/>
        <v>1443836.6833333333</v>
      </c>
      <c r="AM139" s="27"/>
      <c r="AN139" s="27"/>
      <c r="AO139" s="27"/>
      <c r="AP139" s="27"/>
      <c r="AQ139" s="27"/>
      <c r="AR139" s="27"/>
      <c r="AS139" s="27"/>
      <c r="AT139" s="27"/>
      <c r="AU139" s="27"/>
      <c r="AV139" s="27"/>
      <c r="AW139" s="27">
        <f t="shared" si="13"/>
        <v>2887673.3666666667</v>
      </c>
      <c r="AX139" s="79">
        <f t="shared" si="14"/>
        <v>93849371.079999998</v>
      </c>
      <c r="AY139" s="79">
        <f t="shared" si="15"/>
        <v>79411030.920000002</v>
      </c>
      <c r="AZ139" s="25">
        <v>1</v>
      </c>
      <c r="BA139" s="62" t="s">
        <v>97</v>
      </c>
      <c r="BB139" s="66">
        <v>1</v>
      </c>
      <c r="BC139" s="66"/>
      <c r="BD139" s="66"/>
      <c r="BE139" s="67">
        <f t="shared" si="23"/>
        <v>1443836.6833333333</v>
      </c>
      <c r="BF139" s="67">
        <f t="shared" ref="BF139:BF202" si="26">+$AL139*BC139</f>
        <v>0</v>
      </c>
      <c r="BG139" s="67">
        <f t="shared" si="25"/>
        <v>0</v>
      </c>
      <c r="BH139" s="66"/>
      <c r="BI139" s="68">
        <v>0</v>
      </c>
      <c r="BJ139" s="68" t="s">
        <v>58</v>
      </c>
      <c r="BK139" s="68" t="s">
        <v>159</v>
      </c>
      <c r="BL139" s="29"/>
      <c r="BO139" s="35" t="s">
        <v>1801</v>
      </c>
      <c r="BQ139" s="1" t="e">
        <v>#N/A</v>
      </c>
    </row>
    <row r="140" spans="1:69" ht="15" hidden="1" customHeight="1">
      <c r="A140" s="1" t="s">
        <v>43</v>
      </c>
      <c r="C140" s="1" t="str">
        <f t="shared" si="17"/>
        <v>2908</v>
      </c>
      <c r="D140" s="1" t="str">
        <f t="shared" si="18"/>
        <v>1909</v>
      </c>
      <c r="E140" s="19" t="s">
        <v>48</v>
      </c>
      <c r="F140" s="62" t="s">
        <v>49</v>
      </c>
      <c r="G140" s="62">
        <v>2112</v>
      </c>
      <c r="H140" s="62" t="s">
        <v>462</v>
      </c>
      <c r="I140" s="62" t="s">
        <v>463</v>
      </c>
      <c r="J140" s="118">
        <v>1</v>
      </c>
      <c r="K140" s="119"/>
      <c r="L140" s="62" t="s">
        <v>77</v>
      </c>
      <c r="M140" s="120" t="s">
        <v>464</v>
      </c>
      <c r="N140" s="65">
        <v>43675</v>
      </c>
      <c r="O140" s="24">
        <v>6743</v>
      </c>
      <c r="P140" s="24">
        <v>23270</v>
      </c>
      <c r="Q140" s="64">
        <v>156909610</v>
      </c>
      <c r="R140" s="64">
        <v>0</v>
      </c>
      <c r="S140" s="64"/>
      <c r="T140" s="64">
        <v>3205300</v>
      </c>
      <c r="U140" s="64" t="s">
        <v>465</v>
      </c>
      <c r="V140" s="121">
        <v>160114910</v>
      </c>
      <c r="W140" s="122">
        <v>0</v>
      </c>
      <c r="X140" s="64">
        <v>160114910</v>
      </c>
      <c r="Y140" s="121"/>
      <c r="Z140" s="121"/>
      <c r="AA140" s="121"/>
      <c r="AB140" s="121"/>
      <c r="AC140" s="64">
        <v>160114910</v>
      </c>
      <c r="AD140" s="65">
        <v>43709</v>
      </c>
      <c r="AE140" s="65">
        <v>47359</v>
      </c>
      <c r="AF140" s="62">
        <v>10</v>
      </c>
      <c r="AG140" s="119">
        <v>120</v>
      </c>
      <c r="AH140" s="25">
        <v>1334290.9166666667</v>
      </c>
      <c r="AI140" s="78">
        <v>69383131.166666657</v>
      </c>
      <c r="AJ140" s="78">
        <v>90731778.833333343</v>
      </c>
      <c r="AK140" s="27">
        <f t="shared" si="19"/>
        <v>1334290.9166666667</v>
      </c>
      <c r="AL140" s="27">
        <f t="shared" si="24"/>
        <v>1334290.9166666667</v>
      </c>
      <c r="AM140" s="27"/>
      <c r="AN140" s="27"/>
      <c r="AO140" s="27"/>
      <c r="AP140" s="27"/>
      <c r="AQ140" s="27"/>
      <c r="AR140" s="27"/>
      <c r="AS140" s="27"/>
      <c r="AT140" s="27"/>
      <c r="AU140" s="27"/>
      <c r="AV140" s="27"/>
      <c r="AW140" s="27">
        <f t="shared" si="13"/>
        <v>2668581.8333333335</v>
      </c>
      <c r="AX140" s="79">
        <f t="shared" si="14"/>
        <v>88063197.000000015</v>
      </c>
      <c r="AY140" s="79">
        <f t="shared" si="15"/>
        <v>72051712.999999985</v>
      </c>
      <c r="AZ140" s="25">
        <v>1</v>
      </c>
      <c r="BA140" s="62" t="s">
        <v>97</v>
      </c>
      <c r="BB140" s="66">
        <v>1</v>
      </c>
      <c r="BC140" s="66"/>
      <c r="BD140" s="66"/>
      <c r="BE140" s="67">
        <f t="shared" si="23"/>
        <v>1334290.9166666667</v>
      </c>
      <c r="BF140" s="67">
        <f t="shared" si="26"/>
        <v>0</v>
      </c>
      <c r="BG140" s="67">
        <f t="shared" si="25"/>
        <v>0</v>
      </c>
      <c r="BH140" s="66"/>
      <c r="BI140" s="68" t="s">
        <v>466</v>
      </c>
      <c r="BJ140" s="68" t="s">
        <v>58</v>
      </c>
      <c r="BK140" s="68" t="s">
        <v>159</v>
      </c>
      <c r="BL140" s="29"/>
      <c r="BO140" s="35" t="s">
        <v>1804</v>
      </c>
      <c r="BQ140" s="1" t="s">
        <v>1989</v>
      </c>
    </row>
    <row r="141" spans="1:69" ht="15" hidden="1" customHeight="1">
      <c r="A141" s="1" t="s">
        <v>43</v>
      </c>
      <c r="C141" s="1" t="str">
        <f t="shared" si="17"/>
        <v>2608</v>
      </c>
      <c r="D141" s="1" t="str">
        <f t="shared" si="18"/>
        <v>1909</v>
      </c>
      <c r="E141" s="19" t="s">
        <v>48</v>
      </c>
      <c r="F141" s="62" t="s">
        <v>49</v>
      </c>
      <c r="G141" s="62">
        <v>2112</v>
      </c>
      <c r="H141" s="62" t="s">
        <v>467</v>
      </c>
      <c r="I141" s="62" t="s">
        <v>468</v>
      </c>
      <c r="J141" s="118">
        <v>1</v>
      </c>
      <c r="K141" s="119" t="s">
        <v>469</v>
      </c>
      <c r="L141" s="62" t="s">
        <v>77</v>
      </c>
      <c r="M141" s="120" t="s">
        <v>470</v>
      </c>
      <c r="N141" s="132">
        <v>43679</v>
      </c>
      <c r="O141" s="24">
        <v>44210</v>
      </c>
      <c r="P141" s="24">
        <v>23283</v>
      </c>
      <c r="Q141" s="64">
        <v>1029341430</v>
      </c>
      <c r="R141" s="64">
        <v>0</v>
      </c>
      <c r="S141" s="64"/>
      <c r="T141" s="64">
        <v>11132546.938999999</v>
      </c>
      <c r="U141" s="64" t="s">
        <v>471</v>
      </c>
      <c r="V141" s="121">
        <v>1040473977</v>
      </c>
      <c r="W141" s="122">
        <v>0</v>
      </c>
      <c r="X141" s="64">
        <v>1040473977</v>
      </c>
      <c r="Y141" s="121"/>
      <c r="Z141" s="121"/>
      <c r="AA141" s="121"/>
      <c r="AB141" s="121"/>
      <c r="AC141" s="64">
        <v>1040473977</v>
      </c>
      <c r="AD141" s="65">
        <v>43709</v>
      </c>
      <c r="AE141" s="65">
        <v>46264</v>
      </c>
      <c r="AF141" s="62">
        <v>7</v>
      </c>
      <c r="AG141" s="119">
        <v>84</v>
      </c>
      <c r="AH141" s="25">
        <v>12386594.964285715</v>
      </c>
      <c r="AI141" s="78">
        <v>644102939.70285702</v>
      </c>
      <c r="AJ141" s="78">
        <v>396371037.29714292</v>
      </c>
      <c r="AK141" s="27">
        <f t="shared" si="19"/>
        <v>12386594.964285715</v>
      </c>
      <c r="AL141" s="27">
        <f t="shared" si="24"/>
        <v>12386594.964285715</v>
      </c>
      <c r="AM141" s="27"/>
      <c r="AN141" s="27"/>
      <c r="AO141" s="27"/>
      <c r="AP141" s="27"/>
      <c r="AQ141" s="27"/>
      <c r="AR141" s="27"/>
      <c r="AS141" s="27"/>
      <c r="AT141" s="27"/>
      <c r="AU141" s="27"/>
      <c r="AV141" s="27"/>
      <c r="AW141" s="27">
        <f t="shared" si="13"/>
        <v>24773189.928571429</v>
      </c>
      <c r="AX141" s="79">
        <f t="shared" si="14"/>
        <v>371597847.36857158</v>
      </c>
      <c r="AY141" s="79">
        <f t="shared" si="15"/>
        <v>668876129.63142848</v>
      </c>
      <c r="AZ141" s="25">
        <v>1</v>
      </c>
      <c r="BA141" s="62" t="s">
        <v>97</v>
      </c>
      <c r="BB141" s="66">
        <v>1</v>
      </c>
      <c r="BC141" s="66"/>
      <c r="BD141" s="66"/>
      <c r="BE141" s="67">
        <f t="shared" si="23"/>
        <v>12386594.964285715</v>
      </c>
      <c r="BF141" s="67">
        <f t="shared" si="26"/>
        <v>0</v>
      </c>
      <c r="BG141" s="67">
        <f t="shared" si="25"/>
        <v>0</v>
      </c>
      <c r="BH141" s="66"/>
      <c r="BI141" s="68" t="s">
        <v>414</v>
      </c>
      <c r="BJ141" s="68" t="s">
        <v>98</v>
      </c>
      <c r="BK141" s="68" t="s">
        <v>98</v>
      </c>
      <c r="BL141" s="29"/>
      <c r="BO141" s="35" t="s">
        <v>1801</v>
      </c>
      <c r="BQ141" s="1" t="e">
        <v>#N/A</v>
      </c>
    </row>
    <row r="142" spans="1:69" ht="15" hidden="1" customHeight="1">
      <c r="A142" s="1" t="s">
        <v>43</v>
      </c>
      <c r="C142" s="1" t="str">
        <f t="shared" si="17"/>
        <v>2608</v>
      </c>
      <c r="D142" s="1" t="str">
        <f t="shared" si="18"/>
        <v>1909</v>
      </c>
      <c r="E142" s="19" t="s">
        <v>48</v>
      </c>
      <c r="F142" s="62" t="s">
        <v>49</v>
      </c>
      <c r="G142" s="62">
        <v>2112</v>
      </c>
      <c r="H142" s="62" t="s">
        <v>472</v>
      </c>
      <c r="I142" s="62" t="s">
        <v>473</v>
      </c>
      <c r="J142" s="118">
        <v>2</v>
      </c>
      <c r="K142" s="119" t="s">
        <v>469</v>
      </c>
      <c r="L142" s="62" t="s">
        <v>77</v>
      </c>
      <c r="M142" s="120" t="s">
        <v>470</v>
      </c>
      <c r="N142" s="132">
        <v>43679</v>
      </c>
      <c r="O142" s="24">
        <v>49260</v>
      </c>
      <c r="P142" s="24">
        <v>23283</v>
      </c>
      <c r="Q142" s="64">
        <v>1146920580</v>
      </c>
      <c r="R142" s="64">
        <v>0</v>
      </c>
      <c r="S142" s="64"/>
      <c r="T142" s="64">
        <v>12404190.493000001</v>
      </c>
      <c r="U142" s="64" t="s">
        <v>471</v>
      </c>
      <c r="V142" s="121">
        <v>1159324770</v>
      </c>
      <c r="W142" s="122">
        <v>0</v>
      </c>
      <c r="X142" s="64">
        <v>1159324770</v>
      </c>
      <c r="Y142" s="121"/>
      <c r="Z142" s="121"/>
      <c r="AA142" s="121"/>
      <c r="AB142" s="121"/>
      <c r="AC142" s="64">
        <v>1159324770</v>
      </c>
      <c r="AD142" s="65">
        <v>43709</v>
      </c>
      <c r="AE142" s="65">
        <v>46264</v>
      </c>
      <c r="AF142" s="62">
        <v>7</v>
      </c>
      <c r="AG142" s="119">
        <v>84</v>
      </c>
      <c r="AH142" s="25">
        <v>13801485.357142856</v>
      </c>
      <c r="AI142" s="78">
        <v>717677223.08142853</v>
      </c>
      <c r="AJ142" s="78">
        <v>441647546.91857147</v>
      </c>
      <c r="AK142" s="27">
        <f t="shared" si="19"/>
        <v>13801485.357142856</v>
      </c>
      <c r="AL142" s="27">
        <f t="shared" si="24"/>
        <v>13801485.357142856</v>
      </c>
      <c r="AM142" s="27"/>
      <c r="AN142" s="27"/>
      <c r="AO142" s="27"/>
      <c r="AP142" s="27"/>
      <c r="AQ142" s="27"/>
      <c r="AR142" s="27"/>
      <c r="AS142" s="27"/>
      <c r="AT142" s="27"/>
      <c r="AU142" s="27"/>
      <c r="AV142" s="27"/>
      <c r="AW142" s="27">
        <f t="shared" si="13"/>
        <v>27602970.714285713</v>
      </c>
      <c r="AX142" s="79">
        <f t="shared" si="14"/>
        <v>414044576.20428574</v>
      </c>
      <c r="AY142" s="79">
        <f t="shared" si="15"/>
        <v>745280193.79571426</v>
      </c>
      <c r="AZ142" s="25">
        <v>2</v>
      </c>
      <c r="BA142" s="62" t="s">
        <v>97</v>
      </c>
      <c r="BB142" s="66">
        <v>1</v>
      </c>
      <c r="BC142" s="66"/>
      <c r="BD142" s="66"/>
      <c r="BE142" s="67">
        <f t="shared" si="23"/>
        <v>13801485.357142856</v>
      </c>
      <c r="BF142" s="67">
        <f t="shared" si="26"/>
        <v>0</v>
      </c>
      <c r="BG142" s="67">
        <f t="shared" si="25"/>
        <v>0</v>
      </c>
      <c r="BH142" s="66"/>
      <c r="BI142" s="68" t="s">
        <v>474</v>
      </c>
      <c r="BJ142" s="68" t="s">
        <v>81</v>
      </c>
      <c r="BK142" s="68" t="s">
        <v>81</v>
      </c>
      <c r="BL142" s="29"/>
      <c r="BO142" s="35" t="s">
        <v>1801</v>
      </c>
      <c r="BQ142" s="1" t="s">
        <v>1930</v>
      </c>
    </row>
    <row r="143" spans="1:69" ht="15" hidden="1" customHeight="1">
      <c r="A143" s="1" t="s">
        <v>43</v>
      </c>
      <c r="C143" s="1" t="str">
        <f t="shared" si="17"/>
        <v>2608</v>
      </c>
      <c r="D143" s="1" t="str">
        <f t="shared" si="18"/>
        <v>1909</v>
      </c>
      <c r="E143" s="19" t="s">
        <v>48</v>
      </c>
      <c r="F143" s="62" t="s">
        <v>49</v>
      </c>
      <c r="G143" s="62">
        <v>2112</v>
      </c>
      <c r="H143" s="62" t="s">
        <v>475</v>
      </c>
      <c r="I143" s="62" t="s">
        <v>476</v>
      </c>
      <c r="J143" s="118">
        <v>1</v>
      </c>
      <c r="K143" s="119" t="s">
        <v>469</v>
      </c>
      <c r="L143" s="62" t="s">
        <v>77</v>
      </c>
      <c r="M143" s="120" t="s">
        <v>470</v>
      </c>
      <c r="N143" s="132">
        <v>43679</v>
      </c>
      <c r="O143" s="24">
        <v>28950</v>
      </c>
      <c r="P143" s="24">
        <v>23283</v>
      </c>
      <c r="Q143" s="64">
        <v>674042850</v>
      </c>
      <c r="R143" s="64">
        <v>20105775</v>
      </c>
      <c r="S143" s="64"/>
      <c r="T143" s="64">
        <v>7289917.0749999993</v>
      </c>
      <c r="U143" s="64" t="s">
        <v>471</v>
      </c>
      <c r="V143" s="121">
        <v>701438542</v>
      </c>
      <c r="W143" s="122">
        <v>0</v>
      </c>
      <c r="X143" s="64">
        <v>701438542</v>
      </c>
      <c r="Y143" s="121"/>
      <c r="Z143" s="121"/>
      <c r="AA143" s="121"/>
      <c r="AB143" s="121"/>
      <c r="AC143" s="64">
        <v>701438542</v>
      </c>
      <c r="AD143" s="65">
        <v>43709</v>
      </c>
      <c r="AE143" s="65">
        <v>46264</v>
      </c>
      <c r="AF143" s="62">
        <v>7</v>
      </c>
      <c r="AG143" s="119">
        <v>84</v>
      </c>
      <c r="AH143" s="25">
        <v>8350458.833333333</v>
      </c>
      <c r="AI143" s="78">
        <v>434223866.25333327</v>
      </c>
      <c r="AJ143" s="78">
        <v>267214675.74666673</v>
      </c>
      <c r="AK143" s="27">
        <f t="shared" si="19"/>
        <v>8350458.833333333</v>
      </c>
      <c r="AL143" s="27">
        <f t="shared" si="24"/>
        <v>8350458.833333333</v>
      </c>
      <c r="AM143" s="27"/>
      <c r="AN143" s="27"/>
      <c r="AO143" s="27"/>
      <c r="AP143" s="27"/>
      <c r="AQ143" s="27"/>
      <c r="AR143" s="27"/>
      <c r="AS143" s="27"/>
      <c r="AT143" s="27"/>
      <c r="AU143" s="27"/>
      <c r="AV143" s="27"/>
      <c r="AW143" s="27">
        <f t="shared" si="13"/>
        <v>16700917.666666666</v>
      </c>
      <c r="AX143" s="79">
        <f t="shared" si="14"/>
        <v>250513758.08000007</v>
      </c>
      <c r="AY143" s="79">
        <f t="shared" si="15"/>
        <v>450924783.91999996</v>
      </c>
      <c r="AZ143" s="25">
        <v>1</v>
      </c>
      <c r="BA143" s="62" t="s">
        <v>97</v>
      </c>
      <c r="BB143" s="66">
        <v>1</v>
      </c>
      <c r="BC143" s="66"/>
      <c r="BD143" s="66"/>
      <c r="BE143" s="67">
        <f t="shared" si="23"/>
        <v>8350458.833333333</v>
      </c>
      <c r="BF143" s="67">
        <f t="shared" si="26"/>
        <v>0</v>
      </c>
      <c r="BG143" s="67">
        <f t="shared" si="25"/>
        <v>0</v>
      </c>
      <c r="BH143" s="66"/>
      <c r="BI143" s="68" t="s">
        <v>477</v>
      </c>
      <c r="BJ143" s="68" t="s">
        <v>121</v>
      </c>
      <c r="BK143" s="68" t="s">
        <v>301</v>
      </c>
      <c r="BL143" s="29"/>
      <c r="BO143" s="35" t="s">
        <v>1800</v>
      </c>
      <c r="BP143" s="1" t="s">
        <v>1809</v>
      </c>
      <c r="BQ143" s="1" t="e">
        <v>#N/A</v>
      </c>
    </row>
    <row r="144" spans="1:69" ht="15" hidden="1" customHeight="1">
      <c r="A144" s="1" t="s">
        <v>43</v>
      </c>
      <c r="C144" s="1" t="str">
        <f t="shared" si="17"/>
        <v>2608</v>
      </c>
      <c r="D144" s="1" t="str">
        <f t="shared" si="18"/>
        <v>1909</v>
      </c>
      <c r="E144" s="19" t="s">
        <v>48</v>
      </c>
      <c r="F144" s="62" t="s">
        <v>49</v>
      </c>
      <c r="G144" s="62">
        <v>2112</v>
      </c>
      <c r="H144" s="62" t="s">
        <v>478</v>
      </c>
      <c r="I144" s="62" t="s">
        <v>479</v>
      </c>
      <c r="J144" s="118">
        <v>1</v>
      </c>
      <c r="K144" s="119" t="s">
        <v>469</v>
      </c>
      <c r="L144" s="62" t="s">
        <v>77</v>
      </c>
      <c r="M144" s="120" t="s">
        <v>470</v>
      </c>
      <c r="N144" s="132">
        <v>43679</v>
      </c>
      <c r="O144" s="24">
        <v>28950</v>
      </c>
      <c r="P144" s="24">
        <v>23283</v>
      </c>
      <c r="Q144" s="64">
        <v>674042850</v>
      </c>
      <c r="R144" s="64">
        <v>20105775</v>
      </c>
      <c r="S144" s="64"/>
      <c r="T144" s="64">
        <v>7289917.0749999993</v>
      </c>
      <c r="U144" s="64" t="s">
        <v>471</v>
      </c>
      <c r="V144" s="121">
        <v>701438542</v>
      </c>
      <c r="W144" s="122">
        <v>0</v>
      </c>
      <c r="X144" s="64">
        <v>701438542</v>
      </c>
      <c r="Y144" s="121"/>
      <c r="Z144" s="121"/>
      <c r="AA144" s="121"/>
      <c r="AB144" s="121"/>
      <c r="AC144" s="64">
        <v>701438542</v>
      </c>
      <c r="AD144" s="65">
        <v>43709</v>
      </c>
      <c r="AE144" s="65">
        <v>46264</v>
      </c>
      <c r="AF144" s="62">
        <v>7</v>
      </c>
      <c r="AG144" s="119">
        <v>84</v>
      </c>
      <c r="AH144" s="25">
        <v>8350458.833333333</v>
      </c>
      <c r="AI144" s="78">
        <v>434223866.25333327</v>
      </c>
      <c r="AJ144" s="78">
        <v>267214675.74666673</v>
      </c>
      <c r="AK144" s="27">
        <f t="shared" si="19"/>
        <v>8350458.833333333</v>
      </c>
      <c r="AL144" s="27">
        <f t="shared" si="24"/>
        <v>8350458.833333333</v>
      </c>
      <c r="AM144" s="27"/>
      <c r="AN144" s="27"/>
      <c r="AO144" s="27"/>
      <c r="AP144" s="27"/>
      <c r="AQ144" s="27"/>
      <c r="AR144" s="27"/>
      <c r="AS144" s="27"/>
      <c r="AT144" s="27"/>
      <c r="AU144" s="27"/>
      <c r="AV144" s="27"/>
      <c r="AW144" s="27">
        <f t="shared" si="13"/>
        <v>16700917.666666666</v>
      </c>
      <c r="AX144" s="79">
        <f t="shared" si="14"/>
        <v>250513758.08000007</v>
      </c>
      <c r="AY144" s="79">
        <f t="shared" si="15"/>
        <v>450924783.91999996</v>
      </c>
      <c r="AZ144" s="25">
        <v>1</v>
      </c>
      <c r="BA144" s="62" t="s">
        <v>97</v>
      </c>
      <c r="BB144" s="66">
        <v>1</v>
      </c>
      <c r="BC144" s="66"/>
      <c r="BD144" s="66"/>
      <c r="BE144" s="67">
        <f t="shared" si="23"/>
        <v>8350458.833333333</v>
      </c>
      <c r="BF144" s="67">
        <f t="shared" si="26"/>
        <v>0</v>
      </c>
      <c r="BG144" s="67">
        <f t="shared" si="25"/>
        <v>0</v>
      </c>
      <c r="BH144" s="66"/>
      <c r="BI144" s="68" t="s">
        <v>480</v>
      </c>
      <c r="BJ144" s="68" t="s">
        <v>121</v>
      </c>
      <c r="BK144" s="68" t="s">
        <v>301</v>
      </c>
      <c r="BL144" s="29"/>
      <c r="BO144" s="35" t="s">
        <v>1800</v>
      </c>
      <c r="BP144" s="1" t="s">
        <v>1811</v>
      </c>
      <c r="BQ144" s="1" t="e">
        <v>#N/A</v>
      </c>
    </row>
    <row r="145" spans="1:69" ht="15" hidden="1" customHeight="1">
      <c r="A145" s="1" t="s">
        <v>43</v>
      </c>
      <c r="C145" s="1" t="str">
        <f t="shared" si="17"/>
        <v>2608</v>
      </c>
      <c r="D145" s="1" t="str">
        <f t="shared" si="18"/>
        <v>1909</v>
      </c>
      <c r="E145" s="19" t="s">
        <v>48</v>
      </c>
      <c r="F145" s="62" t="s">
        <v>49</v>
      </c>
      <c r="G145" s="62">
        <v>2112</v>
      </c>
      <c r="H145" s="62" t="s">
        <v>481</v>
      </c>
      <c r="I145" s="62" t="s">
        <v>424</v>
      </c>
      <c r="J145" s="118">
        <v>2</v>
      </c>
      <c r="K145" s="119" t="s">
        <v>469</v>
      </c>
      <c r="L145" s="62" t="s">
        <v>77</v>
      </c>
      <c r="M145" s="120" t="s">
        <v>470</v>
      </c>
      <c r="N145" s="132">
        <v>43679</v>
      </c>
      <c r="O145" s="24">
        <v>118780</v>
      </c>
      <c r="P145" s="24">
        <v>23283</v>
      </c>
      <c r="Q145" s="64">
        <v>2765554740</v>
      </c>
      <c r="R145" s="64">
        <v>0</v>
      </c>
      <c r="S145" s="64"/>
      <c r="T145" s="64">
        <v>29910063.901000001</v>
      </c>
      <c r="U145" s="64" t="s">
        <v>471</v>
      </c>
      <c r="V145" s="121">
        <v>2795464804</v>
      </c>
      <c r="W145" s="122">
        <v>0</v>
      </c>
      <c r="X145" s="64">
        <v>2795464804</v>
      </c>
      <c r="Y145" s="121"/>
      <c r="Z145" s="121"/>
      <c r="AA145" s="121"/>
      <c r="AB145" s="121"/>
      <c r="AC145" s="64">
        <v>2795464804</v>
      </c>
      <c r="AD145" s="65">
        <v>43709</v>
      </c>
      <c r="AE145" s="65">
        <v>46264</v>
      </c>
      <c r="AF145" s="62">
        <v>7</v>
      </c>
      <c r="AG145" s="119">
        <v>84</v>
      </c>
      <c r="AH145" s="25">
        <v>33279342.904761903</v>
      </c>
      <c r="AI145" s="78">
        <v>1730525835.147619</v>
      </c>
      <c r="AJ145" s="78">
        <v>1064938968.852381</v>
      </c>
      <c r="AK145" s="27">
        <f t="shared" si="19"/>
        <v>33279342.904761903</v>
      </c>
      <c r="AL145" s="27">
        <f t="shared" si="24"/>
        <v>33279342.904761903</v>
      </c>
      <c r="AM145" s="27"/>
      <c r="AN145" s="27"/>
      <c r="AO145" s="27"/>
      <c r="AP145" s="27"/>
      <c r="AQ145" s="27"/>
      <c r="AR145" s="27"/>
      <c r="AS145" s="27"/>
      <c r="AT145" s="27"/>
      <c r="AU145" s="27"/>
      <c r="AV145" s="27"/>
      <c r="AW145" s="27">
        <f t="shared" ref="AW145:AW208" si="27">+SUM(AK145:AV145)</f>
        <v>66558685.809523806</v>
      </c>
      <c r="AX145" s="79">
        <f t="shared" ref="AX145:AX208" si="28">AC145-AI145-AW145</f>
        <v>998380283.04285717</v>
      </c>
      <c r="AY145" s="79">
        <f t="shared" ref="AY145:AY208" si="29">AW145+AI145</f>
        <v>1797084520.9571428</v>
      </c>
      <c r="AZ145" s="25">
        <v>2</v>
      </c>
      <c r="BA145" s="62" t="s">
        <v>97</v>
      </c>
      <c r="BB145" s="66">
        <v>1</v>
      </c>
      <c r="BC145" s="66"/>
      <c r="BD145" s="66"/>
      <c r="BE145" s="67">
        <f t="shared" si="23"/>
        <v>33279342.904761903</v>
      </c>
      <c r="BF145" s="67">
        <f t="shared" si="26"/>
        <v>0</v>
      </c>
      <c r="BG145" s="67">
        <f t="shared" si="25"/>
        <v>0</v>
      </c>
      <c r="BH145" s="66"/>
      <c r="BI145" s="68" t="s">
        <v>482</v>
      </c>
      <c r="BJ145" s="68" t="s">
        <v>121</v>
      </c>
      <c r="BK145" s="68" t="s">
        <v>121</v>
      </c>
      <c r="BL145" s="29"/>
      <c r="BO145" s="35" t="s">
        <v>1800</v>
      </c>
      <c r="BP145" s="1" t="s">
        <v>1814</v>
      </c>
      <c r="BQ145" s="1" t="e">
        <v>#N/A</v>
      </c>
    </row>
    <row r="146" spans="1:69" ht="15" hidden="1" customHeight="1">
      <c r="A146" s="1" t="s">
        <v>43</v>
      </c>
      <c r="C146" s="1" t="str">
        <f t="shared" ref="C146:C209" si="30">+RIGHT(YEAR(AE146),2)&amp;IF(LEN(MONTH(AE146))=2,MONTH(AE146),"0"&amp;MONTH(AE146))</f>
        <v>2608</v>
      </c>
      <c r="D146" s="1" t="str">
        <f t="shared" ref="D146:D209" si="31">+RIGHT(YEAR(AD146),2)&amp;IF(LEN(MONTH(AD146))=2,MONTH(AD146),"0"&amp;MONTH(AD146))</f>
        <v>1909</v>
      </c>
      <c r="E146" s="19" t="s">
        <v>48</v>
      </c>
      <c r="F146" s="62" t="s">
        <v>49</v>
      </c>
      <c r="G146" s="62">
        <v>2112</v>
      </c>
      <c r="H146" s="62" t="s">
        <v>483</v>
      </c>
      <c r="I146" s="62" t="s">
        <v>484</v>
      </c>
      <c r="J146" s="118">
        <v>2</v>
      </c>
      <c r="K146" s="119" t="s">
        <v>469</v>
      </c>
      <c r="L146" s="62" t="s">
        <v>77</v>
      </c>
      <c r="M146" s="120" t="s">
        <v>470</v>
      </c>
      <c r="N146" s="65">
        <v>43679</v>
      </c>
      <c r="O146" s="24">
        <v>20200</v>
      </c>
      <c r="P146" s="24">
        <v>23283</v>
      </c>
      <c r="Q146" s="64">
        <v>470316600</v>
      </c>
      <c r="R146" s="64"/>
      <c r="S146" s="64"/>
      <c r="T146" s="64">
        <v>5086574.2649999997</v>
      </c>
      <c r="U146" s="64" t="s">
        <v>471</v>
      </c>
      <c r="V146" s="121">
        <v>475403174</v>
      </c>
      <c r="W146" s="122">
        <v>0</v>
      </c>
      <c r="X146" s="64">
        <v>475403174</v>
      </c>
      <c r="Y146" s="121">
        <v>-475403174</v>
      </c>
      <c r="Z146" s="121">
        <v>2</v>
      </c>
      <c r="AA146" s="125">
        <v>44362</v>
      </c>
      <c r="AB146" s="123" t="s">
        <v>89</v>
      </c>
      <c r="AC146" s="64">
        <v>0</v>
      </c>
      <c r="AD146" s="65">
        <v>43709</v>
      </c>
      <c r="AE146" s="65">
        <v>46264</v>
      </c>
      <c r="AF146" s="62">
        <v>7</v>
      </c>
      <c r="AG146" s="119">
        <v>84</v>
      </c>
      <c r="AH146" s="25">
        <v>0</v>
      </c>
      <c r="AI146" s="78">
        <v>0</v>
      </c>
      <c r="AJ146" s="78">
        <v>0</v>
      </c>
      <c r="AK146" s="27">
        <f t="shared" ref="AK146:AK209" si="32">+IF(AND(AK$3&gt;=$D146,AK$3&lt;$C146),$AH146,$AJ146)</f>
        <v>0</v>
      </c>
      <c r="AL146" s="27">
        <f t="shared" si="24"/>
        <v>0</v>
      </c>
      <c r="AM146" s="27"/>
      <c r="AN146" s="27"/>
      <c r="AO146" s="27"/>
      <c r="AP146" s="27"/>
      <c r="AQ146" s="27"/>
      <c r="AR146" s="27"/>
      <c r="AS146" s="27"/>
      <c r="AT146" s="27"/>
      <c r="AU146" s="27"/>
      <c r="AV146" s="27"/>
      <c r="AW146" s="27">
        <f t="shared" si="27"/>
        <v>0</v>
      </c>
      <c r="AX146" s="79">
        <f t="shared" si="28"/>
        <v>0</v>
      </c>
      <c r="AY146" s="79">
        <f t="shared" si="29"/>
        <v>0</v>
      </c>
      <c r="AZ146" s="25">
        <v>0</v>
      </c>
      <c r="BA146" s="62" t="s">
        <v>97</v>
      </c>
      <c r="BB146" s="66"/>
      <c r="BC146" s="66"/>
      <c r="BD146" s="66">
        <v>1</v>
      </c>
      <c r="BE146" s="67">
        <f t="shared" si="23"/>
        <v>0</v>
      </c>
      <c r="BF146" s="67">
        <f t="shared" si="26"/>
        <v>0</v>
      </c>
      <c r="BG146" s="67">
        <f t="shared" si="25"/>
        <v>0</v>
      </c>
      <c r="BH146" s="66" t="s">
        <v>485</v>
      </c>
      <c r="BI146" s="68" t="s">
        <v>107</v>
      </c>
      <c r="BJ146" s="68" t="s">
        <v>81</v>
      </c>
      <c r="BK146" s="68" t="s">
        <v>81</v>
      </c>
      <c r="BL146" s="29"/>
      <c r="BQ146" s="1" t="e">
        <v>#N/A</v>
      </c>
    </row>
    <row r="147" spans="1:69" ht="15" hidden="1" customHeight="1">
      <c r="A147" s="1" t="s">
        <v>43</v>
      </c>
      <c r="C147" s="1" t="str">
        <f t="shared" si="30"/>
        <v>2608</v>
      </c>
      <c r="D147" s="1" t="str">
        <f t="shared" si="31"/>
        <v>1909</v>
      </c>
      <c r="E147" s="19" t="s">
        <v>48</v>
      </c>
      <c r="F147" s="62" t="s">
        <v>49</v>
      </c>
      <c r="G147" s="62">
        <v>2112</v>
      </c>
      <c r="H147" s="62" t="s">
        <v>486</v>
      </c>
      <c r="I147" s="62" t="s">
        <v>487</v>
      </c>
      <c r="J147" s="118">
        <v>2</v>
      </c>
      <c r="K147" s="119" t="s">
        <v>469</v>
      </c>
      <c r="L147" s="62" t="s">
        <v>77</v>
      </c>
      <c r="M147" s="120" t="s">
        <v>470</v>
      </c>
      <c r="N147" s="132">
        <v>43679</v>
      </c>
      <c r="O147" s="24">
        <v>170520</v>
      </c>
      <c r="P147" s="24">
        <v>23283</v>
      </c>
      <c r="Q147" s="64">
        <v>3970217160</v>
      </c>
      <c r="R147" s="64">
        <v>0</v>
      </c>
      <c r="S147" s="64"/>
      <c r="T147" s="64">
        <v>42938744.706</v>
      </c>
      <c r="U147" s="64" t="s">
        <v>471</v>
      </c>
      <c r="V147" s="121">
        <v>4013155905</v>
      </c>
      <c r="W147" s="122">
        <v>4013155905</v>
      </c>
      <c r="X147" s="64">
        <v>0</v>
      </c>
      <c r="Y147" s="121">
        <v>-4013155905</v>
      </c>
      <c r="Z147" s="121">
        <v>2</v>
      </c>
      <c r="AA147" s="127">
        <v>44104</v>
      </c>
      <c r="AB147" s="121" t="s">
        <v>488</v>
      </c>
      <c r="AC147" s="64">
        <v>0</v>
      </c>
      <c r="AD147" s="65">
        <v>43709</v>
      </c>
      <c r="AE147" s="65">
        <v>46264</v>
      </c>
      <c r="AF147" s="62">
        <v>7</v>
      </c>
      <c r="AG147" s="119">
        <v>84</v>
      </c>
      <c r="AH147" s="25">
        <v>0</v>
      </c>
      <c r="AI147" s="78">
        <v>0</v>
      </c>
      <c r="AJ147" s="78">
        <v>0</v>
      </c>
      <c r="AK147" s="27">
        <f t="shared" si="32"/>
        <v>0</v>
      </c>
      <c r="AL147" s="27">
        <f t="shared" si="24"/>
        <v>0</v>
      </c>
      <c r="AM147" s="27"/>
      <c r="AN147" s="27"/>
      <c r="AO147" s="27"/>
      <c r="AP147" s="27"/>
      <c r="AQ147" s="27"/>
      <c r="AR147" s="27"/>
      <c r="AS147" s="27"/>
      <c r="AT147" s="27"/>
      <c r="AU147" s="27"/>
      <c r="AV147" s="27"/>
      <c r="AW147" s="27">
        <f t="shared" si="27"/>
        <v>0</v>
      </c>
      <c r="AX147" s="79">
        <f t="shared" si="28"/>
        <v>0</v>
      </c>
      <c r="AY147" s="79">
        <f t="shared" si="29"/>
        <v>0</v>
      </c>
      <c r="AZ147" s="25">
        <v>0</v>
      </c>
      <c r="BA147" s="62" t="s">
        <v>97</v>
      </c>
      <c r="BB147" s="66">
        <v>1</v>
      </c>
      <c r="BC147" s="66"/>
      <c r="BD147" s="66"/>
      <c r="BE147" s="67">
        <f t="shared" si="23"/>
        <v>0</v>
      </c>
      <c r="BF147" s="67">
        <f t="shared" si="26"/>
        <v>0</v>
      </c>
      <c r="BG147" s="67">
        <f t="shared" si="25"/>
        <v>0</v>
      </c>
      <c r="BH147" s="66"/>
      <c r="BI147" s="68" t="s">
        <v>489</v>
      </c>
      <c r="BJ147" s="68" t="s">
        <v>85</v>
      </c>
      <c r="BK147" s="68" t="s">
        <v>85</v>
      </c>
      <c r="BL147" s="29"/>
      <c r="BQ147" s="1" t="e">
        <v>#N/A</v>
      </c>
    </row>
    <row r="148" spans="1:69" ht="15" hidden="1" customHeight="1">
      <c r="A148" s="1" t="s">
        <v>43</v>
      </c>
      <c r="C148" s="1" t="str">
        <f t="shared" si="30"/>
        <v>2608</v>
      </c>
      <c r="D148" s="1" t="str">
        <f t="shared" si="31"/>
        <v>2010</v>
      </c>
      <c r="E148" s="19" t="s">
        <v>48</v>
      </c>
      <c r="F148" s="62" t="s">
        <v>49</v>
      </c>
      <c r="G148" s="62">
        <v>2112</v>
      </c>
      <c r="H148" s="62" t="s">
        <v>490</v>
      </c>
      <c r="I148" s="62" t="s">
        <v>487</v>
      </c>
      <c r="J148" s="118">
        <v>1</v>
      </c>
      <c r="K148" s="119" t="s">
        <v>469</v>
      </c>
      <c r="L148" s="62" t="s">
        <v>77</v>
      </c>
      <c r="M148" s="120" t="s">
        <v>470</v>
      </c>
      <c r="N148" s="132">
        <v>43679</v>
      </c>
      <c r="O148" s="24">
        <v>85260</v>
      </c>
      <c r="P148" s="24">
        <v>23283</v>
      </c>
      <c r="Q148" s="64">
        <v>1985108580</v>
      </c>
      <c r="R148" s="64">
        <v>0</v>
      </c>
      <c r="S148" s="64"/>
      <c r="T148" s="64">
        <v>21469372.353</v>
      </c>
      <c r="U148" s="64" t="s">
        <v>471</v>
      </c>
      <c r="V148" s="121">
        <v>2006577952</v>
      </c>
      <c r="W148" s="122">
        <v>310541828.5</v>
      </c>
      <c r="X148" s="64">
        <v>1696036123.5</v>
      </c>
      <c r="Y148" s="121"/>
      <c r="Z148" s="121"/>
      <c r="AA148" s="121"/>
      <c r="AB148" s="121"/>
      <c r="AC148" s="64">
        <v>2006577952</v>
      </c>
      <c r="AD148" s="65">
        <v>44105</v>
      </c>
      <c r="AE148" s="65">
        <v>46264.583333333336</v>
      </c>
      <c r="AF148" s="133">
        <v>7</v>
      </c>
      <c r="AG148" s="119">
        <v>83.999999162753696</v>
      </c>
      <c r="AH148" s="25">
        <v>23887833</v>
      </c>
      <c r="AI148" s="78">
        <v>1242167315.5</v>
      </c>
      <c r="AJ148" s="78">
        <v>764410636.5</v>
      </c>
      <c r="AK148" s="27">
        <f t="shared" si="32"/>
        <v>23887833</v>
      </c>
      <c r="AL148" s="27">
        <f t="shared" si="24"/>
        <v>23887833</v>
      </c>
      <c r="AM148" s="27"/>
      <c r="AN148" s="27"/>
      <c r="AO148" s="27"/>
      <c r="AP148" s="27"/>
      <c r="AQ148" s="27"/>
      <c r="AR148" s="27"/>
      <c r="AS148" s="27"/>
      <c r="AT148" s="27"/>
      <c r="AU148" s="27"/>
      <c r="AV148" s="27"/>
      <c r="AW148" s="27">
        <f t="shared" si="27"/>
        <v>47775666</v>
      </c>
      <c r="AX148" s="79">
        <f t="shared" si="28"/>
        <v>716634970.5</v>
      </c>
      <c r="AY148" s="79">
        <f t="shared" si="29"/>
        <v>1289942981.5</v>
      </c>
      <c r="AZ148" s="25">
        <v>1</v>
      </c>
      <c r="BA148" s="62" t="s">
        <v>97</v>
      </c>
      <c r="BB148" s="66">
        <v>1</v>
      </c>
      <c r="BC148" s="66"/>
      <c r="BD148" s="66"/>
      <c r="BE148" s="67">
        <f t="shared" si="23"/>
        <v>23887833</v>
      </c>
      <c r="BF148" s="67">
        <f t="shared" si="26"/>
        <v>0</v>
      </c>
      <c r="BG148" s="67">
        <f t="shared" si="25"/>
        <v>0</v>
      </c>
      <c r="BH148" s="66"/>
      <c r="BI148" s="68" t="s">
        <v>491</v>
      </c>
      <c r="BJ148" s="68" t="s">
        <v>85</v>
      </c>
      <c r="BK148" s="68" t="s">
        <v>85</v>
      </c>
      <c r="BL148" s="29"/>
      <c r="BO148" s="35" t="s">
        <v>1800</v>
      </c>
      <c r="BQ148" s="1" t="s">
        <v>1980</v>
      </c>
    </row>
    <row r="149" spans="1:69" ht="15" hidden="1" customHeight="1">
      <c r="A149" s="1" t="s">
        <v>43</v>
      </c>
      <c r="C149" s="1" t="str">
        <f t="shared" si="30"/>
        <v>3008</v>
      </c>
      <c r="D149" s="1" t="str">
        <f t="shared" si="31"/>
        <v>2010</v>
      </c>
      <c r="E149" s="19" t="s">
        <v>48</v>
      </c>
      <c r="F149" s="62" t="s">
        <v>49</v>
      </c>
      <c r="G149" s="62">
        <v>2112</v>
      </c>
      <c r="H149" s="62" t="s">
        <v>492</v>
      </c>
      <c r="I149" s="62" t="s">
        <v>487</v>
      </c>
      <c r="J149" s="118">
        <v>1</v>
      </c>
      <c r="K149" s="119" t="s">
        <v>469</v>
      </c>
      <c r="L149" s="62" t="s">
        <v>77</v>
      </c>
      <c r="M149" s="120" t="s">
        <v>493</v>
      </c>
      <c r="N149" s="132">
        <v>43679</v>
      </c>
      <c r="O149" s="24">
        <v>85260</v>
      </c>
      <c r="P149" s="24">
        <v>23283</v>
      </c>
      <c r="Q149" s="64">
        <v>1985108580</v>
      </c>
      <c r="R149" s="64">
        <v>0</v>
      </c>
      <c r="S149" s="64"/>
      <c r="T149" s="64">
        <v>21469372.353</v>
      </c>
      <c r="U149" s="64" t="s">
        <v>471</v>
      </c>
      <c r="V149" s="121">
        <v>2965077952</v>
      </c>
      <c r="W149" s="122">
        <v>310541828.5</v>
      </c>
      <c r="X149" s="64">
        <v>2654536123.5</v>
      </c>
      <c r="Y149" s="121"/>
      <c r="Z149" s="121"/>
      <c r="AA149" s="121"/>
      <c r="AB149" s="121"/>
      <c r="AC149" s="64">
        <v>2965077952</v>
      </c>
      <c r="AD149" s="65">
        <v>44105</v>
      </c>
      <c r="AE149" s="65">
        <v>47724.583333333336</v>
      </c>
      <c r="AF149" s="133">
        <v>10</v>
      </c>
      <c r="AG149" s="119">
        <v>120</v>
      </c>
      <c r="AH149" s="25">
        <v>22307026</v>
      </c>
      <c r="AI149" s="78">
        <v>1180515842.5</v>
      </c>
      <c r="AJ149" s="78">
        <v>1784562109.5</v>
      </c>
      <c r="AK149" s="27">
        <f t="shared" si="32"/>
        <v>22307026</v>
      </c>
      <c r="AL149" s="27">
        <f t="shared" si="24"/>
        <v>22307026</v>
      </c>
      <c r="AM149" s="27"/>
      <c r="AN149" s="27"/>
      <c r="AO149" s="27"/>
      <c r="AP149" s="27"/>
      <c r="AQ149" s="27"/>
      <c r="AR149" s="27"/>
      <c r="AS149" s="27"/>
      <c r="AT149" s="27"/>
      <c r="AU149" s="27"/>
      <c r="AV149" s="27"/>
      <c r="AW149" s="27">
        <f t="shared" si="27"/>
        <v>44614052</v>
      </c>
      <c r="AX149" s="79">
        <f t="shared" si="28"/>
        <v>1739948057.5</v>
      </c>
      <c r="AY149" s="79">
        <f t="shared" si="29"/>
        <v>1225129894.5</v>
      </c>
      <c r="AZ149" s="25">
        <v>1</v>
      </c>
      <c r="BA149" s="62" t="s">
        <v>97</v>
      </c>
      <c r="BB149" s="66">
        <v>1</v>
      </c>
      <c r="BC149" s="66"/>
      <c r="BD149" s="66"/>
      <c r="BE149" s="67">
        <f t="shared" ref="BE149:BE212" si="33">+$AL149*BB149</f>
        <v>22307026</v>
      </c>
      <c r="BF149" s="67">
        <f t="shared" si="26"/>
        <v>0</v>
      </c>
      <c r="BG149" s="67">
        <f t="shared" si="25"/>
        <v>0</v>
      </c>
      <c r="BH149" s="66"/>
      <c r="BI149" s="68" t="s">
        <v>411</v>
      </c>
      <c r="BJ149" s="68" t="s">
        <v>85</v>
      </c>
      <c r="BK149" s="68" t="s">
        <v>85</v>
      </c>
      <c r="BL149" s="29"/>
      <c r="BO149" s="35" t="s">
        <v>1800</v>
      </c>
      <c r="BQ149" s="1" t="s">
        <v>1980</v>
      </c>
    </row>
    <row r="150" spans="1:69" ht="15" hidden="1" customHeight="1">
      <c r="A150" s="1" t="s">
        <v>43</v>
      </c>
      <c r="C150" s="1" t="str">
        <f t="shared" si="30"/>
        <v>2508</v>
      </c>
      <c r="D150" s="1" t="str">
        <f t="shared" si="31"/>
        <v>1909</v>
      </c>
      <c r="E150" s="19" t="s">
        <v>48</v>
      </c>
      <c r="F150" s="62" t="s">
        <v>49</v>
      </c>
      <c r="G150" s="62">
        <v>2112</v>
      </c>
      <c r="H150" s="62" t="s">
        <v>494</v>
      </c>
      <c r="I150" s="62" t="s">
        <v>495</v>
      </c>
      <c r="J150" s="118">
        <v>1</v>
      </c>
      <c r="K150" s="119" t="s">
        <v>271</v>
      </c>
      <c r="L150" s="62" t="s">
        <v>77</v>
      </c>
      <c r="M150" s="120" t="s">
        <v>470</v>
      </c>
      <c r="N150" s="132">
        <v>43679</v>
      </c>
      <c r="O150" s="24">
        <v>1910</v>
      </c>
      <c r="P150" s="24">
        <v>23283</v>
      </c>
      <c r="Q150" s="64">
        <v>44470530</v>
      </c>
      <c r="R150" s="64">
        <v>0</v>
      </c>
      <c r="S150" s="64"/>
      <c r="T150" s="64">
        <v>480958.25599999999</v>
      </c>
      <c r="U150" s="64" t="s">
        <v>471</v>
      </c>
      <c r="V150" s="121">
        <v>44951488</v>
      </c>
      <c r="W150" s="122">
        <v>0</v>
      </c>
      <c r="X150" s="64">
        <v>44951488</v>
      </c>
      <c r="Y150" s="121"/>
      <c r="Z150" s="121"/>
      <c r="AA150" s="121"/>
      <c r="AB150" s="121"/>
      <c r="AC150" s="64">
        <v>44951488</v>
      </c>
      <c r="AD150" s="65">
        <v>43709</v>
      </c>
      <c r="AE150" s="65">
        <v>45899</v>
      </c>
      <c r="AF150" s="62">
        <v>6</v>
      </c>
      <c r="AG150" s="119">
        <v>72</v>
      </c>
      <c r="AH150" s="25">
        <v>624326.22222222225</v>
      </c>
      <c r="AI150" s="78">
        <v>32464953.962222222</v>
      </c>
      <c r="AJ150" s="78">
        <v>12486534.037777778</v>
      </c>
      <c r="AK150" s="27">
        <f t="shared" si="32"/>
        <v>624326.22222222225</v>
      </c>
      <c r="AL150" s="27">
        <f t="shared" si="24"/>
        <v>624326.22222222225</v>
      </c>
      <c r="AM150" s="27"/>
      <c r="AN150" s="27"/>
      <c r="AO150" s="27"/>
      <c r="AP150" s="27"/>
      <c r="AQ150" s="27"/>
      <c r="AR150" s="27"/>
      <c r="AS150" s="27"/>
      <c r="AT150" s="27"/>
      <c r="AU150" s="27"/>
      <c r="AV150" s="27"/>
      <c r="AW150" s="27">
        <f t="shared" si="27"/>
        <v>1248652.4444444445</v>
      </c>
      <c r="AX150" s="79">
        <f t="shared" si="28"/>
        <v>11237881.593333334</v>
      </c>
      <c r="AY150" s="79">
        <f t="shared" si="29"/>
        <v>33713606.406666666</v>
      </c>
      <c r="AZ150" s="25">
        <v>1</v>
      </c>
      <c r="BA150" s="62" t="s">
        <v>97</v>
      </c>
      <c r="BB150" s="66">
        <v>1</v>
      </c>
      <c r="BC150" s="66"/>
      <c r="BD150" s="66"/>
      <c r="BE150" s="67">
        <f t="shared" si="33"/>
        <v>624326.22222222225</v>
      </c>
      <c r="BF150" s="67">
        <f t="shared" si="26"/>
        <v>0</v>
      </c>
      <c r="BG150" s="67">
        <f t="shared" si="25"/>
        <v>0</v>
      </c>
      <c r="BH150" s="66"/>
      <c r="BI150" s="68" t="s">
        <v>480</v>
      </c>
      <c r="BJ150" s="68" t="s">
        <v>85</v>
      </c>
      <c r="BK150" s="68" t="s">
        <v>85</v>
      </c>
      <c r="BL150" s="29"/>
      <c r="BO150" s="35" t="s">
        <v>1800</v>
      </c>
      <c r="BP150" s="1" t="s">
        <v>1811</v>
      </c>
      <c r="BQ150" s="1" t="e">
        <v>#N/A</v>
      </c>
    </row>
    <row r="151" spans="1:69" ht="15" hidden="1" customHeight="1">
      <c r="A151" s="1" t="s">
        <v>43</v>
      </c>
      <c r="C151" s="1" t="str">
        <f t="shared" si="30"/>
        <v>2508</v>
      </c>
      <c r="D151" s="1" t="str">
        <f t="shared" si="31"/>
        <v>1909</v>
      </c>
      <c r="E151" s="19" t="s">
        <v>48</v>
      </c>
      <c r="F151" s="62" t="s">
        <v>49</v>
      </c>
      <c r="G151" s="62">
        <v>2112</v>
      </c>
      <c r="H151" s="62" t="s">
        <v>496</v>
      </c>
      <c r="I151" s="62" t="s">
        <v>497</v>
      </c>
      <c r="J151" s="118">
        <v>1</v>
      </c>
      <c r="K151" s="119" t="s">
        <v>271</v>
      </c>
      <c r="L151" s="62" t="s">
        <v>77</v>
      </c>
      <c r="M151" s="120" t="s">
        <v>470</v>
      </c>
      <c r="N151" s="132">
        <v>43679</v>
      </c>
      <c r="O151" s="24">
        <v>1910</v>
      </c>
      <c r="P151" s="24">
        <v>23283</v>
      </c>
      <c r="Q151" s="64">
        <v>44470530</v>
      </c>
      <c r="R151" s="64">
        <v>0</v>
      </c>
      <c r="S151" s="64"/>
      <c r="T151" s="64">
        <v>480958.25599999999</v>
      </c>
      <c r="U151" s="64" t="s">
        <v>471</v>
      </c>
      <c r="V151" s="121">
        <v>44951488</v>
      </c>
      <c r="W151" s="122">
        <v>0</v>
      </c>
      <c r="X151" s="64">
        <v>44951488</v>
      </c>
      <c r="Y151" s="121"/>
      <c r="Z151" s="121"/>
      <c r="AA151" s="121"/>
      <c r="AB151" s="121"/>
      <c r="AC151" s="64">
        <v>44951488</v>
      </c>
      <c r="AD151" s="65">
        <v>43709</v>
      </c>
      <c r="AE151" s="65">
        <v>45899</v>
      </c>
      <c r="AF151" s="62">
        <v>6</v>
      </c>
      <c r="AG151" s="119">
        <v>72</v>
      </c>
      <c r="AH151" s="25">
        <v>624326.22222222225</v>
      </c>
      <c r="AI151" s="78">
        <v>32464953.962222222</v>
      </c>
      <c r="AJ151" s="78">
        <v>12486534.037777778</v>
      </c>
      <c r="AK151" s="27">
        <f t="shared" si="32"/>
        <v>624326.22222222225</v>
      </c>
      <c r="AL151" s="27">
        <f t="shared" si="24"/>
        <v>624326.22222222225</v>
      </c>
      <c r="AM151" s="27"/>
      <c r="AN151" s="27"/>
      <c r="AO151" s="27"/>
      <c r="AP151" s="27"/>
      <c r="AQ151" s="27"/>
      <c r="AR151" s="27"/>
      <c r="AS151" s="27"/>
      <c r="AT151" s="27"/>
      <c r="AU151" s="27"/>
      <c r="AV151" s="27"/>
      <c r="AW151" s="27">
        <f t="shared" si="27"/>
        <v>1248652.4444444445</v>
      </c>
      <c r="AX151" s="79">
        <f t="shared" si="28"/>
        <v>11237881.593333334</v>
      </c>
      <c r="AY151" s="79">
        <f t="shared" si="29"/>
        <v>33713606.406666666</v>
      </c>
      <c r="AZ151" s="25">
        <v>1</v>
      </c>
      <c r="BA151" s="62" t="s">
        <v>97</v>
      </c>
      <c r="BB151" s="66">
        <v>1</v>
      </c>
      <c r="BC151" s="66"/>
      <c r="BD151" s="66"/>
      <c r="BE151" s="67">
        <f t="shared" si="33"/>
        <v>624326.22222222225</v>
      </c>
      <c r="BF151" s="67">
        <f t="shared" si="26"/>
        <v>0</v>
      </c>
      <c r="BG151" s="67">
        <f t="shared" si="25"/>
        <v>0</v>
      </c>
      <c r="BH151" s="66"/>
      <c r="BI151" s="68" t="s">
        <v>498</v>
      </c>
      <c r="BJ151" s="68" t="s">
        <v>85</v>
      </c>
      <c r="BK151" s="68" t="s">
        <v>85</v>
      </c>
      <c r="BL151" s="29"/>
      <c r="BO151" s="35" t="s">
        <v>1800</v>
      </c>
      <c r="BP151" s="1" t="s">
        <v>1815</v>
      </c>
      <c r="BQ151" s="1" t="e">
        <v>#N/A</v>
      </c>
    </row>
    <row r="152" spans="1:69" ht="15" hidden="1" customHeight="1">
      <c r="A152" s="1" t="s">
        <v>43</v>
      </c>
      <c r="C152" s="1" t="str">
        <f t="shared" si="30"/>
        <v>2508</v>
      </c>
      <c r="D152" s="1" t="str">
        <f t="shared" si="31"/>
        <v>1909</v>
      </c>
      <c r="E152" s="19" t="s">
        <v>48</v>
      </c>
      <c r="F152" s="62" t="s">
        <v>49</v>
      </c>
      <c r="G152" s="62">
        <v>2112</v>
      </c>
      <c r="H152" s="62" t="s">
        <v>499</v>
      </c>
      <c r="I152" s="62" t="s">
        <v>500</v>
      </c>
      <c r="J152" s="118">
        <v>1</v>
      </c>
      <c r="K152" s="119" t="s">
        <v>271</v>
      </c>
      <c r="L152" s="62" t="s">
        <v>77</v>
      </c>
      <c r="M152" s="120" t="s">
        <v>470</v>
      </c>
      <c r="N152" s="132">
        <v>43679</v>
      </c>
      <c r="O152" s="24">
        <v>1910</v>
      </c>
      <c r="P152" s="24">
        <v>23283</v>
      </c>
      <c r="Q152" s="64">
        <v>44470530</v>
      </c>
      <c r="R152" s="64">
        <v>0</v>
      </c>
      <c r="S152" s="64"/>
      <c r="T152" s="64">
        <v>480958.25599999999</v>
      </c>
      <c r="U152" s="64" t="s">
        <v>471</v>
      </c>
      <c r="V152" s="121">
        <v>44951488</v>
      </c>
      <c r="W152" s="122">
        <v>0</v>
      </c>
      <c r="X152" s="64">
        <v>44951488</v>
      </c>
      <c r="Y152" s="121"/>
      <c r="Z152" s="121"/>
      <c r="AA152" s="121"/>
      <c r="AB152" s="121"/>
      <c r="AC152" s="64">
        <v>44951488</v>
      </c>
      <c r="AD152" s="65">
        <v>43709</v>
      </c>
      <c r="AE152" s="65">
        <v>45899</v>
      </c>
      <c r="AF152" s="62">
        <v>6</v>
      </c>
      <c r="AG152" s="119">
        <v>72</v>
      </c>
      <c r="AH152" s="25">
        <v>624326.22222222225</v>
      </c>
      <c r="AI152" s="78">
        <v>32464953.962222222</v>
      </c>
      <c r="AJ152" s="78">
        <v>12486534.037777778</v>
      </c>
      <c r="AK152" s="27">
        <f t="shared" si="32"/>
        <v>624326.22222222225</v>
      </c>
      <c r="AL152" s="27">
        <f t="shared" ref="AL152:AL215" si="34">+IF(AND(AL$3&gt;=$D152,AL$3&lt;$C152),$AH152,$AJ152-SUM(AJ152:AK152))</f>
        <v>624326.22222222225</v>
      </c>
      <c r="AM152" s="27"/>
      <c r="AN152" s="27"/>
      <c r="AO152" s="27"/>
      <c r="AP152" s="27"/>
      <c r="AQ152" s="27"/>
      <c r="AR152" s="27"/>
      <c r="AS152" s="27"/>
      <c r="AT152" s="27"/>
      <c r="AU152" s="27"/>
      <c r="AV152" s="27"/>
      <c r="AW152" s="27">
        <f t="shared" si="27"/>
        <v>1248652.4444444445</v>
      </c>
      <c r="AX152" s="79">
        <f t="shared" si="28"/>
        <v>11237881.593333334</v>
      </c>
      <c r="AY152" s="79">
        <f t="shared" si="29"/>
        <v>33713606.406666666</v>
      </c>
      <c r="AZ152" s="25">
        <v>1</v>
      </c>
      <c r="BA152" s="62" t="s">
        <v>97</v>
      </c>
      <c r="BB152" s="66">
        <v>1</v>
      </c>
      <c r="BC152" s="66"/>
      <c r="BD152" s="66"/>
      <c r="BE152" s="67">
        <f t="shared" si="33"/>
        <v>624326.22222222225</v>
      </c>
      <c r="BF152" s="67">
        <f t="shared" si="26"/>
        <v>0</v>
      </c>
      <c r="BG152" s="67">
        <f t="shared" si="25"/>
        <v>0</v>
      </c>
      <c r="BH152" s="66"/>
      <c r="BI152" s="68" t="s">
        <v>427</v>
      </c>
      <c r="BJ152" s="68" t="s">
        <v>85</v>
      </c>
      <c r="BK152" s="68" t="s">
        <v>85</v>
      </c>
      <c r="BL152" s="29"/>
      <c r="BO152" s="35" t="s">
        <v>1800</v>
      </c>
      <c r="BP152" s="1" t="s">
        <v>1803</v>
      </c>
      <c r="BQ152" s="1" t="e">
        <v>#N/A</v>
      </c>
    </row>
    <row r="153" spans="1:69" ht="15" hidden="1" customHeight="1">
      <c r="A153" s="1" t="s">
        <v>43</v>
      </c>
      <c r="C153" s="1" t="str">
        <f t="shared" si="30"/>
        <v>2508</v>
      </c>
      <c r="D153" s="1" t="str">
        <f t="shared" si="31"/>
        <v>1909</v>
      </c>
      <c r="E153" s="19" t="s">
        <v>48</v>
      </c>
      <c r="F153" s="62" t="s">
        <v>49</v>
      </c>
      <c r="G153" s="62">
        <v>2112</v>
      </c>
      <c r="H153" s="62" t="s">
        <v>501</v>
      </c>
      <c r="I153" s="62" t="s">
        <v>502</v>
      </c>
      <c r="J153" s="118">
        <v>1</v>
      </c>
      <c r="K153" s="119" t="s">
        <v>271</v>
      </c>
      <c r="L153" s="62" t="s">
        <v>77</v>
      </c>
      <c r="M153" s="120" t="s">
        <v>470</v>
      </c>
      <c r="N153" s="132">
        <v>43679</v>
      </c>
      <c r="O153" s="24">
        <v>1910</v>
      </c>
      <c r="P153" s="24">
        <v>23283</v>
      </c>
      <c r="Q153" s="64">
        <v>44470530</v>
      </c>
      <c r="R153" s="64">
        <v>0</v>
      </c>
      <c r="S153" s="64"/>
      <c r="T153" s="64">
        <v>480958.25599999999</v>
      </c>
      <c r="U153" s="64" t="s">
        <v>471</v>
      </c>
      <c r="V153" s="121">
        <v>44951488</v>
      </c>
      <c r="W153" s="122">
        <v>0</v>
      </c>
      <c r="X153" s="64">
        <v>44951488</v>
      </c>
      <c r="Y153" s="121"/>
      <c r="Z153" s="121"/>
      <c r="AA153" s="121"/>
      <c r="AB153" s="121"/>
      <c r="AC153" s="64">
        <v>44951488</v>
      </c>
      <c r="AD153" s="65">
        <v>43709</v>
      </c>
      <c r="AE153" s="65">
        <v>45899</v>
      </c>
      <c r="AF153" s="62">
        <v>6</v>
      </c>
      <c r="AG153" s="119">
        <v>72</v>
      </c>
      <c r="AH153" s="25">
        <v>624326.22222222225</v>
      </c>
      <c r="AI153" s="78">
        <v>32464953.962222222</v>
      </c>
      <c r="AJ153" s="78">
        <v>12486534.037777778</v>
      </c>
      <c r="AK153" s="27">
        <f t="shared" si="32"/>
        <v>624326.22222222225</v>
      </c>
      <c r="AL153" s="27">
        <f t="shared" si="34"/>
        <v>624326.22222222225</v>
      </c>
      <c r="AM153" s="27"/>
      <c r="AN153" s="27"/>
      <c r="AO153" s="27"/>
      <c r="AP153" s="27"/>
      <c r="AQ153" s="27"/>
      <c r="AR153" s="27"/>
      <c r="AS153" s="27"/>
      <c r="AT153" s="27"/>
      <c r="AU153" s="27"/>
      <c r="AV153" s="27"/>
      <c r="AW153" s="27">
        <f t="shared" si="27"/>
        <v>1248652.4444444445</v>
      </c>
      <c r="AX153" s="79">
        <f t="shared" si="28"/>
        <v>11237881.593333334</v>
      </c>
      <c r="AY153" s="79">
        <f t="shared" si="29"/>
        <v>33713606.406666666</v>
      </c>
      <c r="AZ153" s="25">
        <v>1</v>
      </c>
      <c r="BA153" s="62" t="s">
        <v>97</v>
      </c>
      <c r="BB153" s="66">
        <v>1</v>
      </c>
      <c r="BC153" s="66"/>
      <c r="BD153" s="66"/>
      <c r="BE153" s="67">
        <f t="shared" si="33"/>
        <v>624326.22222222225</v>
      </c>
      <c r="BF153" s="67">
        <f t="shared" si="26"/>
        <v>0</v>
      </c>
      <c r="BG153" s="67">
        <f t="shared" si="25"/>
        <v>0</v>
      </c>
      <c r="BH153" s="66"/>
      <c r="BI153" s="68" t="s">
        <v>480</v>
      </c>
      <c r="BJ153" s="68" t="s">
        <v>85</v>
      </c>
      <c r="BK153" s="68" t="s">
        <v>85</v>
      </c>
      <c r="BL153" s="29"/>
      <c r="BO153" s="35" t="s">
        <v>1800</v>
      </c>
      <c r="BP153" s="1" t="s">
        <v>1811</v>
      </c>
      <c r="BQ153" s="1" t="e">
        <v>#N/A</v>
      </c>
    </row>
    <row r="154" spans="1:69" ht="15" hidden="1" customHeight="1">
      <c r="A154" s="1" t="s">
        <v>43</v>
      </c>
      <c r="C154" s="1" t="str">
        <f t="shared" si="30"/>
        <v>2508</v>
      </c>
      <c r="D154" s="1" t="str">
        <f t="shared" si="31"/>
        <v>1909</v>
      </c>
      <c r="E154" s="19" t="s">
        <v>48</v>
      </c>
      <c r="F154" s="62" t="s">
        <v>49</v>
      </c>
      <c r="G154" s="62">
        <v>2112</v>
      </c>
      <c r="H154" s="62" t="s">
        <v>503</v>
      </c>
      <c r="I154" s="62" t="s">
        <v>504</v>
      </c>
      <c r="J154" s="118">
        <v>1</v>
      </c>
      <c r="K154" s="119" t="s">
        <v>271</v>
      </c>
      <c r="L154" s="62" t="s">
        <v>77</v>
      </c>
      <c r="M154" s="120" t="s">
        <v>470</v>
      </c>
      <c r="N154" s="132">
        <v>43679</v>
      </c>
      <c r="O154" s="24">
        <v>1910</v>
      </c>
      <c r="P154" s="24">
        <v>23283</v>
      </c>
      <c r="Q154" s="64">
        <v>44470530</v>
      </c>
      <c r="R154" s="64">
        <v>0</v>
      </c>
      <c r="S154" s="64"/>
      <c r="T154" s="64">
        <v>480958.25599999999</v>
      </c>
      <c r="U154" s="64" t="s">
        <v>471</v>
      </c>
      <c r="V154" s="121">
        <v>44951488</v>
      </c>
      <c r="W154" s="122">
        <v>0</v>
      </c>
      <c r="X154" s="64">
        <v>44951488</v>
      </c>
      <c r="Y154" s="121"/>
      <c r="Z154" s="121"/>
      <c r="AA154" s="121"/>
      <c r="AB154" s="121"/>
      <c r="AC154" s="64">
        <v>44951488</v>
      </c>
      <c r="AD154" s="65">
        <v>43709</v>
      </c>
      <c r="AE154" s="65">
        <v>45899</v>
      </c>
      <c r="AF154" s="62">
        <v>6</v>
      </c>
      <c r="AG154" s="119">
        <v>72</v>
      </c>
      <c r="AH154" s="25">
        <v>624326.22222222225</v>
      </c>
      <c r="AI154" s="78">
        <v>32464953.962222222</v>
      </c>
      <c r="AJ154" s="78">
        <v>12486534.037777778</v>
      </c>
      <c r="AK154" s="27">
        <f t="shared" si="32"/>
        <v>624326.22222222225</v>
      </c>
      <c r="AL154" s="27">
        <f t="shared" si="34"/>
        <v>624326.22222222225</v>
      </c>
      <c r="AM154" s="27"/>
      <c r="AN154" s="27"/>
      <c r="AO154" s="27"/>
      <c r="AP154" s="27"/>
      <c r="AQ154" s="27"/>
      <c r="AR154" s="27"/>
      <c r="AS154" s="27"/>
      <c r="AT154" s="27"/>
      <c r="AU154" s="27"/>
      <c r="AV154" s="27"/>
      <c r="AW154" s="27">
        <f t="shared" si="27"/>
        <v>1248652.4444444445</v>
      </c>
      <c r="AX154" s="79">
        <f t="shared" si="28"/>
        <v>11237881.593333334</v>
      </c>
      <c r="AY154" s="79">
        <f t="shared" si="29"/>
        <v>33713606.406666666</v>
      </c>
      <c r="AZ154" s="25">
        <v>1</v>
      </c>
      <c r="BA154" s="62" t="s">
        <v>97</v>
      </c>
      <c r="BB154" s="66">
        <v>1</v>
      </c>
      <c r="BC154" s="66"/>
      <c r="BD154" s="66"/>
      <c r="BE154" s="67">
        <f t="shared" si="33"/>
        <v>624326.22222222225</v>
      </c>
      <c r="BF154" s="67">
        <f t="shared" si="26"/>
        <v>0</v>
      </c>
      <c r="BG154" s="67">
        <f t="shared" si="25"/>
        <v>0</v>
      </c>
      <c r="BH154" s="66"/>
      <c r="BI154" s="68" t="s">
        <v>427</v>
      </c>
      <c r="BJ154" s="68" t="s">
        <v>85</v>
      </c>
      <c r="BK154" s="68" t="s">
        <v>85</v>
      </c>
      <c r="BL154" s="29"/>
      <c r="BO154" s="35" t="s">
        <v>1800</v>
      </c>
      <c r="BP154" s="1" t="s">
        <v>1803</v>
      </c>
      <c r="BQ154" s="1" t="e">
        <v>#N/A</v>
      </c>
    </row>
    <row r="155" spans="1:69" ht="15" hidden="1" customHeight="1">
      <c r="A155" s="1" t="s">
        <v>43</v>
      </c>
      <c r="C155" s="1" t="str">
        <f t="shared" si="30"/>
        <v>2508</v>
      </c>
      <c r="D155" s="1" t="str">
        <f t="shared" si="31"/>
        <v>1909</v>
      </c>
      <c r="E155" s="19" t="s">
        <v>48</v>
      </c>
      <c r="F155" s="62" t="s">
        <v>49</v>
      </c>
      <c r="G155" s="62">
        <v>2112</v>
      </c>
      <c r="H155" s="62" t="s">
        <v>505</v>
      </c>
      <c r="I155" s="62" t="s">
        <v>506</v>
      </c>
      <c r="J155" s="118">
        <v>1</v>
      </c>
      <c r="K155" s="119" t="s">
        <v>271</v>
      </c>
      <c r="L155" s="62" t="s">
        <v>77</v>
      </c>
      <c r="M155" s="120" t="s">
        <v>470</v>
      </c>
      <c r="N155" s="132">
        <v>43679</v>
      </c>
      <c r="O155" s="24">
        <v>1910</v>
      </c>
      <c r="P155" s="24">
        <v>23283</v>
      </c>
      <c r="Q155" s="64">
        <v>44470530</v>
      </c>
      <c r="R155" s="64">
        <v>0</v>
      </c>
      <c r="S155" s="64"/>
      <c r="T155" s="64">
        <v>480958.25599999999</v>
      </c>
      <c r="U155" s="64" t="s">
        <v>471</v>
      </c>
      <c r="V155" s="121">
        <v>44951488</v>
      </c>
      <c r="W155" s="122">
        <v>0</v>
      </c>
      <c r="X155" s="64">
        <v>44951488</v>
      </c>
      <c r="Y155" s="121"/>
      <c r="Z155" s="121"/>
      <c r="AA155" s="121"/>
      <c r="AB155" s="121"/>
      <c r="AC155" s="64">
        <v>44951488</v>
      </c>
      <c r="AD155" s="65">
        <v>43709</v>
      </c>
      <c r="AE155" s="65">
        <v>45899</v>
      </c>
      <c r="AF155" s="62">
        <v>6</v>
      </c>
      <c r="AG155" s="119">
        <v>72</v>
      </c>
      <c r="AH155" s="25">
        <v>624326.22222222225</v>
      </c>
      <c r="AI155" s="78">
        <v>32464953.962222222</v>
      </c>
      <c r="AJ155" s="78">
        <v>12486534.037777778</v>
      </c>
      <c r="AK155" s="27">
        <f t="shared" si="32"/>
        <v>624326.22222222225</v>
      </c>
      <c r="AL155" s="27">
        <f t="shared" si="34"/>
        <v>624326.22222222225</v>
      </c>
      <c r="AM155" s="27"/>
      <c r="AN155" s="27"/>
      <c r="AO155" s="27"/>
      <c r="AP155" s="27"/>
      <c r="AQ155" s="27"/>
      <c r="AR155" s="27"/>
      <c r="AS155" s="27"/>
      <c r="AT155" s="27"/>
      <c r="AU155" s="27"/>
      <c r="AV155" s="27"/>
      <c r="AW155" s="27">
        <f t="shared" si="27"/>
        <v>1248652.4444444445</v>
      </c>
      <c r="AX155" s="79">
        <f t="shared" si="28"/>
        <v>11237881.593333334</v>
      </c>
      <c r="AY155" s="79">
        <f t="shared" si="29"/>
        <v>33713606.406666666</v>
      </c>
      <c r="AZ155" s="25">
        <v>1</v>
      </c>
      <c r="BA155" s="62" t="s">
        <v>97</v>
      </c>
      <c r="BB155" s="66">
        <v>1</v>
      </c>
      <c r="BC155" s="66"/>
      <c r="BD155" s="66"/>
      <c r="BE155" s="67">
        <f t="shared" si="33"/>
        <v>624326.22222222225</v>
      </c>
      <c r="BF155" s="67">
        <f t="shared" si="26"/>
        <v>0</v>
      </c>
      <c r="BG155" s="67">
        <f t="shared" si="25"/>
        <v>0</v>
      </c>
      <c r="BH155" s="66"/>
      <c r="BI155" s="68" t="s">
        <v>427</v>
      </c>
      <c r="BJ155" s="68" t="s">
        <v>85</v>
      </c>
      <c r="BK155" s="68" t="s">
        <v>85</v>
      </c>
      <c r="BL155" s="29"/>
      <c r="BO155" s="35" t="s">
        <v>1800</v>
      </c>
      <c r="BP155" s="1" t="s">
        <v>1803</v>
      </c>
      <c r="BQ155" s="1" t="e">
        <v>#N/A</v>
      </c>
    </row>
    <row r="156" spans="1:69" ht="15" hidden="1" customHeight="1">
      <c r="A156" s="1" t="s">
        <v>43</v>
      </c>
      <c r="C156" s="1" t="str">
        <f t="shared" si="30"/>
        <v>2408</v>
      </c>
      <c r="D156" s="1" t="str">
        <f t="shared" si="31"/>
        <v>1909</v>
      </c>
      <c r="E156" s="19" t="s">
        <v>48</v>
      </c>
      <c r="F156" s="62" t="s">
        <v>49</v>
      </c>
      <c r="G156" s="62">
        <v>2112</v>
      </c>
      <c r="H156" s="62" t="s">
        <v>507</v>
      </c>
      <c r="I156" s="62" t="s">
        <v>508</v>
      </c>
      <c r="J156" s="118">
        <v>1</v>
      </c>
      <c r="K156" s="119" t="s">
        <v>271</v>
      </c>
      <c r="L156" s="62" t="s">
        <v>77</v>
      </c>
      <c r="M156" s="120" t="s">
        <v>509</v>
      </c>
      <c r="N156" s="132">
        <v>43692</v>
      </c>
      <c r="O156" s="24">
        <v>12650</v>
      </c>
      <c r="P156" s="24">
        <v>23269</v>
      </c>
      <c r="Q156" s="64">
        <v>294352850</v>
      </c>
      <c r="R156" s="64">
        <v>0</v>
      </c>
      <c r="S156" s="64"/>
      <c r="T156" s="64">
        <v>14692196.269000001</v>
      </c>
      <c r="U156" s="64" t="s">
        <v>510</v>
      </c>
      <c r="V156" s="121">
        <v>309045046</v>
      </c>
      <c r="W156" s="122">
        <v>0</v>
      </c>
      <c r="X156" s="64">
        <v>309045046</v>
      </c>
      <c r="Y156" s="121"/>
      <c r="Z156" s="121"/>
      <c r="AA156" s="121"/>
      <c r="AB156" s="121"/>
      <c r="AC156" s="64">
        <v>309045046</v>
      </c>
      <c r="AD156" s="65">
        <v>43709</v>
      </c>
      <c r="AE156" s="65">
        <v>45534</v>
      </c>
      <c r="AF156" s="62">
        <v>5</v>
      </c>
      <c r="AG156" s="119">
        <v>60</v>
      </c>
      <c r="AH156" s="25">
        <v>5150750.7666666666</v>
      </c>
      <c r="AI156" s="78">
        <v>267839049.39666665</v>
      </c>
      <c r="AJ156" s="78">
        <v>41205996.603333354</v>
      </c>
      <c r="AK156" s="27">
        <f t="shared" si="32"/>
        <v>5150750.7666666666</v>
      </c>
      <c r="AL156" s="27">
        <f t="shared" si="34"/>
        <v>5150750.7666666666</v>
      </c>
      <c r="AM156" s="27"/>
      <c r="AN156" s="27"/>
      <c r="AO156" s="27"/>
      <c r="AP156" s="27"/>
      <c r="AQ156" s="27"/>
      <c r="AR156" s="27"/>
      <c r="AS156" s="27"/>
      <c r="AT156" s="27"/>
      <c r="AU156" s="27"/>
      <c r="AV156" s="27"/>
      <c r="AW156" s="27">
        <f t="shared" si="27"/>
        <v>10301501.533333333</v>
      </c>
      <c r="AX156" s="79">
        <f t="shared" si="28"/>
        <v>30904495.070000023</v>
      </c>
      <c r="AY156" s="79">
        <f t="shared" si="29"/>
        <v>278140550.93000001</v>
      </c>
      <c r="AZ156" s="25">
        <v>1</v>
      </c>
      <c r="BA156" s="62" t="s">
        <v>97</v>
      </c>
      <c r="BB156" s="66">
        <v>1</v>
      </c>
      <c r="BC156" s="66"/>
      <c r="BD156" s="66"/>
      <c r="BE156" s="67">
        <f t="shared" si="33"/>
        <v>5150750.7666666666</v>
      </c>
      <c r="BF156" s="67">
        <f t="shared" si="26"/>
        <v>0</v>
      </c>
      <c r="BG156" s="67">
        <f t="shared" si="25"/>
        <v>0</v>
      </c>
      <c r="BH156" s="66"/>
      <c r="BI156" s="68" t="s">
        <v>427</v>
      </c>
      <c r="BJ156" s="68" t="s">
        <v>98</v>
      </c>
      <c r="BK156" s="68" t="s">
        <v>98</v>
      </c>
      <c r="BL156" s="29"/>
      <c r="BO156" s="35" t="s">
        <v>1800</v>
      </c>
      <c r="BP156" s="1" t="s">
        <v>1803</v>
      </c>
      <c r="BQ156" s="1" t="e">
        <v>#N/A</v>
      </c>
    </row>
    <row r="157" spans="1:69" ht="15" hidden="1" customHeight="1">
      <c r="A157" s="1" t="s">
        <v>43</v>
      </c>
      <c r="C157" s="1" t="str">
        <f t="shared" si="30"/>
        <v>2708</v>
      </c>
      <c r="D157" s="1" t="str">
        <f t="shared" si="31"/>
        <v>1909</v>
      </c>
      <c r="E157" s="19" t="s">
        <v>48</v>
      </c>
      <c r="F157" s="62" t="s">
        <v>49</v>
      </c>
      <c r="G157" s="62">
        <v>2112</v>
      </c>
      <c r="H157" s="62" t="s">
        <v>511</v>
      </c>
      <c r="I157" s="62" t="s">
        <v>512</v>
      </c>
      <c r="J157" s="118">
        <v>1</v>
      </c>
      <c r="K157" s="119" t="s">
        <v>469</v>
      </c>
      <c r="L157" s="62" t="s">
        <v>77</v>
      </c>
      <c r="M157" s="120" t="s">
        <v>509</v>
      </c>
      <c r="N157" s="132">
        <v>43692</v>
      </c>
      <c r="O157" s="24">
        <v>3510</v>
      </c>
      <c r="P157" s="24">
        <v>23269</v>
      </c>
      <c r="Q157" s="64">
        <v>81674190</v>
      </c>
      <c r="R157" s="64">
        <v>4064580</v>
      </c>
      <c r="S157" s="64"/>
      <c r="T157" s="64">
        <v>4076648.9250000003</v>
      </c>
      <c r="U157" s="64" t="s">
        <v>510</v>
      </c>
      <c r="V157" s="121">
        <v>89815419</v>
      </c>
      <c r="W157" s="122">
        <v>0</v>
      </c>
      <c r="X157" s="64">
        <v>89815419</v>
      </c>
      <c r="Y157" s="121"/>
      <c r="Z157" s="121"/>
      <c r="AA157" s="121"/>
      <c r="AB157" s="121"/>
      <c r="AC157" s="64">
        <v>89815419</v>
      </c>
      <c r="AD157" s="65">
        <v>43709</v>
      </c>
      <c r="AE157" s="65">
        <v>46629</v>
      </c>
      <c r="AF157" s="62">
        <v>8</v>
      </c>
      <c r="AG157" s="119">
        <v>96</v>
      </c>
      <c r="AH157" s="25">
        <v>935577.28125</v>
      </c>
      <c r="AI157" s="78">
        <v>48650006.892499998</v>
      </c>
      <c r="AJ157" s="78">
        <v>41165412.107500002</v>
      </c>
      <c r="AK157" s="27">
        <f t="shared" si="32"/>
        <v>935577.28125</v>
      </c>
      <c r="AL157" s="27">
        <f t="shared" si="34"/>
        <v>935577.28125</v>
      </c>
      <c r="AM157" s="27"/>
      <c r="AN157" s="27"/>
      <c r="AO157" s="27"/>
      <c r="AP157" s="27"/>
      <c r="AQ157" s="27"/>
      <c r="AR157" s="27"/>
      <c r="AS157" s="27"/>
      <c r="AT157" s="27"/>
      <c r="AU157" s="27"/>
      <c r="AV157" s="27"/>
      <c r="AW157" s="27">
        <f t="shared" si="27"/>
        <v>1871154.5625</v>
      </c>
      <c r="AX157" s="79">
        <f t="shared" si="28"/>
        <v>39294257.545000002</v>
      </c>
      <c r="AY157" s="79">
        <f t="shared" si="29"/>
        <v>50521161.454999998</v>
      </c>
      <c r="AZ157" s="25">
        <v>1</v>
      </c>
      <c r="BA157" s="62" t="s">
        <v>97</v>
      </c>
      <c r="BB157" s="66">
        <v>1</v>
      </c>
      <c r="BC157" s="66"/>
      <c r="BD157" s="66"/>
      <c r="BE157" s="67">
        <f t="shared" si="33"/>
        <v>935577.28125</v>
      </c>
      <c r="BF157" s="67">
        <f t="shared" si="26"/>
        <v>0</v>
      </c>
      <c r="BG157" s="67">
        <f t="shared" si="25"/>
        <v>0</v>
      </c>
      <c r="BH157" s="66" t="s">
        <v>1662</v>
      </c>
      <c r="BI157" s="68" t="s">
        <v>57</v>
      </c>
      <c r="BJ157" s="68" t="s">
        <v>117</v>
      </c>
      <c r="BK157" s="68" t="s">
        <v>117</v>
      </c>
      <c r="BL157" s="29"/>
      <c r="BO157" s="35" t="s">
        <v>1800</v>
      </c>
      <c r="BQ157" s="1" t="e">
        <v>#N/A</v>
      </c>
    </row>
    <row r="158" spans="1:69" ht="15" hidden="1" customHeight="1">
      <c r="A158" s="1" t="s">
        <v>43</v>
      </c>
      <c r="C158" s="1" t="str">
        <f t="shared" si="30"/>
        <v>2608</v>
      </c>
      <c r="D158" s="1" t="str">
        <f t="shared" si="31"/>
        <v>1909</v>
      </c>
      <c r="E158" s="19" t="s">
        <v>48</v>
      </c>
      <c r="F158" s="62" t="s">
        <v>49</v>
      </c>
      <c r="G158" s="62">
        <v>2112</v>
      </c>
      <c r="H158" s="62" t="s">
        <v>513</v>
      </c>
      <c r="I158" s="62" t="s">
        <v>514</v>
      </c>
      <c r="J158" s="118">
        <v>1</v>
      </c>
      <c r="K158" s="119" t="s">
        <v>469</v>
      </c>
      <c r="L158" s="62" t="s">
        <v>77</v>
      </c>
      <c r="M158" s="120" t="s">
        <v>509</v>
      </c>
      <c r="N158" s="132">
        <v>43692</v>
      </c>
      <c r="O158" s="24">
        <v>20000</v>
      </c>
      <c r="P158" s="24">
        <v>23269</v>
      </c>
      <c r="Q158" s="64">
        <v>465380000</v>
      </c>
      <c r="R158" s="64">
        <v>13896000</v>
      </c>
      <c r="S158" s="64"/>
      <c r="T158" s="64">
        <v>23228768.805</v>
      </c>
      <c r="U158" s="64" t="s">
        <v>510</v>
      </c>
      <c r="V158" s="121">
        <v>502504769</v>
      </c>
      <c r="W158" s="122">
        <v>0</v>
      </c>
      <c r="X158" s="64">
        <v>502504769</v>
      </c>
      <c r="Y158" s="121"/>
      <c r="Z158" s="121"/>
      <c r="AA158" s="121"/>
      <c r="AB158" s="121"/>
      <c r="AC158" s="64">
        <v>502504769</v>
      </c>
      <c r="AD158" s="65">
        <v>43709</v>
      </c>
      <c r="AE158" s="65">
        <v>46264</v>
      </c>
      <c r="AF158" s="62">
        <v>7</v>
      </c>
      <c r="AG158" s="119">
        <v>84</v>
      </c>
      <c r="AH158" s="25">
        <v>5982199.6309523806</v>
      </c>
      <c r="AI158" s="78">
        <v>311074396.49952382</v>
      </c>
      <c r="AJ158" s="78">
        <v>191430372.50047618</v>
      </c>
      <c r="AK158" s="27">
        <f t="shared" si="32"/>
        <v>5982199.6309523806</v>
      </c>
      <c r="AL158" s="27">
        <f t="shared" si="34"/>
        <v>5982199.6309523806</v>
      </c>
      <c r="AM158" s="27"/>
      <c r="AN158" s="27"/>
      <c r="AO158" s="27"/>
      <c r="AP158" s="27"/>
      <c r="AQ158" s="27"/>
      <c r="AR158" s="27"/>
      <c r="AS158" s="27"/>
      <c r="AT158" s="27"/>
      <c r="AU158" s="27"/>
      <c r="AV158" s="27"/>
      <c r="AW158" s="27">
        <f t="shared" si="27"/>
        <v>11964399.261904761</v>
      </c>
      <c r="AX158" s="79">
        <f t="shared" si="28"/>
        <v>179465973.23857141</v>
      </c>
      <c r="AY158" s="79">
        <f t="shared" si="29"/>
        <v>323038795.76142859</v>
      </c>
      <c r="AZ158" s="25">
        <v>1</v>
      </c>
      <c r="BA158" s="62" t="s">
        <v>97</v>
      </c>
      <c r="BB158" s="66">
        <v>1</v>
      </c>
      <c r="BC158" s="66"/>
      <c r="BD158" s="66"/>
      <c r="BE158" s="67">
        <f t="shared" si="33"/>
        <v>5982199.6309523806</v>
      </c>
      <c r="BF158" s="67">
        <f t="shared" si="26"/>
        <v>0</v>
      </c>
      <c r="BG158" s="67">
        <f t="shared" si="25"/>
        <v>0</v>
      </c>
      <c r="BH158" s="66"/>
      <c r="BI158" s="68" t="s">
        <v>498</v>
      </c>
      <c r="BJ158" s="68" t="s">
        <v>121</v>
      </c>
      <c r="BK158" s="68" t="s">
        <v>301</v>
      </c>
      <c r="BL158" s="29"/>
      <c r="BO158" s="35" t="s">
        <v>1800</v>
      </c>
      <c r="BP158" s="1" t="s">
        <v>1816</v>
      </c>
      <c r="BQ158" s="1" t="e">
        <v>#N/A</v>
      </c>
    </row>
    <row r="159" spans="1:69" ht="15" hidden="1" customHeight="1">
      <c r="A159" s="1" t="s">
        <v>43</v>
      </c>
      <c r="C159" s="1" t="str">
        <f t="shared" si="30"/>
        <v>2705</v>
      </c>
      <c r="D159" s="1" t="str">
        <f t="shared" si="31"/>
        <v>2005</v>
      </c>
      <c r="E159" s="19" t="s">
        <v>48</v>
      </c>
      <c r="F159" s="62" t="s">
        <v>515</v>
      </c>
      <c r="G159" s="62">
        <v>2112</v>
      </c>
      <c r="H159" s="62" t="s">
        <v>516</v>
      </c>
      <c r="I159" s="62" t="s">
        <v>517</v>
      </c>
      <c r="J159" s="118">
        <v>1</v>
      </c>
      <c r="K159" s="119" t="s">
        <v>271</v>
      </c>
      <c r="L159" s="62" t="s">
        <v>77</v>
      </c>
      <c r="M159" s="120" t="s">
        <v>518</v>
      </c>
      <c r="N159" s="132">
        <v>43711</v>
      </c>
      <c r="O159" s="24">
        <v>23500</v>
      </c>
      <c r="P159" s="24">
        <v>23254</v>
      </c>
      <c r="Q159" s="64">
        <v>546469000</v>
      </c>
      <c r="R159" s="64">
        <v>0</v>
      </c>
      <c r="S159" s="64"/>
      <c r="T159" s="64">
        <v>9730944.6629999988</v>
      </c>
      <c r="U159" s="64" t="s">
        <v>519</v>
      </c>
      <c r="V159" s="121">
        <v>556199944.66299999</v>
      </c>
      <c r="W159" s="122">
        <v>0</v>
      </c>
      <c r="X159" s="64">
        <v>556199944.66299999</v>
      </c>
      <c r="Y159" s="121"/>
      <c r="Z159" s="121"/>
      <c r="AA159" s="121"/>
      <c r="AB159" s="121"/>
      <c r="AC159" s="64">
        <v>556199944.66299999</v>
      </c>
      <c r="AD159" s="65">
        <v>43976</v>
      </c>
      <c r="AE159" s="65">
        <v>46531</v>
      </c>
      <c r="AF159" s="62">
        <v>7</v>
      </c>
      <c r="AG159" s="119">
        <v>84</v>
      </c>
      <c r="AH159" s="25">
        <v>6621427.9126547622</v>
      </c>
      <c r="AI159" s="78">
        <v>286216564.1295476</v>
      </c>
      <c r="AJ159" s="78">
        <v>269983380.53345239</v>
      </c>
      <c r="AK159" s="27">
        <f t="shared" si="32"/>
        <v>6621427.9126547622</v>
      </c>
      <c r="AL159" s="27">
        <f t="shared" si="34"/>
        <v>6621427.9126547622</v>
      </c>
      <c r="AM159" s="27"/>
      <c r="AN159" s="27"/>
      <c r="AO159" s="27"/>
      <c r="AP159" s="27"/>
      <c r="AQ159" s="27"/>
      <c r="AR159" s="27"/>
      <c r="AS159" s="27"/>
      <c r="AT159" s="27"/>
      <c r="AU159" s="27"/>
      <c r="AV159" s="27"/>
      <c r="AW159" s="27">
        <f t="shared" si="27"/>
        <v>13242855.825309524</v>
      </c>
      <c r="AX159" s="79">
        <f t="shared" si="28"/>
        <v>256740524.70814288</v>
      </c>
      <c r="AY159" s="79">
        <f t="shared" si="29"/>
        <v>299459419.95485711</v>
      </c>
      <c r="AZ159" s="25">
        <v>1</v>
      </c>
      <c r="BA159" s="62" t="s">
        <v>97</v>
      </c>
      <c r="BB159" s="66">
        <v>1</v>
      </c>
      <c r="BC159" s="66"/>
      <c r="BD159" s="66"/>
      <c r="BE159" s="67">
        <f t="shared" si="33"/>
        <v>6621427.9126547622</v>
      </c>
      <c r="BF159" s="67">
        <f t="shared" si="26"/>
        <v>0</v>
      </c>
      <c r="BG159" s="67">
        <f t="shared" si="25"/>
        <v>0</v>
      </c>
      <c r="BH159" s="66" t="s">
        <v>1662</v>
      </c>
      <c r="BI159" s="68" t="s">
        <v>107</v>
      </c>
      <c r="BJ159" s="68" t="s">
        <v>520</v>
      </c>
      <c r="BK159" s="68" t="s">
        <v>81</v>
      </c>
      <c r="BL159" s="29"/>
      <c r="BO159" s="35" t="s">
        <v>1800</v>
      </c>
      <c r="BQ159" s="1" t="s">
        <v>1930</v>
      </c>
    </row>
    <row r="160" spans="1:69" ht="15" hidden="1" customHeight="1">
      <c r="A160" s="1" t="s">
        <v>43</v>
      </c>
      <c r="C160" s="1" t="str">
        <f t="shared" si="30"/>
        <v>2609</v>
      </c>
      <c r="D160" s="1" t="str">
        <f t="shared" si="31"/>
        <v>1910</v>
      </c>
      <c r="E160" s="19" t="s">
        <v>48</v>
      </c>
      <c r="F160" s="62" t="s">
        <v>49</v>
      </c>
      <c r="G160" s="62">
        <v>2112</v>
      </c>
      <c r="H160" s="62" t="s">
        <v>521</v>
      </c>
      <c r="I160" s="62" t="s">
        <v>522</v>
      </c>
      <c r="J160" s="118">
        <v>1</v>
      </c>
      <c r="K160" s="119" t="s">
        <v>271</v>
      </c>
      <c r="L160" s="62" t="s">
        <v>77</v>
      </c>
      <c r="M160" s="120" t="s">
        <v>518</v>
      </c>
      <c r="N160" s="65">
        <v>43711</v>
      </c>
      <c r="O160" s="24">
        <v>24290</v>
      </c>
      <c r="P160" s="24">
        <v>23254</v>
      </c>
      <c r="Q160" s="64">
        <v>564839660</v>
      </c>
      <c r="R160" s="64">
        <v>0</v>
      </c>
      <c r="S160" s="64"/>
      <c r="T160" s="64">
        <v>10058070.037</v>
      </c>
      <c r="U160" s="64" t="s">
        <v>519</v>
      </c>
      <c r="V160" s="121">
        <v>574897730</v>
      </c>
      <c r="W160" s="122">
        <v>0</v>
      </c>
      <c r="X160" s="64">
        <v>574897730</v>
      </c>
      <c r="Y160" s="121"/>
      <c r="Z160" s="121"/>
      <c r="AA160" s="121"/>
      <c r="AB160" s="121"/>
      <c r="AC160" s="64">
        <v>574897730</v>
      </c>
      <c r="AD160" s="65">
        <v>43739</v>
      </c>
      <c r="AE160" s="65">
        <v>46294</v>
      </c>
      <c r="AF160" s="62">
        <v>7</v>
      </c>
      <c r="AG160" s="119">
        <v>84</v>
      </c>
      <c r="AH160" s="25">
        <v>6844020.5952380951</v>
      </c>
      <c r="AI160" s="78">
        <v>349045066.91238093</v>
      </c>
      <c r="AJ160" s="78">
        <v>225852663.08761907</v>
      </c>
      <c r="AK160" s="27">
        <f t="shared" si="32"/>
        <v>6844020.5952380951</v>
      </c>
      <c r="AL160" s="27">
        <f t="shared" si="34"/>
        <v>6844020.5952380951</v>
      </c>
      <c r="AM160" s="27"/>
      <c r="AN160" s="27"/>
      <c r="AO160" s="27"/>
      <c r="AP160" s="27"/>
      <c r="AQ160" s="27"/>
      <c r="AR160" s="27"/>
      <c r="AS160" s="27"/>
      <c r="AT160" s="27"/>
      <c r="AU160" s="27"/>
      <c r="AV160" s="27"/>
      <c r="AW160" s="27">
        <f t="shared" si="27"/>
        <v>13688041.19047619</v>
      </c>
      <c r="AX160" s="79">
        <f t="shared" si="28"/>
        <v>212164621.89714289</v>
      </c>
      <c r="AY160" s="79">
        <f t="shared" si="29"/>
        <v>362733108.10285711</v>
      </c>
      <c r="AZ160" s="25">
        <v>1</v>
      </c>
      <c r="BA160" s="62" t="s">
        <v>97</v>
      </c>
      <c r="BB160" s="66">
        <v>1</v>
      </c>
      <c r="BC160" s="66"/>
      <c r="BD160" s="66"/>
      <c r="BE160" s="67">
        <f t="shared" si="33"/>
        <v>6844020.5952380951</v>
      </c>
      <c r="BF160" s="67">
        <f t="shared" si="26"/>
        <v>0</v>
      </c>
      <c r="BG160" s="67">
        <f t="shared" si="25"/>
        <v>0</v>
      </c>
      <c r="BH160" s="66"/>
      <c r="BI160" s="68" t="s">
        <v>80</v>
      </c>
      <c r="BJ160" s="68" t="s">
        <v>124</v>
      </c>
      <c r="BK160" s="68" t="s">
        <v>124</v>
      </c>
      <c r="BL160" s="29"/>
      <c r="BO160" s="35" t="s">
        <v>1801</v>
      </c>
      <c r="BQ160" s="1" t="e">
        <v>#N/A</v>
      </c>
    </row>
    <row r="161" spans="1:69" ht="15" hidden="1" customHeight="1">
      <c r="A161" s="1" t="s">
        <v>43</v>
      </c>
      <c r="C161" s="1" t="str">
        <f t="shared" si="30"/>
        <v>2909</v>
      </c>
      <c r="D161" s="1" t="str">
        <f t="shared" si="31"/>
        <v>1910</v>
      </c>
      <c r="E161" s="19" t="s">
        <v>48</v>
      </c>
      <c r="F161" s="62" t="s">
        <v>49</v>
      </c>
      <c r="G161" s="62">
        <v>2112</v>
      </c>
      <c r="H161" s="62" t="s">
        <v>523</v>
      </c>
      <c r="I161" s="62" t="s">
        <v>524</v>
      </c>
      <c r="J161" s="118">
        <v>1</v>
      </c>
      <c r="K161" s="119" t="s">
        <v>469</v>
      </c>
      <c r="L161" s="62" t="s">
        <v>77</v>
      </c>
      <c r="M161" s="120" t="s">
        <v>525</v>
      </c>
      <c r="N161" s="65">
        <v>43711</v>
      </c>
      <c r="O161" s="24">
        <v>140450</v>
      </c>
      <c r="P161" s="24">
        <v>23254</v>
      </c>
      <c r="Q161" s="64">
        <v>3266024300</v>
      </c>
      <c r="R161" s="64">
        <v>0</v>
      </c>
      <c r="S161" s="64"/>
      <c r="T161" s="64">
        <v>5140000</v>
      </c>
      <c r="U161" s="64" t="s">
        <v>526</v>
      </c>
      <c r="V161" s="121">
        <v>3271164300</v>
      </c>
      <c r="W161" s="122">
        <v>0</v>
      </c>
      <c r="X161" s="64">
        <v>3271164300</v>
      </c>
      <c r="Y161" s="121"/>
      <c r="Z161" s="121"/>
      <c r="AA161" s="121"/>
      <c r="AB161" s="121"/>
      <c r="AC161" s="64">
        <v>3271164300</v>
      </c>
      <c r="AD161" s="65">
        <v>43739</v>
      </c>
      <c r="AE161" s="65">
        <v>47389</v>
      </c>
      <c r="AF161" s="62">
        <v>10</v>
      </c>
      <c r="AG161" s="119">
        <v>120</v>
      </c>
      <c r="AH161" s="25">
        <v>27259702.5</v>
      </c>
      <c r="AI161" s="78">
        <v>1390244848</v>
      </c>
      <c r="AJ161" s="78">
        <v>1880919452</v>
      </c>
      <c r="AK161" s="27">
        <f t="shared" si="32"/>
        <v>27259702.5</v>
      </c>
      <c r="AL161" s="27">
        <f t="shared" si="34"/>
        <v>27259702.5</v>
      </c>
      <c r="AM161" s="27"/>
      <c r="AN161" s="27"/>
      <c r="AO161" s="27"/>
      <c r="AP161" s="27"/>
      <c r="AQ161" s="27"/>
      <c r="AR161" s="27"/>
      <c r="AS161" s="27"/>
      <c r="AT161" s="27"/>
      <c r="AU161" s="27"/>
      <c r="AV161" s="27"/>
      <c r="AW161" s="27">
        <f t="shared" si="27"/>
        <v>54519405</v>
      </c>
      <c r="AX161" s="79">
        <f t="shared" si="28"/>
        <v>1826400047</v>
      </c>
      <c r="AY161" s="79">
        <f t="shared" si="29"/>
        <v>1444764253</v>
      </c>
      <c r="AZ161" s="25">
        <v>1</v>
      </c>
      <c r="BA161" s="62" t="s">
        <v>97</v>
      </c>
      <c r="BB161" s="66">
        <v>1</v>
      </c>
      <c r="BC161" s="66"/>
      <c r="BD161" s="66"/>
      <c r="BE161" s="67">
        <f t="shared" si="33"/>
        <v>27259702.5</v>
      </c>
      <c r="BF161" s="67">
        <f t="shared" si="26"/>
        <v>0</v>
      </c>
      <c r="BG161" s="67">
        <f t="shared" si="25"/>
        <v>0</v>
      </c>
      <c r="BH161" s="66"/>
      <c r="BI161" s="68" t="s">
        <v>242</v>
      </c>
      <c r="BJ161" s="68" t="s">
        <v>121</v>
      </c>
      <c r="BK161" s="68" t="s">
        <v>121</v>
      </c>
      <c r="BL161" s="29"/>
      <c r="BO161" s="35" t="s">
        <v>1805</v>
      </c>
      <c r="BQ161" s="1" t="s">
        <v>1979</v>
      </c>
    </row>
    <row r="162" spans="1:69" ht="15" hidden="1" customHeight="1">
      <c r="A162" s="1" t="s">
        <v>43</v>
      </c>
      <c r="C162" s="1" t="str">
        <f t="shared" si="30"/>
        <v>2909</v>
      </c>
      <c r="D162" s="1" t="str">
        <f t="shared" si="31"/>
        <v>1910</v>
      </c>
      <c r="E162" s="19" t="s">
        <v>48</v>
      </c>
      <c r="F162" s="62" t="s">
        <v>49</v>
      </c>
      <c r="G162" s="62">
        <v>2112</v>
      </c>
      <c r="H162" s="62" t="s">
        <v>527</v>
      </c>
      <c r="I162" s="62" t="s">
        <v>528</v>
      </c>
      <c r="J162" s="118">
        <v>1</v>
      </c>
      <c r="K162" s="119" t="s">
        <v>469</v>
      </c>
      <c r="L162" s="62" t="s">
        <v>77</v>
      </c>
      <c r="M162" s="120" t="s">
        <v>529</v>
      </c>
      <c r="N162" s="65">
        <v>43712</v>
      </c>
      <c r="O162" s="24">
        <v>42530</v>
      </c>
      <c r="P162" s="24">
        <v>23254</v>
      </c>
      <c r="Q162" s="64">
        <v>988992620</v>
      </c>
      <c r="R162" s="64">
        <v>0</v>
      </c>
      <c r="S162" s="64"/>
      <c r="T162" s="64"/>
      <c r="U162" s="64"/>
      <c r="V162" s="121">
        <v>988992620</v>
      </c>
      <c r="W162" s="122">
        <v>0</v>
      </c>
      <c r="X162" s="64">
        <v>988992620</v>
      </c>
      <c r="Y162" s="121"/>
      <c r="Z162" s="121"/>
      <c r="AA162" s="121"/>
      <c r="AB162" s="121"/>
      <c r="AC162" s="64">
        <v>988992620</v>
      </c>
      <c r="AD162" s="65">
        <v>43739</v>
      </c>
      <c r="AE162" s="65">
        <v>47389</v>
      </c>
      <c r="AF162" s="62">
        <v>10</v>
      </c>
      <c r="AG162" s="119">
        <v>120</v>
      </c>
      <c r="AH162" s="25">
        <v>8241605.166666667</v>
      </c>
      <c r="AI162" s="78">
        <v>420321856.66666669</v>
      </c>
      <c r="AJ162" s="78">
        <v>568670763.33333337</v>
      </c>
      <c r="AK162" s="27">
        <f t="shared" si="32"/>
        <v>8241605.166666667</v>
      </c>
      <c r="AL162" s="27">
        <f t="shared" si="34"/>
        <v>8241605.166666667</v>
      </c>
      <c r="AM162" s="27"/>
      <c r="AN162" s="27"/>
      <c r="AO162" s="27"/>
      <c r="AP162" s="27"/>
      <c r="AQ162" s="27"/>
      <c r="AR162" s="27"/>
      <c r="AS162" s="27"/>
      <c r="AT162" s="27"/>
      <c r="AU162" s="27"/>
      <c r="AV162" s="27"/>
      <c r="AW162" s="27">
        <f t="shared" si="27"/>
        <v>16483210.333333334</v>
      </c>
      <c r="AX162" s="79">
        <f t="shared" si="28"/>
        <v>552187552.99999988</v>
      </c>
      <c r="AY162" s="79">
        <f t="shared" si="29"/>
        <v>436805067</v>
      </c>
      <c r="AZ162" s="25">
        <v>1</v>
      </c>
      <c r="BA162" s="62" t="s">
        <v>97</v>
      </c>
      <c r="BB162" s="66">
        <v>1</v>
      </c>
      <c r="BC162" s="66"/>
      <c r="BD162" s="66"/>
      <c r="BE162" s="67">
        <f t="shared" si="33"/>
        <v>8241605.166666667</v>
      </c>
      <c r="BF162" s="67">
        <f t="shared" si="26"/>
        <v>0</v>
      </c>
      <c r="BG162" s="67">
        <f t="shared" si="25"/>
        <v>0</v>
      </c>
      <c r="BH162" s="66"/>
      <c r="BI162" s="68" t="s">
        <v>80</v>
      </c>
      <c r="BJ162" s="68" t="s">
        <v>81</v>
      </c>
      <c r="BK162" s="68" t="s">
        <v>81</v>
      </c>
      <c r="BL162" s="29"/>
      <c r="BO162" s="35" t="s">
        <v>1805</v>
      </c>
      <c r="BQ162" s="1" t="e">
        <v>#N/A</v>
      </c>
    </row>
    <row r="163" spans="1:69" ht="15" hidden="1" customHeight="1">
      <c r="A163" s="1" t="s">
        <v>43</v>
      </c>
      <c r="C163" s="1" t="str">
        <f t="shared" si="30"/>
        <v>2609</v>
      </c>
      <c r="D163" s="1" t="str">
        <f t="shared" si="31"/>
        <v>1910</v>
      </c>
      <c r="E163" s="19" t="s">
        <v>48</v>
      </c>
      <c r="F163" s="62" t="s">
        <v>49</v>
      </c>
      <c r="G163" s="62">
        <v>2112</v>
      </c>
      <c r="H163" s="62" t="s">
        <v>530</v>
      </c>
      <c r="I163" s="62" t="s">
        <v>531</v>
      </c>
      <c r="J163" s="118">
        <v>1</v>
      </c>
      <c r="K163" s="119" t="s">
        <v>469</v>
      </c>
      <c r="L163" s="62" t="s">
        <v>77</v>
      </c>
      <c r="M163" s="120" t="s">
        <v>532</v>
      </c>
      <c r="N163" s="65">
        <v>43713</v>
      </c>
      <c r="O163" s="24">
        <v>43210</v>
      </c>
      <c r="P163" s="24">
        <v>23255</v>
      </c>
      <c r="Q163" s="64">
        <v>1004848550</v>
      </c>
      <c r="R163" s="64">
        <v>0</v>
      </c>
      <c r="S163" s="64"/>
      <c r="T163" s="64">
        <v>11375350</v>
      </c>
      <c r="U163" s="64" t="s">
        <v>533</v>
      </c>
      <c r="V163" s="121">
        <v>1016223900</v>
      </c>
      <c r="W163" s="122">
        <v>0</v>
      </c>
      <c r="X163" s="64">
        <v>1016223900</v>
      </c>
      <c r="Y163" s="121"/>
      <c r="Z163" s="121"/>
      <c r="AA163" s="121"/>
      <c r="AB163" s="121"/>
      <c r="AC163" s="64">
        <v>1016223900</v>
      </c>
      <c r="AD163" s="65">
        <v>43739</v>
      </c>
      <c r="AE163" s="65">
        <v>46294</v>
      </c>
      <c r="AF163" s="62">
        <v>7</v>
      </c>
      <c r="AG163" s="119">
        <v>84</v>
      </c>
      <c r="AH163" s="25">
        <v>12097903.571428571</v>
      </c>
      <c r="AI163" s="78">
        <v>616993099.71428561</v>
      </c>
      <c r="AJ163" s="78">
        <v>399230800.28571433</v>
      </c>
      <c r="AK163" s="27">
        <f t="shared" si="32"/>
        <v>12097903.571428571</v>
      </c>
      <c r="AL163" s="27">
        <f t="shared" si="34"/>
        <v>12097903.571428571</v>
      </c>
      <c r="AM163" s="27"/>
      <c r="AN163" s="27"/>
      <c r="AO163" s="27"/>
      <c r="AP163" s="27"/>
      <c r="AQ163" s="27"/>
      <c r="AR163" s="27"/>
      <c r="AS163" s="27"/>
      <c r="AT163" s="27"/>
      <c r="AU163" s="27"/>
      <c r="AV163" s="27"/>
      <c r="AW163" s="27">
        <f t="shared" si="27"/>
        <v>24195807.142857142</v>
      </c>
      <c r="AX163" s="79">
        <f t="shared" si="28"/>
        <v>375034993.14285725</v>
      </c>
      <c r="AY163" s="79">
        <f t="shared" si="29"/>
        <v>641188906.85714281</v>
      </c>
      <c r="AZ163" s="25">
        <v>1</v>
      </c>
      <c r="BA163" s="62" t="s">
        <v>97</v>
      </c>
      <c r="BB163" s="66">
        <v>1</v>
      </c>
      <c r="BC163" s="66"/>
      <c r="BD163" s="66"/>
      <c r="BE163" s="67">
        <f t="shared" si="33"/>
        <v>12097903.571428571</v>
      </c>
      <c r="BF163" s="67">
        <f t="shared" si="26"/>
        <v>0</v>
      </c>
      <c r="BG163" s="67">
        <f t="shared" si="25"/>
        <v>0</v>
      </c>
      <c r="BH163" s="66"/>
      <c r="BI163" s="68" t="s">
        <v>534</v>
      </c>
      <c r="BJ163" s="68" t="s">
        <v>121</v>
      </c>
      <c r="BK163" s="68" t="s">
        <v>121</v>
      </c>
      <c r="BL163" s="29"/>
      <c r="BO163" s="35" t="s">
        <v>1805</v>
      </c>
      <c r="BQ163" s="1" t="s">
        <v>1979</v>
      </c>
    </row>
    <row r="164" spans="1:69" ht="15" hidden="1" customHeight="1">
      <c r="A164" s="1" t="s">
        <v>43</v>
      </c>
      <c r="C164" s="1" t="str">
        <f t="shared" si="30"/>
        <v>2609</v>
      </c>
      <c r="D164" s="1" t="str">
        <f t="shared" si="31"/>
        <v>1910</v>
      </c>
      <c r="E164" s="19" t="s">
        <v>48</v>
      </c>
      <c r="F164" s="62" t="s">
        <v>49</v>
      </c>
      <c r="G164" s="62">
        <v>2112</v>
      </c>
      <c r="H164" s="62" t="s">
        <v>535</v>
      </c>
      <c r="I164" s="62" t="s">
        <v>536</v>
      </c>
      <c r="J164" s="118">
        <v>1</v>
      </c>
      <c r="K164" s="119" t="s">
        <v>469</v>
      </c>
      <c r="L164" s="62" t="s">
        <v>77</v>
      </c>
      <c r="M164" s="120" t="s">
        <v>537</v>
      </c>
      <c r="N164" s="65">
        <v>43724</v>
      </c>
      <c r="O164" s="24">
        <v>57830</v>
      </c>
      <c r="P164" s="24">
        <v>23276</v>
      </c>
      <c r="Q164" s="64">
        <v>1346051080</v>
      </c>
      <c r="R164" s="64">
        <v>0</v>
      </c>
      <c r="S164" s="64"/>
      <c r="T164" s="64">
        <v>8854259.2539999988</v>
      </c>
      <c r="U164" s="64" t="s">
        <v>538</v>
      </c>
      <c r="V164" s="121">
        <v>1354905339</v>
      </c>
      <c r="W164" s="122">
        <v>0</v>
      </c>
      <c r="X164" s="64">
        <v>1354905339</v>
      </c>
      <c r="Y164" s="121"/>
      <c r="Z164" s="121"/>
      <c r="AA164" s="121"/>
      <c r="AB164" s="121"/>
      <c r="AC164" s="64">
        <v>1354905339</v>
      </c>
      <c r="AD164" s="65">
        <v>43739</v>
      </c>
      <c r="AE164" s="65">
        <v>46294</v>
      </c>
      <c r="AF164" s="62">
        <v>7</v>
      </c>
      <c r="AG164" s="119">
        <v>84</v>
      </c>
      <c r="AH164" s="25">
        <v>16129825.464285715</v>
      </c>
      <c r="AI164" s="78">
        <v>822621079.39285707</v>
      </c>
      <c r="AJ164" s="78">
        <v>532284259.60714293</v>
      </c>
      <c r="AK164" s="27">
        <f t="shared" si="32"/>
        <v>16129825.464285715</v>
      </c>
      <c r="AL164" s="27">
        <f t="shared" si="34"/>
        <v>16129825.464285715</v>
      </c>
      <c r="AM164" s="27"/>
      <c r="AN164" s="27"/>
      <c r="AO164" s="27"/>
      <c r="AP164" s="27"/>
      <c r="AQ164" s="27"/>
      <c r="AR164" s="27"/>
      <c r="AS164" s="27"/>
      <c r="AT164" s="27"/>
      <c r="AU164" s="27"/>
      <c r="AV164" s="27"/>
      <c r="AW164" s="27">
        <f t="shared" si="27"/>
        <v>32259650.928571429</v>
      </c>
      <c r="AX164" s="79">
        <f t="shared" si="28"/>
        <v>500024608.67857152</v>
      </c>
      <c r="AY164" s="79">
        <f t="shared" si="29"/>
        <v>854880730.32142854</v>
      </c>
      <c r="AZ164" s="25">
        <v>1</v>
      </c>
      <c r="BA164" s="62" t="s">
        <v>97</v>
      </c>
      <c r="BB164" s="66">
        <v>1</v>
      </c>
      <c r="BC164" s="66"/>
      <c r="BD164" s="66"/>
      <c r="BE164" s="67">
        <f t="shared" si="33"/>
        <v>16129825.464285715</v>
      </c>
      <c r="BF164" s="67">
        <f t="shared" si="26"/>
        <v>0</v>
      </c>
      <c r="BG164" s="67">
        <f t="shared" si="25"/>
        <v>0</v>
      </c>
      <c r="BH164" s="66"/>
      <c r="BI164" s="68" t="s">
        <v>326</v>
      </c>
      <c r="BJ164" s="68" t="s">
        <v>121</v>
      </c>
      <c r="BK164" s="68" t="s">
        <v>121</v>
      </c>
      <c r="BL164" s="29"/>
      <c r="BO164" s="35" t="s">
        <v>1801</v>
      </c>
      <c r="BQ164" s="1" t="e">
        <v>#N/A</v>
      </c>
    </row>
    <row r="165" spans="1:69" ht="15" hidden="1" customHeight="1">
      <c r="A165" s="1" t="s">
        <v>43</v>
      </c>
      <c r="C165" s="1" t="str">
        <f t="shared" si="30"/>
        <v>2909</v>
      </c>
      <c r="D165" s="1" t="str">
        <f t="shared" si="31"/>
        <v>1910</v>
      </c>
      <c r="E165" s="19" t="s">
        <v>48</v>
      </c>
      <c r="F165" s="62" t="s">
        <v>49</v>
      </c>
      <c r="G165" s="62">
        <v>2112</v>
      </c>
      <c r="H165" s="62" t="s">
        <v>539</v>
      </c>
      <c r="I165" s="62" t="s">
        <v>540</v>
      </c>
      <c r="J165" s="118">
        <v>3</v>
      </c>
      <c r="K165" s="119" t="s">
        <v>271</v>
      </c>
      <c r="L165" s="62" t="s">
        <v>77</v>
      </c>
      <c r="M165" s="120" t="s">
        <v>537</v>
      </c>
      <c r="N165" s="65">
        <v>43724</v>
      </c>
      <c r="O165" s="24">
        <v>186570</v>
      </c>
      <c r="P165" s="24">
        <v>23276</v>
      </c>
      <c r="Q165" s="64">
        <v>4342603320</v>
      </c>
      <c r="R165" s="64">
        <v>0</v>
      </c>
      <c r="S165" s="64"/>
      <c r="T165" s="64">
        <v>28565435.745999999</v>
      </c>
      <c r="U165" s="64" t="s">
        <v>538</v>
      </c>
      <c r="V165" s="121">
        <v>4371168756</v>
      </c>
      <c r="W165" s="122">
        <v>0</v>
      </c>
      <c r="X165" s="64">
        <v>4371168756</v>
      </c>
      <c r="Y165" s="121"/>
      <c r="Z165" s="121"/>
      <c r="AA165" s="121"/>
      <c r="AB165" s="121"/>
      <c r="AC165" s="64">
        <v>4371168756</v>
      </c>
      <c r="AD165" s="65">
        <v>43739</v>
      </c>
      <c r="AE165" s="65">
        <v>47389</v>
      </c>
      <c r="AF165" s="62">
        <v>10</v>
      </c>
      <c r="AG165" s="119">
        <v>120</v>
      </c>
      <c r="AH165" s="25">
        <v>36426406.299999997</v>
      </c>
      <c r="AI165" s="78">
        <v>1857746709.25</v>
      </c>
      <c r="AJ165" s="78">
        <v>2513422046.75</v>
      </c>
      <c r="AK165" s="27">
        <f t="shared" si="32"/>
        <v>36426406.299999997</v>
      </c>
      <c r="AL165" s="27">
        <f t="shared" si="34"/>
        <v>36426406.299999997</v>
      </c>
      <c r="AM165" s="27"/>
      <c r="AN165" s="27"/>
      <c r="AO165" s="27"/>
      <c r="AP165" s="27"/>
      <c r="AQ165" s="27"/>
      <c r="AR165" s="27"/>
      <c r="AS165" s="27"/>
      <c r="AT165" s="27"/>
      <c r="AU165" s="27"/>
      <c r="AV165" s="27"/>
      <c r="AW165" s="27">
        <f t="shared" si="27"/>
        <v>72852812.599999994</v>
      </c>
      <c r="AX165" s="79">
        <f t="shared" si="28"/>
        <v>2440569234.1500001</v>
      </c>
      <c r="AY165" s="79">
        <f t="shared" si="29"/>
        <v>1930599521.8499999</v>
      </c>
      <c r="AZ165" s="25">
        <v>3</v>
      </c>
      <c r="BA165" s="62" t="s">
        <v>97</v>
      </c>
      <c r="BB165" s="66">
        <v>1</v>
      </c>
      <c r="BC165" s="66"/>
      <c r="BD165" s="66"/>
      <c r="BE165" s="67">
        <f t="shared" si="33"/>
        <v>36426406.299999997</v>
      </c>
      <c r="BF165" s="67">
        <f t="shared" si="26"/>
        <v>0</v>
      </c>
      <c r="BG165" s="67">
        <f t="shared" si="25"/>
        <v>0</v>
      </c>
      <c r="BH165" s="66"/>
      <c r="BI165" s="68" t="s">
        <v>541</v>
      </c>
      <c r="BJ165" s="68" t="s">
        <v>81</v>
      </c>
      <c r="BK165" s="68" t="s">
        <v>81</v>
      </c>
      <c r="BL165" s="29"/>
      <c r="BO165" s="35" t="s">
        <v>1800</v>
      </c>
      <c r="BP165" s="1" t="s">
        <v>1809</v>
      </c>
      <c r="BQ165" s="1" t="e">
        <v>#N/A</v>
      </c>
    </row>
    <row r="166" spans="1:69" ht="15" hidden="1" customHeight="1">
      <c r="A166" s="1" t="s">
        <v>43</v>
      </c>
      <c r="C166" s="1" t="str">
        <f t="shared" si="30"/>
        <v>2610</v>
      </c>
      <c r="D166" s="1" t="str">
        <f t="shared" si="31"/>
        <v>1911</v>
      </c>
      <c r="E166" s="19" t="s">
        <v>48</v>
      </c>
      <c r="F166" s="62" t="s">
        <v>49</v>
      </c>
      <c r="G166" s="62">
        <v>2112</v>
      </c>
      <c r="H166" s="62" t="s">
        <v>542</v>
      </c>
      <c r="I166" s="62" t="s">
        <v>543</v>
      </c>
      <c r="J166" s="118">
        <v>1</v>
      </c>
      <c r="K166" s="119" t="s">
        <v>271</v>
      </c>
      <c r="L166" s="62" t="s">
        <v>77</v>
      </c>
      <c r="M166" s="120" t="s">
        <v>544</v>
      </c>
      <c r="N166" s="65">
        <v>43739</v>
      </c>
      <c r="O166" s="24">
        <v>1800</v>
      </c>
      <c r="P166" s="24">
        <v>23256</v>
      </c>
      <c r="Q166" s="64">
        <v>41860800</v>
      </c>
      <c r="R166" s="64">
        <v>0</v>
      </c>
      <c r="S166" s="64"/>
      <c r="T166" s="64">
        <v>670038.22499999998</v>
      </c>
      <c r="U166" s="64" t="s">
        <v>545</v>
      </c>
      <c r="V166" s="121">
        <v>42530838</v>
      </c>
      <c r="W166" s="122">
        <v>0</v>
      </c>
      <c r="X166" s="64">
        <v>42530838</v>
      </c>
      <c r="Y166" s="121"/>
      <c r="Z166" s="121"/>
      <c r="AA166" s="121"/>
      <c r="AB166" s="121"/>
      <c r="AC166" s="64">
        <v>42530838</v>
      </c>
      <c r="AD166" s="65">
        <v>43770</v>
      </c>
      <c r="AE166" s="65">
        <v>46325</v>
      </c>
      <c r="AF166" s="62">
        <v>7</v>
      </c>
      <c r="AG166" s="119">
        <v>84</v>
      </c>
      <c r="AH166" s="25">
        <v>506319.5</v>
      </c>
      <c r="AI166" s="78">
        <v>25315995</v>
      </c>
      <c r="AJ166" s="78">
        <v>17214843</v>
      </c>
      <c r="AK166" s="27">
        <f t="shared" si="32"/>
        <v>506319.5</v>
      </c>
      <c r="AL166" s="27">
        <f t="shared" si="34"/>
        <v>506319.5</v>
      </c>
      <c r="AM166" s="27"/>
      <c r="AN166" s="27"/>
      <c r="AO166" s="27"/>
      <c r="AP166" s="27"/>
      <c r="AQ166" s="27"/>
      <c r="AR166" s="27"/>
      <c r="AS166" s="27"/>
      <c r="AT166" s="27"/>
      <c r="AU166" s="27"/>
      <c r="AV166" s="27"/>
      <c r="AW166" s="27">
        <f t="shared" si="27"/>
        <v>1012639</v>
      </c>
      <c r="AX166" s="79">
        <f t="shared" si="28"/>
        <v>16202204</v>
      </c>
      <c r="AY166" s="79">
        <f t="shared" si="29"/>
        <v>26328634</v>
      </c>
      <c r="AZ166" s="25">
        <v>1</v>
      </c>
      <c r="BA166" s="62" t="s">
        <v>97</v>
      </c>
      <c r="BB166" s="66">
        <v>1</v>
      </c>
      <c r="BC166" s="66"/>
      <c r="BD166" s="66"/>
      <c r="BE166" s="67">
        <f t="shared" si="33"/>
        <v>506319.5</v>
      </c>
      <c r="BF166" s="67">
        <f t="shared" si="26"/>
        <v>0</v>
      </c>
      <c r="BG166" s="67">
        <f t="shared" si="25"/>
        <v>0</v>
      </c>
      <c r="BH166" s="66" t="s">
        <v>1662</v>
      </c>
      <c r="BI166" s="68" t="s">
        <v>107</v>
      </c>
      <c r="BJ166" s="68" t="s">
        <v>98</v>
      </c>
      <c r="BK166" s="68" t="s">
        <v>98</v>
      </c>
      <c r="BL166" s="29"/>
      <c r="BO166" s="35" t="s">
        <v>1805</v>
      </c>
      <c r="BQ166" s="1" t="s">
        <v>1982</v>
      </c>
    </row>
    <row r="167" spans="1:69" ht="15" hidden="1" customHeight="1">
      <c r="A167" s="1" t="s">
        <v>43</v>
      </c>
      <c r="C167" s="1" t="str">
        <f t="shared" si="30"/>
        <v>2610</v>
      </c>
      <c r="D167" s="1" t="str">
        <f t="shared" si="31"/>
        <v>1911</v>
      </c>
      <c r="E167" s="19" t="s">
        <v>48</v>
      </c>
      <c r="F167" s="62" t="s">
        <v>49</v>
      </c>
      <c r="G167" s="62">
        <v>2112</v>
      </c>
      <c r="H167" s="62" t="s">
        <v>546</v>
      </c>
      <c r="I167" s="62" t="s">
        <v>547</v>
      </c>
      <c r="J167" s="118">
        <v>1</v>
      </c>
      <c r="K167" s="119" t="s">
        <v>469</v>
      </c>
      <c r="L167" s="62" t="s">
        <v>77</v>
      </c>
      <c r="M167" s="120" t="s">
        <v>544</v>
      </c>
      <c r="N167" s="65">
        <v>43739</v>
      </c>
      <c r="O167" s="24">
        <v>149270</v>
      </c>
      <c r="P167" s="24">
        <v>23256</v>
      </c>
      <c r="Q167" s="64">
        <v>3471423120</v>
      </c>
      <c r="R167" s="64">
        <v>0</v>
      </c>
      <c r="S167" s="64"/>
      <c r="T167" s="64">
        <v>55564781.079000004</v>
      </c>
      <c r="U167" s="64" t="s">
        <v>545</v>
      </c>
      <c r="V167" s="121">
        <v>3526987901</v>
      </c>
      <c r="W167" s="122">
        <v>0</v>
      </c>
      <c r="X167" s="64">
        <v>3526987901</v>
      </c>
      <c r="Y167" s="121"/>
      <c r="Z167" s="121"/>
      <c r="AA167" s="121"/>
      <c r="AB167" s="121"/>
      <c r="AC167" s="64">
        <v>3526987901</v>
      </c>
      <c r="AD167" s="65">
        <v>43770</v>
      </c>
      <c r="AE167" s="65">
        <v>46325</v>
      </c>
      <c r="AF167" s="62">
        <v>7</v>
      </c>
      <c r="AG167" s="119">
        <v>84</v>
      </c>
      <c r="AH167" s="25">
        <v>41987951.202380955</v>
      </c>
      <c r="AI167" s="78">
        <v>2099397552.0238094</v>
      </c>
      <c r="AJ167" s="78">
        <v>1427590348.9761906</v>
      </c>
      <c r="AK167" s="27">
        <f t="shared" si="32"/>
        <v>41987951.202380955</v>
      </c>
      <c r="AL167" s="27">
        <f t="shared" si="34"/>
        <v>41987951.202380955</v>
      </c>
      <c r="AM167" s="27"/>
      <c r="AN167" s="27"/>
      <c r="AO167" s="27"/>
      <c r="AP167" s="27"/>
      <c r="AQ167" s="27"/>
      <c r="AR167" s="27"/>
      <c r="AS167" s="27"/>
      <c r="AT167" s="27"/>
      <c r="AU167" s="27"/>
      <c r="AV167" s="27"/>
      <c r="AW167" s="27">
        <f t="shared" si="27"/>
        <v>83975902.40476191</v>
      </c>
      <c r="AX167" s="79">
        <f t="shared" si="28"/>
        <v>1343614446.5714288</v>
      </c>
      <c r="AY167" s="79">
        <f t="shared" si="29"/>
        <v>2183373454.4285712</v>
      </c>
      <c r="AZ167" s="25">
        <v>1</v>
      </c>
      <c r="BA167" s="62" t="s">
        <v>97</v>
      </c>
      <c r="BB167" s="66">
        <v>1</v>
      </c>
      <c r="BC167" s="66"/>
      <c r="BD167" s="66"/>
      <c r="BE167" s="67">
        <f t="shared" si="33"/>
        <v>41987951.202380955</v>
      </c>
      <c r="BF167" s="67">
        <f t="shared" si="26"/>
        <v>0</v>
      </c>
      <c r="BG167" s="67">
        <f t="shared" si="25"/>
        <v>0</v>
      </c>
      <c r="BH167" s="66"/>
      <c r="BI167" s="68" t="s">
        <v>80</v>
      </c>
      <c r="BJ167" s="68" t="s">
        <v>121</v>
      </c>
      <c r="BK167" s="68" t="s">
        <v>121</v>
      </c>
      <c r="BL167" s="29"/>
      <c r="BO167" s="35" t="s">
        <v>1801</v>
      </c>
      <c r="BQ167" s="1" t="s">
        <v>1979</v>
      </c>
    </row>
    <row r="168" spans="1:69" ht="15" hidden="1" customHeight="1">
      <c r="A168" s="1" t="s">
        <v>43</v>
      </c>
      <c r="C168" s="1" t="str">
        <f t="shared" si="30"/>
        <v>2910</v>
      </c>
      <c r="D168" s="1" t="str">
        <f t="shared" si="31"/>
        <v>1911</v>
      </c>
      <c r="E168" s="19" t="s">
        <v>48</v>
      </c>
      <c r="F168" s="62" t="s">
        <v>49</v>
      </c>
      <c r="G168" s="62">
        <v>2112</v>
      </c>
      <c r="H168" s="62" t="s">
        <v>548</v>
      </c>
      <c r="I168" s="62" t="s">
        <v>549</v>
      </c>
      <c r="J168" s="118">
        <v>1</v>
      </c>
      <c r="K168" s="119" t="s">
        <v>469</v>
      </c>
      <c r="L168" s="62" t="s">
        <v>77</v>
      </c>
      <c r="M168" s="120" t="s">
        <v>544</v>
      </c>
      <c r="N168" s="65">
        <v>43739</v>
      </c>
      <c r="O168" s="24">
        <v>28940</v>
      </c>
      <c r="P168" s="24">
        <v>23256</v>
      </c>
      <c r="Q168" s="64">
        <v>673028640</v>
      </c>
      <c r="R168" s="64">
        <v>0</v>
      </c>
      <c r="S168" s="64"/>
      <c r="T168" s="64">
        <v>10772725.696</v>
      </c>
      <c r="U168" s="64" t="s">
        <v>545</v>
      </c>
      <c r="V168" s="121">
        <v>683801366</v>
      </c>
      <c r="W168" s="122">
        <v>0</v>
      </c>
      <c r="X168" s="64">
        <v>683801366</v>
      </c>
      <c r="Y168" s="121"/>
      <c r="Z168" s="121"/>
      <c r="AA168" s="121"/>
      <c r="AB168" s="121"/>
      <c r="AC168" s="64">
        <v>683801366</v>
      </c>
      <c r="AD168" s="65">
        <v>43770</v>
      </c>
      <c r="AE168" s="65">
        <v>47420</v>
      </c>
      <c r="AF168" s="62">
        <v>10</v>
      </c>
      <c r="AG168" s="119">
        <v>120</v>
      </c>
      <c r="AH168" s="25">
        <v>5698344.7166666668</v>
      </c>
      <c r="AI168" s="78">
        <v>284917247.16666669</v>
      </c>
      <c r="AJ168" s="78">
        <v>398884118.83333331</v>
      </c>
      <c r="AK168" s="27">
        <f t="shared" si="32"/>
        <v>5698344.7166666668</v>
      </c>
      <c r="AL168" s="27">
        <f t="shared" si="34"/>
        <v>5698344.7166666668</v>
      </c>
      <c r="AM168" s="27"/>
      <c r="AN168" s="27"/>
      <c r="AO168" s="27"/>
      <c r="AP168" s="27"/>
      <c r="AQ168" s="27"/>
      <c r="AR168" s="27"/>
      <c r="AS168" s="27"/>
      <c r="AT168" s="27"/>
      <c r="AU168" s="27"/>
      <c r="AV168" s="27"/>
      <c r="AW168" s="27">
        <f t="shared" si="27"/>
        <v>11396689.433333334</v>
      </c>
      <c r="AX168" s="79">
        <f t="shared" si="28"/>
        <v>387487429.39999998</v>
      </c>
      <c r="AY168" s="79">
        <f t="shared" si="29"/>
        <v>296313936.60000002</v>
      </c>
      <c r="AZ168" s="25">
        <v>1</v>
      </c>
      <c r="BA168" s="62" t="s">
        <v>97</v>
      </c>
      <c r="BB168" s="66">
        <v>1</v>
      </c>
      <c r="BC168" s="66"/>
      <c r="BD168" s="66"/>
      <c r="BE168" s="67">
        <f t="shared" si="33"/>
        <v>5698344.7166666668</v>
      </c>
      <c r="BF168" s="67">
        <f t="shared" si="26"/>
        <v>0</v>
      </c>
      <c r="BG168" s="67">
        <f t="shared" si="25"/>
        <v>0</v>
      </c>
      <c r="BH168" s="66"/>
      <c r="BI168" s="68" t="s">
        <v>80</v>
      </c>
      <c r="BJ168" s="68" t="s">
        <v>81</v>
      </c>
      <c r="BK168" s="68" t="s">
        <v>81</v>
      </c>
      <c r="BL168" s="29"/>
      <c r="BO168" s="35" t="s">
        <v>1805</v>
      </c>
      <c r="BQ168" s="1" t="s">
        <v>1930</v>
      </c>
    </row>
    <row r="169" spans="1:69" ht="15" hidden="1" customHeight="1">
      <c r="A169" s="1" t="s">
        <v>43</v>
      </c>
      <c r="C169" s="1" t="str">
        <f t="shared" si="30"/>
        <v>2410</v>
      </c>
      <c r="D169" s="1" t="str">
        <f t="shared" si="31"/>
        <v>1910</v>
      </c>
      <c r="E169" s="19" t="s">
        <v>48</v>
      </c>
      <c r="F169" s="62" t="s">
        <v>49</v>
      </c>
      <c r="G169" s="62">
        <v>2112</v>
      </c>
      <c r="H169" s="62" t="s">
        <v>550</v>
      </c>
      <c r="I169" s="62" t="s">
        <v>551</v>
      </c>
      <c r="J169" s="118">
        <v>1</v>
      </c>
      <c r="K169" s="119" t="s">
        <v>469</v>
      </c>
      <c r="L169" s="62" t="s">
        <v>552</v>
      </c>
      <c r="M169" s="120" t="s">
        <v>553</v>
      </c>
      <c r="N169" s="65">
        <v>43768</v>
      </c>
      <c r="O169" s="24"/>
      <c r="P169" s="24"/>
      <c r="Q169" s="64">
        <v>39500000</v>
      </c>
      <c r="R169" s="64"/>
      <c r="S169" s="64"/>
      <c r="T169" s="64"/>
      <c r="U169" s="64"/>
      <c r="V169" s="121">
        <v>39500000</v>
      </c>
      <c r="W169" s="122">
        <v>0</v>
      </c>
      <c r="X169" s="64">
        <v>39500000</v>
      </c>
      <c r="Y169" s="121"/>
      <c r="Z169" s="121"/>
      <c r="AA169" s="121"/>
      <c r="AB169" s="121"/>
      <c r="AC169" s="64">
        <v>39500000</v>
      </c>
      <c r="AD169" s="65">
        <v>43768</v>
      </c>
      <c r="AE169" s="65">
        <v>45593</v>
      </c>
      <c r="AF169" s="62">
        <v>5</v>
      </c>
      <c r="AG169" s="119">
        <v>60</v>
      </c>
      <c r="AH169" s="25">
        <v>658333.33333333337</v>
      </c>
      <c r="AI169" s="78">
        <v>32959126.333333332</v>
      </c>
      <c r="AJ169" s="78">
        <v>6540873.6666666679</v>
      </c>
      <c r="AK169" s="27">
        <f t="shared" si="32"/>
        <v>658333.33333333337</v>
      </c>
      <c r="AL169" s="27">
        <f t="shared" si="34"/>
        <v>658333.33333333337</v>
      </c>
      <c r="AM169" s="27"/>
      <c r="AN169" s="27"/>
      <c r="AO169" s="27"/>
      <c r="AP169" s="27"/>
      <c r="AQ169" s="27"/>
      <c r="AR169" s="27"/>
      <c r="AS169" s="27"/>
      <c r="AT169" s="27"/>
      <c r="AU169" s="27"/>
      <c r="AV169" s="27"/>
      <c r="AW169" s="27">
        <f t="shared" si="27"/>
        <v>1316666.6666666667</v>
      </c>
      <c r="AX169" s="79">
        <f t="shared" si="28"/>
        <v>5224207.0000000009</v>
      </c>
      <c r="AY169" s="79">
        <f t="shared" si="29"/>
        <v>34275793</v>
      </c>
      <c r="AZ169" s="25">
        <v>1</v>
      </c>
      <c r="BA169" s="62" t="s">
        <v>79</v>
      </c>
      <c r="BB169" s="66">
        <v>1</v>
      </c>
      <c r="BC169" s="66"/>
      <c r="BD169" s="66"/>
      <c r="BE169" s="67">
        <f t="shared" si="33"/>
        <v>658333.33333333337</v>
      </c>
      <c r="BF169" s="67">
        <f t="shared" si="26"/>
        <v>0</v>
      </c>
      <c r="BG169" s="67">
        <f t="shared" si="25"/>
        <v>0</v>
      </c>
      <c r="BH169" s="66"/>
      <c r="BI169" s="68" t="s">
        <v>57</v>
      </c>
      <c r="BJ169" s="68" t="s">
        <v>58</v>
      </c>
      <c r="BK169" s="68" t="s">
        <v>59</v>
      </c>
      <c r="BL169" s="29"/>
      <c r="BO169" s="35" t="s">
        <v>1807</v>
      </c>
      <c r="BQ169" s="1" t="e">
        <v>#N/A</v>
      </c>
    </row>
    <row r="170" spans="1:69" ht="15" hidden="1" customHeight="1">
      <c r="A170" s="1" t="s">
        <v>43</v>
      </c>
      <c r="C170" s="1" t="str">
        <f t="shared" si="30"/>
        <v>2410</v>
      </c>
      <c r="D170" s="1" t="str">
        <f t="shared" si="31"/>
        <v>1910</v>
      </c>
      <c r="E170" s="19" t="s">
        <v>48</v>
      </c>
      <c r="F170" s="62" t="s">
        <v>49</v>
      </c>
      <c r="G170" s="62">
        <v>2112</v>
      </c>
      <c r="H170" s="62" t="s">
        <v>554</v>
      </c>
      <c r="I170" s="62" t="s">
        <v>555</v>
      </c>
      <c r="J170" s="118">
        <v>1</v>
      </c>
      <c r="K170" s="119" t="s">
        <v>469</v>
      </c>
      <c r="L170" s="62" t="s">
        <v>552</v>
      </c>
      <c r="M170" s="120" t="s">
        <v>553</v>
      </c>
      <c r="N170" s="65">
        <v>43768</v>
      </c>
      <c r="O170" s="24"/>
      <c r="P170" s="24"/>
      <c r="Q170" s="64">
        <v>39500000</v>
      </c>
      <c r="R170" s="64"/>
      <c r="S170" s="64"/>
      <c r="T170" s="64"/>
      <c r="U170" s="64"/>
      <c r="V170" s="121">
        <v>39500000</v>
      </c>
      <c r="W170" s="122">
        <v>0</v>
      </c>
      <c r="X170" s="64">
        <v>39500000</v>
      </c>
      <c r="Y170" s="121"/>
      <c r="Z170" s="121"/>
      <c r="AA170" s="121"/>
      <c r="AB170" s="121"/>
      <c r="AC170" s="64">
        <v>39500000</v>
      </c>
      <c r="AD170" s="65">
        <v>43768</v>
      </c>
      <c r="AE170" s="65">
        <v>45593</v>
      </c>
      <c r="AF170" s="62">
        <v>5</v>
      </c>
      <c r="AG170" s="119">
        <v>60</v>
      </c>
      <c r="AH170" s="25">
        <v>658333.33333333337</v>
      </c>
      <c r="AI170" s="78">
        <v>32959126.333333332</v>
      </c>
      <c r="AJ170" s="78">
        <v>6540873.6666666679</v>
      </c>
      <c r="AK170" s="27">
        <f t="shared" si="32"/>
        <v>658333.33333333337</v>
      </c>
      <c r="AL170" s="27">
        <f t="shared" si="34"/>
        <v>658333.33333333337</v>
      </c>
      <c r="AM170" s="27"/>
      <c r="AN170" s="27"/>
      <c r="AO170" s="27"/>
      <c r="AP170" s="27"/>
      <c r="AQ170" s="27"/>
      <c r="AR170" s="27"/>
      <c r="AS170" s="27"/>
      <c r="AT170" s="27"/>
      <c r="AU170" s="27"/>
      <c r="AV170" s="27"/>
      <c r="AW170" s="27">
        <f t="shared" si="27"/>
        <v>1316666.6666666667</v>
      </c>
      <c r="AX170" s="79">
        <f t="shared" si="28"/>
        <v>5224207.0000000009</v>
      </c>
      <c r="AY170" s="79">
        <f t="shared" si="29"/>
        <v>34275793</v>
      </c>
      <c r="AZ170" s="25">
        <v>1</v>
      </c>
      <c r="BA170" s="62" t="s">
        <v>79</v>
      </c>
      <c r="BB170" s="66">
        <v>1</v>
      </c>
      <c r="BC170" s="66"/>
      <c r="BD170" s="66"/>
      <c r="BE170" s="67">
        <f t="shared" si="33"/>
        <v>658333.33333333337</v>
      </c>
      <c r="BF170" s="67">
        <f t="shared" si="26"/>
        <v>0</v>
      </c>
      <c r="BG170" s="67">
        <f t="shared" si="25"/>
        <v>0</v>
      </c>
      <c r="BH170" s="66"/>
      <c r="BI170" s="68" t="s">
        <v>57</v>
      </c>
      <c r="BJ170" s="68" t="s">
        <v>58</v>
      </c>
      <c r="BK170" s="68" t="s">
        <v>59</v>
      </c>
      <c r="BL170" s="29"/>
      <c r="BO170" s="35" t="s">
        <v>1807</v>
      </c>
      <c r="BQ170" s="1" t="e">
        <v>#N/A</v>
      </c>
    </row>
    <row r="171" spans="1:69" ht="15" hidden="1" customHeight="1">
      <c r="A171" s="1" t="s">
        <v>43</v>
      </c>
      <c r="C171" s="1" t="str">
        <f t="shared" si="30"/>
        <v>2410</v>
      </c>
      <c r="D171" s="1" t="str">
        <f t="shared" si="31"/>
        <v>1910</v>
      </c>
      <c r="E171" s="19" t="s">
        <v>48</v>
      </c>
      <c r="F171" s="62" t="s">
        <v>49</v>
      </c>
      <c r="G171" s="62">
        <v>2112</v>
      </c>
      <c r="H171" s="62" t="s">
        <v>556</v>
      </c>
      <c r="I171" s="62" t="s">
        <v>557</v>
      </c>
      <c r="J171" s="118">
        <v>1</v>
      </c>
      <c r="K171" s="119" t="s">
        <v>469</v>
      </c>
      <c r="L171" s="62" t="s">
        <v>552</v>
      </c>
      <c r="M171" s="120" t="s">
        <v>553</v>
      </c>
      <c r="N171" s="65">
        <v>43768</v>
      </c>
      <c r="O171" s="24"/>
      <c r="P171" s="24"/>
      <c r="Q171" s="64">
        <v>34000000</v>
      </c>
      <c r="R171" s="64"/>
      <c r="S171" s="64"/>
      <c r="T171" s="64"/>
      <c r="U171" s="64"/>
      <c r="V171" s="121">
        <v>34000000</v>
      </c>
      <c r="W171" s="122">
        <v>0</v>
      </c>
      <c r="X171" s="64">
        <v>34000000</v>
      </c>
      <c r="Y171" s="121"/>
      <c r="Z171" s="121"/>
      <c r="AA171" s="121"/>
      <c r="AB171" s="121"/>
      <c r="AC171" s="64">
        <v>34000000</v>
      </c>
      <c r="AD171" s="65">
        <v>43768</v>
      </c>
      <c r="AE171" s="65">
        <v>45593</v>
      </c>
      <c r="AF171" s="62">
        <v>5</v>
      </c>
      <c r="AG171" s="119">
        <v>60</v>
      </c>
      <c r="AH171" s="25">
        <v>566666.66666666663</v>
      </c>
      <c r="AI171" s="78">
        <v>28369905.666666668</v>
      </c>
      <c r="AJ171" s="78">
        <v>5630094.333333333</v>
      </c>
      <c r="AK171" s="27">
        <f t="shared" si="32"/>
        <v>566666.66666666663</v>
      </c>
      <c r="AL171" s="27">
        <f t="shared" si="34"/>
        <v>566666.66666666663</v>
      </c>
      <c r="AM171" s="27"/>
      <c r="AN171" s="27"/>
      <c r="AO171" s="27"/>
      <c r="AP171" s="27"/>
      <c r="AQ171" s="27"/>
      <c r="AR171" s="27"/>
      <c r="AS171" s="27"/>
      <c r="AT171" s="27"/>
      <c r="AU171" s="27"/>
      <c r="AV171" s="27"/>
      <c r="AW171" s="27">
        <f t="shared" si="27"/>
        <v>1133333.3333333333</v>
      </c>
      <c r="AX171" s="79">
        <f t="shared" si="28"/>
        <v>4496760.9999999991</v>
      </c>
      <c r="AY171" s="79">
        <f t="shared" si="29"/>
        <v>29503239</v>
      </c>
      <c r="AZ171" s="25">
        <v>1</v>
      </c>
      <c r="BA171" s="62" t="s">
        <v>79</v>
      </c>
      <c r="BB171" s="66">
        <v>1</v>
      </c>
      <c r="BC171" s="66"/>
      <c r="BD171" s="66"/>
      <c r="BE171" s="67">
        <f t="shared" si="33"/>
        <v>566666.66666666663</v>
      </c>
      <c r="BF171" s="67">
        <f t="shared" si="26"/>
        <v>0</v>
      </c>
      <c r="BG171" s="67">
        <f t="shared" si="25"/>
        <v>0</v>
      </c>
      <c r="BH171" s="66"/>
      <c r="BI171" s="68" t="s">
        <v>57</v>
      </c>
      <c r="BJ171" s="68" t="s">
        <v>58</v>
      </c>
      <c r="BK171" s="68" t="s">
        <v>59</v>
      </c>
      <c r="BL171" s="29"/>
      <c r="BO171" s="35" t="s">
        <v>1807</v>
      </c>
      <c r="BQ171" s="1" t="e">
        <v>#N/A</v>
      </c>
    </row>
    <row r="172" spans="1:69" ht="15" hidden="1" customHeight="1">
      <c r="A172" s="1" t="s">
        <v>43</v>
      </c>
      <c r="C172" s="1" t="str">
        <f t="shared" si="30"/>
        <v>2711</v>
      </c>
      <c r="D172" s="1" t="str">
        <f t="shared" si="31"/>
        <v>1911</v>
      </c>
      <c r="E172" s="19" t="s">
        <v>48</v>
      </c>
      <c r="F172" s="62" t="s">
        <v>49</v>
      </c>
      <c r="G172" s="62">
        <v>2114</v>
      </c>
      <c r="H172" s="62" t="s">
        <v>558</v>
      </c>
      <c r="I172" s="62" t="s">
        <v>559</v>
      </c>
      <c r="J172" s="118">
        <v>1</v>
      </c>
      <c r="K172" s="119" t="s">
        <v>560</v>
      </c>
      <c r="L172" s="62" t="s">
        <v>62</v>
      </c>
      <c r="M172" s="120" t="s">
        <v>561</v>
      </c>
      <c r="N172" s="65">
        <v>43785</v>
      </c>
      <c r="O172" s="24"/>
      <c r="P172" s="24"/>
      <c r="Q172" s="64">
        <v>1448255302</v>
      </c>
      <c r="R172" s="64"/>
      <c r="S172" s="64"/>
      <c r="T172" s="64"/>
      <c r="U172" s="64"/>
      <c r="V172" s="121">
        <v>1448255302</v>
      </c>
      <c r="W172" s="122">
        <v>0</v>
      </c>
      <c r="X172" s="64">
        <v>1448255302</v>
      </c>
      <c r="Y172" s="121"/>
      <c r="Z172" s="121"/>
      <c r="AA172" s="121"/>
      <c r="AB172" s="121"/>
      <c r="AC172" s="64">
        <v>1448255302</v>
      </c>
      <c r="AD172" s="65">
        <v>43785</v>
      </c>
      <c r="AE172" s="65">
        <v>46705</v>
      </c>
      <c r="AF172" s="62">
        <v>8</v>
      </c>
      <c r="AG172" s="119">
        <v>96</v>
      </c>
      <c r="AH172" s="25">
        <v>15085992.729166666</v>
      </c>
      <c r="AI172" s="78">
        <v>746756651.29166663</v>
      </c>
      <c r="AJ172" s="78">
        <v>701498650.70833337</v>
      </c>
      <c r="AK172" s="27">
        <f t="shared" si="32"/>
        <v>15085992.729166666</v>
      </c>
      <c r="AL172" s="27">
        <f t="shared" si="34"/>
        <v>15085992.729166666</v>
      </c>
      <c r="AM172" s="27"/>
      <c r="AN172" s="27"/>
      <c r="AO172" s="27"/>
      <c r="AP172" s="27"/>
      <c r="AQ172" s="27"/>
      <c r="AR172" s="27"/>
      <c r="AS172" s="27"/>
      <c r="AT172" s="27"/>
      <c r="AU172" s="27"/>
      <c r="AV172" s="27"/>
      <c r="AW172" s="27">
        <f t="shared" si="27"/>
        <v>30171985.458333332</v>
      </c>
      <c r="AX172" s="79">
        <f t="shared" si="28"/>
        <v>671326665.25</v>
      </c>
      <c r="AY172" s="79">
        <f t="shared" si="29"/>
        <v>776928636.75</v>
      </c>
      <c r="AZ172" s="25">
        <v>1</v>
      </c>
      <c r="BA172" s="62" t="s">
        <v>97</v>
      </c>
      <c r="BB172" s="66">
        <v>1</v>
      </c>
      <c r="BC172" s="66"/>
      <c r="BD172" s="66"/>
      <c r="BE172" s="67">
        <f t="shared" si="33"/>
        <v>15085992.729166666</v>
      </c>
      <c r="BF172" s="67">
        <f t="shared" si="26"/>
        <v>0</v>
      </c>
      <c r="BG172" s="67">
        <f t="shared" si="25"/>
        <v>0</v>
      </c>
      <c r="BH172" s="66"/>
      <c r="BI172" s="68" t="s">
        <v>562</v>
      </c>
      <c r="BJ172" s="68" t="s">
        <v>58</v>
      </c>
      <c r="BK172" s="68" t="s">
        <v>59</v>
      </c>
      <c r="BL172" s="29"/>
      <c r="BO172" s="35" t="s">
        <v>1799</v>
      </c>
      <c r="BQ172" s="1" t="e">
        <v>#N/A</v>
      </c>
    </row>
    <row r="173" spans="1:69" ht="15" hidden="1" customHeight="1">
      <c r="A173" s="1" t="s">
        <v>43</v>
      </c>
      <c r="C173" s="1" t="str">
        <f t="shared" si="30"/>
        <v>2711</v>
      </c>
      <c r="D173" s="1" t="str">
        <f t="shared" si="31"/>
        <v>1911</v>
      </c>
      <c r="E173" s="19" t="s">
        <v>48</v>
      </c>
      <c r="F173" s="62" t="s">
        <v>49</v>
      </c>
      <c r="G173" s="62">
        <v>2114</v>
      </c>
      <c r="H173" s="62" t="s">
        <v>563</v>
      </c>
      <c r="I173" s="62" t="s">
        <v>564</v>
      </c>
      <c r="J173" s="118">
        <v>1</v>
      </c>
      <c r="K173" s="119" t="s">
        <v>469</v>
      </c>
      <c r="L173" s="62" t="s">
        <v>62</v>
      </c>
      <c r="M173" s="120" t="s">
        <v>561</v>
      </c>
      <c r="N173" s="65">
        <v>43785</v>
      </c>
      <c r="O173" s="24"/>
      <c r="P173" s="24"/>
      <c r="Q173" s="64">
        <v>94449325</v>
      </c>
      <c r="R173" s="64"/>
      <c r="S173" s="64"/>
      <c r="T173" s="64"/>
      <c r="U173" s="64"/>
      <c r="V173" s="121">
        <v>94449325</v>
      </c>
      <c r="W173" s="122">
        <v>0</v>
      </c>
      <c r="X173" s="64">
        <v>94449325</v>
      </c>
      <c r="Y173" s="121"/>
      <c r="Z173" s="121"/>
      <c r="AA173" s="121"/>
      <c r="AB173" s="121"/>
      <c r="AC173" s="64">
        <v>94449325</v>
      </c>
      <c r="AD173" s="65">
        <v>43785</v>
      </c>
      <c r="AE173" s="65">
        <v>46705</v>
      </c>
      <c r="AF173" s="62">
        <v>8</v>
      </c>
      <c r="AG173" s="119">
        <v>96</v>
      </c>
      <c r="AH173" s="25">
        <v>983847.13541666663</v>
      </c>
      <c r="AI173" s="78">
        <v>48700428.354166664</v>
      </c>
      <c r="AJ173" s="78">
        <v>45748896.645833336</v>
      </c>
      <c r="AK173" s="27">
        <f t="shared" si="32"/>
        <v>983847.13541666663</v>
      </c>
      <c r="AL173" s="27">
        <f t="shared" si="34"/>
        <v>983847.13541666663</v>
      </c>
      <c r="AM173" s="27"/>
      <c r="AN173" s="27"/>
      <c r="AO173" s="27"/>
      <c r="AP173" s="27"/>
      <c r="AQ173" s="27"/>
      <c r="AR173" s="27"/>
      <c r="AS173" s="27"/>
      <c r="AT173" s="27"/>
      <c r="AU173" s="27"/>
      <c r="AV173" s="27"/>
      <c r="AW173" s="27">
        <f t="shared" si="27"/>
        <v>1967694.2708333333</v>
      </c>
      <c r="AX173" s="79">
        <f t="shared" si="28"/>
        <v>43781202.375</v>
      </c>
      <c r="AY173" s="79">
        <f t="shared" si="29"/>
        <v>50668122.625</v>
      </c>
      <c r="AZ173" s="25">
        <v>1</v>
      </c>
      <c r="BA173" s="62" t="s">
        <v>97</v>
      </c>
      <c r="BB173" s="66">
        <v>1</v>
      </c>
      <c r="BC173" s="66"/>
      <c r="BD173" s="66"/>
      <c r="BE173" s="67">
        <f t="shared" si="33"/>
        <v>983847.13541666663</v>
      </c>
      <c r="BF173" s="67">
        <f t="shared" si="26"/>
        <v>0</v>
      </c>
      <c r="BG173" s="67">
        <f t="shared" si="25"/>
        <v>0</v>
      </c>
      <c r="BH173" s="66"/>
      <c r="BI173" s="68" t="s">
        <v>562</v>
      </c>
      <c r="BJ173" s="68" t="s">
        <v>58</v>
      </c>
      <c r="BK173" s="68" t="s">
        <v>59</v>
      </c>
      <c r="BL173" s="29"/>
      <c r="BO173" s="35" t="s">
        <v>1799</v>
      </c>
      <c r="BQ173" s="1" t="e">
        <v>#N/A</v>
      </c>
    </row>
    <row r="174" spans="1:69" ht="15" hidden="1" customHeight="1">
      <c r="A174" s="1" t="s">
        <v>43</v>
      </c>
      <c r="C174" s="1" t="str">
        <f t="shared" si="30"/>
        <v>2711</v>
      </c>
      <c r="D174" s="1" t="str">
        <f t="shared" si="31"/>
        <v>1911</v>
      </c>
      <c r="E174" s="19" t="s">
        <v>48</v>
      </c>
      <c r="F174" s="62" t="s">
        <v>49</v>
      </c>
      <c r="G174" s="62">
        <v>2112</v>
      </c>
      <c r="H174" s="62" t="s">
        <v>565</v>
      </c>
      <c r="I174" s="62" t="s">
        <v>566</v>
      </c>
      <c r="J174" s="118">
        <v>1</v>
      </c>
      <c r="K174" s="119"/>
      <c r="L174" s="62" t="s">
        <v>62</v>
      </c>
      <c r="M174" s="120" t="s">
        <v>561</v>
      </c>
      <c r="N174" s="65">
        <v>43785</v>
      </c>
      <c r="O174" s="24"/>
      <c r="P174" s="24"/>
      <c r="Q174" s="64">
        <v>142329847</v>
      </c>
      <c r="R174" s="64"/>
      <c r="S174" s="64"/>
      <c r="T174" s="64"/>
      <c r="U174" s="64"/>
      <c r="V174" s="121">
        <v>142329847</v>
      </c>
      <c r="W174" s="122">
        <v>0</v>
      </c>
      <c r="X174" s="64">
        <v>142329847</v>
      </c>
      <c r="Y174" s="121"/>
      <c r="Z174" s="121"/>
      <c r="AA174" s="121"/>
      <c r="AB174" s="121"/>
      <c r="AC174" s="64">
        <v>142329847</v>
      </c>
      <c r="AD174" s="65">
        <v>43785</v>
      </c>
      <c r="AE174" s="65">
        <v>46705</v>
      </c>
      <c r="AF174" s="62">
        <v>8</v>
      </c>
      <c r="AG174" s="119">
        <v>96</v>
      </c>
      <c r="AH174" s="25">
        <v>1482602.5729166667</v>
      </c>
      <c r="AI174" s="78">
        <v>73388844.729166657</v>
      </c>
      <c r="AJ174" s="78">
        <v>68941002.270833343</v>
      </c>
      <c r="AK174" s="27">
        <f t="shared" si="32"/>
        <v>1482602.5729166667</v>
      </c>
      <c r="AL174" s="27">
        <f t="shared" si="34"/>
        <v>1482602.5729166667</v>
      </c>
      <c r="AM174" s="27"/>
      <c r="AN174" s="27"/>
      <c r="AO174" s="27"/>
      <c r="AP174" s="27"/>
      <c r="AQ174" s="27"/>
      <c r="AR174" s="27"/>
      <c r="AS174" s="27"/>
      <c r="AT174" s="27"/>
      <c r="AU174" s="27"/>
      <c r="AV174" s="27"/>
      <c r="AW174" s="27">
        <f t="shared" si="27"/>
        <v>2965205.1458333335</v>
      </c>
      <c r="AX174" s="79">
        <f t="shared" si="28"/>
        <v>65975797.125000007</v>
      </c>
      <c r="AY174" s="79">
        <f t="shared" si="29"/>
        <v>76354049.874999985</v>
      </c>
      <c r="AZ174" s="25">
        <v>1</v>
      </c>
      <c r="BA174" s="62" t="s">
        <v>97</v>
      </c>
      <c r="BB174" s="66">
        <v>1</v>
      </c>
      <c r="BC174" s="66"/>
      <c r="BD174" s="66"/>
      <c r="BE174" s="67">
        <f t="shared" si="33"/>
        <v>1482602.5729166667</v>
      </c>
      <c r="BF174" s="67">
        <f t="shared" si="26"/>
        <v>0</v>
      </c>
      <c r="BG174" s="67">
        <f t="shared" si="25"/>
        <v>0</v>
      </c>
      <c r="BH174" s="66"/>
      <c r="BI174" s="68" t="s">
        <v>562</v>
      </c>
      <c r="BJ174" s="68" t="s">
        <v>58</v>
      </c>
      <c r="BK174" s="68" t="s">
        <v>59</v>
      </c>
      <c r="BL174" s="29"/>
      <c r="BO174" s="35" t="s">
        <v>1799</v>
      </c>
      <c r="BQ174" s="1" t="e">
        <v>#N/A</v>
      </c>
    </row>
    <row r="175" spans="1:69" ht="15" hidden="1" customHeight="1">
      <c r="A175" s="1" t="s">
        <v>43</v>
      </c>
      <c r="C175" s="1" t="str">
        <f t="shared" si="30"/>
        <v>2611</v>
      </c>
      <c r="D175" s="1" t="str">
        <f t="shared" si="31"/>
        <v>1911</v>
      </c>
      <c r="E175" s="19" t="s">
        <v>48</v>
      </c>
      <c r="F175" s="62" t="s">
        <v>49</v>
      </c>
      <c r="G175" s="62">
        <v>2112</v>
      </c>
      <c r="H175" s="62" t="s">
        <v>567</v>
      </c>
      <c r="I175" s="62" t="s">
        <v>568</v>
      </c>
      <c r="J175" s="118">
        <v>1</v>
      </c>
      <c r="K175" s="119" t="s">
        <v>271</v>
      </c>
      <c r="L175" s="62" t="s">
        <v>304</v>
      </c>
      <c r="M175" s="120" t="s">
        <v>569</v>
      </c>
      <c r="N175" s="65">
        <v>43799</v>
      </c>
      <c r="O175" s="24"/>
      <c r="P175" s="24"/>
      <c r="Q175" s="64">
        <v>132000000</v>
      </c>
      <c r="R175" s="64"/>
      <c r="S175" s="64"/>
      <c r="T175" s="64"/>
      <c r="U175" s="64"/>
      <c r="V175" s="121">
        <v>132000000</v>
      </c>
      <c r="W175" s="122">
        <v>0</v>
      </c>
      <c r="X175" s="64">
        <v>132000000</v>
      </c>
      <c r="Y175" s="121"/>
      <c r="Z175" s="121"/>
      <c r="AA175" s="121"/>
      <c r="AB175" s="121"/>
      <c r="AC175" s="64">
        <v>132000000</v>
      </c>
      <c r="AD175" s="65">
        <v>43799</v>
      </c>
      <c r="AE175" s="65">
        <v>46354</v>
      </c>
      <c r="AF175" s="62">
        <v>7</v>
      </c>
      <c r="AG175" s="119">
        <v>84</v>
      </c>
      <c r="AH175" s="25">
        <v>1571428.5714285714</v>
      </c>
      <c r="AI175" s="78">
        <v>77052397.714285702</v>
      </c>
      <c r="AJ175" s="78">
        <v>54947602.285714291</v>
      </c>
      <c r="AK175" s="27">
        <f t="shared" si="32"/>
        <v>1571428.5714285714</v>
      </c>
      <c r="AL175" s="27">
        <f t="shared" si="34"/>
        <v>1571428.5714285714</v>
      </c>
      <c r="AM175" s="27"/>
      <c r="AN175" s="27"/>
      <c r="AO175" s="27"/>
      <c r="AP175" s="27"/>
      <c r="AQ175" s="27"/>
      <c r="AR175" s="27"/>
      <c r="AS175" s="27"/>
      <c r="AT175" s="27"/>
      <c r="AU175" s="27"/>
      <c r="AV175" s="27"/>
      <c r="AW175" s="27">
        <f t="shared" si="27"/>
        <v>3142857.1428571427</v>
      </c>
      <c r="AX175" s="79">
        <f t="shared" si="28"/>
        <v>51804745.142857157</v>
      </c>
      <c r="AY175" s="79">
        <f t="shared" si="29"/>
        <v>80195254.857142851</v>
      </c>
      <c r="AZ175" s="25">
        <v>1</v>
      </c>
      <c r="BA175" s="62" t="s">
        <v>97</v>
      </c>
      <c r="BB175" s="66">
        <v>1</v>
      </c>
      <c r="BC175" s="66"/>
      <c r="BD175" s="66"/>
      <c r="BE175" s="67">
        <f t="shared" si="33"/>
        <v>1571428.5714285714</v>
      </c>
      <c r="BF175" s="67">
        <f t="shared" si="26"/>
        <v>0</v>
      </c>
      <c r="BG175" s="67">
        <f t="shared" si="25"/>
        <v>0</v>
      </c>
      <c r="BH175" s="66"/>
      <c r="BI175" s="68">
        <v>0</v>
      </c>
      <c r="BJ175" s="68" t="s">
        <v>58</v>
      </c>
      <c r="BK175" s="68" t="s">
        <v>59</v>
      </c>
      <c r="BL175" s="29"/>
      <c r="BO175" s="35" t="s">
        <v>1799</v>
      </c>
      <c r="BQ175" s="1" t="e">
        <v>#N/A</v>
      </c>
    </row>
    <row r="176" spans="1:69" ht="15" hidden="1" customHeight="1">
      <c r="A176" s="1" t="s">
        <v>43</v>
      </c>
      <c r="C176" s="1" t="str">
        <f t="shared" si="30"/>
        <v>4411</v>
      </c>
      <c r="D176" s="1" t="str">
        <f t="shared" si="31"/>
        <v>1911</v>
      </c>
      <c r="E176" s="19" t="s">
        <v>48</v>
      </c>
      <c r="F176" s="62" t="s">
        <v>49</v>
      </c>
      <c r="G176" s="62">
        <v>2111</v>
      </c>
      <c r="H176" s="62" t="s">
        <v>570</v>
      </c>
      <c r="I176" s="62" t="s">
        <v>571</v>
      </c>
      <c r="J176" s="118">
        <v>1</v>
      </c>
      <c r="K176" s="119" t="s">
        <v>572</v>
      </c>
      <c r="L176" s="62" t="s">
        <v>62</v>
      </c>
      <c r="M176" s="120" t="s">
        <v>573</v>
      </c>
      <c r="N176" s="65">
        <v>43785</v>
      </c>
      <c r="O176" s="24"/>
      <c r="P176" s="24"/>
      <c r="Q176" s="64">
        <v>360460000</v>
      </c>
      <c r="R176" s="64"/>
      <c r="S176" s="64"/>
      <c r="T176" s="64"/>
      <c r="U176" s="64"/>
      <c r="V176" s="121">
        <v>360460000</v>
      </c>
      <c r="W176" s="122">
        <v>0</v>
      </c>
      <c r="X176" s="64">
        <v>360460000</v>
      </c>
      <c r="Y176" s="121"/>
      <c r="Z176" s="121"/>
      <c r="AA176" s="121"/>
      <c r="AB176" s="121"/>
      <c r="AC176" s="64">
        <v>360460000</v>
      </c>
      <c r="AD176" s="65">
        <v>43785</v>
      </c>
      <c r="AE176" s="65">
        <v>52910</v>
      </c>
      <c r="AF176" s="62">
        <v>25</v>
      </c>
      <c r="AG176" s="119">
        <v>300</v>
      </c>
      <c r="AH176" s="25">
        <v>1201533.3333333333</v>
      </c>
      <c r="AI176" s="78">
        <v>59475887.333333336</v>
      </c>
      <c r="AJ176" s="78">
        <v>300984112.66666669</v>
      </c>
      <c r="AK176" s="27">
        <f t="shared" si="32"/>
        <v>1201533.3333333333</v>
      </c>
      <c r="AL176" s="27">
        <f t="shared" si="34"/>
        <v>1201533.3333333333</v>
      </c>
      <c r="AM176" s="27"/>
      <c r="AN176" s="27"/>
      <c r="AO176" s="27"/>
      <c r="AP176" s="27"/>
      <c r="AQ176" s="27"/>
      <c r="AR176" s="27"/>
      <c r="AS176" s="27"/>
      <c r="AT176" s="27"/>
      <c r="AU176" s="27"/>
      <c r="AV176" s="27"/>
      <c r="AW176" s="27">
        <f t="shared" si="27"/>
        <v>2403066.6666666665</v>
      </c>
      <c r="AX176" s="79">
        <f t="shared" si="28"/>
        <v>298581046</v>
      </c>
      <c r="AY176" s="79">
        <f t="shared" si="29"/>
        <v>61878954</v>
      </c>
      <c r="AZ176" s="25">
        <v>1</v>
      </c>
      <c r="BA176" s="62" t="s">
        <v>56</v>
      </c>
      <c r="BB176" s="66">
        <v>0.5</v>
      </c>
      <c r="BC176" s="66">
        <v>0.5</v>
      </c>
      <c r="BD176" s="66"/>
      <c r="BE176" s="67">
        <f t="shared" si="33"/>
        <v>600766.66666666663</v>
      </c>
      <c r="BF176" s="67">
        <f t="shared" si="26"/>
        <v>600766.66666666663</v>
      </c>
      <c r="BG176" s="67">
        <f t="shared" si="25"/>
        <v>0</v>
      </c>
      <c r="BH176" s="66"/>
      <c r="BI176" s="68" t="s">
        <v>57</v>
      </c>
      <c r="BJ176" s="68" t="s">
        <v>58</v>
      </c>
      <c r="BK176" s="68" t="s">
        <v>59</v>
      </c>
      <c r="BL176" s="29"/>
      <c r="BO176" s="35" t="s">
        <v>1799</v>
      </c>
      <c r="BQ176" s="1" t="e">
        <v>#N/A</v>
      </c>
    </row>
    <row r="177" spans="1:69" ht="15" hidden="1" customHeight="1">
      <c r="A177" s="1" t="s">
        <v>43</v>
      </c>
      <c r="C177" s="1" t="str">
        <f t="shared" si="30"/>
        <v>2911</v>
      </c>
      <c r="D177" s="1" t="str">
        <f t="shared" si="31"/>
        <v>1911</v>
      </c>
      <c r="E177" s="19" t="s">
        <v>48</v>
      </c>
      <c r="F177" s="62" t="s">
        <v>49</v>
      </c>
      <c r="G177" s="62">
        <v>2112</v>
      </c>
      <c r="H177" s="62" t="s">
        <v>574</v>
      </c>
      <c r="I177" s="62" t="s">
        <v>575</v>
      </c>
      <c r="J177" s="118">
        <v>1</v>
      </c>
      <c r="K177" s="119" t="s">
        <v>271</v>
      </c>
      <c r="L177" s="62" t="s">
        <v>77</v>
      </c>
      <c r="M177" s="120" t="s">
        <v>576</v>
      </c>
      <c r="N177" s="65">
        <v>43791</v>
      </c>
      <c r="O177" s="24">
        <v>7570</v>
      </c>
      <c r="P177" s="24">
        <v>23250</v>
      </c>
      <c r="Q177" s="64">
        <v>176002500</v>
      </c>
      <c r="R177" s="64"/>
      <c r="S177" s="64"/>
      <c r="T177" s="64">
        <v>745884</v>
      </c>
      <c r="U177" s="64" t="s">
        <v>577</v>
      </c>
      <c r="V177" s="121">
        <v>176748384</v>
      </c>
      <c r="W177" s="122">
        <v>0</v>
      </c>
      <c r="X177" s="64">
        <v>176748384</v>
      </c>
      <c r="Y177" s="121"/>
      <c r="Z177" s="121"/>
      <c r="AA177" s="121"/>
      <c r="AB177" s="121"/>
      <c r="AC177" s="64">
        <v>176748384</v>
      </c>
      <c r="AD177" s="65">
        <v>43799</v>
      </c>
      <c r="AE177" s="65">
        <v>47449</v>
      </c>
      <c r="AF177" s="62">
        <v>10</v>
      </c>
      <c r="AG177" s="119">
        <v>120</v>
      </c>
      <c r="AH177" s="25">
        <v>1472903.2</v>
      </c>
      <c r="AI177" s="78">
        <v>72221346</v>
      </c>
      <c r="AJ177" s="78">
        <v>104527038</v>
      </c>
      <c r="AK177" s="27">
        <f t="shared" si="32"/>
        <v>1472903.2</v>
      </c>
      <c r="AL177" s="27">
        <f t="shared" si="34"/>
        <v>1472903.2</v>
      </c>
      <c r="AM177" s="27"/>
      <c r="AN177" s="27"/>
      <c r="AO177" s="27"/>
      <c r="AP177" s="27"/>
      <c r="AQ177" s="27"/>
      <c r="AR177" s="27"/>
      <c r="AS177" s="27"/>
      <c r="AT177" s="27"/>
      <c r="AU177" s="27"/>
      <c r="AV177" s="27"/>
      <c r="AW177" s="27">
        <f t="shared" si="27"/>
        <v>2945806.4</v>
      </c>
      <c r="AX177" s="79">
        <f t="shared" si="28"/>
        <v>101581231.59999999</v>
      </c>
      <c r="AY177" s="79">
        <f t="shared" si="29"/>
        <v>75167152.400000006</v>
      </c>
      <c r="AZ177" s="25">
        <v>1</v>
      </c>
      <c r="BA177" s="62" t="s">
        <v>97</v>
      </c>
      <c r="BB177" s="66">
        <v>1</v>
      </c>
      <c r="BC177" s="66"/>
      <c r="BD177" s="66"/>
      <c r="BE177" s="67">
        <f t="shared" si="33"/>
        <v>1472903.2</v>
      </c>
      <c r="BF177" s="67">
        <f t="shared" si="26"/>
        <v>0</v>
      </c>
      <c r="BG177" s="67">
        <f t="shared" si="25"/>
        <v>0</v>
      </c>
      <c r="BH177" s="66"/>
      <c r="BI177" s="68" t="s">
        <v>84</v>
      </c>
      <c r="BJ177" s="68" t="s">
        <v>85</v>
      </c>
      <c r="BK177" s="68" t="s">
        <v>85</v>
      </c>
      <c r="BL177" s="29"/>
      <c r="BO177" s="35" t="s">
        <v>1801</v>
      </c>
      <c r="BQ177" s="1" t="e">
        <v>#N/A</v>
      </c>
    </row>
    <row r="178" spans="1:69" ht="15" hidden="1" customHeight="1">
      <c r="A178" s="1" t="s">
        <v>43</v>
      </c>
      <c r="C178" s="1" t="str">
        <f t="shared" si="30"/>
        <v>2911</v>
      </c>
      <c r="D178" s="1" t="str">
        <f t="shared" si="31"/>
        <v>1911</v>
      </c>
      <c r="E178" s="19" t="s">
        <v>48</v>
      </c>
      <c r="F178" s="62" t="s">
        <v>49</v>
      </c>
      <c r="G178" s="62">
        <v>2112</v>
      </c>
      <c r="H178" s="62" t="s">
        <v>578</v>
      </c>
      <c r="I178" s="62" t="s">
        <v>579</v>
      </c>
      <c r="J178" s="118">
        <v>1</v>
      </c>
      <c r="K178" s="119" t="s">
        <v>469</v>
      </c>
      <c r="L178" s="62" t="s">
        <v>580</v>
      </c>
      <c r="M178" s="120" t="s">
        <v>581</v>
      </c>
      <c r="N178" s="65">
        <v>43778</v>
      </c>
      <c r="O178" s="24">
        <v>70000</v>
      </c>
      <c r="P178" s="24">
        <v>23254</v>
      </c>
      <c r="Q178" s="64">
        <v>1627843000</v>
      </c>
      <c r="R178" s="64"/>
      <c r="S178" s="64"/>
      <c r="T178" s="64">
        <v>11257805</v>
      </c>
      <c r="U178" s="64" t="s">
        <v>582</v>
      </c>
      <c r="V178" s="121">
        <v>1639100805</v>
      </c>
      <c r="W178" s="122">
        <v>0</v>
      </c>
      <c r="X178" s="64">
        <v>1639100805</v>
      </c>
      <c r="Y178" s="121"/>
      <c r="Z178" s="121"/>
      <c r="AA178" s="121"/>
      <c r="AB178" s="121"/>
      <c r="AC178" s="64">
        <v>1639100805</v>
      </c>
      <c r="AD178" s="65">
        <v>43799</v>
      </c>
      <c r="AE178" s="65">
        <v>47449</v>
      </c>
      <c r="AF178" s="62">
        <v>10</v>
      </c>
      <c r="AG178" s="119">
        <v>120</v>
      </c>
      <c r="AH178" s="25">
        <v>13659173.375</v>
      </c>
      <c r="AI178" s="78">
        <v>669754786.75</v>
      </c>
      <c r="AJ178" s="78">
        <v>969346018.25</v>
      </c>
      <c r="AK178" s="27">
        <f t="shared" si="32"/>
        <v>13659173.375</v>
      </c>
      <c r="AL178" s="27">
        <f t="shared" si="34"/>
        <v>13659173.375</v>
      </c>
      <c r="AM178" s="27"/>
      <c r="AN178" s="27"/>
      <c r="AO178" s="27"/>
      <c r="AP178" s="27"/>
      <c r="AQ178" s="27"/>
      <c r="AR178" s="27"/>
      <c r="AS178" s="27"/>
      <c r="AT178" s="27"/>
      <c r="AU178" s="27"/>
      <c r="AV178" s="27"/>
      <c r="AW178" s="27">
        <f t="shared" si="27"/>
        <v>27318346.75</v>
      </c>
      <c r="AX178" s="79">
        <f t="shared" si="28"/>
        <v>942027671.5</v>
      </c>
      <c r="AY178" s="79">
        <f t="shared" si="29"/>
        <v>697073133.5</v>
      </c>
      <c r="AZ178" s="25">
        <v>1</v>
      </c>
      <c r="BA178" s="62" t="s">
        <v>97</v>
      </c>
      <c r="BB178" s="66">
        <v>1</v>
      </c>
      <c r="BC178" s="66"/>
      <c r="BD178" s="66"/>
      <c r="BE178" s="67">
        <f t="shared" si="33"/>
        <v>13659173.375</v>
      </c>
      <c r="BF178" s="67">
        <f t="shared" si="26"/>
        <v>0</v>
      </c>
      <c r="BG178" s="67">
        <f t="shared" si="25"/>
        <v>0</v>
      </c>
      <c r="BH178" s="66"/>
      <c r="BI178" s="68" t="s">
        <v>80</v>
      </c>
      <c r="BJ178" s="68" t="s">
        <v>58</v>
      </c>
      <c r="BK178" s="68" t="s">
        <v>159</v>
      </c>
      <c r="BL178" s="29"/>
      <c r="BO178" s="35" t="s">
        <v>1801</v>
      </c>
      <c r="BQ178" s="1" t="e">
        <v>#N/A</v>
      </c>
    </row>
    <row r="179" spans="1:69" ht="15" hidden="1" customHeight="1">
      <c r="A179" s="1" t="s">
        <v>43</v>
      </c>
      <c r="C179" s="1" t="str">
        <f t="shared" si="30"/>
        <v>2611</v>
      </c>
      <c r="D179" s="1" t="str">
        <f t="shared" si="31"/>
        <v>1911</v>
      </c>
      <c r="E179" s="19" t="s">
        <v>48</v>
      </c>
      <c r="F179" s="62" t="s">
        <v>49</v>
      </c>
      <c r="G179" s="62">
        <v>2112</v>
      </c>
      <c r="H179" s="62" t="s">
        <v>583</v>
      </c>
      <c r="I179" s="62" t="s">
        <v>584</v>
      </c>
      <c r="J179" s="118">
        <v>1</v>
      </c>
      <c r="K179" s="119" t="s">
        <v>469</v>
      </c>
      <c r="L179" s="62" t="s">
        <v>77</v>
      </c>
      <c r="M179" s="120" t="s">
        <v>585</v>
      </c>
      <c r="N179" s="65">
        <v>43781</v>
      </c>
      <c r="O179" s="24">
        <v>93380</v>
      </c>
      <c r="P179" s="24">
        <v>23254</v>
      </c>
      <c r="Q179" s="64">
        <v>2171458520</v>
      </c>
      <c r="R179" s="64"/>
      <c r="S179" s="64"/>
      <c r="T179" s="64">
        <v>25831888</v>
      </c>
      <c r="U179" s="64" t="s">
        <v>586</v>
      </c>
      <c r="V179" s="121">
        <v>2197290408</v>
      </c>
      <c r="W179" s="122">
        <v>0</v>
      </c>
      <c r="X179" s="64">
        <v>2197290408</v>
      </c>
      <c r="Y179" s="121"/>
      <c r="Z179" s="121"/>
      <c r="AA179" s="121"/>
      <c r="AB179" s="121"/>
      <c r="AC179" s="64">
        <v>2197290408</v>
      </c>
      <c r="AD179" s="65">
        <v>43799</v>
      </c>
      <c r="AE179" s="65">
        <v>46354</v>
      </c>
      <c r="AF179" s="62">
        <v>7</v>
      </c>
      <c r="AG179" s="119">
        <v>84</v>
      </c>
      <c r="AH179" s="25">
        <v>26158219.142857142</v>
      </c>
      <c r="AI179" s="78">
        <v>1282624673.4285712</v>
      </c>
      <c r="AJ179" s="78">
        <v>914665734.57142866</v>
      </c>
      <c r="AK179" s="27">
        <f t="shared" si="32"/>
        <v>26158219.142857142</v>
      </c>
      <c r="AL179" s="27">
        <f t="shared" si="34"/>
        <v>26158219.142857142</v>
      </c>
      <c r="AM179" s="27"/>
      <c r="AN179" s="27"/>
      <c r="AO179" s="27"/>
      <c r="AP179" s="27"/>
      <c r="AQ179" s="27"/>
      <c r="AR179" s="27"/>
      <c r="AS179" s="27"/>
      <c r="AT179" s="27"/>
      <c r="AU179" s="27"/>
      <c r="AV179" s="27"/>
      <c r="AW179" s="27">
        <f t="shared" si="27"/>
        <v>52316438.285714284</v>
      </c>
      <c r="AX179" s="79">
        <f t="shared" si="28"/>
        <v>862349296.28571451</v>
      </c>
      <c r="AY179" s="79">
        <f t="shared" si="29"/>
        <v>1334941111.7142856</v>
      </c>
      <c r="AZ179" s="25">
        <v>1</v>
      </c>
      <c r="BA179" s="62" t="s">
        <v>97</v>
      </c>
      <c r="BB179" s="66">
        <v>1</v>
      </c>
      <c r="BC179" s="66"/>
      <c r="BD179" s="66"/>
      <c r="BE179" s="67">
        <f t="shared" si="33"/>
        <v>26158219.142857142</v>
      </c>
      <c r="BF179" s="67">
        <f t="shared" si="26"/>
        <v>0</v>
      </c>
      <c r="BG179" s="67">
        <f t="shared" si="25"/>
        <v>0</v>
      </c>
      <c r="BH179" s="66"/>
      <c r="BI179" s="68" t="s">
        <v>414</v>
      </c>
      <c r="BJ179" s="68" t="s">
        <v>124</v>
      </c>
      <c r="BK179" s="68" t="s">
        <v>124</v>
      </c>
      <c r="BL179" s="29"/>
      <c r="BO179" s="35" t="s">
        <v>1805</v>
      </c>
      <c r="BQ179" s="1" t="s">
        <v>2049</v>
      </c>
    </row>
    <row r="180" spans="1:69" ht="15" hidden="1" customHeight="1">
      <c r="A180" s="1" t="s">
        <v>43</v>
      </c>
      <c r="C180" s="1" t="str">
        <f t="shared" si="30"/>
        <v>2612</v>
      </c>
      <c r="D180" s="1" t="str">
        <f t="shared" si="31"/>
        <v>1912</v>
      </c>
      <c r="E180" s="19" t="s">
        <v>48</v>
      </c>
      <c r="F180" s="62" t="s">
        <v>394</v>
      </c>
      <c r="G180" s="62">
        <v>2112</v>
      </c>
      <c r="H180" s="62" t="s">
        <v>587</v>
      </c>
      <c r="I180" s="62" t="s">
        <v>588</v>
      </c>
      <c r="J180" s="118">
        <v>1</v>
      </c>
      <c r="K180" s="119" t="s">
        <v>469</v>
      </c>
      <c r="L180" s="62" t="s">
        <v>77</v>
      </c>
      <c r="M180" s="120" t="s">
        <v>589</v>
      </c>
      <c r="N180" s="65">
        <v>43804</v>
      </c>
      <c r="O180" s="24">
        <v>40300</v>
      </c>
      <c r="P180" s="24">
        <v>23223</v>
      </c>
      <c r="Q180" s="64">
        <v>935886900</v>
      </c>
      <c r="R180" s="64">
        <v>0</v>
      </c>
      <c r="S180" s="64"/>
      <c r="T180" s="64">
        <v>9714945</v>
      </c>
      <c r="U180" s="64" t="s">
        <v>590</v>
      </c>
      <c r="V180" s="121">
        <v>945601845</v>
      </c>
      <c r="W180" s="122">
        <v>0</v>
      </c>
      <c r="X180" s="64">
        <v>945601845</v>
      </c>
      <c r="Y180" s="121"/>
      <c r="Z180" s="121"/>
      <c r="AA180" s="121"/>
      <c r="AB180" s="121"/>
      <c r="AC180" s="64">
        <v>945601845</v>
      </c>
      <c r="AD180" s="65">
        <v>43824</v>
      </c>
      <c r="AE180" s="65">
        <v>46379</v>
      </c>
      <c r="AF180" s="62">
        <v>7</v>
      </c>
      <c r="AG180" s="119">
        <v>84</v>
      </c>
      <c r="AH180" s="25">
        <v>11257164.821428571</v>
      </c>
      <c r="AI180" s="78">
        <v>542885858.21428561</v>
      </c>
      <c r="AJ180" s="78">
        <v>402715986.78571433</v>
      </c>
      <c r="AK180" s="27">
        <f t="shared" si="32"/>
        <v>11257164.821428571</v>
      </c>
      <c r="AL180" s="27">
        <f t="shared" si="34"/>
        <v>11257164.821428571</v>
      </c>
      <c r="AM180" s="27"/>
      <c r="AN180" s="27"/>
      <c r="AO180" s="27"/>
      <c r="AP180" s="27"/>
      <c r="AQ180" s="27"/>
      <c r="AR180" s="27"/>
      <c r="AS180" s="27"/>
      <c r="AT180" s="27"/>
      <c r="AU180" s="27"/>
      <c r="AV180" s="27"/>
      <c r="AW180" s="27">
        <f t="shared" si="27"/>
        <v>22514329.642857142</v>
      </c>
      <c r="AX180" s="79">
        <f t="shared" si="28"/>
        <v>380201657.14285725</v>
      </c>
      <c r="AY180" s="79">
        <f t="shared" si="29"/>
        <v>565400187.85714281</v>
      </c>
      <c r="AZ180" s="25">
        <v>1</v>
      </c>
      <c r="BA180" s="62" t="s">
        <v>97</v>
      </c>
      <c r="BB180" s="66">
        <v>1</v>
      </c>
      <c r="BC180" s="66"/>
      <c r="BD180" s="66"/>
      <c r="BE180" s="67">
        <f t="shared" si="33"/>
        <v>11257164.821428571</v>
      </c>
      <c r="BF180" s="67">
        <f t="shared" si="26"/>
        <v>0</v>
      </c>
      <c r="BG180" s="67">
        <f t="shared" si="25"/>
        <v>0</v>
      </c>
      <c r="BH180" s="66"/>
      <c r="BI180" s="68" t="s">
        <v>80</v>
      </c>
      <c r="BJ180" s="68" t="s">
        <v>591</v>
      </c>
      <c r="BK180" s="68" t="s">
        <v>59</v>
      </c>
      <c r="BL180" s="29"/>
      <c r="BO180" s="35" t="s">
        <v>1800</v>
      </c>
      <c r="BQ180" s="1" t="e">
        <v>#N/A</v>
      </c>
    </row>
    <row r="181" spans="1:69" ht="15" hidden="1" customHeight="1">
      <c r="A181" s="1" t="s">
        <v>43</v>
      </c>
      <c r="C181" s="1" t="str">
        <f t="shared" si="30"/>
        <v>2512</v>
      </c>
      <c r="D181" s="1" t="str">
        <f t="shared" si="31"/>
        <v>1912</v>
      </c>
      <c r="E181" s="19" t="s">
        <v>48</v>
      </c>
      <c r="F181" s="62" t="s">
        <v>49</v>
      </c>
      <c r="G181" s="62">
        <v>2112</v>
      </c>
      <c r="H181" s="62" t="s">
        <v>592</v>
      </c>
      <c r="I181" s="62" t="s">
        <v>593</v>
      </c>
      <c r="J181" s="118">
        <v>1</v>
      </c>
      <c r="K181" s="119" t="s">
        <v>271</v>
      </c>
      <c r="L181" s="62" t="s">
        <v>77</v>
      </c>
      <c r="M181" s="120" t="s">
        <v>594</v>
      </c>
      <c r="N181" s="65">
        <v>43810</v>
      </c>
      <c r="O181" s="24">
        <v>1910</v>
      </c>
      <c r="P181" s="24">
        <v>23223</v>
      </c>
      <c r="Q181" s="64">
        <v>44355930</v>
      </c>
      <c r="R181" s="64">
        <v>0</v>
      </c>
      <c r="S181" s="64"/>
      <c r="T181" s="64">
        <v>3917458.75</v>
      </c>
      <c r="U181" s="64" t="s">
        <v>595</v>
      </c>
      <c r="V181" s="121">
        <v>48273389</v>
      </c>
      <c r="W181" s="122">
        <v>0</v>
      </c>
      <c r="X181" s="64">
        <v>48273389</v>
      </c>
      <c r="Y181" s="121"/>
      <c r="Z181" s="121"/>
      <c r="AA181" s="121"/>
      <c r="AB181" s="121"/>
      <c r="AC181" s="64">
        <v>48273389</v>
      </c>
      <c r="AD181" s="65">
        <v>43824</v>
      </c>
      <c r="AE181" s="65">
        <v>46014</v>
      </c>
      <c r="AF181" s="62">
        <v>6</v>
      </c>
      <c r="AG181" s="119">
        <v>72</v>
      </c>
      <c r="AH181" s="25">
        <v>670463.73611111112</v>
      </c>
      <c r="AI181" s="78">
        <v>32333664.361111112</v>
      </c>
      <c r="AJ181" s="78">
        <v>15939724.63888889</v>
      </c>
      <c r="AK181" s="27">
        <f t="shared" si="32"/>
        <v>670463.73611111112</v>
      </c>
      <c r="AL181" s="27">
        <f t="shared" si="34"/>
        <v>670463.73611111112</v>
      </c>
      <c r="AM181" s="27"/>
      <c r="AN181" s="27"/>
      <c r="AO181" s="27"/>
      <c r="AP181" s="27"/>
      <c r="AQ181" s="27"/>
      <c r="AR181" s="27"/>
      <c r="AS181" s="27"/>
      <c r="AT181" s="27"/>
      <c r="AU181" s="27"/>
      <c r="AV181" s="27"/>
      <c r="AW181" s="27">
        <f t="shared" si="27"/>
        <v>1340927.4722222222</v>
      </c>
      <c r="AX181" s="79">
        <f t="shared" si="28"/>
        <v>14598797.166666666</v>
      </c>
      <c r="AY181" s="79">
        <f t="shared" si="29"/>
        <v>33674591.833333336</v>
      </c>
      <c r="AZ181" s="25">
        <v>1</v>
      </c>
      <c r="BA181" s="62" t="s">
        <v>97</v>
      </c>
      <c r="BB181" s="66">
        <v>1</v>
      </c>
      <c r="BC181" s="66"/>
      <c r="BD181" s="66"/>
      <c r="BE181" s="67">
        <f t="shared" si="33"/>
        <v>670463.73611111112</v>
      </c>
      <c r="BF181" s="67">
        <f t="shared" si="26"/>
        <v>0</v>
      </c>
      <c r="BG181" s="67">
        <f t="shared" si="25"/>
        <v>0</v>
      </c>
      <c r="BH181" s="66"/>
      <c r="BI181" s="68" t="s">
        <v>427</v>
      </c>
      <c r="BJ181" s="68" t="s">
        <v>85</v>
      </c>
      <c r="BK181" s="68" t="s">
        <v>85</v>
      </c>
      <c r="BL181" s="29"/>
      <c r="BO181" s="35" t="s">
        <v>1800</v>
      </c>
      <c r="BP181" s="1" t="s">
        <v>1803</v>
      </c>
      <c r="BQ181" s="1" t="e">
        <v>#N/A</v>
      </c>
    </row>
    <row r="182" spans="1:69" ht="15" hidden="1" customHeight="1">
      <c r="A182" s="1" t="s">
        <v>43</v>
      </c>
      <c r="C182" s="1" t="str">
        <f t="shared" si="30"/>
        <v>2512</v>
      </c>
      <c r="D182" s="1" t="str">
        <f t="shared" si="31"/>
        <v>1912</v>
      </c>
      <c r="E182" s="19" t="s">
        <v>48</v>
      </c>
      <c r="F182" s="62" t="s">
        <v>49</v>
      </c>
      <c r="G182" s="62">
        <v>2112</v>
      </c>
      <c r="H182" s="62" t="s">
        <v>596</v>
      </c>
      <c r="I182" s="62" t="s">
        <v>593</v>
      </c>
      <c r="J182" s="118">
        <v>1</v>
      </c>
      <c r="K182" s="119" t="s">
        <v>271</v>
      </c>
      <c r="L182" s="62" t="s">
        <v>77</v>
      </c>
      <c r="M182" s="120" t="s">
        <v>594</v>
      </c>
      <c r="N182" s="65">
        <v>43810</v>
      </c>
      <c r="O182" s="24">
        <v>1910</v>
      </c>
      <c r="P182" s="24">
        <v>23223</v>
      </c>
      <c r="Q182" s="64">
        <v>44355930</v>
      </c>
      <c r="R182" s="64">
        <v>0</v>
      </c>
      <c r="S182" s="64"/>
      <c r="T182" s="64">
        <v>3917458.75</v>
      </c>
      <c r="U182" s="64" t="s">
        <v>595</v>
      </c>
      <c r="V182" s="121">
        <v>48273389</v>
      </c>
      <c r="W182" s="122">
        <v>0</v>
      </c>
      <c r="X182" s="64">
        <v>48273389</v>
      </c>
      <c r="Y182" s="121"/>
      <c r="Z182" s="121"/>
      <c r="AA182" s="121"/>
      <c r="AB182" s="121"/>
      <c r="AC182" s="64">
        <v>48273389</v>
      </c>
      <c r="AD182" s="65">
        <v>43824</v>
      </c>
      <c r="AE182" s="65">
        <v>46014</v>
      </c>
      <c r="AF182" s="62">
        <v>6</v>
      </c>
      <c r="AG182" s="119">
        <v>72</v>
      </c>
      <c r="AH182" s="25">
        <v>670463.73611111112</v>
      </c>
      <c r="AI182" s="78">
        <v>32333664.361111112</v>
      </c>
      <c r="AJ182" s="78">
        <v>15939724.63888889</v>
      </c>
      <c r="AK182" s="27">
        <f t="shared" si="32"/>
        <v>670463.73611111112</v>
      </c>
      <c r="AL182" s="27">
        <f t="shared" si="34"/>
        <v>670463.73611111112</v>
      </c>
      <c r="AM182" s="27"/>
      <c r="AN182" s="27"/>
      <c r="AO182" s="27"/>
      <c r="AP182" s="27"/>
      <c r="AQ182" s="27"/>
      <c r="AR182" s="27"/>
      <c r="AS182" s="27"/>
      <c r="AT182" s="27"/>
      <c r="AU182" s="27"/>
      <c r="AV182" s="27"/>
      <c r="AW182" s="27">
        <f t="shared" si="27"/>
        <v>1340927.4722222222</v>
      </c>
      <c r="AX182" s="79">
        <f t="shared" si="28"/>
        <v>14598797.166666666</v>
      </c>
      <c r="AY182" s="79">
        <f t="shared" si="29"/>
        <v>33674591.833333336</v>
      </c>
      <c r="AZ182" s="25">
        <v>1</v>
      </c>
      <c r="BA182" s="62" t="s">
        <v>97</v>
      </c>
      <c r="BB182" s="66">
        <v>1</v>
      </c>
      <c r="BC182" s="66"/>
      <c r="BD182" s="66"/>
      <c r="BE182" s="67">
        <f t="shared" si="33"/>
        <v>670463.73611111112</v>
      </c>
      <c r="BF182" s="67">
        <f t="shared" si="26"/>
        <v>0</v>
      </c>
      <c r="BG182" s="67">
        <f t="shared" si="25"/>
        <v>0</v>
      </c>
      <c r="BH182" s="66"/>
      <c r="BI182" s="68" t="s">
        <v>411</v>
      </c>
      <c r="BJ182" s="68" t="s">
        <v>85</v>
      </c>
      <c r="BK182" s="68" t="s">
        <v>85</v>
      </c>
      <c r="BL182" s="29"/>
      <c r="BO182" s="35" t="s">
        <v>1800</v>
      </c>
      <c r="BP182" s="1" t="s">
        <v>1817</v>
      </c>
      <c r="BQ182" s="1" t="e">
        <v>#N/A</v>
      </c>
    </row>
    <row r="183" spans="1:69" ht="15" hidden="1" customHeight="1">
      <c r="A183" s="1" t="s">
        <v>43</v>
      </c>
      <c r="C183" s="1" t="str">
        <f t="shared" si="30"/>
        <v>2512</v>
      </c>
      <c r="D183" s="1" t="str">
        <f t="shared" si="31"/>
        <v>1912</v>
      </c>
      <c r="E183" s="19" t="s">
        <v>48</v>
      </c>
      <c r="F183" s="62" t="s">
        <v>49</v>
      </c>
      <c r="G183" s="62">
        <v>2112</v>
      </c>
      <c r="H183" s="62" t="s">
        <v>597</v>
      </c>
      <c r="I183" s="62" t="s">
        <v>593</v>
      </c>
      <c r="J183" s="118">
        <v>1</v>
      </c>
      <c r="K183" s="119" t="s">
        <v>271</v>
      </c>
      <c r="L183" s="62" t="s">
        <v>77</v>
      </c>
      <c r="M183" s="120" t="s">
        <v>594</v>
      </c>
      <c r="N183" s="65">
        <v>43810</v>
      </c>
      <c r="O183" s="24">
        <v>1910</v>
      </c>
      <c r="P183" s="24">
        <v>23223</v>
      </c>
      <c r="Q183" s="64">
        <v>44355930</v>
      </c>
      <c r="R183" s="64">
        <v>0</v>
      </c>
      <c r="S183" s="64"/>
      <c r="T183" s="64">
        <v>3917458.75</v>
      </c>
      <c r="U183" s="64" t="s">
        <v>595</v>
      </c>
      <c r="V183" s="121">
        <v>48273389</v>
      </c>
      <c r="W183" s="122">
        <v>0</v>
      </c>
      <c r="X183" s="64">
        <v>48273389</v>
      </c>
      <c r="Y183" s="121"/>
      <c r="Z183" s="121"/>
      <c r="AA183" s="121"/>
      <c r="AB183" s="121"/>
      <c r="AC183" s="64">
        <v>48273389</v>
      </c>
      <c r="AD183" s="65">
        <v>43824</v>
      </c>
      <c r="AE183" s="65">
        <v>46014</v>
      </c>
      <c r="AF183" s="62">
        <v>6</v>
      </c>
      <c r="AG183" s="119">
        <v>72</v>
      </c>
      <c r="AH183" s="25">
        <v>670463.73611111112</v>
      </c>
      <c r="AI183" s="78">
        <v>32333664.361111112</v>
      </c>
      <c r="AJ183" s="78">
        <v>15939724.63888889</v>
      </c>
      <c r="AK183" s="27">
        <f t="shared" si="32"/>
        <v>670463.73611111112</v>
      </c>
      <c r="AL183" s="27">
        <f t="shared" si="34"/>
        <v>670463.73611111112</v>
      </c>
      <c r="AM183" s="27"/>
      <c r="AN183" s="27"/>
      <c r="AO183" s="27"/>
      <c r="AP183" s="27"/>
      <c r="AQ183" s="27"/>
      <c r="AR183" s="27"/>
      <c r="AS183" s="27"/>
      <c r="AT183" s="27"/>
      <c r="AU183" s="27"/>
      <c r="AV183" s="27"/>
      <c r="AW183" s="27">
        <f t="shared" si="27"/>
        <v>1340927.4722222222</v>
      </c>
      <c r="AX183" s="79">
        <f t="shared" si="28"/>
        <v>14598797.166666666</v>
      </c>
      <c r="AY183" s="79">
        <f t="shared" si="29"/>
        <v>33674591.833333336</v>
      </c>
      <c r="AZ183" s="25">
        <v>1</v>
      </c>
      <c r="BA183" s="62" t="s">
        <v>97</v>
      </c>
      <c r="BB183" s="66">
        <v>1</v>
      </c>
      <c r="BC183" s="66"/>
      <c r="BD183" s="66"/>
      <c r="BE183" s="67">
        <f t="shared" si="33"/>
        <v>670463.73611111112</v>
      </c>
      <c r="BF183" s="67">
        <f t="shared" si="26"/>
        <v>0</v>
      </c>
      <c r="BG183" s="67">
        <f t="shared" si="25"/>
        <v>0</v>
      </c>
      <c r="BH183" s="66"/>
      <c r="BI183" s="68" t="s">
        <v>411</v>
      </c>
      <c r="BJ183" s="68" t="s">
        <v>85</v>
      </c>
      <c r="BK183" s="68" t="s">
        <v>85</v>
      </c>
      <c r="BL183" s="29"/>
      <c r="BO183" s="35" t="s">
        <v>1800</v>
      </c>
      <c r="BP183" s="1" t="s">
        <v>1817</v>
      </c>
      <c r="BQ183" s="1" t="e">
        <v>#N/A</v>
      </c>
    </row>
    <row r="184" spans="1:69" ht="15" hidden="1" customHeight="1">
      <c r="A184" s="1" t="s">
        <v>43</v>
      </c>
      <c r="C184" s="1" t="str">
        <f t="shared" si="30"/>
        <v>2512</v>
      </c>
      <c r="D184" s="1" t="str">
        <f t="shared" si="31"/>
        <v>1912</v>
      </c>
      <c r="E184" s="19" t="s">
        <v>48</v>
      </c>
      <c r="F184" s="62" t="s">
        <v>49</v>
      </c>
      <c r="G184" s="62">
        <v>2112</v>
      </c>
      <c r="H184" s="62" t="s">
        <v>598</v>
      </c>
      <c r="I184" s="62" t="s">
        <v>593</v>
      </c>
      <c r="J184" s="118">
        <v>1</v>
      </c>
      <c r="K184" s="119" t="s">
        <v>271</v>
      </c>
      <c r="L184" s="62" t="s">
        <v>77</v>
      </c>
      <c r="M184" s="120" t="s">
        <v>594</v>
      </c>
      <c r="N184" s="65">
        <v>43810</v>
      </c>
      <c r="O184" s="24">
        <v>1910</v>
      </c>
      <c r="P184" s="24">
        <v>23223</v>
      </c>
      <c r="Q184" s="64">
        <v>44355930</v>
      </c>
      <c r="R184" s="64">
        <v>0</v>
      </c>
      <c r="S184" s="64"/>
      <c r="T184" s="64">
        <v>3917458.75</v>
      </c>
      <c r="U184" s="64" t="s">
        <v>595</v>
      </c>
      <c r="V184" s="121">
        <v>48273389</v>
      </c>
      <c r="W184" s="122">
        <v>0</v>
      </c>
      <c r="X184" s="64">
        <v>48273389</v>
      </c>
      <c r="Y184" s="121"/>
      <c r="Z184" s="121"/>
      <c r="AA184" s="121"/>
      <c r="AB184" s="121"/>
      <c r="AC184" s="64">
        <v>48273389</v>
      </c>
      <c r="AD184" s="65">
        <v>43824</v>
      </c>
      <c r="AE184" s="65">
        <v>46014</v>
      </c>
      <c r="AF184" s="62">
        <v>6</v>
      </c>
      <c r="AG184" s="119">
        <v>72</v>
      </c>
      <c r="AH184" s="25">
        <v>670463.73611111112</v>
      </c>
      <c r="AI184" s="78">
        <v>32333664.361111112</v>
      </c>
      <c r="AJ184" s="78">
        <v>15939724.63888889</v>
      </c>
      <c r="AK184" s="27">
        <f t="shared" si="32"/>
        <v>670463.73611111112</v>
      </c>
      <c r="AL184" s="27">
        <f t="shared" si="34"/>
        <v>670463.73611111112</v>
      </c>
      <c r="AM184" s="27"/>
      <c r="AN184" s="27"/>
      <c r="AO184" s="27"/>
      <c r="AP184" s="27"/>
      <c r="AQ184" s="27"/>
      <c r="AR184" s="27"/>
      <c r="AS184" s="27"/>
      <c r="AT184" s="27"/>
      <c r="AU184" s="27"/>
      <c r="AV184" s="27"/>
      <c r="AW184" s="27">
        <f t="shared" si="27"/>
        <v>1340927.4722222222</v>
      </c>
      <c r="AX184" s="79">
        <f t="shared" si="28"/>
        <v>14598797.166666666</v>
      </c>
      <c r="AY184" s="79">
        <f t="shared" si="29"/>
        <v>33674591.833333336</v>
      </c>
      <c r="AZ184" s="25">
        <v>1</v>
      </c>
      <c r="BA184" s="62" t="s">
        <v>97</v>
      </c>
      <c r="BB184" s="66">
        <v>1</v>
      </c>
      <c r="BC184" s="66"/>
      <c r="BD184" s="66"/>
      <c r="BE184" s="67">
        <f t="shared" si="33"/>
        <v>670463.73611111112</v>
      </c>
      <c r="BF184" s="67">
        <f t="shared" si="26"/>
        <v>0</v>
      </c>
      <c r="BG184" s="67">
        <f t="shared" si="25"/>
        <v>0</v>
      </c>
      <c r="BH184" s="66"/>
      <c r="BI184" s="68" t="s">
        <v>411</v>
      </c>
      <c r="BJ184" s="68" t="s">
        <v>85</v>
      </c>
      <c r="BK184" s="68" t="s">
        <v>85</v>
      </c>
      <c r="BL184" s="29"/>
      <c r="BO184" s="35" t="s">
        <v>1800</v>
      </c>
      <c r="BP184" s="1" t="s">
        <v>1817</v>
      </c>
      <c r="BQ184" s="1" t="e">
        <v>#N/A</v>
      </c>
    </row>
    <row r="185" spans="1:69" ht="15" hidden="1" customHeight="1">
      <c r="A185" s="1" t="s">
        <v>43</v>
      </c>
      <c r="C185" s="1" t="str">
        <f t="shared" si="30"/>
        <v>2712</v>
      </c>
      <c r="D185" s="1" t="str">
        <f t="shared" si="31"/>
        <v>1912</v>
      </c>
      <c r="E185" s="19" t="s">
        <v>48</v>
      </c>
      <c r="F185" s="62" t="s">
        <v>49</v>
      </c>
      <c r="G185" s="62">
        <v>2114</v>
      </c>
      <c r="H185" s="62" t="s">
        <v>599</v>
      </c>
      <c r="I185" s="62" t="s">
        <v>600</v>
      </c>
      <c r="J185" s="118">
        <v>1</v>
      </c>
      <c r="K185" s="119" t="s">
        <v>271</v>
      </c>
      <c r="L185" s="62" t="s">
        <v>601</v>
      </c>
      <c r="M185" s="120" t="s">
        <v>602</v>
      </c>
      <c r="N185" s="65">
        <v>43812</v>
      </c>
      <c r="O185" s="24">
        <v>2120</v>
      </c>
      <c r="P185" s="24">
        <v>23252</v>
      </c>
      <c r="Q185" s="64">
        <v>49294240</v>
      </c>
      <c r="R185" s="64">
        <v>0</v>
      </c>
      <c r="S185" s="64"/>
      <c r="T185" s="64">
        <v>3041159</v>
      </c>
      <c r="U185" s="64" t="s">
        <v>603</v>
      </c>
      <c r="V185" s="121">
        <v>52335399</v>
      </c>
      <c r="W185" s="122">
        <v>0</v>
      </c>
      <c r="X185" s="64">
        <v>52335399</v>
      </c>
      <c r="Y185" s="121"/>
      <c r="Z185" s="121"/>
      <c r="AA185" s="121"/>
      <c r="AB185" s="121"/>
      <c r="AC185" s="64">
        <v>52335399</v>
      </c>
      <c r="AD185" s="65">
        <v>43824</v>
      </c>
      <c r="AE185" s="65">
        <v>46744</v>
      </c>
      <c r="AF185" s="62">
        <v>8</v>
      </c>
      <c r="AG185" s="119">
        <v>96</v>
      </c>
      <c r="AH185" s="25">
        <v>545160.40625</v>
      </c>
      <c r="AI185" s="78">
        <v>26290785.0625</v>
      </c>
      <c r="AJ185" s="78">
        <v>26044613.9375</v>
      </c>
      <c r="AK185" s="27">
        <f t="shared" si="32"/>
        <v>545160.40625</v>
      </c>
      <c r="AL185" s="27">
        <f t="shared" si="34"/>
        <v>545160.40625</v>
      </c>
      <c r="AM185" s="27"/>
      <c r="AN185" s="27"/>
      <c r="AO185" s="27"/>
      <c r="AP185" s="27"/>
      <c r="AQ185" s="27"/>
      <c r="AR185" s="27"/>
      <c r="AS185" s="27"/>
      <c r="AT185" s="27"/>
      <c r="AU185" s="27"/>
      <c r="AV185" s="27"/>
      <c r="AW185" s="27">
        <f t="shared" si="27"/>
        <v>1090320.8125</v>
      </c>
      <c r="AX185" s="79">
        <f t="shared" si="28"/>
        <v>24954293.125</v>
      </c>
      <c r="AY185" s="79">
        <f t="shared" si="29"/>
        <v>27381105.875</v>
      </c>
      <c r="AZ185" s="25">
        <v>1</v>
      </c>
      <c r="BA185" s="62" t="s">
        <v>79</v>
      </c>
      <c r="BB185" s="66">
        <v>1</v>
      </c>
      <c r="BC185" s="66"/>
      <c r="BD185" s="66"/>
      <c r="BE185" s="67">
        <f t="shared" si="33"/>
        <v>545160.40625</v>
      </c>
      <c r="BF185" s="67">
        <f t="shared" si="26"/>
        <v>0</v>
      </c>
      <c r="BG185" s="67">
        <f t="shared" si="25"/>
        <v>0</v>
      </c>
      <c r="BH185" s="66"/>
      <c r="BI185" s="68" t="s">
        <v>191</v>
      </c>
      <c r="BJ185" s="68" t="s">
        <v>58</v>
      </c>
      <c r="BK185" s="68" t="s">
        <v>59</v>
      </c>
      <c r="BL185" s="29"/>
      <c r="BO185" s="35" t="s">
        <v>1800</v>
      </c>
      <c r="BP185" s="1" t="s">
        <v>1808</v>
      </c>
      <c r="BQ185" s="1" t="e">
        <v>#N/A</v>
      </c>
    </row>
    <row r="186" spans="1:69" ht="15" hidden="1" customHeight="1">
      <c r="A186" s="1" t="s">
        <v>43</v>
      </c>
      <c r="C186" s="1" t="str">
        <f t="shared" si="30"/>
        <v>2712</v>
      </c>
      <c r="D186" s="1" t="str">
        <f t="shared" si="31"/>
        <v>1912</v>
      </c>
      <c r="E186" s="19" t="s">
        <v>48</v>
      </c>
      <c r="F186" s="62" t="s">
        <v>49</v>
      </c>
      <c r="G186" s="62">
        <v>2114</v>
      </c>
      <c r="H186" s="62" t="s">
        <v>604</v>
      </c>
      <c r="I186" s="62" t="s">
        <v>600</v>
      </c>
      <c r="J186" s="118">
        <v>1</v>
      </c>
      <c r="K186" s="119" t="s">
        <v>271</v>
      </c>
      <c r="L186" s="62" t="s">
        <v>601</v>
      </c>
      <c r="M186" s="120" t="s">
        <v>602</v>
      </c>
      <c r="N186" s="65">
        <v>43812</v>
      </c>
      <c r="O186" s="24">
        <v>2120</v>
      </c>
      <c r="P186" s="24">
        <v>23252</v>
      </c>
      <c r="Q186" s="64">
        <v>49294240</v>
      </c>
      <c r="R186" s="64">
        <v>0</v>
      </c>
      <c r="S186" s="64"/>
      <c r="T186" s="64">
        <v>3041159</v>
      </c>
      <c r="U186" s="64" t="s">
        <v>603</v>
      </c>
      <c r="V186" s="121">
        <v>52335399</v>
      </c>
      <c r="W186" s="122">
        <v>0</v>
      </c>
      <c r="X186" s="64">
        <v>52335399</v>
      </c>
      <c r="Y186" s="121"/>
      <c r="Z186" s="121"/>
      <c r="AA186" s="121"/>
      <c r="AB186" s="121"/>
      <c r="AC186" s="64">
        <v>52335399</v>
      </c>
      <c r="AD186" s="65">
        <v>43824</v>
      </c>
      <c r="AE186" s="65">
        <v>46744</v>
      </c>
      <c r="AF186" s="62">
        <v>8</v>
      </c>
      <c r="AG186" s="119">
        <v>96</v>
      </c>
      <c r="AH186" s="25">
        <v>545160.40625</v>
      </c>
      <c r="AI186" s="78">
        <v>26290785.0625</v>
      </c>
      <c r="AJ186" s="78">
        <v>26044613.9375</v>
      </c>
      <c r="AK186" s="27">
        <f t="shared" si="32"/>
        <v>545160.40625</v>
      </c>
      <c r="AL186" s="27">
        <f t="shared" si="34"/>
        <v>545160.40625</v>
      </c>
      <c r="AM186" s="27"/>
      <c r="AN186" s="27"/>
      <c r="AO186" s="27"/>
      <c r="AP186" s="27"/>
      <c r="AQ186" s="27"/>
      <c r="AR186" s="27"/>
      <c r="AS186" s="27"/>
      <c r="AT186" s="27"/>
      <c r="AU186" s="27"/>
      <c r="AV186" s="27"/>
      <c r="AW186" s="27">
        <f t="shared" si="27"/>
        <v>1090320.8125</v>
      </c>
      <c r="AX186" s="79">
        <f t="shared" si="28"/>
        <v>24954293.125</v>
      </c>
      <c r="AY186" s="79">
        <f t="shared" si="29"/>
        <v>27381105.875</v>
      </c>
      <c r="AZ186" s="25">
        <v>1</v>
      </c>
      <c r="BA186" s="62" t="s">
        <v>79</v>
      </c>
      <c r="BB186" s="66">
        <v>1</v>
      </c>
      <c r="BC186" s="66"/>
      <c r="BD186" s="66"/>
      <c r="BE186" s="67">
        <f t="shared" si="33"/>
        <v>545160.40625</v>
      </c>
      <c r="BF186" s="67">
        <f t="shared" si="26"/>
        <v>0</v>
      </c>
      <c r="BG186" s="67">
        <f t="shared" si="25"/>
        <v>0</v>
      </c>
      <c r="BH186" s="66"/>
      <c r="BI186" s="68" t="s">
        <v>344</v>
      </c>
      <c r="BJ186" s="68" t="s">
        <v>58</v>
      </c>
      <c r="BK186" s="68" t="s">
        <v>59</v>
      </c>
      <c r="BL186" s="29"/>
      <c r="BO186" s="35" t="s">
        <v>1800</v>
      </c>
      <c r="BP186" s="1" t="s">
        <v>1806</v>
      </c>
      <c r="BQ186" s="1" t="e">
        <v>#N/A</v>
      </c>
    </row>
    <row r="187" spans="1:69" ht="15" hidden="1" customHeight="1">
      <c r="A187" s="1" t="s">
        <v>43</v>
      </c>
      <c r="C187" s="1" t="str">
        <f t="shared" si="30"/>
        <v>2712</v>
      </c>
      <c r="D187" s="1" t="str">
        <f t="shared" si="31"/>
        <v>1912</v>
      </c>
      <c r="E187" s="19" t="s">
        <v>48</v>
      </c>
      <c r="F187" s="62" t="s">
        <v>49</v>
      </c>
      <c r="G187" s="62">
        <v>2114</v>
      </c>
      <c r="H187" s="62" t="s">
        <v>605</v>
      </c>
      <c r="I187" s="62" t="s">
        <v>600</v>
      </c>
      <c r="J187" s="118">
        <v>1</v>
      </c>
      <c r="K187" s="119" t="s">
        <v>271</v>
      </c>
      <c r="L187" s="62" t="s">
        <v>601</v>
      </c>
      <c r="M187" s="120" t="s">
        <v>602</v>
      </c>
      <c r="N187" s="65">
        <v>43812</v>
      </c>
      <c r="O187" s="24">
        <v>2120</v>
      </c>
      <c r="P187" s="24">
        <v>23252</v>
      </c>
      <c r="Q187" s="64">
        <v>49294240</v>
      </c>
      <c r="R187" s="64">
        <v>0</v>
      </c>
      <c r="S187" s="64"/>
      <c r="T187" s="64">
        <v>3041159</v>
      </c>
      <c r="U187" s="64" t="s">
        <v>603</v>
      </c>
      <c r="V187" s="121">
        <v>52335399</v>
      </c>
      <c r="W187" s="122">
        <v>0</v>
      </c>
      <c r="X187" s="64">
        <v>52335399</v>
      </c>
      <c r="Y187" s="121"/>
      <c r="Z187" s="121"/>
      <c r="AA187" s="121"/>
      <c r="AB187" s="121"/>
      <c r="AC187" s="64">
        <v>52335399</v>
      </c>
      <c r="AD187" s="65">
        <v>43824</v>
      </c>
      <c r="AE187" s="65">
        <v>46744</v>
      </c>
      <c r="AF187" s="62">
        <v>8</v>
      </c>
      <c r="AG187" s="119">
        <v>96</v>
      </c>
      <c r="AH187" s="25">
        <v>545160.40625</v>
      </c>
      <c r="AI187" s="78">
        <v>26290785.0625</v>
      </c>
      <c r="AJ187" s="78">
        <v>26044613.9375</v>
      </c>
      <c r="AK187" s="27">
        <f t="shared" si="32"/>
        <v>545160.40625</v>
      </c>
      <c r="AL187" s="27">
        <f t="shared" si="34"/>
        <v>545160.40625</v>
      </c>
      <c r="AM187" s="27"/>
      <c r="AN187" s="27"/>
      <c r="AO187" s="27"/>
      <c r="AP187" s="27"/>
      <c r="AQ187" s="27"/>
      <c r="AR187" s="27"/>
      <c r="AS187" s="27"/>
      <c r="AT187" s="27"/>
      <c r="AU187" s="27"/>
      <c r="AV187" s="27"/>
      <c r="AW187" s="27">
        <f t="shared" si="27"/>
        <v>1090320.8125</v>
      </c>
      <c r="AX187" s="79">
        <f t="shared" si="28"/>
        <v>24954293.125</v>
      </c>
      <c r="AY187" s="79">
        <f t="shared" si="29"/>
        <v>27381105.875</v>
      </c>
      <c r="AZ187" s="25">
        <v>1</v>
      </c>
      <c r="BA187" s="62" t="s">
        <v>79</v>
      </c>
      <c r="BB187" s="66">
        <v>1</v>
      </c>
      <c r="BC187" s="66"/>
      <c r="BD187" s="66"/>
      <c r="BE187" s="67">
        <f t="shared" si="33"/>
        <v>545160.40625</v>
      </c>
      <c r="BF187" s="67">
        <f t="shared" si="26"/>
        <v>0</v>
      </c>
      <c r="BG187" s="67">
        <f t="shared" si="25"/>
        <v>0</v>
      </c>
      <c r="BH187" s="66"/>
      <c r="BI187" s="68" t="s">
        <v>420</v>
      </c>
      <c r="BJ187" s="68" t="s">
        <v>58</v>
      </c>
      <c r="BK187" s="68" t="s">
        <v>59</v>
      </c>
      <c r="BL187" s="29"/>
      <c r="BO187" s="35" t="s">
        <v>1800</v>
      </c>
      <c r="BP187" s="1" t="s">
        <v>1818</v>
      </c>
      <c r="BQ187" s="1" t="e">
        <v>#N/A</v>
      </c>
    </row>
    <row r="188" spans="1:69" ht="15" hidden="1" customHeight="1">
      <c r="A188" s="1" t="s">
        <v>43</v>
      </c>
      <c r="C188" s="1" t="str">
        <f t="shared" si="30"/>
        <v>2712</v>
      </c>
      <c r="D188" s="1" t="str">
        <f t="shared" si="31"/>
        <v>1912</v>
      </c>
      <c r="E188" s="19" t="s">
        <v>48</v>
      </c>
      <c r="F188" s="62" t="s">
        <v>49</v>
      </c>
      <c r="G188" s="62">
        <v>2112</v>
      </c>
      <c r="H188" s="62" t="s">
        <v>606</v>
      </c>
      <c r="I188" s="62" t="s">
        <v>607</v>
      </c>
      <c r="J188" s="118">
        <v>1</v>
      </c>
      <c r="K188" s="119" t="s">
        <v>271</v>
      </c>
      <c r="L188" s="19" t="s">
        <v>608</v>
      </c>
      <c r="M188" s="120" t="s">
        <v>609</v>
      </c>
      <c r="N188" s="65">
        <v>43822</v>
      </c>
      <c r="O188" s="24">
        <v>6000</v>
      </c>
      <c r="P188" s="24">
        <v>23232</v>
      </c>
      <c r="Q188" s="64">
        <v>139392000</v>
      </c>
      <c r="R188" s="64">
        <v>13866000</v>
      </c>
      <c r="S188" s="64"/>
      <c r="T188" s="64">
        <v>700000</v>
      </c>
      <c r="U188" s="64" t="s">
        <v>610</v>
      </c>
      <c r="V188" s="121">
        <v>153958000</v>
      </c>
      <c r="W188" s="122">
        <v>0</v>
      </c>
      <c r="X188" s="64">
        <v>153958000</v>
      </c>
      <c r="Y188" s="121"/>
      <c r="Z188" s="121"/>
      <c r="AA188" s="121"/>
      <c r="AB188" s="121"/>
      <c r="AC188" s="64">
        <v>153958000</v>
      </c>
      <c r="AD188" s="65">
        <v>43824</v>
      </c>
      <c r="AE188" s="65">
        <v>46744</v>
      </c>
      <c r="AF188" s="62">
        <v>8</v>
      </c>
      <c r="AG188" s="119">
        <v>96</v>
      </c>
      <c r="AH188" s="25">
        <v>1603729.1666666667</v>
      </c>
      <c r="AI188" s="78">
        <v>77341125.666666672</v>
      </c>
      <c r="AJ188" s="78">
        <v>76616874.333333328</v>
      </c>
      <c r="AK188" s="27">
        <f t="shared" si="32"/>
        <v>1603729.1666666667</v>
      </c>
      <c r="AL188" s="27">
        <f t="shared" si="34"/>
        <v>1603729.1666666667</v>
      </c>
      <c r="AM188" s="27"/>
      <c r="AN188" s="27"/>
      <c r="AO188" s="27"/>
      <c r="AP188" s="27"/>
      <c r="AQ188" s="27"/>
      <c r="AR188" s="27"/>
      <c r="AS188" s="27"/>
      <c r="AT188" s="27"/>
      <c r="AU188" s="27"/>
      <c r="AV188" s="27"/>
      <c r="AW188" s="27">
        <f t="shared" si="27"/>
        <v>3207458.3333333335</v>
      </c>
      <c r="AX188" s="79">
        <f t="shared" si="28"/>
        <v>73409416</v>
      </c>
      <c r="AY188" s="79">
        <f t="shared" si="29"/>
        <v>80548584</v>
      </c>
      <c r="AZ188" s="25">
        <v>1</v>
      </c>
      <c r="BA188" s="62" t="s">
        <v>97</v>
      </c>
      <c r="BB188" s="66">
        <v>1</v>
      </c>
      <c r="BC188" s="66"/>
      <c r="BD188" s="66"/>
      <c r="BE188" s="67">
        <f t="shared" si="33"/>
        <v>1603729.1666666667</v>
      </c>
      <c r="BF188" s="67">
        <f t="shared" si="26"/>
        <v>0</v>
      </c>
      <c r="BG188" s="67">
        <f t="shared" si="25"/>
        <v>0</v>
      </c>
      <c r="BH188" s="66"/>
      <c r="BI188" s="68" t="s">
        <v>84</v>
      </c>
      <c r="BJ188" s="68" t="s">
        <v>58</v>
      </c>
      <c r="BK188" s="68" t="s">
        <v>159</v>
      </c>
      <c r="BL188" s="29"/>
      <c r="BO188" s="35" t="s">
        <v>1801</v>
      </c>
      <c r="BQ188" s="1" t="e">
        <v>#N/A</v>
      </c>
    </row>
    <row r="189" spans="1:69" ht="15" hidden="1" customHeight="1">
      <c r="A189" s="1" t="s">
        <v>43</v>
      </c>
      <c r="C189" s="1" t="str">
        <f t="shared" si="30"/>
        <v>2712</v>
      </c>
      <c r="D189" s="1" t="str">
        <f t="shared" si="31"/>
        <v>1912</v>
      </c>
      <c r="E189" s="19" t="s">
        <v>48</v>
      </c>
      <c r="F189" s="62" t="s">
        <v>49</v>
      </c>
      <c r="G189" s="62">
        <v>2112</v>
      </c>
      <c r="H189" s="62" t="s">
        <v>611</v>
      </c>
      <c r="I189" s="62" t="s">
        <v>612</v>
      </c>
      <c r="J189" s="118">
        <v>1</v>
      </c>
      <c r="K189" s="119" t="s">
        <v>271</v>
      </c>
      <c r="L189" s="19" t="s">
        <v>608</v>
      </c>
      <c r="M189" s="120" t="s">
        <v>609</v>
      </c>
      <c r="N189" s="65">
        <v>43822</v>
      </c>
      <c r="O189" s="24">
        <v>6000</v>
      </c>
      <c r="P189" s="24">
        <v>23232</v>
      </c>
      <c r="Q189" s="64">
        <v>139392000</v>
      </c>
      <c r="R189" s="64">
        <v>0</v>
      </c>
      <c r="S189" s="64"/>
      <c r="T189" s="64">
        <v>700000</v>
      </c>
      <c r="U189" s="64" t="s">
        <v>610</v>
      </c>
      <c r="V189" s="121">
        <v>140092000</v>
      </c>
      <c r="W189" s="122">
        <v>0</v>
      </c>
      <c r="X189" s="64">
        <v>140092000</v>
      </c>
      <c r="Y189" s="121"/>
      <c r="Z189" s="121"/>
      <c r="AA189" s="121"/>
      <c r="AB189" s="121"/>
      <c r="AC189" s="64">
        <v>140092000</v>
      </c>
      <c r="AD189" s="65">
        <v>43824</v>
      </c>
      <c r="AE189" s="65">
        <v>46744</v>
      </c>
      <c r="AF189" s="62">
        <v>8</v>
      </c>
      <c r="AG189" s="119">
        <v>96</v>
      </c>
      <c r="AH189" s="25">
        <v>1459291.6666666667</v>
      </c>
      <c r="AI189" s="78">
        <v>70375530.666666657</v>
      </c>
      <c r="AJ189" s="78">
        <v>69716469.333333343</v>
      </c>
      <c r="AK189" s="27">
        <f t="shared" si="32"/>
        <v>1459291.6666666667</v>
      </c>
      <c r="AL189" s="27">
        <f t="shared" si="34"/>
        <v>1459291.6666666667</v>
      </c>
      <c r="AM189" s="27"/>
      <c r="AN189" s="27"/>
      <c r="AO189" s="27"/>
      <c r="AP189" s="27"/>
      <c r="AQ189" s="27"/>
      <c r="AR189" s="27"/>
      <c r="AS189" s="27"/>
      <c r="AT189" s="27"/>
      <c r="AU189" s="27"/>
      <c r="AV189" s="27"/>
      <c r="AW189" s="27">
        <f t="shared" si="27"/>
        <v>2918583.3333333335</v>
      </c>
      <c r="AX189" s="79">
        <f t="shared" si="28"/>
        <v>66797886.000000007</v>
      </c>
      <c r="AY189" s="79">
        <f t="shared" si="29"/>
        <v>73294113.999999985</v>
      </c>
      <c r="AZ189" s="25">
        <v>1</v>
      </c>
      <c r="BA189" s="62" t="s">
        <v>97</v>
      </c>
      <c r="BB189" s="66">
        <v>1</v>
      </c>
      <c r="BC189" s="66"/>
      <c r="BD189" s="66"/>
      <c r="BE189" s="67">
        <f t="shared" si="33"/>
        <v>1459291.6666666667</v>
      </c>
      <c r="BF189" s="67">
        <f t="shared" si="26"/>
        <v>0</v>
      </c>
      <c r="BG189" s="67">
        <f t="shared" si="25"/>
        <v>0</v>
      </c>
      <c r="BH189" s="66"/>
      <c r="BI189" s="68" t="s">
        <v>84</v>
      </c>
      <c r="BJ189" s="68" t="s">
        <v>58</v>
      </c>
      <c r="BK189" s="68" t="s">
        <v>159</v>
      </c>
      <c r="BL189" s="29"/>
      <c r="BO189" s="35" t="s">
        <v>1801</v>
      </c>
      <c r="BQ189" s="1" t="e">
        <v>#N/A</v>
      </c>
    </row>
    <row r="190" spans="1:69" ht="15" hidden="1" customHeight="1">
      <c r="A190" s="1" t="s">
        <v>43</v>
      </c>
      <c r="C190" s="134">
        <v>2304</v>
      </c>
      <c r="D190" s="1" t="str">
        <f t="shared" si="31"/>
        <v>2002</v>
      </c>
      <c r="E190" s="19" t="s">
        <v>48</v>
      </c>
      <c r="F190" s="62" t="s">
        <v>49</v>
      </c>
      <c r="G190" s="62">
        <v>2112</v>
      </c>
      <c r="H190" s="62" t="s">
        <v>613</v>
      </c>
      <c r="I190" s="62" t="s">
        <v>614</v>
      </c>
      <c r="J190" s="118">
        <v>1</v>
      </c>
      <c r="K190" s="119" t="s">
        <v>271</v>
      </c>
      <c r="L190" s="62" t="s">
        <v>77</v>
      </c>
      <c r="M190" s="120" t="s">
        <v>615</v>
      </c>
      <c r="N190" s="65">
        <v>43833</v>
      </c>
      <c r="O190" s="24">
        <v>6670</v>
      </c>
      <c r="P190" s="24">
        <v>23229</v>
      </c>
      <c r="Q190" s="64">
        <v>154937430</v>
      </c>
      <c r="R190" s="64">
        <v>0</v>
      </c>
      <c r="S190" s="64"/>
      <c r="T190" s="130">
        <v>558422.995</v>
      </c>
      <c r="U190" s="64" t="s">
        <v>616</v>
      </c>
      <c r="V190" s="121">
        <v>155495853</v>
      </c>
      <c r="W190" s="122">
        <v>0</v>
      </c>
      <c r="X190" s="64">
        <v>155495853</v>
      </c>
      <c r="Y190" s="121">
        <f>-X190</f>
        <v>-155495853</v>
      </c>
      <c r="Z190" s="121">
        <v>1</v>
      </c>
      <c r="AA190" s="127">
        <v>44994</v>
      </c>
      <c r="AB190" s="121" t="s">
        <v>1883</v>
      </c>
      <c r="AC190" s="64">
        <v>0</v>
      </c>
      <c r="AD190" s="65">
        <v>43886</v>
      </c>
      <c r="AE190" s="65">
        <v>47536</v>
      </c>
      <c r="AF190" s="62">
        <v>10</v>
      </c>
      <c r="AG190" s="119">
        <v>120</v>
      </c>
      <c r="AH190" s="25">
        <v>1295798.7749999999</v>
      </c>
      <c r="AI190" s="78">
        <v>0</v>
      </c>
      <c r="AJ190" s="78">
        <v>0</v>
      </c>
      <c r="AK190" s="27">
        <f t="shared" si="32"/>
        <v>0</v>
      </c>
      <c r="AL190" s="27">
        <f t="shared" si="34"/>
        <v>0</v>
      </c>
      <c r="AM190" s="27"/>
      <c r="AN190" s="27"/>
      <c r="AO190" s="27"/>
      <c r="AP190" s="27"/>
      <c r="AQ190" s="27"/>
      <c r="AR190" s="27"/>
      <c r="AS190" s="27"/>
      <c r="AT190" s="27"/>
      <c r="AU190" s="27"/>
      <c r="AV190" s="27"/>
      <c r="AW190" s="27">
        <f>+SUM(AK190:AV190)</f>
        <v>0</v>
      </c>
      <c r="AX190" s="79">
        <v>0</v>
      </c>
      <c r="AY190" s="79">
        <v>0</v>
      </c>
      <c r="AZ190" s="25">
        <f>+Z190-J190</f>
        <v>0</v>
      </c>
      <c r="BA190" s="62" t="s">
        <v>97</v>
      </c>
      <c r="BB190" s="66">
        <v>1</v>
      </c>
      <c r="BC190" s="66"/>
      <c r="BD190" s="66"/>
      <c r="BE190" s="67">
        <f t="shared" si="33"/>
        <v>0</v>
      </c>
      <c r="BF190" s="67">
        <f t="shared" si="26"/>
        <v>0</v>
      </c>
      <c r="BG190" s="67">
        <f t="shared" si="25"/>
        <v>0</v>
      </c>
      <c r="BH190" s="66"/>
      <c r="BI190" s="68" t="s">
        <v>84</v>
      </c>
      <c r="BJ190" s="68" t="s">
        <v>58</v>
      </c>
      <c r="BK190" s="68" t="s">
        <v>159</v>
      </c>
      <c r="BL190" s="29"/>
      <c r="BQ190" s="1" t="e">
        <v>#N/A</v>
      </c>
    </row>
    <row r="191" spans="1:69" ht="15" hidden="1" customHeight="1">
      <c r="A191" s="1" t="s">
        <v>43</v>
      </c>
      <c r="C191" s="1" t="str">
        <f t="shared" si="30"/>
        <v>2701</v>
      </c>
      <c r="D191" s="1" t="str">
        <f t="shared" si="31"/>
        <v>2001</v>
      </c>
      <c r="E191" s="19" t="s">
        <v>48</v>
      </c>
      <c r="F191" s="62" t="s">
        <v>394</v>
      </c>
      <c r="G191" s="62">
        <v>2112</v>
      </c>
      <c r="H191" s="62" t="s">
        <v>617</v>
      </c>
      <c r="I191" s="62" t="s">
        <v>618</v>
      </c>
      <c r="J191" s="118">
        <v>1</v>
      </c>
      <c r="K191" s="119" t="s">
        <v>619</v>
      </c>
      <c r="L191" s="62" t="s">
        <v>77</v>
      </c>
      <c r="M191" s="120" t="s">
        <v>620</v>
      </c>
      <c r="N191" s="65">
        <v>43839</v>
      </c>
      <c r="O191" s="24">
        <v>128000</v>
      </c>
      <c r="P191" s="24">
        <v>23230</v>
      </c>
      <c r="Q191" s="64">
        <v>2973440000</v>
      </c>
      <c r="R191" s="64">
        <v>0</v>
      </c>
      <c r="S191" s="64"/>
      <c r="T191" s="130">
        <v>41443318</v>
      </c>
      <c r="U191" s="64" t="s">
        <v>621</v>
      </c>
      <c r="V191" s="121">
        <v>3014883318</v>
      </c>
      <c r="W191" s="122">
        <v>0</v>
      </c>
      <c r="X191" s="64">
        <v>3014883318</v>
      </c>
      <c r="Y191" s="121"/>
      <c r="Z191" s="121"/>
      <c r="AA191" s="121"/>
      <c r="AB191" s="121"/>
      <c r="AC191" s="64">
        <v>3014883318</v>
      </c>
      <c r="AD191" s="65">
        <v>43850</v>
      </c>
      <c r="AE191" s="65">
        <v>46405</v>
      </c>
      <c r="AF191" s="62">
        <v>7</v>
      </c>
      <c r="AG191" s="119">
        <v>84</v>
      </c>
      <c r="AH191" s="25">
        <v>35891468.071428575</v>
      </c>
      <c r="AI191" s="78">
        <v>1700792467.7142859</v>
      </c>
      <c r="AJ191" s="78">
        <v>1314090850.2857141</v>
      </c>
      <c r="AK191" s="27">
        <f t="shared" si="32"/>
        <v>35891468.071428575</v>
      </c>
      <c r="AL191" s="27">
        <f t="shared" si="34"/>
        <v>35891468.071428575</v>
      </c>
      <c r="AM191" s="27"/>
      <c r="AN191" s="27"/>
      <c r="AO191" s="27"/>
      <c r="AP191" s="27"/>
      <c r="AQ191" s="27"/>
      <c r="AR191" s="27"/>
      <c r="AS191" s="27"/>
      <c r="AT191" s="27"/>
      <c r="AU191" s="27"/>
      <c r="AV191" s="27"/>
      <c r="AW191" s="27">
        <f t="shared" si="27"/>
        <v>71782936.142857149</v>
      </c>
      <c r="AX191" s="79">
        <f t="shared" si="28"/>
        <v>1242307914.1428571</v>
      </c>
      <c r="AY191" s="79">
        <f t="shared" si="29"/>
        <v>1772575403.8571429</v>
      </c>
      <c r="AZ191" s="25">
        <v>1</v>
      </c>
      <c r="BA191" s="62" t="s">
        <v>97</v>
      </c>
      <c r="BB191" s="66">
        <v>1</v>
      </c>
      <c r="BC191" s="66"/>
      <c r="BD191" s="66"/>
      <c r="BE191" s="67">
        <f t="shared" si="33"/>
        <v>35891468.071428575</v>
      </c>
      <c r="BF191" s="67">
        <f t="shared" si="26"/>
        <v>0</v>
      </c>
      <c r="BG191" s="67">
        <f t="shared" si="25"/>
        <v>0</v>
      </c>
      <c r="BH191" s="66"/>
      <c r="BI191" s="68" t="s">
        <v>622</v>
      </c>
      <c r="BJ191" s="68" t="s">
        <v>623</v>
      </c>
      <c r="BK191" s="68" t="s">
        <v>624</v>
      </c>
      <c r="BL191" s="29"/>
      <c r="BO191" s="35" t="s">
        <v>1800</v>
      </c>
      <c r="BP191" s="1" t="s">
        <v>1814</v>
      </c>
      <c r="BQ191" s="1" t="e">
        <v>#N/A</v>
      </c>
    </row>
    <row r="192" spans="1:69" ht="15" hidden="1" customHeight="1">
      <c r="A192" s="1" t="s">
        <v>43</v>
      </c>
      <c r="C192" s="1" t="str">
        <f t="shared" si="30"/>
        <v>2802</v>
      </c>
      <c r="D192" s="1" t="str">
        <f t="shared" si="31"/>
        <v>2002</v>
      </c>
      <c r="E192" s="19" t="s">
        <v>48</v>
      </c>
      <c r="F192" s="62" t="s">
        <v>49</v>
      </c>
      <c r="G192" s="62">
        <v>2114</v>
      </c>
      <c r="H192" s="62" t="s">
        <v>625</v>
      </c>
      <c r="I192" s="62" t="s">
        <v>626</v>
      </c>
      <c r="J192" s="118">
        <v>1</v>
      </c>
      <c r="K192" s="119" t="s">
        <v>271</v>
      </c>
      <c r="L192" s="62" t="s">
        <v>601</v>
      </c>
      <c r="M192" s="120" t="s">
        <v>627</v>
      </c>
      <c r="N192" s="65">
        <v>43864</v>
      </c>
      <c r="O192" s="24">
        <v>2050</v>
      </c>
      <c r="P192" s="24">
        <v>23308</v>
      </c>
      <c r="Q192" s="64">
        <v>47781400</v>
      </c>
      <c r="R192" s="64">
        <v>0</v>
      </c>
      <c r="S192" s="64"/>
      <c r="T192" s="64">
        <v>1876191.7142857143</v>
      </c>
      <c r="U192" s="64" t="s">
        <v>628</v>
      </c>
      <c r="V192" s="121">
        <v>49657592</v>
      </c>
      <c r="W192" s="122">
        <v>0</v>
      </c>
      <c r="X192" s="64">
        <v>49657592</v>
      </c>
      <c r="Y192" s="121"/>
      <c r="Z192" s="121"/>
      <c r="AA192" s="121"/>
      <c r="AB192" s="121"/>
      <c r="AC192" s="64">
        <v>49657592</v>
      </c>
      <c r="AD192" s="65">
        <v>43864</v>
      </c>
      <c r="AE192" s="65">
        <v>46784</v>
      </c>
      <c r="AF192" s="62">
        <v>8</v>
      </c>
      <c r="AG192" s="119">
        <v>96</v>
      </c>
      <c r="AH192" s="25">
        <v>517266.58333333331</v>
      </c>
      <c r="AI192" s="78">
        <v>24275870.833333332</v>
      </c>
      <c r="AJ192" s="78">
        <v>25381721.166666668</v>
      </c>
      <c r="AK192" s="27">
        <f t="shared" si="32"/>
        <v>517266.58333333331</v>
      </c>
      <c r="AL192" s="27">
        <f t="shared" si="34"/>
        <v>517266.58333333331</v>
      </c>
      <c r="AM192" s="27"/>
      <c r="AN192" s="27"/>
      <c r="AO192" s="27"/>
      <c r="AP192" s="27"/>
      <c r="AQ192" s="27"/>
      <c r="AR192" s="27"/>
      <c r="AS192" s="27"/>
      <c r="AT192" s="27"/>
      <c r="AU192" s="27"/>
      <c r="AV192" s="27"/>
      <c r="AW192" s="27">
        <f t="shared" si="27"/>
        <v>1034533.1666666666</v>
      </c>
      <c r="AX192" s="79">
        <f t="shared" si="28"/>
        <v>24347188</v>
      </c>
      <c r="AY192" s="79">
        <f t="shared" si="29"/>
        <v>25310404</v>
      </c>
      <c r="AZ192" s="25">
        <v>1</v>
      </c>
      <c r="BA192" s="62" t="s">
        <v>79</v>
      </c>
      <c r="BB192" s="66">
        <v>1</v>
      </c>
      <c r="BC192" s="66"/>
      <c r="BD192" s="66"/>
      <c r="BE192" s="67">
        <f t="shared" si="33"/>
        <v>517266.58333333331</v>
      </c>
      <c r="BF192" s="67">
        <f t="shared" si="26"/>
        <v>0</v>
      </c>
      <c r="BG192" s="67">
        <f t="shared" si="25"/>
        <v>0</v>
      </c>
      <c r="BH192" s="66"/>
      <c r="BI192" s="68" t="s">
        <v>477</v>
      </c>
      <c r="BJ192" s="68" t="s">
        <v>58</v>
      </c>
      <c r="BK192" s="68" t="s">
        <v>59</v>
      </c>
      <c r="BL192" s="29"/>
      <c r="BO192" s="35" t="s">
        <v>1800</v>
      </c>
      <c r="BP192" s="1" t="s">
        <v>1809</v>
      </c>
      <c r="BQ192" s="1" t="e">
        <v>#N/A</v>
      </c>
    </row>
    <row r="193" spans="1:69" ht="15" hidden="1" customHeight="1">
      <c r="A193" s="1" t="s">
        <v>43</v>
      </c>
      <c r="C193" s="1" t="str">
        <f t="shared" si="30"/>
        <v>2802</v>
      </c>
      <c r="D193" s="1" t="str">
        <f t="shared" si="31"/>
        <v>2002</v>
      </c>
      <c r="E193" s="19" t="s">
        <v>48</v>
      </c>
      <c r="F193" s="62" t="s">
        <v>49</v>
      </c>
      <c r="G193" s="62">
        <v>2114</v>
      </c>
      <c r="H193" s="62" t="s">
        <v>629</v>
      </c>
      <c r="I193" s="62" t="s">
        <v>626</v>
      </c>
      <c r="J193" s="118">
        <v>1</v>
      </c>
      <c r="K193" s="119" t="s">
        <v>271</v>
      </c>
      <c r="L193" s="62" t="s">
        <v>601</v>
      </c>
      <c r="M193" s="120" t="s">
        <v>627</v>
      </c>
      <c r="N193" s="65">
        <v>43864</v>
      </c>
      <c r="O193" s="24">
        <v>2050</v>
      </c>
      <c r="P193" s="24">
        <v>23308</v>
      </c>
      <c r="Q193" s="64">
        <v>47781400</v>
      </c>
      <c r="R193" s="64">
        <v>0</v>
      </c>
      <c r="S193" s="64"/>
      <c r="T193" s="64">
        <v>1876191.7142857143</v>
      </c>
      <c r="U193" s="64" t="s">
        <v>628</v>
      </c>
      <c r="V193" s="121">
        <v>49657592</v>
      </c>
      <c r="W193" s="122">
        <v>0</v>
      </c>
      <c r="X193" s="64">
        <v>49657592</v>
      </c>
      <c r="Y193" s="121"/>
      <c r="Z193" s="121"/>
      <c r="AA193" s="121"/>
      <c r="AB193" s="121"/>
      <c r="AC193" s="64">
        <v>49657592</v>
      </c>
      <c r="AD193" s="65">
        <v>43864</v>
      </c>
      <c r="AE193" s="65">
        <v>46784</v>
      </c>
      <c r="AF193" s="62">
        <v>8</v>
      </c>
      <c r="AG193" s="119">
        <v>96</v>
      </c>
      <c r="AH193" s="25">
        <v>517266.58333333331</v>
      </c>
      <c r="AI193" s="78">
        <v>24275870.833333332</v>
      </c>
      <c r="AJ193" s="78">
        <v>25381721.166666668</v>
      </c>
      <c r="AK193" s="27">
        <f t="shared" si="32"/>
        <v>517266.58333333331</v>
      </c>
      <c r="AL193" s="27">
        <f t="shared" si="34"/>
        <v>517266.58333333331</v>
      </c>
      <c r="AM193" s="27"/>
      <c r="AN193" s="27"/>
      <c r="AO193" s="27"/>
      <c r="AP193" s="27"/>
      <c r="AQ193" s="27"/>
      <c r="AR193" s="27"/>
      <c r="AS193" s="27"/>
      <c r="AT193" s="27"/>
      <c r="AU193" s="27"/>
      <c r="AV193" s="27"/>
      <c r="AW193" s="27">
        <f t="shared" si="27"/>
        <v>1034533.1666666666</v>
      </c>
      <c r="AX193" s="79">
        <f t="shared" si="28"/>
        <v>24347188</v>
      </c>
      <c r="AY193" s="79">
        <f t="shared" si="29"/>
        <v>25310404</v>
      </c>
      <c r="AZ193" s="25">
        <v>1</v>
      </c>
      <c r="BA193" s="62" t="s">
        <v>79</v>
      </c>
      <c r="BB193" s="66">
        <v>1</v>
      </c>
      <c r="BC193" s="66"/>
      <c r="BD193" s="66"/>
      <c r="BE193" s="67">
        <f t="shared" si="33"/>
        <v>517266.58333333331</v>
      </c>
      <c r="BF193" s="67">
        <f t="shared" si="26"/>
        <v>0</v>
      </c>
      <c r="BG193" s="67">
        <f t="shared" si="25"/>
        <v>0</v>
      </c>
      <c r="BH193" s="66"/>
      <c r="BI193" s="68" t="s">
        <v>480</v>
      </c>
      <c r="BJ193" s="68" t="s">
        <v>58</v>
      </c>
      <c r="BK193" s="68" t="s">
        <v>59</v>
      </c>
      <c r="BL193" s="29"/>
      <c r="BO193" s="35" t="s">
        <v>1800</v>
      </c>
      <c r="BP193" s="1" t="s">
        <v>1811</v>
      </c>
      <c r="BQ193" s="1" t="e">
        <v>#N/A</v>
      </c>
    </row>
    <row r="194" spans="1:69" ht="15" hidden="1" customHeight="1">
      <c r="A194" s="1" t="s">
        <v>43</v>
      </c>
      <c r="C194" s="1" t="str">
        <f t="shared" si="30"/>
        <v>2802</v>
      </c>
      <c r="D194" s="1" t="str">
        <f t="shared" si="31"/>
        <v>2002</v>
      </c>
      <c r="E194" s="19" t="s">
        <v>48</v>
      </c>
      <c r="F194" s="62" t="s">
        <v>49</v>
      </c>
      <c r="G194" s="62">
        <v>2114</v>
      </c>
      <c r="H194" s="62" t="s">
        <v>630</v>
      </c>
      <c r="I194" s="62" t="s">
        <v>626</v>
      </c>
      <c r="J194" s="118">
        <v>1</v>
      </c>
      <c r="K194" s="119" t="s">
        <v>271</v>
      </c>
      <c r="L194" s="62" t="s">
        <v>601</v>
      </c>
      <c r="M194" s="120" t="s">
        <v>627</v>
      </c>
      <c r="N194" s="65">
        <v>43864</v>
      </c>
      <c r="O194" s="24">
        <v>2050</v>
      </c>
      <c r="P194" s="24">
        <v>23308</v>
      </c>
      <c r="Q194" s="64">
        <v>47781400</v>
      </c>
      <c r="R194" s="64">
        <v>0</v>
      </c>
      <c r="S194" s="64"/>
      <c r="T194" s="64">
        <v>1876191.7142857143</v>
      </c>
      <c r="U194" s="64" t="s">
        <v>628</v>
      </c>
      <c r="V194" s="121">
        <v>49657592</v>
      </c>
      <c r="W194" s="122">
        <v>0</v>
      </c>
      <c r="X194" s="64">
        <v>49657592</v>
      </c>
      <c r="Y194" s="121"/>
      <c r="Z194" s="121"/>
      <c r="AA194" s="121"/>
      <c r="AB194" s="121"/>
      <c r="AC194" s="64">
        <v>49657592</v>
      </c>
      <c r="AD194" s="65">
        <v>43864</v>
      </c>
      <c r="AE194" s="65">
        <v>46784</v>
      </c>
      <c r="AF194" s="62">
        <v>8</v>
      </c>
      <c r="AG194" s="119">
        <v>96</v>
      </c>
      <c r="AH194" s="25">
        <v>517266.58333333331</v>
      </c>
      <c r="AI194" s="78">
        <v>24275870.833333332</v>
      </c>
      <c r="AJ194" s="78">
        <v>25381721.166666668</v>
      </c>
      <c r="AK194" s="27">
        <f t="shared" si="32"/>
        <v>517266.58333333331</v>
      </c>
      <c r="AL194" s="27">
        <f t="shared" si="34"/>
        <v>517266.58333333331</v>
      </c>
      <c r="AM194" s="27"/>
      <c r="AN194" s="27"/>
      <c r="AO194" s="27"/>
      <c r="AP194" s="27"/>
      <c r="AQ194" s="27"/>
      <c r="AR194" s="27"/>
      <c r="AS194" s="27"/>
      <c r="AT194" s="27"/>
      <c r="AU194" s="27"/>
      <c r="AV194" s="27"/>
      <c r="AW194" s="27">
        <f t="shared" si="27"/>
        <v>1034533.1666666666</v>
      </c>
      <c r="AX194" s="79">
        <f t="shared" si="28"/>
        <v>24347188</v>
      </c>
      <c r="AY194" s="79">
        <f t="shared" si="29"/>
        <v>25310404</v>
      </c>
      <c r="AZ194" s="25">
        <v>1</v>
      </c>
      <c r="BA194" s="62" t="s">
        <v>79</v>
      </c>
      <c r="BB194" s="66">
        <v>1</v>
      </c>
      <c r="BC194" s="66"/>
      <c r="BD194" s="66"/>
      <c r="BE194" s="67">
        <f t="shared" si="33"/>
        <v>517266.58333333331</v>
      </c>
      <c r="BF194" s="67">
        <f t="shared" si="26"/>
        <v>0</v>
      </c>
      <c r="BG194" s="67">
        <f t="shared" si="25"/>
        <v>0</v>
      </c>
      <c r="BH194" s="66"/>
      <c r="BI194" s="68" t="s">
        <v>498</v>
      </c>
      <c r="BJ194" s="68" t="s">
        <v>58</v>
      </c>
      <c r="BK194" s="68" t="s">
        <v>59</v>
      </c>
      <c r="BL194" s="29"/>
      <c r="BO194" s="35" t="s">
        <v>1800</v>
      </c>
      <c r="BP194" s="1" t="s">
        <v>1815</v>
      </c>
      <c r="BQ194" s="1" t="e">
        <v>#N/A</v>
      </c>
    </row>
    <row r="195" spans="1:69" ht="15" hidden="1" customHeight="1">
      <c r="A195" s="1" t="s">
        <v>43</v>
      </c>
      <c r="C195" s="1" t="str">
        <f t="shared" si="30"/>
        <v>2802</v>
      </c>
      <c r="D195" s="1" t="str">
        <f t="shared" si="31"/>
        <v>2002</v>
      </c>
      <c r="E195" s="19" t="s">
        <v>48</v>
      </c>
      <c r="F195" s="62" t="s">
        <v>49</v>
      </c>
      <c r="G195" s="62">
        <v>2114</v>
      </c>
      <c r="H195" s="62" t="s">
        <v>631</v>
      </c>
      <c r="I195" s="62" t="s">
        <v>626</v>
      </c>
      <c r="J195" s="118">
        <v>1</v>
      </c>
      <c r="K195" s="119" t="s">
        <v>271</v>
      </c>
      <c r="L195" s="62" t="s">
        <v>601</v>
      </c>
      <c r="M195" s="120" t="s">
        <v>627</v>
      </c>
      <c r="N195" s="65">
        <v>43864</v>
      </c>
      <c r="O195" s="24">
        <v>2050</v>
      </c>
      <c r="P195" s="24">
        <v>23308</v>
      </c>
      <c r="Q195" s="64">
        <v>47781400</v>
      </c>
      <c r="R195" s="64">
        <v>0</v>
      </c>
      <c r="S195" s="64"/>
      <c r="T195" s="64">
        <v>1876191.7142857143</v>
      </c>
      <c r="U195" s="64" t="s">
        <v>628</v>
      </c>
      <c r="V195" s="121">
        <v>49657592</v>
      </c>
      <c r="W195" s="122">
        <v>0</v>
      </c>
      <c r="X195" s="64">
        <v>49657592</v>
      </c>
      <c r="Y195" s="121"/>
      <c r="Z195" s="121"/>
      <c r="AA195" s="121"/>
      <c r="AB195" s="121"/>
      <c r="AC195" s="64">
        <v>49657592</v>
      </c>
      <c r="AD195" s="65">
        <v>43864</v>
      </c>
      <c r="AE195" s="65">
        <v>46784</v>
      </c>
      <c r="AF195" s="62">
        <v>8</v>
      </c>
      <c r="AG195" s="119">
        <v>96</v>
      </c>
      <c r="AH195" s="25">
        <v>517266.58333333331</v>
      </c>
      <c r="AI195" s="78">
        <v>24275870.833333332</v>
      </c>
      <c r="AJ195" s="78">
        <v>25381721.166666668</v>
      </c>
      <c r="AK195" s="27">
        <f t="shared" si="32"/>
        <v>517266.58333333331</v>
      </c>
      <c r="AL195" s="27">
        <f t="shared" si="34"/>
        <v>517266.58333333331</v>
      </c>
      <c r="AM195" s="27"/>
      <c r="AN195" s="27"/>
      <c r="AO195" s="27"/>
      <c r="AP195" s="27"/>
      <c r="AQ195" s="27"/>
      <c r="AR195" s="27"/>
      <c r="AS195" s="27"/>
      <c r="AT195" s="27"/>
      <c r="AU195" s="27"/>
      <c r="AV195" s="27"/>
      <c r="AW195" s="27">
        <f t="shared" si="27"/>
        <v>1034533.1666666666</v>
      </c>
      <c r="AX195" s="79">
        <f t="shared" si="28"/>
        <v>24347188</v>
      </c>
      <c r="AY195" s="79">
        <f t="shared" si="29"/>
        <v>25310404</v>
      </c>
      <c r="AZ195" s="25">
        <v>1</v>
      </c>
      <c r="BA195" s="62" t="s">
        <v>79</v>
      </c>
      <c r="BB195" s="66">
        <v>1</v>
      </c>
      <c r="BC195" s="66"/>
      <c r="BD195" s="66"/>
      <c r="BE195" s="67">
        <f t="shared" si="33"/>
        <v>517266.58333333331</v>
      </c>
      <c r="BF195" s="67">
        <f t="shared" si="26"/>
        <v>0</v>
      </c>
      <c r="BG195" s="67">
        <f t="shared" si="25"/>
        <v>0</v>
      </c>
      <c r="BH195" s="66"/>
      <c r="BI195" s="68" t="s">
        <v>632</v>
      </c>
      <c r="BJ195" s="68" t="s">
        <v>58</v>
      </c>
      <c r="BK195" s="68" t="s">
        <v>59</v>
      </c>
      <c r="BL195" s="29"/>
      <c r="BO195" s="35" t="s">
        <v>1800</v>
      </c>
      <c r="BP195" s="1" t="s">
        <v>1803</v>
      </c>
      <c r="BQ195" s="1" t="e">
        <v>#N/A</v>
      </c>
    </row>
    <row r="196" spans="1:69" ht="15" hidden="1" customHeight="1">
      <c r="A196" s="1" t="s">
        <v>43</v>
      </c>
      <c r="C196" s="1" t="str">
        <f t="shared" si="30"/>
        <v>2802</v>
      </c>
      <c r="D196" s="1" t="str">
        <f t="shared" si="31"/>
        <v>2002</v>
      </c>
      <c r="E196" s="19" t="s">
        <v>48</v>
      </c>
      <c r="F196" s="62" t="s">
        <v>49</v>
      </c>
      <c r="G196" s="62">
        <v>2114</v>
      </c>
      <c r="H196" s="62" t="s">
        <v>633</v>
      </c>
      <c r="I196" s="62" t="s">
        <v>626</v>
      </c>
      <c r="J196" s="118">
        <v>1</v>
      </c>
      <c r="K196" s="119" t="s">
        <v>271</v>
      </c>
      <c r="L196" s="62" t="s">
        <v>601</v>
      </c>
      <c r="M196" s="120" t="s">
        <v>627</v>
      </c>
      <c r="N196" s="65">
        <v>43864</v>
      </c>
      <c r="O196" s="24">
        <v>2050</v>
      </c>
      <c r="P196" s="24">
        <v>23308</v>
      </c>
      <c r="Q196" s="64">
        <v>47781400</v>
      </c>
      <c r="R196" s="64">
        <v>0</v>
      </c>
      <c r="S196" s="64"/>
      <c r="T196" s="64">
        <v>1876191.7142857143</v>
      </c>
      <c r="U196" s="64" t="s">
        <v>628</v>
      </c>
      <c r="V196" s="121">
        <v>49657592</v>
      </c>
      <c r="W196" s="122">
        <v>0</v>
      </c>
      <c r="X196" s="64">
        <v>49657592</v>
      </c>
      <c r="Y196" s="121"/>
      <c r="Z196" s="121"/>
      <c r="AA196" s="121"/>
      <c r="AB196" s="121"/>
      <c r="AC196" s="64">
        <v>49657592</v>
      </c>
      <c r="AD196" s="65">
        <v>43864</v>
      </c>
      <c r="AE196" s="65">
        <v>46784</v>
      </c>
      <c r="AF196" s="62">
        <v>8</v>
      </c>
      <c r="AG196" s="119">
        <v>96</v>
      </c>
      <c r="AH196" s="25">
        <v>517266.58333333331</v>
      </c>
      <c r="AI196" s="78">
        <v>24275870.833333332</v>
      </c>
      <c r="AJ196" s="78">
        <v>25381721.166666668</v>
      </c>
      <c r="AK196" s="27">
        <f t="shared" si="32"/>
        <v>517266.58333333331</v>
      </c>
      <c r="AL196" s="27">
        <f t="shared" si="34"/>
        <v>517266.58333333331</v>
      </c>
      <c r="AM196" s="27"/>
      <c r="AN196" s="27"/>
      <c r="AO196" s="27"/>
      <c r="AP196" s="27"/>
      <c r="AQ196" s="27"/>
      <c r="AR196" s="27"/>
      <c r="AS196" s="27"/>
      <c r="AT196" s="27"/>
      <c r="AU196" s="27"/>
      <c r="AV196" s="27"/>
      <c r="AW196" s="27">
        <f t="shared" si="27"/>
        <v>1034533.1666666666</v>
      </c>
      <c r="AX196" s="79">
        <f t="shared" si="28"/>
        <v>24347188</v>
      </c>
      <c r="AY196" s="79">
        <f t="shared" si="29"/>
        <v>25310404</v>
      </c>
      <c r="AZ196" s="25">
        <v>1</v>
      </c>
      <c r="BA196" s="62" t="s">
        <v>79</v>
      </c>
      <c r="BB196" s="66">
        <v>1</v>
      </c>
      <c r="BC196" s="66"/>
      <c r="BD196" s="66"/>
      <c r="BE196" s="67">
        <f t="shared" si="33"/>
        <v>517266.58333333331</v>
      </c>
      <c r="BF196" s="67">
        <f t="shared" si="26"/>
        <v>0</v>
      </c>
      <c r="BG196" s="67">
        <f t="shared" si="25"/>
        <v>0</v>
      </c>
      <c r="BH196" s="66"/>
      <c r="BI196" s="68" t="s">
        <v>411</v>
      </c>
      <c r="BJ196" s="68" t="s">
        <v>58</v>
      </c>
      <c r="BK196" s="68" t="s">
        <v>59</v>
      </c>
      <c r="BL196" s="29"/>
      <c r="BO196" s="35" t="s">
        <v>1800</v>
      </c>
      <c r="BP196" s="1" t="s">
        <v>1817</v>
      </c>
      <c r="BQ196" s="1" t="e">
        <v>#N/A</v>
      </c>
    </row>
    <row r="197" spans="1:69" ht="15" hidden="1" customHeight="1">
      <c r="A197" s="1" t="s">
        <v>43</v>
      </c>
      <c r="C197" s="1" t="str">
        <f t="shared" si="30"/>
        <v>2802</v>
      </c>
      <c r="D197" s="1" t="str">
        <f t="shared" si="31"/>
        <v>2002</v>
      </c>
      <c r="E197" s="19" t="s">
        <v>48</v>
      </c>
      <c r="F197" s="62" t="s">
        <v>49</v>
      </c>
      <c r="G197" s="62">
        <v>2114</v>
      </c>
      <c r="H197" s="62" t="s">
        <v>634</v>
      </c>
      <c r="I197" s="62" t="s">
        <v>626</v>
      </c>
      <c r="J197" s="118">
        <v>1</v>
      </c>
      <c r="K197" s="119" t="s">
        <v>271</v>
      </c>
      <c r="L197" s="62" t="s">
        <v>601</v>
      </c>
      <c r="M197" s="120" t="s">
        <v>627</v>
      </c>
      <c r="N197" s="65">
        <v>43864</v>
      </c>
      <c r="O197" s="24">
        <v>2050</v>
      </c>
      <c r="P197" s="24">
        <v>23308</v>
      </c>
      <c r="Q197" s="64">
        <v>47781400</v>
      </c>
      <c r="R197" s="64">
        <v>0</v>
      </c>
      <c r="S197" s="64"/>
      <c r="T197" s="64">
        <v>1876191.7142857143</v>
      </c>
      <c r="U197" s="64" t="s">
        <v>628</v>
      </c>
      <c r="V197" s="121">
        <v>49657592</v>
      </c>
      <c r="W197" s="122">
        <v>0</v>
      </c>
      <c r="X197" s="64">
        <v>49657592</v>
      </c>
      <c r="Y197" s="121"/>
      <c r="Z197" s="121"/>
      <c r="AA197" s="121"/>
      <c r="AB197" s="121"/>
      <c r="AC197" s="64">
        <v>49657592</v>
      </c>
      <c r="AD197" s="65">
        <v>43864</v>
      </c>
      <c r="AE197" s="65">
        <v>46784</v>
      </c>
      <c r="AF197" s="62">
        <v>8</v>
      </c>
      <c r="AG197" s="119">
        <v>96</v>
      </c>
      <c r="AH197" s="25">
        <v>517266.58333333331</v>
      </c>
      <c r="AI197" s="78">
        <v>24275870.833333332</v>
      </c>
      <c r="AJ197" s="78">
        <v>25381721.166666668</v>
      </c>
      <c r="AK197" s="27">
        <f t="shared" si="32"/>
        <v>517266.58333333331</v>
      </c>
      <c r="AL197" s="27">
        <f t="shared" si="34"/>
        <v>517266.58333333331</v>
      </c>
      <c r="AM197" s="27"/>
      <c r="AN197" s="27"/>
      <c r="AO197" s="27"/>
      <c r="AP197" s="27"/>
      <c r="AQ197" s="27"/>
      <c r="AR197" s="27"/>
      <c r="AS197" s="27"/>
      <c r="AT197" s="27"/>
      <c r="AU197" s="27"/>
      <c r="AV197" s="27"/>
      <c r="AW197" s="27">
        <f t="shared" si="27"/>
        <v>1034533.1666666666</v>
      </c>
      <c r="AX197" s="79">
        <f t="shared" si="28"/>
        <v>24347188</v>
      </c>
      <c r="AY197" s="79">
        <f t="shared" si="29"/>
        <v>25310404</v>
      </c>
      <c r="AZ197" s="25">
        <v>1</v>
      </c>
      <c r="BA197" s="62" t="s">
        <v>79</v>
      </c>
      <c r="BB197" s="66">
        <v>1</v>
      </c>
      <c r="BC197" s="66"/>
      <c r="BD197" s="66"/>
      <c r="BE197" s="67">
        <f t="shared" si="33"/>
        <v>517266.58333333331</v>
      </c>
      <c r="BF197" s="67">
        <f t="shared" si="26"/>
        <v>0</v>
      </c>
      <c r="BG197" s="67">
        <f t="shared" si="25"/>
        <v>0</v>
      </c>
      <c r="BH197" s="66"/>
      <c r="BI197" s="68" t="s">
        <v>414</v>
      </c>
      <c r="BJ197" s="68" t="s">
        <v>58</v>
      </c>
      <c r="BK197" s="68" t="s">
        <v>59</v>
      </c>
      <c r="BL197" s="29"/>
      <c r="BO197" s="35" t="s">
        <v>1800</v>
      </c>
      <c r="BP197" s="1" t="s">
        <v>1812</v>
      </c>
      <c r="BQ197" s="1" t="e">
        <v>#N/A</v>
      </c>
    </row>
    <row r="198" spans="1:69" ht="15" hidden="1" customHeight="1">
      <c r="A198" s="1" t="s">
        <v>43</v>
      </c>
      <c r="C198" s="1" t="str">
        <f t="shared" si="30"/>
        <v>2802</v>
      </c>
      <c r="D198" s="1" t="str">
        <f t="shared" si="31"/>
        <v>2002</v>
      </c>
      <c r="E198" s="19" t="s">
        <v>48</v>
      </c>
      <c r="F198" s="62" t="s">
        <v>49</v>
      </c>
      <c r="G198" s="62">
        <v>2114</v>
      </c>
      <c r="H198" s="62" t="s">
        <v>635</v>
      </c>
      <c r="I198" s="62" t="s">
        <v>626</v>
      </c>
      <c r="J198" s="118">
        <v>1</v>
      </c>
      <c r="K198" s="119" t="s">
        <v>271</v>
      </c>
      <c r="L198" s="62" t="s">
        <v>601</v>
      </c>
      <c r="M198" s="120" t="s">
        <v>627</v>
      </c>
      <c r="N198" s="65">
        <v>43864</v>
      </c>
      <c r="O198" s="24">
        <v>2050</v>
      </c>
      <c r="P198" s="24">
        <v>23308</v>
      </c>
      <c r="Q198" s="64">
        <v>47781400</v>
      </c>
      <c r="R198" s="64">
        <v>0</v>
      </c>
      <c r="S198" s="64"/>
      <c r="T198" s="64">
        <v>1876191.7142857143</v>
      </c>
      <c r="U198" s="64" t="s">
        <v>628</v>
      </c>
      <c r="V198" s="121">
        <v>49657592</v>
      </c>
      <c r="W198" s="122">
        <v>0</v>
      </c>
      <c r="X198" s="64">
        <v>49657592</v>
      </c>
      <c r="Y198" s="121"/>
      <c r="Z198" s="121"/>
      <c r="AA198" s="121"/>
      <c r="AB198" s="121"/>
      <c r="AC198" s="64">
        <v>49657592</v>
      </c>
      <c r="AD198" s="65">
        <v>43864</v>
      </c>
      <c r="AE198" s="65">
        <v>46784</v>
      </c>
      <c r="AF198" s="62">
        <v>8</v>
      </c>
      <c r="AG198" s="119">
        <v>96</v>
      </c>
      <c r="AH198" s="25">
        <v>517266.58333333331</v>
      </c>
      <c r="AI198" s="78">
        <v>24275870.833333332</v>
      </c>
      <c r="AJ198" s="78">
        <v>25381721.166666668</v>
      </c>
      <c r="AK198" s="27">
        <f t="shared" si="32"/>
        <v>517266.58333333331</v>
      </c>
      <c r="AL198" s="27">
        <f t="shared" si="34"/>
        <v>517266.58333333331</v>
      </c>
      <c r="AM198" s="27"/>
      <c r="AN198" s="27"/>
      <c r="AO198" s="27"/>
      <c r="AP198" s="27"/>
      <c r="AQ198" s="27"/>
      <c r="AR198" s="27"/>
      <c r="AS198" s="27"/>
      <c r="AT198" s="27"/>
      <c r="AU198" s="27"/>
      <c r="AV198" s="27"/>
      <c r="AW198" s="27">
        <f t="shared" si="27"/>
        <v>1034533.1666666666</v>
      </c>
      <c r="AX198" s="79">
        <f t="shared" si="28"/>
        <v>24347188</v>
      </c>
      <c r="AY198" s="79">
        <f t="shared" si="29"/>
        <v>25310404</v>
      </c>
      <c r="AZ198" s="25">
        <v>1</v>
      </c>
      <c r="BA198" s="62" t="s">
        <v>79</v>
      </c>
      <c r="BB198" s="66">
        <v>1</v>
      </c>
      <c r="BC198" s="66"/>
      <c r="BD198" s="66"/>
      <c r="BE198" s="67">
        <f t="shared" si="33"/>
        <v>517266.58333333331</v>
      </c>
      <c r="BF198" s="67">
        <f t="shared" si="26"/>
        <v>0</v>
      </c>
      <c r="BG198" s="67">
        <f t="shared" si="25"/>
        <v>0</v>
      </c>
      <c r="BH198" s="66"/>
      <c r="BI198" s="68" t="s">
        <v>242</v>
      </c>
      <c r="BJ198" s="68" t="s">
        <v>58</v>
      </c>
      <c r="BK198" s="68" t="s">
        <v>59</v>
      </c>
      <c r="BL198" s="29"/>
      <c r="BO198" s="35" t="s">
        <v>1800</v>
      </c>
      <c r="BP198" s="1" t="s">
        <v>1819</v>
      </c>
      <c r="BQ198" s="1" t="e">
        <v>#N/A</v>
      </c>
    </row>
    <row r="199" spans="1:69" ht="15" hidden="1" customHeight="1">
      <c r="A199" s="1" t="s">
        <v>43</v>
      </c>
      <c r="C199" s="1" t="str">
        <f t="shared" si="30"/>
        <v>3005</v>
      </c>
      <c r="D199" s="1" t="str">
        <f t="shared" si="31"/>
        <v>2005</v>
      </c>
      <c r="E199" s="19" t="s">
        <v>48</v>
      </c>
      <c r="F199" s="62" t="s">
        <v>515</v>
      </c>
      <c r="G199" s="62">
        <v>2112</v>
      </c>
      <c r="H199" s="62" t="s">
        <v>636</v>
      </c>
      <c r="I199" s="62" t="s">
        <v>637</v>
      </c>
      <c r="J199" s="118">
        <v>1</v>
      </c>
      <c r="K199" s="119" t="s">
        <v>619</v>
      </c>
      <c r="L199" s="62" t="s">
        <v>638</v>
      </c>
      <c r="M199" s="120" t="s">
        <v>639</v>
      </c>
      <c r="N199" s="65">
        <v>43882</v>
      </c>
      <c r="O199" s="24"/>
      <c r="P199" s="24"/>
      <c r="Q199" s="64">
        <v>470000000</v>
      </c>
      <c r="R199" s="64"/>
      <c r="S199" s="64"/>
      <c r="T199" s="64"/>
      <c r="U199" s="64"/>
      <c r="V199" s="121">
        <v>470000000</v>
      </c>
      <c r="W199" s="122">
        <v>0</v>
      </c>
      <c r="X199" s="64">
        <v>470000000</v>
      </c>
      <c r="Y199" s="121"/>
      <c r="Z199" s="121"/>
      <c r="AA199" s="121"/>
      <c r="AB199" s="121"/>
      <c r="AC199" s="64">
        <v>470000000</v>
      </c>
      <c r="AD199" s="65">
        <v>43956</v>
      </c>
      <c r="AE199" s="65">
        <v>47606</v>
      </c>
      <c r="AF199" s="62">
        <v>10</v>
      </c>
      <c r="AG199" s="119">
        <v>120</v>
      </c>
      <c r="AH199" s="25">
        <v>3916666.6666666665</v>
      </c>
      <c r="AI199" s="78">
        <v>171827967.66666666</v>
      </c>
      <c r="AJ199" s="78">
        <v>298172032.33333331</v>
      </c>
      <c r="AK199" s="27">
        <f t="shared" si="32"/>
        <v>3916666.6666666665</v>
      </c>
      <c r="AL199" s="27">
        <f t="shared" si="34"/>
        <v>3916666.6666666665</v>
      </c>
      <c r="AM199" s="27"/>
      <c r="AN199" s="27"/>
      <c r="AO199" s="27"/>
      <c r="AP199" s="27"/>
      <c r="AQ199" s="27"/>
      <c r="AR199" s="27"/>
      <c r="AS199" s="27"/>
      <c r="AT199" s="27"/>
      <c r="AU199" s="27"/>
      <c r="AV199" s="27"/>
      <c r="AW199" s="27">
        <f t="shared" si="27"/>
        <v>7833333.333333333</v>
      </c>
      <c r="AX199" s="79">
        <f t="shared" si="28"/>
        <v>290338699.00000006</v>
      </c>
      <c r="AY199" s="79">
        <f t="shared" si="29"/>
        <v>179661301</v>
      </c>
      <c r="AZ199" s="25">
        <v>1</v>
      </c>
      <c r="BA199" s="62" t="s">
        <v>97</v>
      </c>
      <c r="BB199" s="66">
        <v>1</v>
      </c>
      <c r="BC199" s="66"/>
      <c r="BD199" s="66"/>
      <c r="BE199" s="67">
        <f t="shared" si="33"/>
        <v>3916666.6666666665</v>
      </c>
      <c r="BF199" s="67">
        <f t="shared" si="26"/>
        <v>0</v>
      </c>
      <c r="BG199" s="67">
        <f t="shared" si="25"/>
        <v>0</v>
      </c>
      <c r="BH199" s="66"/>
      <c r="BI199" s="68" t="s">
        <v>242</v>
      </c>
      <c r="BJ199" s="68" t="s">
        <v>591</v>
      </c>
      <c r="BK199" s="68" t="s">
        <v>59</v>
      </c>
      <c r="BL199" s="29"/>
      <c r="BO199" s="35" t="s">
        <v>1805</v>
      </c>
      <c r="BQ199" s="1" t="e">
        <v>#N/A</v>
      </c>
    </row>
    <row r="200" spans="1:69" ht="15" hidden="1" customHeight="1">
      <c r="A200" s="1" t="s">
        <v>43</v>
      </c>
      <c r="C200" s="1" t="str">
        <f t="shared" si="30"/>
        <v>2512</v>
      </c>
      <c r="D200" s="1" t="str">
        <f t="shared" si="31"/>
        <v>2012</v>
      </c>
      <c r="E200" s="19" t="s">
        <v>48</v>
      </c>
      <c r="F200" s="62" t="s">
        <v>515</v>
      </c>
      <c r="G200" s="62">
        <v>2112</v>
      </c>
      <c r="H200" s="62" t="s">
        <v>640</v>
      </c>
      <c r="I200" s="62" t="s">
        <v>641</v>
      </c>
      <c r="J200" s="118">
        <v>1</v>
      </c>
      <c r="K200" s="119" t="s">
        <v>271</v>
      </c>
      <c r="L200" s="62" t="s">
        <v>642</v>
      </c>
      <c r="M200" s="120" t="s">
        <v>643</v>
      </c>
      <c r="N200" s="65">
        <v>43921</v>
      </c>
      <c r="O200" s="24"/>
      <c r="P200" s="24"/>
      <c r="Q200" s="64">
        <v>38600000</v>
      </c>
      <c r="R200" s="64"/>
      <c r="S200" s="64"/>
      <c r="T200" s="64"/>
      <c r="U200" s="64"/>
      <c r="V200" s="121">
        <v>38600000</v>
      </c>
      <c r="W200" s="122">
        <v>0</v>
      </c>
      <c r="X200" s="64">
        <v>38600000</v>
      </c>
      <c r="Y200" s="121"/>
      <c r="Z200" s="121"/>
      <c r="AA200" s="121"/>
      <c r="AB200" s="121"/>
      <c r="AC200" s="64">
        <v>38600000</v>
      </c>
      <c r="AD200" s="65">
        <v>44169</v>
      </c>
      <c r="AE200" s="65">
        <v>45994</v>
      </c>
      <c r="AF200" s="62">
        <v>5</v>
      </c>
      <c r="AG200" s="119">
        <v>60</v>
      </c>
      <c r="AH200" s="25">
        <v>643333.33333333337</v>
      </c>
      <c r="AI200" s="78">
        <v>23741066.333333332</v>
      </c>
      <c r="AJ200" s="78">
        <v>14858933.666666668</v>
      </c>
      <c r="AK200" s="27">
        <f t="shared" si="32"/>
        <v>643333.33333333337</v>
      </c>
      <c r="AL200" s="27">
        <f t="shared" si="34"/>
        <v>643333.33333333337</v>
      </c>
      <c r="AM200" s="27"/>
      <c r="AN200" s="27"/>
      <c r="AO200" s="27"/>
      <c r="AP200" s="27"/>
      <c r="AQ200" s="27"/>
      <c r="AR200" s="27"/>
      <c r="AS200" s="27"/>
      <c r="AT200" s="27"/>
      <c r="AU200" s="27"/>
      <c r="AV200" s="27"/>
      <c r="AW200" s="27">
        <f t="shared" si="27"/>
        <v>1286666.6666666667</v>
      </c>
      <c r="AX200" s="79">
        <f t="shared" si="28"/>
        <v>13572267.000000002</v>
      </c>
      <c r="AY200" s="79">
        <f t="shared" si="29"/>
        <v>25027733</v>
      </c>
      <c r="AZ200" s="25">
        <v>1</v>
      </c>
      <c r="BA200" s="62" t="s">
        <v>97</v>
      </c>
      <c r="BB200" s="66">
        <v>1</v>
      </c>
      <c r="BC200" s="66"/>
      <c r="BD200" s="66"/>
      <c r="BE200" s="67">
        <f t="shared" si="33"/>
        <v>643333.33333333337</v>
      </c>
      <c r="BF200" s="67">
        <f t="shared" si="26"/>
        <v>0</v>
      </c>
      <c r="BG200" s="67">
        <f t="shared" si="25"/>
        <v>0</v>
      </c>
      <c r="BH200" s="66"/>
      <c r="BI200" s="68" t="s">
        <v>242</v>
      </c>
      <c r="BJ200" s="68" t="s">
        <v>644</v>
      </c>
      <c r="BK200" s="68" t="s">
        <v>644</v>
      </c>
      <c r="BL200" s="29"/>
      <c r="BO200" s="35" t="s">
        <v>1805</v>
      </c>
      <c r="BQ200" s="1">
        <v>0</v>
      </c>
    </row>
    <row r="201" spans="1:69" ht="15" hidden="1" customHeight="1">
      <c r="A201" s="1" t="s">
        <v>43</v>
      </c>
      <c r="C201" s="1" t="str">
        <f t="shared" si="30"/>
        <v>2803</v>
      </c>
      <c r="D201" s="1" t="str">
        <f t="shared" si="31"/>
        <v>2003</v>
      </c>
      <c r="E201" s="19" t="s">
        <v>48</v>
      </c>
      <c r="F201" s="62" t="s">
        <v>49</v>
      </c>
      <c r="G201" s="62">
        <v>2112</v>
      </c>
      <c r="H201" s="62" t="s">
        <v>645</v>
      </c>
      <c r="I201" s="62" t="s">
        <v>646</v>
      </c>
      <c r="J201" s="118">
        <v>1</v>
      </c>
      <c r="K201" s="119" t="s">
        <v>271</v>
      </c>
      <c r="L201" s="62" t="s">
        <v>77</v>
      </c>
      <c r="M201" s="120" t="s">
        <v>647</v>
      </c>
      <c r="N201" s="65">
        <v>43901</v>
      </c>
      <c r="O201" s="24">
        <v>1651.97</v>
      </c>
      <c r="P201" s="24">
        <v>23242</v>
      </c>
      <c r="Q201" s="64">
        <v>38395086.740000002</v>
      </c>
      <c r="R201" s="64">
        <v>5735227</v>
      </c>
      <c r="S201" s="64"/>
      <c r="T201" s="64">
        <v>186924.69</v>
      </c>
      <c r="U201" s="64" t="s">
        <v>648</v>
      </c>
      <c r="V201" s="121">
        <v>44317238</v>
      </c>
      <c r="W201" s="122">
        <v>0</v>
      </c>
      <c r="X201" s="64">
        <v>44317238</v>
      </c>
      <c r="Y201" s="121"/>
      <c r="Z201" s="121"/>
      <c r="AA201" s="121"/>
      <c r="AB201" s="121"/>
      <c r="AC201" s="64">
        <v>44317238</v>
      </c>
      <c r="AD201" s="65">
        <v>43920</v>
      </c>
      <c r="AE201" s="65">
        <v>46840</v>
      </c>
      <c r="AF201" s="62">
        <v>8</v>
      </c>
      <c r="AG201" s="119">
        <v>96</v>
      </c>
      <c r="AH201" s="25">
        <v>461637.89583333331</v>
      </c>
      <c r="AI201" s="78">
        <v>20803491.958333332</v>
      </c>
      <c r="AJ201" s="78">
        <v>23513746.041666668</v>
      </c>
      <c r="AK201" s="27">
        <f t="shared" si="32"/>
        <v>461637.89583333331</v>
      </c>
      <c r="AL201" s="27">
        <f t="shared" si="34"/>
        <v>461637.89583333331</v>
      </c>
      <c r="AM201" s="27"/>
      <c r="AN201" s="27"/>
      <c r="AO201" s="27"/>
      <c r="AP201" s="27"/>
      <c r="AQ201" s="27"/>
      <c r="AR201" s="27"/>
      <c r="AS201" s="27"/>
      <c r="AT201" s="27"/>
      <c r="AU201" s="27"/>
      <c r="AV201" s="27"/>
      <c r="AW201" s="27">
        <f t="shared" si="27"/>
        <v>923275.79166666663</v>
      </c>
      <c r="AX201" s="79">
        <f t="shared" si="28"/>
        <v>22590470.25</v>
      </c>
      <c r="AY201" s="79">
        <f t="shared" si="29"/>
        <v>21726767.75</v>
      </c>
      <c r="AZ201" s="25">
        <v>1</v>
      </c>
      <c r="BA201" s="62" t="s">
        <v>97</v>
      </c>
      <c r="BB201" s="66">
        <v>1</v>
      </c>
      <c r="BC201" s="66"/>
      <c r="BD201" s="66"/>
      <c r="BE201" s="67">
        <f t="shared" si="33"/>
        <v>461637.89583333331</v>
      </c>
      <c r="BF201" s="67">
        <f t="shared" si="26"/>
        <v>0</v>
      </c>
      <c r="BG201" s="67">
        <f t="shared" si="25"/>
        <v>0</v>
      </c>
      <c r="BH201" s="66"/>
      <c r="BI201" s="68" t="s">
        <v>80</v>
      </c>
      <c r="BJ201" s="68" t="s">
        <v>121</v>
      </c>
      <c r="BK201" s="68" t="s">
        <v>121</v>
      </c>
      <c r="BL201" s="29"/>
      <c r="BO201" s="35" t="s">
        <v>1804</v>
      </c>
      <c r="BQ201" s="1" t="e">
        <v>#N/A</v>
      </c>
    </row>
    <row r="202" spans="1:69" ht="15" hidden="1" customHeight="1">
      <c r="A202" s="1" t="s">
        <v>43</v>
      </c>
      <c r="C202" s="1" t="str">
        <f t="shared" si="30"/>
        <v>2703</v>
      </c>
      <c r="D202" s="1" t="str">
        <f t="shared" si="31"/>
        <v>2003</v>
      </c>
      <c r="E202" s="19" t="s">
        <v>48</v>
      </c>
      <c r="F202" s="62" t="s">
        <v>649</v>
      </c>
      <c r="G202" s="62">
        <v>2112</v>
      </c>
      <c r="H202" s="62" t="s">
        <v>650</v>
      </c>
      <c r="I202" s="62" t="s">
        <v>651</v>
      </c>
      <c r="J202" s="118">
        <v>1</v>
      </c>
      <c r="K202" s="119" t="s">
        <v>271</v>
      </c>
      <c r="L202" s="62" t="s">
        <v>77</v>
      </c>
      <c r="M202" s="120" t="s">
        <v>652</v>
      </c>
      <c r="N202" s="65">
        <v>43913</v>
      </c>
      <c r="O202" s="24">
        <v>1700</v>
      </c>
      <c r="P202" s="24">
        <v>23287</v>
      </c>
      <c r="Q202" s="64">
        <v>39587900</v>
      </c>
      <c r="R202" s="64">
        <v>0</v>
      </c>
      <c r="S202" s="64"/>
      <c r="T202" s="64">
        <v>791489.34</v>
      </c>
      <c r="U202" s="64" t="s">
        <v>653</v>
      </c>
      <c r="V202" s="121">
        <v>40379389</v>
      </c>
      <c r="W202" s="122">
        <v>0</v>
      </c>
      <c r="X202" s="64">
        <v>40379389</v>
      </c>
      <c r="Y202" s="121"/>
      <c r="Z202" s="121"/>
      <c r="AA202" s="121"/>
      <c r="AB202" s="121"/>
      <c r="AC202" s="64">
        <v>40379389</v>
      </c>
      <c r="AD202" s="65">
        <v>43920</v>
      </c>
      <c r="AE202" s="65">
        <v>46475</v>
      </c>
      <c r="AF202" s="62">
        <v>7</v>
      </c>
      <c r="AG202" s="119">
        <v>84</v>
      </c>
      <c r="AH202" s="25">
        <v>480707.01190476189</v>
      </c>
      <c r="AI202" s="78">
        <v>21662828.119047619</v>
      </c>
      <c r="AJ202" s="78">
        <v>18716560.880952381</v>
      </c>
      <c r="AK202" s="27">
        <f t="shared" si="32"/>
        <v>480707.01190476189</v>
      </c>
      <c r="AL202" s="27">
        <f t="shared" si="34"/>
        <v>480707.01190476189</v>
      </c>
      <c r="AM202" s="27"/>
      <c r="AN202" s="27"/>
      <c r="AO202" s="27"/>
      <c r="AP202" s="27"/>
      <c r="AQ202" s="27"/>
      <c r="AR202" s="27"/>
      <c r="AS202" s="27"/>
      <c r="AT202" s="27"/>
      <c r="AU202" s="27"/>
      <c r="AV202" s="27"/>
      <c r="AW202" s="27">
        <f t="shared" si="27"/>
        <v>961414.02380952379</v>
      </c>
      <c r="AX202" s="79">
        <f t="shared" si="28"/>
        <v>17755146.857142858</v>
      </c>
      <c r="AY202" s="79">
        <f t="shared" si="29"/>
        <v>22624242.142857142</v>
      </c>
      <c r="AZ202" s="25">
        <v>1</v>
      </c>
      <c r="BA202" s="62" t="s">
        <v>97</v>
      </c>
      <c r="BB202" s="66">
        <v>1</v>
      </c>
      <c r="BC202" s="66"/>
      <c r="BD202" s="66"/>
      <c r="BE202" s="67">
        <f t="shared" si="33"/>
        <v>480707.01190476189</v>
      </c>
      <c r="BF202" s="67">
        <f t="shared" si="26"/>
        <v>0</v>
      </c>
      <c r="BG202" s="67">
        <f t="shared" ref="BG202:BG265" si="35">+$AL202*BD202</f>
        <v>0</v>
      </c>
      <c r="BH202" s="66" t="s">
        <v>1707</v>
      </c>
      <c r="BI202" s="68"/>
      <c r="BJ202" s="68" t="s">
        <v>117</v>
      </c>
      <c r="BK202" s="68" t="s">
        <v>117</v>
      </c>
      <c r="BL202" s="29"/>
      <c r="BM202" s="1" t="s">
        <v>1887</v>
      </c>
      <c r="BO202" s="35" t="s">
        <v>1807</v>
      </c>
      <c r="BQ202" s="1" t="e">
        <v>#N/A</v>
      </c>
    </row>
    <row r="203" spans="1:69" ht="15" hidden="1" customHeight="1">
      <c r="A203" s="1" t="s">
        <v>43</v>
      </c>
      <c r="C203" s="1" t="str">
        <f t="shared" si="30"/>
        <v>2704</v>
      </c>
      <c r="D203" s="1" t="str">
        <f t="shared" si="31"/>
        <v>2004</v>
      </c>
      <c r="E203" s="19" t="s">
        <v>48</v>
      </c>
      <c r="F203" s="62" t="s">
        <v>49</v>
      </c>
      <c r="G203" s="62">
        <v>2112</v>
      </c>
      <c r="H203" s="62" t="s">
        <v>654</v>
      </c>
      <c r="I203" s="62" t="s">
        <v>655</v>
      </c>
      <c r="J203" s="118">
        <v>1</v>
      </c>
      <c r="K203" s="119" t="s">
        <v>271</v>
      </c>
      <c r="L203" s="62" t="s">
        <v>77</v>
      </c>
      <c r="M203" s="120" t="s">
        <v>652</v>
      </c>
      <c r="N203" s="65">
        <v>43913</v>
      </c>
      <c r="O203" s="24">
        <v>1500</v>
      </c>
      <c r="P203" s="24">
        <v>23287</v>
      </c>
      <c r="Q203" s="64">
        <v>34930500</v>
      </c>
      <c r="R203" s="64">
        <v>700050</v>
      </c>
      <c r="S203" s="64"/>
      <c r="T203" s="64">
        <v>698372.95</v>
      </c>
      <c r="U203" s="64" t="s">
        <v>653</v>
      </c>
      <c r="V203" s="121">
        <v>36328923</v>
      </c>
      <c r="W203" s="122">
        <v>0</v>
      </c>
      <c r="X203" s="64">
        <v>36328923</v>
      </c>
      <c r="Y203" s="121"/>
      <c r="Z203" s="121"/>
      <c r="AA203" s="121"/>
      <c r="AB203" s="121"/>
      <c r="AC203" s="64">
        <v>36328923</v>
      </c>
      <c r="AD203" s="65">
        <v>43936</v>
      </c>
      <c r="AE203" s="65">
        <v>46491</v>
      </c>
      <c r="AF203" s="62">
        <v>7</v>
      </c>
      <c r="AG203" s="119">
        <v>84</v>
      </c>
      <c r="AH203" s="25">
        <v>432487.17857142858</v>
      </c>
      <c r="AI203" s="78">
        <v>19260089.785714284</v>
      </c>
      <c r="AJ203" s="78">
        <v>17068833.214285716</v>
      </c>
      <c r="AK203" s="27">
        <f t="shared" si="32"/>
        <v>432487.17857142858</v>
      </c>
      <c r="AL203" s="27">
        <f t="shared" si="34"/>
        <v>432487.17857142858</v>
      </c>
      <c r="AM203" s="27"/>
      <c r="AN203" s="27"/>
      <c r="AO203" s="27"/>
      <c r="AP203" s="27"/>
      <c r="AQ203" s="27"/>
      <c r="AR203" s="27"/>
      <c r="AS203" s="27"/>
      <c r="AT203" s="27"/>
      <c r="AU203" s="27"/>
      <c r="AV203" s="27"/>
      <c r="AW203" s="27">
        <f t="shared" si="27"/>
        <v>864974.35714285716</v>
      </c>
      <c r="AX203" s="79">
        <f t="shared" si="28"/>
        <v>16203858.85714286</v>
      </c>
      <c r="AY203" s="79">
        <f t="shared" si="29"/>
        <v>20125064.142857142</v>
      </c>
      <c r="AZ203" s="25">
        <v>1</v>
      </c>
      <c r="BA203" s="62" t="s">
        <v>97</v>
      </c>
      <c r="BB203" s="66">
        <v>1</v>
      </c>
      <c r="BC203" s="66"/>
      <c r="BD203" s="66"/>
      <c r="BE203" s="67">
        <f t="shared" si="33"/>
        <v>432487.17857142858</v>
      </c>
      <c r="BF203" s="67">
        <f t="shared" ref="BF203:BF266" si="36">+$AL203*BC203</f>
        <v>0</v>
      </c>
      <c r="BG203" s="67">
        <f t="shared" si="35"/>
        <v>0</v>
      </c>
      <c r="BH203" s="66"/>
      <c r="BI203" s="68" t="s">
        <v>188</v>
      </c>
      <c r="BJ203" s="68" t="s">
        <v>124</v>
      </c>
      <c r="BK203" s="68" t="s">
        <v>124</v>
      </c>
      <c r="BL203" s="29"/>
      <c r="BO203" s="35" t="s">
        <v>1805</v>
      </c>
      <c r="BQ203" s="1" t="s">
        <v>2049</v>
      </c>
    </row>
    <row r="204" spans="1:69" ht="15" hidden="1" customHeight="1">
      <c r="A204" s="1" t="s">
        <v>43</v>
      </c>
      <c r="C204" s="1" t="str">
        <f t="shared" si="30"/>
        <v>2704</v>
      </c>
      <c r="D204" s="1" t="str">
        <f t="shared" si="31"/>
        <v>2004</v>
      </c>
      <c r="E204" s="19" t="s">
        <v>48</v>
      </c>
      <c r="F204" s="62" t="s">
        <v>49</v>
      </c>
      <c r="G204" s="62">
        <v>2112</v>
      </c>
      <c r="H204" s="62" t="s">
        <v>656</v>
      </c>
      <c r="I204" s="62" t="s">
        <v>657</v>
      </c>
      <c r="J204" s="118">
        <v>1</v>
      </c>
      <c r="K204" s="119" t="s">
        <v>271</v>
      </c>
      <c r="L204" s="62" t="s">
        <v>77</v>
      </c>
      <c r="M204" s="120" t="s">
        <v>652</v>
      </c>
      <c r="N204" s="65">
        <v>43913</v>
      </c>
      <c r="O204" s="24">
        <v>1500</v>
      </c>
      <c r="P204" s="24">
        <v>23287</v>
      </c>
      <c r="Q204" s="64">
        <v>34930500</v>
      </c>
      <c r="R204" s="64">
        <v>0</v>
      </c>
      <c r="S204" s="64"/>
      <c r="T204" s="64">
        <v>698372.95</v>
      </c>
      <c r="U204" s="64" t="s">
        <v>653</v>
      </c>
      <c r="V204" s="121">
        <v>35628873</v>
      </c>
      <c r="W204" s="122">
        <v>0</v>
      </c>
      <c r="X204" s="64">
        <v>35628873</v>
      </c>
      <c r="Y204" s="121"/>
      <c r="Z204" s="121"/>
      <c r="AA204" s="121"/>
      <c r="AB204" s="121"/>
      <c r="AC204" s="64">
        <v>35628873</v>
      </c>
      <c r="AD204" s="65">
        <v>43936</v>
      </c>
      <c r="AE204" s="65">
        <v>46491</v>
      </c>
      <c r="AF204" s="62">
        <v>7</v>
      </c>
      <c r="AG204" s="119">
        <v>84</v>
      </c>
      <c r="AH204" s="25">
        <v>424153.25</v>
      </c>
      <c r="AI204" s="78">
        <v>18888949.5</v>
      </c>
      <c r="AJ204" s="78">
        <v>16739923.5</v>
      </c>
      <c r="AK204" s="27">
        <f t="shared" si="32"/>
        <v>424153.25</v>
      </c>
      <c r="AL204" s="27">
        <f t="shared" si="34"/>
        <v>424153.25</v>
      </c>
      <c r="AM204" s="27"/>
      <c r="AN204" s="27"/>
      <c r="AO204" s="27"/>
      <c r="AP204" s="27"/>
      <c r="AQ204" s="27"/>
      <c r="AR204" s="27"/>
      <c r="AS204" s="27"/>
      <c r="AT204" s="27"/>
      <c r="AU204" s="27"/>
      <c r="AV204" s="27"/>
      <c r="AW204" s="27">
        <f t="shared" si="27"/>
        <v>848306.5</v>
      </c>
      <c r="AX204" s="79">
        <f t="shared" si="28"/>
        <v>15891617</v>
      </c>
      <c r="AY204" s="79">
        <f t="shared" si="29"/>
        <v>19737256</v>
      </c>
      <c r="AZ204" s="25">
        <v>1</v>
      </c>
      <c r="BA204" s="62" t="s">
        <v>97</v>
      </c>
      <c r="BB204" s="66">
        <v>1</v>
      </c>
      <c r="BC204" s="66"/>
      <c r="BD204" s="66"/>
      <c r="BE204" s="67">
        <f t="shared" si="33"/>
        <v>424153.25</v>
      </c>
      <c r="BF204" s="67">
        <f t="shared" si="36"/>
        <v>0</v>
      </c>
      <c r="BG204" s="67">
        <f t="shared" si="35"/>
        <v>0</v>
      </c>
      <c r="BH204" s="66"/>
      <c r="BI204" s="68" t="s">
        <v>188</v>
      </c>
      <c r="BJ204" s="68" t="s">
        <v>124</v>
      </c>
      <c r="BK204" s="68" t="s">
        <v>124</v>
      </c>
      <c r="BL204" s="29"/>
      <c r="BO204" s="35" t="s">
        <v>1804</v>
      </c>
      <c r="BQ204" s="1" t="e">
        <v>#N/A</v>
      </c>
    </row>
    <row r="205" spans="1:69" ht="15" hidden="1" customHeight="1">
      <c r="A205" s="1" t="s">
        <v>43</v>
      </c>
      <c r="C205" s="1" t="str">
        <f t="shared" si="30"/>
        <v>2503</v>
      </c>
      <c r="D205" s="1" t="str">
        <f t="shared" si="31"/>
        <v>2003</v>
      </c>
      <c r="E205" s="19" t="s">
        <v>48</v>
      </c>
      <c r="F205" s="62" t="s">
        <v>49</v>
      </c>
      <c r="G205" s="62">
        <v>2112</v>
      </c>
      <c r="H205" s="62" t="s">
        <v>658</v>
      </c>
      <c r="I205" s="62" t="s">
        <v>659</v>
      </c>
      <c r="J205" s="118">
        <v>1</v>
      </c>
      <c r="K205" s="119" t="s">
        <v>271</v>
      </c>
      <c r="L205" s="62" t="s">
        <v>77</v>
      </c>
      <c r="M205" s="120" t="s">
        <v>652</v>
      </c>
      <c r="N205" s="65">
        <v>43913</v>
      </c>
      <c r="O205" s="24">
        <v>1700</v>
      </c>
      <c r="P205" s="24">
        <v>23287</v>
      </c>
      <c r="Q205" s="64">
        <v>39587900</v>
      </c>
      <c r="R205" s="64">
        <v>0</v>
      </c>
      <c r="S205" s="64"/>
      <c r="T205" s="64">
        <v>791489.34</v>
      </c>
      <c r="U205" s="64" t="s">
        <v>653</v>
      </c>
      <c r="V205" s="121">
        <v>40379389</v>
      </c>
      <c r="W205" s="122">
        <v>0</v>
      </c>
      <c r="X205" s="64">
        <v>40379389</v>
      </c>
      <c r="Y205" s="121"/>
      <c r="Z205" s="121"/>
      <c r="AA205" s="121"/>
      <c r="AB205" s="121"/>
      <c r="AC205" s="64">
        <v>40379389</v>
      </c>
      <c r="AD205" s="65">
        <v>43920</v>
      </c>
      <c r="AE205" s="65">
        <v>45745</v>
      </c>
      <c r="AF205" s="62">
        <v>5</v>
      </c>
      <c r="AG205" s="119">
        <v>60</v>
      </c>
      <c r="AH205" s="25">
        <v>672989.81666666665</v>
      </c>
      <c r="AI205" s="78">
        <v>30327967.166666664</v>
      </c>
      <c r="AJ205" s="78">
        <v>10051421.833333336</v>
      </c>
      <c r="AK205" s="27">
        <f t="shared" si="32"/>
        <v>672989.81666666665</v>
      </c>
      <c r="AL205" s="27">
        <f t="shared" si="34"/>
        <v>672989.81666666665</v>
      </c>
      <c r="AM205" s="27"/>
      <c r="AN205" s="27"/>
      <c r="AO205" s="27"/>
      <c r="AP205" s="27"/>
      <c r="AQ205" s="27"/>
      <c r="AR205" s="27"/>
      <c r="AS205" s="27"/>
      <c r="AT205" s="27"/>
      <c r="AU205" s="27"/>
      <c r="AV205" s="27"/>
      <c r="AW205" s="27">
        <f t="shared" si="27"/>
        <v>1345979.6333333333</v>
      </c>
      <c r="AX205" s="79">
        <f t="shared" si="28"/>
        <v>8705442.200000003</v>
      </c>
      <c r="AY205" s="79">
        <f t="shared" si="29"/>
        <v>31673946.799999997</v>
      </c>
      <c r="AZ205" s="25">
        <v>1</v>
      </c>
      <c r="BA205" s="62" t="s">
        <v>97</v>
      </c>
      <c r="BB205" s="66">
        <v>1</v>
      </c>
      <c r="BC205" s="66"/>
      <c r="BD205" s="66"/>
      <c r="BE205" s="67">
        <f t="shared" si="33"/>
        <v>672989.81666666665</v>
      </c>
      <c r="BF205" s="67">
        <f t="shared" si="36"/>
        <v>0</v>
      </c>
      <c r="BG205" s="67">
        <f t="shared" si="35"/>
        <v>0</v>
      </c>
      <c r="BH205" s="66"/>
      <c r="BI205" s="68" t="s">
        <v>188</v>
      </c>
      <c r="BJ205" s="68" t="s">
        <v>81</v>
      </c>
      <c r="BK205" s="68" t="s">
        <v>81</v>
      </c>
      <c r="BL205" s="29"/>
      <c r="BO205" s="35" t="s">
        <v>1805</v>
      </c>
      <c r="BQ205" s="1" t="s">
        <v>1930</v>
      </c>
    </row>
    <row r="206" spans="1:69" ht="15" hidden="1" customHeight="1">
      <c r="A206" s="1" t="s">
        <v>43</v>
      </c>
      <c r="C206" s="1" t="str">
        <f t="shared" si="30"/>
        <v>2709</v>
      </c>
      <c r="D206" s="1" t="str">
        <f t="shared" si="31"/>
        <v>2009</v>
      </c>
      <c r="E206" s="19" t="s">
        <v>48</v>
      </c>
      <c r="F206" s="62" t="s">
        <v>515</v>
      </c>
      <c r="G206" s="62">
        <v>2112</v>
      </c>
      <c r="H206" s="62" t="s">
        <v>660</v>
      </c>
      <c r="I206" s="62" t="s">
        <v>661</v>
      </c>
      <c r="J206" s="118">
        <v>1</v>
      </c>
      <c r="K206" s="119" t="s">
        <v>271</v>
      </c>
      <c r="L206" s="62" t="s">
        <v>77</v>
      </c>
      <c r="M206" s="120" t="s">
        <v>652</v>
      </c>
      <c r="N206" s="65">
        <v>43913</v>
      </c>
      <c r="O206" s="24">
        <v>20000</v>
      </c>
      <c r="P206" s="24">
        <v>23287</v>
      </c>
      <c r="Q206" s="64">
        <v>465740000</v>
      </c>
      <c r="R206" s="64">
        <v>14001000</v>
      </c>
      <c r="S206" s="64"/>
      <c r="T206" s="64">
        <v>9311639.25</v>
      </c>
      <c r="U206" s="64" t="s">
        <v>653</v>
      </c>
      <c r="V206" s="121">
        <v>489052639</v>
      </c>
      <c r="W206" s="122">
        <v>0</v>
      </c>
      <c r="X206" s="64">
        <v>489052639</v>
      </c>
      <c r="Y206" s="121"/>
      <c r="Z206" s="121"/>
      <c r="AA206" s="121"/>
      <c r="AB206" s="121"/>
      <c r="AC206" s="64">
        <v>489052639</v>
      </c>
      <c r="AD206" s="65">
        <v>44084</v>
      </c>
      <c r="AE206" s="65">
        <v>46639</v>
      </c>
      <c r="AF206" s="62">
        <v>7</v>
      </c>
      <c r="AG206" s="119">
        <v>84</v>
      </c>
      <c r="AH206" s="25">
        <v>5822055.2261904757</v>
      </c>
      <c r="AI206" s="78">
        <v>231135586.26190478</v>
      </c>
      <c r="AJ206" s="78">
        <v>257917052.73809522</v>
      </c>
      <c r="AK206" s="27">
        <f t="shared" si="32"/>
        <v>5822055.2261904757</v>
      </c>
      <c r="AL206" s="27">
        <f t="shared" si="34"/>
        <v>5822055.2261904757</v>
      </c>
      <c r="AM206" s="27"/>
      <c r="AN206" s="27"/>
      <c r="AO206" s="27"/>
      <c r="AP206" s="27"/>
      <c r="AQ206" s="27"/>
      <c r="AR206" s="27"/>
      <c r="AS206" s="27"/>
      <c r="AT206" s="27"/>
      <c r="AU206" s="27"/>
      <c r="AV206" s="27"/>
      <c r="AW206" s="27">
        <f t="shared" si="27"/>
        <v>11644110.452380951</v>
      </c>
      <c r="AX206" s="79">
        <f t="shared" si="28"/>
        <v>246272942.28571427</v>
      </c>
      <c r="AY206" s="79">
        <f t="shared" si="29"/>
        <v>242779696.71428573</v>
      </c>
      <c r="AZ206" s="25">
        <v>1</v>
      </c>
      <c r="BA206" s="62" t="s">
        <v>97</v>
      </c>
      <c r="BB206" s="66">
        <v>1</v>
      </c>
      <c r="BC206" s="66"/>
      <c r="BD206" s="66"/>
      <c r="BE206" s="67">
        <f t="shared" si="33"/>
        <v>5822055.2261904757</v>
      </c>
      <c r="BF206" s="67">
        <f t="shared" si="36"/>
        <v>0</v>
      </c>
      <c r="BG206" s="67">
        <f t="shared" si="35"/>
        <v>0</v>
      </c>
      <c r="BH206" s="66"/>
      <c r="BI206" s="68" t="s">
        <v>242</v>
      </c>
      <c r="BJ206" s="68" t="s">
        <v>662</v>
      </c>
      <c r="BK206" s="68" t="s">
        <v>121</v>
      </c>
      <c r="BL206" s="29"/>
      <c r="BO206" s="35" t="s">
        <v>1801</v>
      </c>
      <c r="BQ206" s="1" t="e">
        <v>#N/A</v>
      </c>
    </row>
    <row r="207" spans="1:69" ht="15" hidden="1" customHeight="1">
      <c r="A207" s="1" t="s">
        <v>43</v>
      </c>
      <c r="C207" s="1" t="str">
        <f t="shared" si="30"/>
        <v>2703</v>
      </c>
      <c r="D207" s="1" t="str">
        <f t="shared" si="31"/>
        <v>2003</v>
      </c>
      <c r="E207" s="19" t="s">
        <v>48</v>
      </c>
      <c r="F207" s="62" t="s">
        <v>49</v>
      </c>
      <c r="G207" s="62">
        <v>2112</v>
      </c>
      <c r="H207" s="62" t="s">
        <v>663</v>
      </c>
      <c r="I207" s="62" t="s">
        <v>664</v>
      </c>
      <c r="J207" s="118">
        <v>1</v>
      </c>
      <c r="K207" s="119" t="s">
        <v>271</v>
      </c>
      <c r="L207" s="62" t="s">
        <v>77</v>
      </c>
      <c r="M207" s="120" t="s">
        <v>652</v>
      </c>
      <c r="N207" s="65">
        <v>43913</v>
      </c>
      <c r="O207" s="24">
        <v>60000</v>
      </c>
      <c r="P207" s="24">
        <v>23287</v>
      </c>
      <c r="Q207" s="64">
        <v>1397220000</v>
      </c>
      <c r="R207" s="64">
        <v>0</v>
      </c>
      <c r="S207" s="64"/>
      <c r="T207" s="64">
        <v>27934917.740000002</v>
      </c>
      <c r="U207" s="64" t="s">
        <v>653</v>
      </c>
      <c r="V207" s="121">
        <v>1425154918</v>
      </c>
      <c r="W207" s="122">
        <v>0</v>
      </c>
      <c r="X207" s="64">
        <v>1425154918</v>
      </c>
      <c r="Y207" s="121">
        <v>-1425154918</v>
      </c>
      <c r="Z207" s="121">
        <v>1</v>
      </c>
      <c r="AA207" s="125">
        <v>44282</v>
      </c>
      <c r="AB207" s="123" t="s">
        <v>89</v>
      </c>
      <c r="AC207" s="64">
        <v>0</v>
      </c>
      <c r="AD207" s="65">
        <v>43920</v>
      </c>
      <c r="AE207" s="65">
        <v>46475</v>
      </c>
      <c r="AF207" s="62">
        <v>7</v>
      </c>
      <c r="AG207" s="119">
        <v>84</v>
      </c>
      <c r="AH207" s="25">
        <v>0</v>
      </c>
      <c r="AI207" s="78">
        <v>0</v>
      </c>
      <c r="AJ207" s="78">
        <v>0</v>
      </c>
      <c r="AK207" s="27">
        <f t="shared" si="32"/>
        <v>0</v>
      </c>
      <c r="AL207" s="27">
        <f t="shared" si="34"/>
        <v>0</v>
      </c>
      <c r="AM207" s="27"/>
      <c r="AN207" s="27"/>
      <c r="AO207" s="27"/>
      <c r="AP207" s="27"/>
      <c r="AQ207" s="27"/>
      <c r="AR207" s="27"/>
      <c r="AS207" s="27"/>
      <c r="AT207" s="27"/>
      <c r="AU207" s="27"/>
      <c r="AV207" s="27"/>
      <c r="AW207" s="27">
        <f t="shared" si="27"/>
        <v>0</v>
      </c>
      <c r="AX207" s="79">
        <f t="shared" si="28"/>
        <v>0</v>
      </c>
      <c r="AY207" s="79">
        <f t="shared" si="29"/>
        <v>0</v>
      </c>
      <c r="AZ207" s="25">
        <v>0</v>
      </c>
      <c r="BA207" s="62" t="s">
        <v>97</v>
      </c>
      <c r="BB207" s="66">
        <v>1</v>
      </c>
      <c r="BC207" s="66"/>
      <c r="BD207" s="66"/>
      <c r="BE207" s="67">
        <f t="shared" si="33"/>
        <v>0</v>
      </c>
      <c r="BF207" s="67">
        <f t="shared" si="36"/>
        <v>0</v>
      </c>
      <c r="BG207" s="67">
        <f t="shared" si="35"/>
        <v>0</v>
      </c>
      <c r="BH207" s="66"/>
      <c r="BI207" s="68" t="s">
        <v>242</v>
      </c>
      <c r="BJ207" s="68" t="s">
        <v>121</v>
      </c>
      <c r="BK207" s="68" t="s">
        <v>121</v>
      </c>
      <c r="BL207" s="29"/>
      <c r="BQ207" s="1" t="e">
        <v>#N/A</v>
      </c>
    </row>
    <row r="208" spans="1:69" ht="15" hidden="1" customHeight="1">
      <c r="A208" s="1" t="s">
        <v>43</v>
      </c>
      <c r="C208" s="1" t="str">
        <f t="shared" si="30"/>
        <v>2710</v>
      </c>
      <c r="D208" s="1" t="str">
        <f t="shared" si="31"/>
        <v>2010</v>
      </c>
      <c r="E208" s="19" t="s">
        <v>48</v>
      </c>
      <c r="F208" s="62" t="s">
        <v>515</v>
      </c>
      <c r="G208" s="62">
        <v>2112</v>
      </c>
      <c r="H208" s="62" t="s">
        <v>665</v>
      </c>
      <c r="I208" s="62" t="s">
        <v>666</v>
      </c>
      <c r="J208" s="118">
        <v>1</v>
      </c>
      <c r="K208" s="119" t="s">
        <v>271</v>
      </c>
      <c r="L208" s="62" t="s">
        <v>77</v>
      </c>
      <c r="M208" s="120" t="s">
        <v>652</v>
      </c>
      <c r="N208" s="65">
        <v>43913</v>
      </c>
      <c r="O208" s="24">
        <v>20000</v>
      </c>
      <c r="P208" s="24">
        <v>23287</v>
      </c>
      <c r="Q208" s="64">
        <v>465740000</v>
      </c>
      <c r="R208" s="64">
        <v>0</v>
      </c>
      <c r="S208" s="64"/>
      <c r="T208" s="64">
        <v>9311639.25</v>
      </c>
      <c r="U208" s="64" t="s">
        <v>653</v>
      </c>
      <c r="V208" s="121">
        <v>475051639</v>
      </c>
      <c r="W208" s="122">
        <v>0</v>
      </c>
      <c r="X208" s="64">
        <v>475051639</v>
      </c>
      <c r="Y208" s="121"/>
      <c r="Z208" s="121"/>
      <c r="AA208" s="121"/>
      <c r="AB208" s="121"/>
      <c r="AC208" s="64">
        <v>475051639</v>
      </c>
      <c r="AD208" s="65">
        <v>44113</v>
      </c>
      <c r="AE208" s="65">
        <v>46668</v>
      </c>
      <c r="AF208" s="62">
        <v>7</v>
      </c>
      <c r="AG208" s="119">
        <v>84</v>
      </c>
      <c r="AH208" s="25">
        <v>5655376.6547619049</v>
      </c>
      <c r="AI208" s="78">
        <v>219100247.54761904</v>
      </c>
      <c r="AJ208" s="78">
        <v>255951391.45238096</v>
      </c>
      <c r="AK208" s="27">
        <f t="shared" si="32"/>
        <v>5655376.6547619049</v>
      </c>
      <c r="AL208" s="27">
        <f t="shared" si="34"/>
        <v>5655376.6547619049</v>
      </c>
      <c r="AM208" s="27"/>
      <c r="AN208" s="27"/>
      <c r="AO208" s="27"/>
      <c r="AP208" s="27"/>
      <c r="AQ208" s="27"/>
      <c r="AR208" s="27"/>
      <c r="AS208" s="27"/>
      <c r="AT208" s="27"/>
      <c r="AU208" s="27"/>
      <c r="AV208" s="27"/>
      <c r="AW208" s="27">
        <f t="shared" si="27"/>
        <v>11310753.30952381</v>
      </c>
      <c r="AX208" s="79">
        <f t="shared" si="28"/>
        <v>244640638.14285713</v>
      </c>
      <c r="AY208" s="79">
        <f t="shared" si="29"/>
        <v>230411000.85714287</v>
      </c>
      <c r="AZ208" s="25">
        <v>1</v>
      </c>
      <c r="BA208" s="62" t="s">
        <v>97</v>
      </c>
      <c r="BB208" s="66">
        <v>1</v>
      </c>
      <c r="BC208" s="66"/>
      <c r="BD208" s="66"/>
      <c r="BE208" s="67">
        <f t="shared" si="33"/>
        <v>5655376.6547619049</v>
      </c>
      <c r="BF208" s="67">
        <f t="shared" si="36"/>
        <v>0</v>
      </c>
      <c r="BG208" s="67">
        <f t="shared" si="35"/>
        <v>0</v>
      </c>
      <c r="BH208" s="66"/>
      <c r="BI208" s="68" t="s">
        <v>242</v>
      </c>
      <c r="BJ208" s="68" t="s">
        <v>662</v>
      </c>
      <c r="BK208" s="68" t="s">
        <v>121</v>
      </c>
      <c r="BL208" s="29"/>
      <c r="BO208" s="35" t="s">
        <v>1805</v>
      </c>
      <c r="BQ208" s="1" t="s">
        <v>1979</v>
      </c>
    </row>
    <row r="209" spans="1:69" ht="15" hidden="1" customHeight="1">
      <c r="A209" s="1" t="s">
        <v>43</v>
      </c>
      <c r="C209" s="1" t="str">
        <f t="shared" si="30"/>
        <v>2709</v>
      </c>
      <c r="D209" s="1" t="str">
        <f t="shared" si="31"/>
        <v>2009</v>
      </c>
      <c r="E209" s="19" t="s">
        <v>48</v>
      </c>
      <c r="F209" s="62" t="s">
        <v>49</v>
      </c>
      <c r="G209" s="62">
        <v>2112</v>
      </c>
      <c r="H209" s="62" t="s">
        <v>667</v>
      </c>
      <c r="I209" s="62" t="s">
        <v>668</v>
      </c>
      <c r="J209" s="118">
        <v>1</v>
      </c>
      <c r="K209" s="119" t="s">
        <v>271</v>
      </c>
      <c r="L209" s="62" t="s">
        <v>77</v>
      </c>
      <c r="M209" s="120" t="s">
        <v>652</v>
      </c>
      <c r="N209" s="65">
        <v>43913</v>
      </c>
      <c r="O209" s="24">
        <v>7430</v>
      </c>
      <c r="P209" s="24">
        <v>23287</v>
      </c>
      <c r="Q209" s="64">
        <v>173022410</v>
      </c>
      <c r="R209" s="64">
        <v>0</v>
      </c>
      <c r="S209" s="64"/>
      <c r="T209" s="64">
        <v>3459273.9800000004</v>
      </c>
      <c r="U209" s="64" t="s">
        <v>653</v>
      </c>
      <c r="V209" s="121">
        <v>176481684</v>
      </c>
      <c r="W209" s="122">
        <v>0</v>
      </c>
      <c r="X209" s="64">
        <v>176481684</v>
      </c>
      <c r="Y209" s="121"/>
      <c r="Z209" s="121"/>
      <c r="AA209" s="121"/>
      <c r="AB209" s="121"/>
      <c r="AC209" s="64">
        <v>176481684</v>
      </c>
      <c r="AD209" s="65">
        <v>44086</v>
      </c>
      <c r="AE209" s="65">
        <v>46641</v>
      </c>
      <c r="AF209" s="62">
        <v>7</v>
      </c>
      <c r="AG209" s="119">
        <v>84</v>
      </c>
      <c r="AH209" s="25">
        <v>2100972.4285714286</v>
      </c>
      <c r="AI209" s="78">
        <v>83268528.285714298</v>
      </c>
      <c r="AJ209" s="78">
        <v>93213155.714285702</v>
      </c>
      <c r="AK209" s="27">
        <f t="shared" si="32"/>
        <v>2100972.4285714286</v>
      </c>
      <c r="AL209" s="27">
        <f t="shared" si="34"/>
        <v>2100972.4285714286</v>
      </c>
      <c r="AM209" s="27"/>
      <c r="AN209" s="27"/>
      <c r="AO209" s="27"/>
      <c r="AP209" s="27"/>
      <c r="AQ209" s="27"/>
      <c r="AR209" s="27"/>
      <c r="AS209" s="27"/>
      <c r="AT209" s="27"/>
      <c r="AU209" s="27"/>
      <c r="AV209" s="27"/>
      <c r="AW209" s="27">
        <f t="shared" ref="AW209:AW272" si="37">+SUM(AK209:AV209)</f>
        <v>4201944.8571428573</v>
      </c>
      <c r="AX209" s="79">
        <f t="shared" ref="AX209:AX272" si="38">AC209-AI209-AW209</f>
        <v>89011210.857142851</v>
      </c>
      <c r="AY209" s="79">
        <f t="shared" ref="AY209:AY272" si="39">AW209+AI209</f>
        <v>87470473.142857149</v>
      </c>
      <c r="AZ209" s="25">
        <v>1</v>
      </c>
      <c r="BA209" s="62" t="s">
        <v>97</v>
      </c>
      <c r="BB209" s="66">
        <v>1</v>
      </c>
      <c r="BC209" s="66"/>
      <c r="BD209" s="66"/>
      <c r="BE209" s="67">
        <f t="shared" si="33"/>
        <v>2100972.4285714286</v>
      </c>
      <c r="BF209" s="67">
        <f t="shared" si="36"/>
        <v>0</v>
      </c>
      <c r="BG209" s="67">
        <f t="shared" si="35"/>
        <v>0</v>
      </c>
      <c r="BH209" s="66"/>
      <c r="BI209" s="68">
        <v>0</v>
      </c>
      <c r="BJ209" s="68" t="s">
        <v>58</v>
      </c>
      <c r="BK209" s="68" t="s">
        <v>59</v>
      </c>
      <c r="BL209" s="29"/>
      <c r="BO209" s="35" t="s">
        <v>1801</v>
      </c>
      <c r="BQ209" s="1" t="e">
        <v>#N/A</v>
      </c>
    </row>
    <row r="210" spans="1:69" ht="15" hidden="1" customHeight="1">
      <c r="A210" s="1" t="s">
        <v>43</v>
      </c>
      <c r="C210" s="1" t="str">
        <f t="shared" ref="C210:C273" si="40">+RIGHT(YEAR(AE210),2)&amp;IF(LEN(MONTH(AE210))=2,MONTH(AE210),"0"&amp;MONTH(AE210))</f>
        <v>2509</v>
      </c>
      <c r="D210" s="1" t="str">
        <f t="shared" ref="D210:D273" si="41">+RIGHT(YEAR(AD210),2)&amp;IF(LEN(MONTH(AD210))=2,MONTH(AD210),"0"&amp;MONTH(AD210))</f>
        <v>2009</v>
      </c>
      <c r="E210" s="19" t="s">
        <v>48</v>
      </c>
      <c r="F210" s="62" t="s">
        <v>515</v>
      </c>
      <c r="G210" s="62">
        <v>2112</v>
      </c>
      <c r="H210" s="62" t="s">
        <v>669</v>
      </c>
      <c r="I210" s="62" t="s">
        <v>670</v>
      </c>
      <c r="J210" s="118">
        <v>1</v>
      </c>
      <c r="K210" s="119" t="s">
        <v>271</v>
      </c>
      <c r="L210" s="62" t="s">
        <v>77</v>
      </c>
      <c r="M210" s="120" t="s">
        <v>652</v>
      </c>
      <c r="N210" s="65">
        <v>43913</v>
      </c>
      <c r="O210" s="24">
        <v>1420</v>
      </c>
      <c r="P210" s="24">
        <v>23287</v>
      </c>
      <c r="Q210" s="64">
        <v>33067540</v>
      </c>
      <c r="R210" s="64">
        <v>0</v>
      </c>
      <c r="S210" s="64"/>
      <c r="T210" s="64">
        <v>661126.39</v>
      </c>
      <c r="U210" s="64" t="s">
        <v>653</v>
      </c>
      <c r="V210" s="121">
        <v>33728666</v>
      </c>
      <c r="W210" s="122">
        <v>0</v>
      </c>
      <c r="X210" s="64">
        <v>33728666</v>
      </c>
      <c r="Y210" s="121"/>
      <c r="Z210" s="121"/>
      <c r="AA210" s="121"/>
      <c r="AB210" s="121"/>
      <c r="AC210" s="64">
        <v>33728666</v>
      </c>
      <c r="AD210" s="65">
        <v>44087</v>
      </c>
      <c r="AE210" s="65">
        <v>45912</v>
      </c>
      <c r="AF210" s="62">
        <v>5</v>
      </c>
      <c r="AG210" s="119">
        <v>60</v>
      </c>
      <c r="AH210" s="25">
        <v>562144.43333333335</v>
      </c>
      <c r="AI210" s="78">
        <v>22260907.333333336</v>
      </c>
      <c r="AJ210" s="78">
        <v>11467758.666666664</v>
      </c>
      <c r="AK210" s="27">
        <f t="shared" ref="AK210:AK273" si="42">+IF(AND(AK$3&gt;=$D210,AK$3&lt;$C210),$AH210,$AJ210)</f>
        <v>562144.43333333335</v>
      </c>
      <c r="AL210" s="27">
        <f t="shared" si="34"/>
        <v>562144.43333333335</v>
      </c>
      <c r="AM210" s="27"/>
      <c r="AN210" s="27"/>
      <c r="AO210" s="27"/>
      <c r="AP210" s="27"/>
      <c r="AQ210" s="27"/>
      <c r="AR210" s="27"/>
      <c r="AS210" s="27"/>
      <c r="AT210" s="27"/>
      <c r="AU210" s="27"/>
      <c r="AV210" s="27"/>
      <c r="AW210" s="27">
        <f t="shared" si="37"/>
        <v>1124288.8666666667</v>
      </c>
      <c r="AX210" s="79">
        <f t="shared" si="38"/>
        <v>10343469.799999997</v>
      </c>
      <c r="AY210" s="79">
        <f t="shared" si="39"/>
        <v>23385196.200000003</v>
      </c>
      <c r="AZ210" s="25">
        <v>1</v>
      </c>
      <c r="BA210" s="62" t="s">
        <v>97</v>
      </c>
      <c r="BB210" s="66">
        <v>1</v>
      </c>
      <c r="BC210" s="66"/>
      <c r="BD210" s="66"/>
      <c r="BE210" s="67">
        <f t="shared" si="33"/>
        <v>562144.43333333335</v>
      </c>
      <c r="BF210" s="67">
        <f t="shared" si="36"/>
        <v>0</v>
      </c>
      <c r="BG210" s="67">
        <f t="shared" si="35"/>
        <v>0</v>
      </c>
      <c r="BH210" s="66"/>
      <c r="BI210" s="68" t="s">
        <v>671</v>
      </c>
      <c r="BJ210" s="68" t="s">
        <v>591</v>
      </c>
      <c r="BK210" s="68" t="s">
        <v>59</v>
      </c>
      <c r="BL210" s="29"/>
      <c r="BO210" s="35" t="s">
        <v>1804</v>
      </c>
      <c r="BQ210" s="1" t="s">
        <v>1989</v>
      </c>
    </row>
    <row r="211" spans="1:69" ht="15" hidden="1" customHeight="1">
      <c r="A211" s="1" t="s">
        <v>43</v>
      </c>
      <c r="C211" s="1" t="str">
        <f t="shared" si="40"/>
        <v>3003</v>
      </c>
      <c r="D211" s="1" t="str">
        <f t="shared" si="41"/>
        <v>2003</v>
      </c>
      <c r="E211" s="19" t="s">
        <v>48</v>
      </c>
      <c r="F211" s="62" t="s">
        <v>49</v>
      </c>
      <c r="G211" s="62">
        <v>2112</v>
      </c>
      <c r="H211" s="62" t="s">
        <v>672</v>
      </c>
      <c r="I211" s="62" t="s">
        <v>673</v>
      </c>
      <c r="J211" s="118">
        <v>1</v>
      </c>
      <c r="K211" s="119" t="s">
        <v>619</v>
      </c>
      <c r="L211" s="62" t="s">
        <v>77</v>
      </c>
      <c r="M211" s="120" t="s">
        <v>674</v>
      </c>
      <c r="N211" s="65">
        <v>43914</v>
      </c>
      <c r="O211" s="24">
        <v>143000</v>
      </c>
      <c r="P211" s="24">
        <v>23368</v>
      </c>
      <c r="Q211" s="64">
        <v>3341624000</v>
      </c>
      <c r="R211" s="64">
        <v>0</v>
      </c>
      <c r="S211" s="64"/>
      <c r="T211" s="64">
        <v>3500000</v>
      </c>
      <c r="U211" s="64" t="s">
        <v>675</v>
      </c>
      <c r="V211" s="121">
        <v>3345124000</v>
      </c>
      <c r="W211" s="122">
        <v>0</v>
      </c>
      <c r="X211" s="64">
        <v>3345124000</v>
      </c>
      <c r="Y211" s="121"/>
      <c r="Z211" s="121"/>
      <c r="AA211" s="121"/>
      <c r="AB211" s="121"/>
      <c r="AC211" s="64">
        <v>3345124000</v>
      </c>
      <c r="AD211" s="65">
        <v>43920</v>
      </c>
      <c r="AE211" s="65">
        <v>47570</v>
      </c>
      <c r="AF211" s="62">
        <v>10</v>
      </c>
      <c r="AG211" s="119">
        <v>120</v>
      </c>
      <c r="AH211" s="25">
        <v>27876033.333333332</v>
      </c>
      <c r="AI211" s="78">
        <v>1256219942.3333333</v>
      </c>
      <c r="AJ211" s="78">
        <v>2088904057.6666667</v>
      </c>
      <c r="AK211" s="27">
        <f t="shared" si="42"/>
        <v>27876033.333333332</v>
      </c>
      <c r="AL211" s="27">
        <f t="shared" si="34"/>
        <v>27876033.333333332</v>
      </c>
      <c r="AM211" s="27"/>
      <c r="AN211" s="27"/>
      <c r="AO211" s="27"/>
      <c r="AP211" s="27"/>
      <c r="AQ211" s="27"/>
      <c r="AR211" s="27"/>
      <c r="AS211" s="27"/>
      <c r="AT211" s="27"/>
      <c r="AU211" s="27"/>
      <c r="AV211" s="27"/>
      <c r="AW211" s="27">
        <f t="shared" si="37"/>
        <v>55752066.666666664</v>
      </c>
      <c r="AX211" s="79">
        <f t="shared" si="38"/>
        <v>2033151991</v>
      </c>
      <c r="AY211" s="79">
        <f t="shared" si="39"/>
        <v>1311972009</v>
      </c>
      <c r="AZ211" s="25">
        <v>1</v>
      </c>
      <c r="BA211" s="62" t="s">
        <v>97</v>
      </c>
      <c r="BB211" s="66">
        <v>1</v>
      </c>
      <c r="BC211" s="66"/>
      <c r="BD211" s="66"/>
      <c r="BE211" s="67">
        <f t="shared" si="33"/>
        <v>27876033.333333332</v>
      </c>
      <c r="BF211" s="67">
        <f t="shared" si="36"/>
        <v>0</v>
      </c>
      <c r="BG211" s="67">
        <f t="shared" si="35"/>
        <v>0</v>
      </c>
      <c r="BH211" s="66"/>
      <c r="BI211" s="68" t="s">
        <v>80</v>
      </c>
      <c r="BJ211" s="68" t="s">
        <v>121</v>
      </c>
      <c r="BK211" s="68" t="s">
        <v>121</v>
      </c>
      <c r="BL211" s="29"/>
      <c r="BO211" s="35" t="s">
        <v>1801</v>
      </c>
      <c r="BP211" s="1" t="s">
        <v>1813</v>
      </c>
      <c r="BQ211" s="1" t="s">
        <v>1979</v>
      </c>
    </row>
    <row r="212" spans="1:69" ht="15" hidden="1" customHeight="1">
      <c r="A212" s="1" t="s">
        <v>43</v>
      </c>
      <c r="C212" s="1" t="str">
        <f t="shared" si="40"/>
        <v>2906</v>
      </c>
      <c r="D212" s="1" t="str">
        <f t="shared" si="41"/>
        <v>2106</v>
      </c>
      <c r="E212" s="19" t="s">
        <v>48</v>
      </c>
      <c r="F212" s="62" t="s">
        <v>515</v>
      </c>
      <c r="G212" s="62">
        <v>2112</v>
      </c>
      <c r="H212" s="62" t="s">
        <v>676</v>
      </c>
      <c r="I212" s="62" t="s">
        <v>677</v>
      </c>
      <c r="J212" s="118">
        <v>1</v>
      </c>
      <c r="K212" s="119" t="s">
        <v>619</v>
      </c>
      <c r="L212" s="62" t="s">
        <v>77</v>
      </c>
      <c r="M212" s="120" t="s">
        <v>678</v>
      </c>
      <c r="N212" s="65">
        <v>43916</v>
      </c>
      <c r="O212" s="24">
        <v>2450</v>
      </c>
      <c r="P212" s="24">
        <v>23665</v>
      </c>
      <c r="Q212" s="64">
        <v>57979250</v>
      </c>
      <c r="R212" s="64">
        <v>2858538</v>
      </c>
      <c r="S212" s="64"/>
      <c r="T212" s="64">
        <v>901932.99</v>
      </c>
      <c r="U212" s="64" t="s">
        <v>679</v>
      </c>
      <c r="V212" s="121">
        <v>61739721</v>
      </c>
      <c r="W212" s="122">
        <v>0</v>
      </c>
      <c r="X212" s="64">
        <v>61739721</v>
      </c>
      <c r="Y212" s="121"/>
      <c r="Z212" s="121"/>
      <c r="AA212" s="121"/>
      <c r="AB212" s="121"/>
      <c r="AC212" s="64">
        <v>61739721</v>
      </c>
      <c r="AD212" s="65">
        <v>44367</v>
      </c>
      <c r="AE212" s="65">
        <v>47287</v>
      </c>
      <c r="AF212" s="62">
        <v>8</v>
      </c>
      <c r="AG212" s="119">
        <v>96</v>
      </c>
      <c r="AH212" s="25">
        <v>643122.09375</v>
      </c>
      <c r="AI212" s="78">
        <v>19529472.337499999</v>
      </c>
      <c r="AJ212" s="78">
        <v>42210248.662500001</v>
      </c>
      <c r="AK212" s="27">
        <f t="shared" si="42"/>
        <v>643122.09375</v>
      </c>
      <c r="AL212" s="27">
        <f t="shared" si="34"/>
        <v>643122.09375</v>
      </c>
      <c r="AM212" s="27"/>
      <c r="AN212" s="27"/>
      <c r="AO212" s="27"/>
      <c r="AP212" s="27"/>
      <c r="AQ212" s="27"/>
      <c r="AR212" s="27"/>
      <c r="AS212" s="27"/>
      <c r="AT212" s="27"/>
      <c r="AU212" s="27"/>
      <c r="AV212" s="27"/>
      <c r="AW212" s="27">
        <f t="shared" si="37"/>
        <v>1286244.1875</v>
      </c>
      <c r="AX212" s="79">
        <f t="shared" si="38"/>
        <v>40924004.475000001</v>
      </c>
      <c r="AY212" s="79">
        <f t="shared" si="39"/>
        <v>20815716.524999999</v>
      </c>
      <c r="AZ212" s="25">
        <v>1</v>
      </c>
      <c r="BA212" s="62" t="s">
        <v>97</v>
      </c>
      <c r="BB212" s="66">
        <v>1</v>
      </c>
      <c r="BC212" s="66"/>
      <c r="BD212" s="66"/>
      <c r="BE212" s="67">
        <f t="shared" si="33"/>
        <v>643122.09375</v>
      </c>
      <c r="BF212" s="67">
        <f t="shared" si="36"/>
        <v>0</v>
      </c>
      <c r="BG212" s="67">
        <f t="shared" si="35"/>
        <v>0</v>
      </c>
      <c r="BH212" s="66"/>
      <c r="BI212" s="68" t="s">
        <v>242</v>
      </c>
      <c r="BJ212" s="68" t="s">
        <v>399</v>
      </c>
      <c r="BK212" s="68" t="s">
        <v>98</v>
      </c>
      <c r="BL212" s="29"/>
      <c r="BO212" s="35" t="s">
        <v>1801</v>
      </c>
      <c r="BQ212" s="1" t="e">
        <v>#N/A</v>
      </c>
    </row>
    <row r="213" spans="1:69" ht="15" hidden="1" customHeight="1">
      <c r="A213" s="1" t="s">
        <v>43</v>
      </c>
      <c r="C213" s="1" t="str">
        <f t="shared" si="40"/>
        <v>2804</v>
      </c>
      <c r="D213" s="1" t="str">
        <f t="shared" si="41"/>
        <v>2004</v>
      </c>
      <c r="E213" s="19" t="s">
        <v>48</v>
      </c>
      <c r="F213" s="62" t="s">
        <v>49</v>
      </c>
      <c r="G213" s="62">
        <v>2112</v>
      </c>
      <c r="H213" s="62" t="s">
        <v>680</v>
      </c>
      <c r="I213" s="62" t="s">
        <v>681</v>
      </c>
      <c r="J213" s="118">
        <v>1</v>
      </c>
      <c r="K213" s="119" t="s">
        <v>619</v>
      </c>
      <c r="L213" s="62" t="s">
        <v>77</v>
      </c>
      <c r="M213" s="120" t="s">
        <v>678</v>
      </c>
      <c r="N213" s="65">
        <v>43916</v>
      </c>
      <c r="O213" s="24">
        <v>25500</v>
      </c>
      <c r="P213" s="24">
        <v>23665</v>
      </c>
      <c r="Q213" s="64">
        <v>603457500</v>
      </c>
      <c r="R213" s="64">
        <v>0</v>
      </c>
      <c r="S213" s="64"/>
      <c r="T213" s="64">
        <v>9387465.8399999999</v>
      </c>
      <c r="U213" s="64" t="s">
        <v>679</v>
      </c>
      <c r="V213" s="121">
        <v>612844966</v>
      </c>
      <c r="W213" s="122">
        <v>0</v>
      </c>
      <c r="X213" s="64">
        <v>612844966</v>
      </c>
      <c r="Y213" s="121"/>
      <c r="Z213" s="121"/>
      <c r="AA213" s="121"/>
      <c r="AB213" s="121"/>
      <c r="AC213" s="64">
        <v>612844966</v>
      </c>
      <c r="AD213" s="65">
        <v>43946</v>
      </c>
      <c r="AE213" s="65">
        <v>46866</v>
      </c>
      <c r="AF213" s="62">
        <v>8</v>
      </c>
      <c r="AG213" s="119">
        <v>96</v>
      </c>
      <c r="AH213" s="25">
        <v>6383801.729166667</v>
      </c>
      <c r="AI213" s="78">
        <v>282164045.29166669</v>
      </c>
      <c r="AJ213" s="78">
        <v>330680920.70833331</v>
      </c>
      <c r="AK213" s="27">
        <f t="shared" si="42"/>
        <v>6383801.729166667</v>
      </c>
      <c r="AL213" s="27">
        <f t="shared" si="34"/>
        <v>6383801.729166667</v>
      </c>
      <c r="AM213" s="27"/>
      <c r="AN213" s="27"/>
      <c r="AO213" s="27"/>
      <c r="AP213" s="27"/>
      <c r="AQ213" s="27"/>
      <c r="AR213" s="27"/>
      <c r="AS213" s="27"/>
      <c r="AT213" s="27"/>
      <c r="AU213" s="27"/>
      <c r="AV213" s="27"/>
      <c r="AW213" s="27">
        <f t="shared" si="37"/>
        <v>12767603.458333334</v>
      </c>
      <c r="AX213" s="79">
        <f t="shared" si="38"/>
        <v>317913317.25</v>
      </c>
      <c r="AY213" s="79">
        <f t="shared" si="39"/>
        <v>294931648.75</v>
      </c>
      <c r="AZ213" s="25">
        <v>1</v>
      </c>
      <c r="BA213" s="62" t="s">
        <v>97</v>
      </c>
      <c r="BB213" s="66">
        <v>1</v>
      </c>
      <c r="BC213" s="66"/>
      <c r="BD213" s="66"/>
      <c r="BE213" s="67">
        <f t="shared" ref="BE213:BE276" si="43">+$AL213*BB213</f>
        <v>6383801.729166667</v>
      </c>
      <c r="BF213" s="67">
        <f t="shared" si="36"/>
        <v>0</v>
      </c>
      <c r="BG213" s="67">
        <f t="shared" si="35"/>
        <v>0</v>
      </c>
      <c r="BH213" s="66"/>
      <c r="BI213" s="68" t="s">
        <v>188</v>
      </c>
      <c r="BJ213" s="68" t="s">
        <v>81</v>
      </c>
      <c r="BK213" s="68" t="s">
        <v>81</v>
      </c>
      <c r="BL213" s="29"/>
      <c r="BO213" s="35" t="s">
        <v>1805</v>
      </c>
      <c r="BQ213" s="1" t="s">
        <v>1930</v>
      </c>
    </row>
    <row r="214" spans="1:69" ht="15" hidden="1" customHeight="1">
      <c r="A214" s="1" t="s">
        <v>43</v>
      </c>
      <c r="C214" s="1" t="str">
        <f t="shared" si="40"/>
        <v>2704</v>
      </c>
      <c r="D214" s="1" t="str">
        <f t="shared" si="41"/>
        <v>2004</v>
      </c>
      <c r="E214" s="19" t="s">
        <v>48</v>
      </c>
      <c r="F214" s="62" t="s">
        <v>49</v>
      </c>
      <c r="G214" s="62">
        <v>2112</v>
      </c>
      <c r="H214" s="62" t="s">
        <v>682</v>
      </c>
      <c r="I214" s="62" t="s">
        <v>683</v>
      </c>
      <c r="J214" s="118">
        <v>1</v>
      </c>
      <c r="K214" s="119" t="s">
        <v>619</v>
      </c>
      <c r="L214" s="62" t="s">
        <v>77</v>
      </c>
      <c r="M214" s="120" t="s">
        <v>678</v>
      </c>
      <c r="N214" s="65">
        <v>43916</v>
      </c>
      <c r="O214" s="24">
        <v>25700</v>
      </c>
      <c r="P214" s="24">
        <v>23665</v>
      </c>
      <c r="Q214" s="64">
        <v>608190500</v>
      </c>
      <c r="R214" s="64">
        <v>0</v>
      </c>
      <c r="S214" s="64"/>
      <c r="T214" s="64">
        <v>9461093.0199999996</v>
      </c>
      <c r="U214" s="64" t="s">
        <v>679</v>
      </c>
      <c r="V214" s="121">
        <v>617651593</v>
      </c>
      <c r="W214" s="122">
        <v>0</v>
      </c>
      <c r="X214" s="64">
        <v>617651593</v>
      </c>
      <c r="Y214" s="121"/>
      <c r="Z214" s="121"/>
      <c r="AA214" s="121"/>
      <c r="AB214" s="121"/>
      <c r="AC214" s="64">
        <v>617651593</v>
      </c>
      <c r="AD214" s="65">
        <v>43941</v>
      </c>
      <c r="AE214" s="65">
        <v>46496</v>
      </c>
      <c r="AF214" s="62">
        <v>7</v>
      </c>
      <c r="AG214" s="119">
        <v>84</v>
      </c>
      <c r="AH214" s="25">
        <v>7352995.1547619049</v>
      </c>
      <c r="AI214" s="78">
        <v>326227879.54761904</v>
      </c>
      <c r="AJ214" s="78">
        <v>291423713.45238096</v>
      </c>
      <c r="AK214" s="27">
        <f t="shared" si="42"/>
        <v>7352995.1547619049</v>
      </c>
      <c r="AL214" s="27">
        <f t="shared" si="34"/>
        <v>7352995.1547619049</v>
      </c>
      <c r="AM214" s="27"/>
      <c r="AN214" s="27"/>
      <c r="AO214" s="27"/>
      <c r="AP214" s="27"/>
      <c r="AQ214" s="27"/>
      <c r="AR214" s="27"/>
      <c r="AS214" s="27"/>
      <c r="AT214" s="27"/>
      <c r="AU214" s="27"/>
      <c r="AV214" s="27"/>
      <c r="AW214" s="27">
        <f t="shared" si="37"/>
        <v>14705990.30952381</v>
      </c>
      <c r="AX214" s="79">
        <f t="shared" si="38"/>
        <v>276717723.14285713</v>
      </c>
      <c r="AY214" s="79">
        <f t="shared" si="39"/>
        <v>340933869.85714287</v>
      </c>
      <c r="AZ214" s="25">
        <v>1</v>
      </c>
      <c r="BA214" s="62" t="s">
        <v>97</v>
      </c>
      <c r="BB214" s="66">
        <v>1</v>
      </c>
      <c r="BC214" s="66"/>
      <c r="BD214" s="66"/>
      <c r="BE214" s="67">
        <f t="shared" si="43"/>
        <v>7352995.1547619049</v>
      </c>
      <c r="BF214" s="67">
        <f t="shared" si="36"/>
        <v>0</v>
      </c>
      <c r="BG214" s="67">
        <f t="shared" si="35"/>
        <v>0</v>
      </c>
      <c r="BH214" s="66"/>
      <c r="BI214" s="68" t="s">
        <v>188</v>
      </c>
      <c r="BJ214" s="68" t="s">
        <v>124</v>
      </c>
      <c r="BK214" s="68" t="s">
        <v>124</v>
      </c>
      <c r="BL214" s="29"/>
      <c r="BO214" s="35" t="s">
        <v>1805</v>
      </c>
      <c r="BQ214" s="1" t="s">
        <v>2049</v>
      </c>
    </row>
    <row r="215" spans="1:69" ht="15" hidden="1" customHeight="1">
      <c r="A215" s="1" t="s">
        <v>43</v>
      </c>
      <c r="C215" s="1" t="str">
        <f t="shared" si="40"/>
        <v>2704</v>
      </c>
      <c r="D215" s="1" t="str">
        <f t="shared" si="41"/>
        <v>2004</v>
      </c>
      <c r="E215" s="19" t="s">
        <v>48</v>
      </c>
      <c r="F215" s="62" t="s">
        <v>49</v>
      </c>
      <c r="G215" s="62">
        <v>2112</v>
      </c>
      <c r="H215" s="62" t="s">
        <v>684</v>
      </c>
      <c r="I215" s="62" t="s">
        <v>685</v>
      </c>
      <c r="J215" s="118">
        <v>1</v>
      </c>
      <c r="K215" s="119" t="s">
        <v>619</v>
      </c>
      <c r="L215" s="62" t="s">
        <v>77</v>
      </c>
      <c r="M215" s="120" t="s">
        <v>678</v>
      </c>
      <c r="N215" s="65">
        <v>43916</v>
      </c>
      <c r="O215" s="24">
        <v>1500</v>
      </c>
      <c r="P215" s="24">
        <v>23665</v>
      </c>
      <c r="Q215" s="64">
        <v>35497500</v>
      </c>
      <c r="R215" s="64">
        <v>0</v>
      </c>
      <c r="S215" s="64"/>
      <c r="T215" s="64">
        <v>552203.87666666671</v>
      </c>
      <c r="U215" s="64" t="s">
        <v>679</v>
      </c>
      <c r="V215" s="121">
        <v>36049704</v>
      </c>
      <c r="W215" s="122">
        <v>0</v>
      </c>
      <c r="X215" s="64">
        <v>36049704</v>
      </c>
      <c r="Y215" s="121"/>
      <c r="Z215" s="121"/>
      <c r="AA215" s="121"/>
      <c r="AB215" s="121"/>
      <c r="AC215" s="64">
        <v>36049704</v>
      </c>
      <c r="AD215" s="65">
        <v>43936</v>
      </c>
      <c r="AE215" s="65">
        <v>46491</v>
      </c>
      <c r="AF215" s="62">
        <v>7</v>
      </c>
      <c r="AG215" s="119">
        <v>84</v>
      </c>
      <c r="AH215" s="25">
        <v>429163.14285714284</v>
      </c>
      <c r="AI215" s="78">
        <v>19112060.428571425</v>
      </c>
      <c r="AJ215" s="78">
        <v>16937643.571428575</v>
      </c>
      <c r="AK215" s="27">
        <f t="shared" si="42"/>
        <v>429163.14285714284</v>
      </c>
      <c r="AL215" s="27">
        <f t="shared" si="34"/>
        <v>429163.14285714284</v>
      </c>
      <c r="AM215" s="27"/>
      <c r="AN215" s="27"/>
      <c r="AO215" s="27"/>
      <c r="AP215" s="27"/>
      <c r="AQ215" s="27"/>
      <c r="AR215" s="27"/>
      <c r="AS215" s="27"/>
      <c r="AT215" s="27"/>
      <c r="AU215" s="27"/>
      <c r="AV215" s="27"/>
      <c r="AW215" s="27">
        <f t="shared" si="37"/>
        <v>858326.28571428568</v>
      </c>
      <c r="AX215" s="79">
        <f t="shared" si="38"/>
        <v>16079317.285714289</v>
      </c>
      <c r="AY215" s="79">
        <f t="shared" si="39"/>
        <v>19970386.714285713</v>
      </c>
      <c r="AZ215" s="25">
        <v>1</v>
      </c>
      <c r="BA215" s="62" t="s">
        <v>97</v>
      </c>
      <c r="BB215" s="66">
        <v>1</v>
      </c>
      <c r="BC215" s="66"/>
      <c r="BD215" s="66"/>
      <c r="BE215" s="67">
        <f t="shared" si="43"/>
        <v>429163.14285714284</v>
      </c>
      <c r="BF215" s="67">
        <f t="shared" si="36"/>
        <v>0</v>
      </c>
      <c r="BG215" s="67">
        <f t="shared" si="35"/>
        <v>0</v>
      </c>
      <c r="BH215" s="66"/>
      <c r="BI215" s="68" t="s">
        <v>411</v>
      </c>
      <c r="BJ215" s="68" t="s">
        <v>85</v>
      </c>
      <c r="BK215" s="68" t="s">
        <v>85</v>
      </c>
      <c r="BL215" s="29"/>
      <c r="BO215" s="35" t="s">
        <v>1800</v>
      </c>
      <c r="BP215" s="1" t="s">
        <v>1817</v>
      </c>
      <c r="BQ215" s="1" t="e">
        <v>#N/A</v>
      </c>
    </row>
    <row r="216" spans="1:69" ht="15" hidden="1" customHeight="1">
      <c r="A216" s="1" t="s">
        <v>43</v>
      </c>
      <c r="C216" s="1" t="str">
        <f t="shared" si="40"/>
        <v>2704</v>
      </c>
      <c r="D216" s="1" t="str">
        <f t="shared" si="41"/>
        <v>2004</v>
      </c>
      <c r="E216" s="19" t="s">
        <v>48</v>
      </c>
      <c r="F216" s="62" t="s">
        <v>49</v>
      </c>
      <c r="G216" s="62">
        <v>2112</v>
      </c>
      <c r="H216" s="62" t="s">
        <v>686</v>
      </c>
      <c r="I216" s="62" t="s">
        <v>685</v>
      </c>
      <c r="J216" s="118">
        <v>1</v>
      </c>
      <c r="K216" s="119" t="s">
        <v>619</v>
      </c>
      <c r="L216" s="62" t="s">
        <v>77</v>
      </c>
      <c r="M216" s="120" t="s">
        <v>678</v>
      </c>
      <c r="N216" s="65">
        <v>43916</v>
      </c>
      <c r="O216" s="24">
        <v>1500</v>
      </c>
      <c r="P216" s="24">
        <v>23665</v>
      </c>
      <c r="Q216" s="64">
        <v>35497500</v>
      </c>
      <c r="R216" s="64">
        <v>0</v>
      </c>
      <c r="S216" s="64"/>
      <c r="T216" s="64">
        <v>552203.87666666671</v>
      </c>
      <c r="U216" s="64" t="s">
        <v>679</v>
      </c>
      <c r="V216" s="121">
        <v>36049704</v>
      </c>
      <c r="W216" s="122">
        <v>0</v>
      </c>
      <c r="X216" s="64">
        <v>36049704</v>
      </c>
      <c r="Y216" s="121"/>
      <c r="Z216" s="121"/>
      <c r="AA216" s="121"/>
      <c r="AB216" s="121"/>
      <c r="AC216" s="64">
        <v>36049704</v>
      </c>
      <c r="AD216" s="65">
        <v>43936</v>
      </c>
      <c r="AE216" s="65">
        <v>46491</v>
      </c>
      <c r="AF216" s="62">
        <v>7</v>
      </c>
      <c r="AG216" s="119">
        <v>84</v>
      </c>
      <c r="AH216" s="25">
        <v>429163.14285714284</v>
      </c>
      <c r="AI216" s="78">
        <v>19112060.428571425</v>
      </c>
      <c r="AJ216" s="78">
        <v>16937643.571428575</v>
      </c>
      <c r="AK216" s="27">
        <f t="shared" si="42"/>
        <v>429163.14285714284</v>
      </c>
      <c r="AL216" s="27">
        <f t="shared" ref="AL216:AL279" si="44">+IF(AND(AL$3&gt;=$D216,AL$3&lt;$C216),$AH216,$AJ216-SUM(AJ216:AK216))</f>
        <v>429163.14285714284</v>
      </c>
      <c r="AM216" s="27"/>
      <c r="AN216" s="27"/>
      <c r="AO216" s="27"/>
      <c r="AP216" s="27"/>
      <c r="AQ216" s="27"/>
      <c r="AR216" s="27"/>
      <c r="AS216" s="27"/>
      <c r="AT216" s="27"/>
      <c r="AU216" s="27"/>
      <c r="AV216" s="27"/>
      <c r="AW216" s="27">
        <f t="shared" si="37"/>
        <v>858326.28571428568</v>
      </c>
      <c r="AX216" s="79">
        <f t="shared" si="38"/>
        <v>16079317.285714289</v>
      </c>
      <c r="AY216" s="79">
        <f t="shared" si="39"/>
        <v>19970386.714285713</v>
      </c>
      <c r="AZ216" s="25">
        <v>1</v>
      </c>
      <c r="BA216" s="62" t="s">
        <v>97</v>
      </c>
      <c r="BB216" s="66">
        <v>1</v>
      </c>
      <c r="BC216" s="66"/>
      <c r="BD216" s="66"/>
      <c r="BE216" s="67">
        <f t="shared" si="43"/>
        <v>429163.14285714284</v>
      </c>
      <c r="BF216" s="67">
        <f t="shared" si="36"/>
        <v>0</v>
      </c>
      <c r="BG216" s="67">
        <f t="shared" si="35"/>
        <v>0</v>
      </c>
      <c r="BH216" s="66"/>
      <c r="BI216" s="68" t="s">
        <v>414</v>
      </c>
      <c r="BJ216" s="68" t="s">
        <v>85</v>
      </c>
      <c r="BK216" s="68" t="s">
        <v>85</v>
      </c>
      <c r="BL216" s="29"/>
      <c r="BO216" s="35" t="s">
        <v>1801</v>
      </c>
      <c r="BP216" s="1" t="s">
        <v>1813</v>
      </c>
      <c r="BQ216" s="1" t="e">
        <v>#N/A</v>
      </c>
    </row>
    <row r="217" spans="1:69" ht="15" hidden="1" customHeight="1">
      <c r="A217" s="1" t="s">
        <v>43</v>
      </c>
      <c r="C217" s="1" t="str">
        <f t="shared" si="40"/>
        <v>2704</v>
      </c>
      <c r="D217" s="1" t="str">
        <f t="shared" si="41"/>
        <v>2004</v>
      </c>
      <c r="E217" s="19" t="s">
        <v>48</v>
      </c>
      <c r="F217" s="62" t="s">
        <v>49</v>
      </c>
      <c r="G217" s="62">
        <v>2112</v>
      </c>
      <c r="H217" s="62" t="s">
        <v>687</v>
      </c>
      <c r="I217" s="62" t="s">
        <v>685</v>
      </c>
      <c r="J217" s="118">
        <v>1</v>
      </c>
      <c r="K217" s="119" t="s">
        <v>619</v>
      </c>
      <c r="L217" s="62" t="s">
        <v>77</v>
      </c>
      <c r="M217" s="120" t="s">
        <v>678</v>
      </c>
      <c r="N217" s="65">
        <v>43916</v>
      </c>
      <c r="O217" s="24">
        <v>1500</v>
      </c>
      <c r="P217" s="24">
        <v>23665</v>
      </c>
      <c r="Q217" s="64">
        <v>35497500</v>
      </c>
      <c r="R217" s="64">
        <v>0</v>
      </c>
      <c r="S217" s="64"/>
      <c r="T217" s="64">
        <v>552203.87666666671</v>
      </c>
      <c r="U217" s="64" t="s">
        <v>679</v>
      </c>
      <c r="V217" s="121">
        <v>36049704</v>
      </c>
      <c r="W217" s="122">
        <v>0</v>
      </c>
      <c r="X217" s="64">
        <v>36049704</v>
      </c>
      <c r="Y217" s="121"/>
      <c r="Z217" s="121"/>
      <c r="AA217" s="121"/>
      <c r="AB217" s="121"/>
      <c r="AC217" s="64">
        <v>36049704</v>
      </c>
      <c r="AD217" s="65">
        <v>43936</v>
      </c>
      <c r="AE217" s="65">
        <v>46491</v>
      </c>
      <c r="AF217" s="62">
        <v>7</v>
      </c>
      <c r="AG217" s="119">
        <v>84</v>
      </c>
      <c r="AH217" s="25">
        <v>429163.14285714284</v>
      </c>
      <c r="AI217" s="78">
        <v>19112060.428571425</v>
      </c>
      <c r="AJ217" s="78">
        <v>16937643.571428575</v>
      </c>
      <c r="AK217" s="27">
        <f t="shared" si="42"/>
        <v>429163.14285714284</v>
      </c>
      <c r="AL217" s="27">
        <f t="shared" si="44"/>
        <v>429163.14285714284</v>
      </c>
      <c r="AM217" s="27"/>
      <c r="AN217" s="27"/>
      <c r="AO217" s="27"/>
      <c r="AP217" s="27"/>
      <c r="AQ217" s="27"/>
      <c r="AR217" s="27"/>
      <c r="AS217" s="27"/>
      <c r="AT217" s="27"/>
      <c r="AU217" s="27"/>
      <c r="AV217" s="27"/>
      <c r="AW217" s="27">
        <f t="shared" si="37"/>
        <v>858326.28571428568</v>
      </c>
      <c r="AX217" s="79">
        <f t="shared" si="38"/>
        <v>16079317.285714289</v>
      </c>
      <c r="AY217" s="79">
        <f t="shared" si="39"/>
        <v>19970386.714285713</v>
      </c>
      <c r="AZ217" s="25">
        <v>1</v>
      </c>
      <c r="BA217" s="62" t="s">
        <v>97</v>
      </c>
      <c r="BB217" s="66">
        <v>1</v>
      </c>
      <c r="BC217" s="66"/>
      <c r="BD217" s="66"/>
      <c r="BE217" s="67">
        <f t="shared" si="43"/>
        <v>429163.14285714284</v>
      </c>
      <c r="BF217" s="67">
        <f t="shared" si="36"/>
        <v>0</v>
      </c>
      <c r="BG217" s="67">
        <f t="shared" si="35"/>
        <v>0</v>
      </c>
      <c r="BH217" s="66"/>
      <c r="BI217" s="68" t="s">
        <v>414</v>
      </c>
      <c r="BJ217" s="68" t="s">
        <v>85</v>
      </c>
      <c r="BK217" s="68" t="s">
        <v>85</v>
      </c>
      <c r="BL217" s="29"/>
      <c r="BO217" s="35" t="s">
        <v>1800</v>
      </c>
      <c r="BP217" s="1" t="s">
        <v>1814</v>
      </c>
      <c r="BQ217" s="1" t="e">
        <v>#N/A</v>
      </c>
    </row>
    <row r="218" spans="1:69" ht="15" hidden="1" customHeight="1">
      <c r="A218" s="1" t="s">
        <v>43</v>
      </c>
      <c r="C218" s="1" t="str">
        <f t="shared" si="40"/>
        <v>2704</v>
      </c>
      <c r="D218" s="1" t="str">
        <f t="shared" si="41"/>
        <v>2004</v>
      </c>
      <c r="E218" s="19" t="s">
        <v>48</v>
      </c>
      <c r="F218" s="62" t="s">
        <v>49</v>
      </c>
      <c r="G218" s="62">
        <v>2112</v>
      </c>
      <c r="H218" s="62" t="s">
        <v>688</v>
      </c>
      <c r="I218" s="62" t="s">
        <v>689</v>
      </c>
      <c r="J218" s="118">
        <v>1</v>
      </c>
      <c r="K218" s="119" t="s">
        <v>619</v>
      </c>
      <c r="L218" s="62" t="s">
        <v>77</v>
      </c>
      <c r="M218" s="120" t="s">
        <v>678</v>
      </c>
      <c r="N218" s="65">
        <v>43916</v>
      </c>
      <c r="O218" s="24">
        <v>1500</v>
      </c>
      <c r="P218" s="24">
        <v>23665</v>
      </c>
      <c r="Q218" s="64">
        <v>35497500</v>
      </c>
      <c r="R218" s="64">
        <v>0</v>
      </c>
      <c r="S218" s="64"/>
      <c r="T218" s="64">
        <v>552203.87363636354</v>
      </c>
      <c r="U218" s="64" t="s">
        <v>679</v>
      </c>
      <c r="V218" s="121">
        <v>36049704</v>
      </c>
      <c r="W218" s="122">
        <v>0</v>
      </c>
      <c r="X218" s="64">
        <v>36049704</v>
      </c>
      <c r="Y218" s="121"/>
      <c r="Z218" s="121"/>
      <c r="AA218" s="121"/>
      <c r="AB218" s="121"/>
      <c r="AC218" s="64">
        <v>36049704</v>
      </c>
      <c r="AD218" s="65">
        <v>43936</v>
      </c>
      <c r="AE218" s="65">
        <v>46491</v>
      </c>
      <c r="AF218" s="62">
        <v>7</v>
      </c>
      <c r="AG218" s="119">
        <v>84</v>
      </c>
      <c r="AH218" s="25">
        <v>429163.14285714284</v>
      </c>
      <c r="AI218" s="78">
        <v>19112060.428571425</v>
      </c>
      <c r="AJ218" s="78">
        <v>16937643.571428575</v>
      </c>
      <c r="AK218" s="27">
        <f t="shared" si="42"/>
        <v>429163.14285714284</v>
      </c>
      <c r="AL218" s="27">
        <f t="shared" si="44"/>
        <v>429163.14285714284</v>
      </c>
      <c r="AM218" s="27"/>
      <c r="AN218" s="27"/>
      <c r="AO218" s="27"/>
      <c r="AP218" s="27"/>
      <c r="AQ218" s="27"/>
      <c r="AR218" s="27"/>
      <c r="AS218" s="27"/>
      <c r="AT218" s="27"/>
      <c r="AU218" s="27"/>
      <c r="AV218" s="27"/>
      <c r="AW218" s="27">
        <f t="shared" si="37"/>
        <v>858326.28571428568</v>
      </c>
      <c r="AX218" s="79">
        <f t="shared" si="38"/>
        <v>16079317.285714289</v>
      </c>
      <c r="AY218" s="79">
        <f t="shared" si="39"/>
        <v>19970386.714285713</v>
      </c>
      <c r="AZ218" s="25">
        <v>1</v>
      </c>
      <c r="BA218" s="62" t="s">
        <v>97</v>
      </c>
      <c r="BB218" s="66">
        <v>1</v>
      </c>
      <c r="BC218" s="66"/>
      <c r="BD218" s="66"/>
      <c r="BE218" s="67">
        <f t="shared" si="43"/>
        <v>429163.14285714284</v>
      </c>
      <c r="BF218" s="67">
        <f t="shared" si="36"/>
        <v>0</v>
      </c>
      <c r="BG218" s="67">
        <f t="shared" si="35"/>
        <v>0</v>
      </c>
      <c r="BH218" s="66"/>
      <c r="BI218" s="68" t="s">
        <v>414</v>
      </c>
      <c r="BJ218" s="68" t="s">
        <v>85</v>
      </c>
      <c r="BK218" s="68" t="s">
        <v>85</v>
      </c>
      <c r="BL218" s="29"/>
      <c r="BO218" s="35" t="s">
        <v>1801</v>
      </c>
      <c r="BP218" s="1" t="s">
        <v>1813</v>
      </c>
      <c r="BQ218" s="1" t="e">
        <v>#N/A</v>
      </c>
    </row>
    <row r="219" spans="1:69" ht="15" hidden="1" customHeight="1">
      <c r="A219" s="1" t="s">
        <v>43</v>
      </c>
      <c r="C219" s="1" t="str">
        <f t="shared" si="40"/>
        <v>2704</v>
      </c>
      <c r="D219" s="1" t="str">
        <f t="shared" si="41"/>
        <v>2004</v>
      </c>
      <c r="E219" s="19" t="s">
        <v>48</v>
      </c>
      <c r="F219" s="62" t="s">
        <v>49</v>
      </c>
      <c r="G219" s="62">
        <v>2112</v>
      </c>
      <c r="H219" s="62" t="s">
        <v>690</v>
      </c>
      <c r="I219" s="62" t="s">
        <v>689</v>
      </c>
      <c r="J219" s="118">
        <v>1</v>
      </c>
      <c r="K219" s="119" t="s">
        <v>619</v>
      </c>
      <c r="L219" s="62" t="s">
        <v>77</v>
      </c>
      <c r="M219" s="120" t="s">
        <v>678</v>
      </c>
      <c r="N219" s="65">
        <v>43916</v>
      </c>
      <c r="O219" s="24">
        <v>1500</v>
      </c>
      <c r="P219" s="24">
        <v>23665</v>
      </c>
      <c r="Q219" s="64">
        <v>35497500</v>
      </c>
      <c r="R219" s="64">
        <v>0</v>
      </c>
      <c r="S219" s="64"/>
      <c r="T219" s="64">
        <v>552203.87363636354</v>
      </c>
      <c r="U219" s="64" t="s">
        <v>679</v>
      </c>
      <c r="V219" s="121">
        <v>36049704</v>
      </c>
      <c r="W219" s="122">
        <v>0</v>
      </c>
      <c r="X219" s="64">
        <v>36049704</v>
      </c>
      <c r="Y219" s="121"/>
      <c r="Z219" s="121"/>
      <c r="AA219" s="121"/>
      <c r="AB219" s="121"/>
      <c r="AC219" s="64">
        <v>36049704</v>
      </c>
      <c r="AD219" s="65">
        <v>43936</v>
      </c>
      <c r="AE219" s="65">
        <v>46491</v>
      </c>
      <c r="AF219" s="62">
        <v>7</v>
      </c>
      <c r="AG219" s="119">
        <v>84</v>
      </c>
      <c r="AH219" s="25">
        <v>429163.14285714284</v>
      </c>
      <c r="AI219" s="78">
        <v>19112060.428571425</v>
      </c>
      <c r="AJ219" s="78">
        <v>16937643.571428575</v>
      </c>
      <c r="AK219" s="27">
        <f t="shared" si="42"/>
        <v>429163.14285714284</v>
      </c>
      <c r="AL219" s="27">
        <f t="shared" si="44"/>
        <v>429163.14285714284</v>
      </c>
      <c r="AM219" s="27"/>
      <c r="AN219" s="27"/>
      <c r="AO219" s="27"/>
      <c r="AP219" s="27"/>
      <c r="AQ219" s="27"/>
      <c r="AR219" s="27"/>
      <c r="AS219" s="27"/>
      <c r="AT219" s="27"/>
      <c r="AU219" s="27"/>
      <c r="AV219" s="27"/>
      <c r="AW219" s="27">
        <f t="shared" si="37"/>
        <v>858326.28571428568</v>
      </c>
      <c r="AX219" s="79">
        <f t="shared" si="38"/>
        <v>16079317.285714289</v>
      </c>
      <c r="AY219" s="79">
        <f t="shared" si="39"/>
        <v>19970386.714285713</v>
      </c>
      <c r="AZ219" s="25">
        <v>1</v>
      </c>
      <c r="BA219" s="62" t="s">
        <v>97</v>
      </c>
      <c r="BB219" s="66">
        <v>1</v>
      </c>
      <c r="BC219" s="66"/>
      <c r="BD219" s="66"/>
      <c r="BE219" s="67">
        <f t="shared" si="43"/>
        <v>429163.14285714284</v>
      </c>
      <c r="BF219" s="67">
        <f t="shared" si="36"/>
        <v>0</v>
      </c>
      <c r="BG219" s="67">
        <f t="shared" si="35"/>
        <v>0</v>
      </c>
      <c r="BH219" s="66"/>
      <c r="BI219" s="68" t="s">
        <v>414</v>
      </c>
      <c r="BJ219" s="68" t="s">
        <v>85</v>
      </c>
      <c r="BK219" s="68" t="s">
        <v>85</v>
      </c>
      <c r="BL219" s="29"/>
      <c r="BO219" s="35" t="s">
        <v>1801</v>
      </c>
      <c r="BP219" s="1" t="s">
        <v>1813</v>
      </c>
      <c r="BQ219" s="1" t="s">
        <v>1980</v>
      </c>
    </row>
    <row r="220" spans="1:69" ht="15" hidden="1" customHeight="1">
      <c r="A220" s="1" t="s">
        <v>43</v>
      </c>
      <c r="C220" s="1" t="str">
        <f t="shared" si="40"/>
        <v>2704</v>
      </c>
      <c r="D220" s="1" t="str">
        <f t="shared" si="41"/>
        <v>2004</v>
      </c>
      <c r="E220" s="19" t="s">
        <v>48</v>
      </c>
      <c r="F220" s="62" t="s">
        <v>49</v>
      </c>
      <c r="G220" s="62">
        <v>2112</v>
      </c>
      <c r="H220" s="62" t="s">
        <v>691</v>
      </c>
      <c r="I220" s="62" t="s">
        <v>689</v>
      </c>
      <c r="J220" s="118">
        <v>1</v>
      </c>
      <c r="K220" s="119" t="s">
        <v>619</v>
      </c>
      <c r="L220" s="62" t="s">
        <v>77</v>
      </c>
      <c r="M220" s="120" t="s">
        <v>678</v>
      </c>
      <c r="N220" s="65">
        <v>43916</v>
      </c>
      <c r="O220" s="24">
        <v>1500</v>
      </c>
      <c r="P220" s="24">
        <v>23665</v>
      </c>
      <c r="Q220" s="64">
        <v>35497500</v>
      </c>
      <c r="R220" s="64">
        <v>0</v>
      </c>
      <c r="S220" s="64"/>
      <c r="T220" s="64">
        <v>552203.87363636354</v>
      </c>
      <c r="U220" s="64" t="s">
        <v>679</v>
      </c>
      <c r="V220" s="121">
        <v>36049704</v>
      </c>
      <c r="W220" s="122">
        <v>0</v>
      </c>
      <c r="X220" s="64">
        <v>36049704</v>
      </c>
      <c r="Y220" s="121"/>
      <c r="Z220" s="121"/>
      <c r="AA220" s="121"/>
      <c r="AB220" s="121"/>
      <c r="AC220" s="64">
        <v>36049704</v>
      </c>
      <c r="AD220" s="65">
        <v>43936</v>
      </c>
      <c r="AE220" s="65">
        <v>46491</v>
      </c>
      <c r="AF220" s="62">
        <v>7</v>
      </c>
      <c r="AG220" s="119">
        <v>84</v>
      </c>
      <c r="AH220" s="25">
        <v>429163.14285714284</v>
      </c>
      <c r="AI220" s="78">
        <v>19112060.428571425</v>
      </c>
      <c r="AJ220" s="78">
        <v>16937643.571428575</v>
      </c>
      <c r="AK220" s="27">
        <f t="shared" si="42"/>
        <v>429163.14285714284</v>
      </c>
      <c r="AL220" s="27">
        <f t="shared" si="44"/>
        <v>429163.14285714284</v>
      </c>
      <c r="AM220" s="27"/>
      <c r="AN220" s="27"/>
      <c r="AO220" s="27"/>
      <c r="AP220" s="27"/>
      <c r="AQ220" s="27"/>
      <c r="AR220" s="27"/>
      <c r="AS220" s="27"/>
      <c r="AT220" s="27"/>
      <c r="AU220" s="27"/>
      <c r="AV220" s="27"/>
      <c r="AW220" s="27">
        <f t="shared" si="37"/>
        <v>858326.28571428568</v>
      </c>
      <c r="AX220" s="79">
        <f t="shared" si="38"/>
        <v>16079317.285714289</v>
      </c>
      <c r="AY220" s="79">
        <f t="shared" si="39"/>
        <v>19970386.714285713</v>
      </c>
      <c r="AZ220" s="25">
        <v>1</v>
      </c>
      <c r="BA220" s="62" t="s">
        <v>97</v>
      </c>
      <c r="BB220" s="66">
        <v>1</v>
      </c>
      <c r="BC220" s="66"/>
      <c r="BD220" s="66"/>
      <c r="BE220" s="67">
        <f t="shared" si="43"/>
        <v>429163.14285714284</v>
      </c>
      <c r="BF220" s="67">
        <f t="shared" si="36"/>
        <v>0</v>
      </c>
      <c r="BG220" s="67">
        <f t="shared" si="35"/>
        <v>0</v>
      </c>
      <c r="BH220" s="66"/>
      <c r="BI220" s="68" t="s">
        <v>498</v>
      </c>
      <c r="BJ220" s="68" t="s">
        <v>85</v>
      </c>
      <c r="BK220" s="68" t="s">
        <v>85</v>
      </c>
      <c r="BL220" s="29"/>
      <c r="BO220" s="35" t="s">
        <v>1800</v>
      </c>
      <c r="BP220" s="1" t="s">
        <v>1815</v>
      </c>
      <c r="BQ220" s="1" t="e">
        <v>#N/A</v>
      </c>
    </row>
    <row r="221" spans="1:69" ht="15" hidden="1" customHeight="1">
      <c r="A221" s="1" t="s">
        <v>43</v>
      </c>
      <c r="C221" s="1" t="str">
        <f t="shared" si="40"/>
        <v>2704</v>
      </c>
      <c r="D221" s="1" t="str">
        <f t="shared" si="41"/>
        <v>2004</v>
      </c>
      <c r="E221" s="19" t="s">
        <v>48</v>
      </c>
      <c r="F221" s="62" t="s">
        <v>49</v>
      </c>
      <c r="G221" s="62">
        <v>2112</v>
      </c>
      <c r="H221" s="62" t="s">
        <v>692</v>
      </c>
      <c r="I221" s="62" t="s">
        <v>689</v>
      </c>
      <c r="J221" s="118">
        <v>1</v>
      </c>
      <c r="K221" s="119" t="s">
        <v>619</v>
      </c>
      <c r="L221" s="62" t="s">
        <v>77</v>
      </c>
      <c r="M221" s="120" t="s">
        <v>678</v>
      </c>
      <c r="N221" s="65">
        <v>43916</v>
      </c>
      <c r="O221" s="24">
        <v>1500</v>
      </c>
      <c r="P221" s="24">
        <v>23665</v>
      </c>
      <c r="Q221" s="64">
        <v>35497500</v>
      </c>
      <c r="R221" s="64">
        <v>0</v>
      </c>
      <c r="S221" s="64"/>
      <c r="T221" s="64">
        <v>552203.87363636354</v>
      </c>
      <c r="U221" s="64" t="s">
        <v>679</v>
      </c>
      <c r="V221" s="121">
        <v>36049704</v>
      </c>
      <c r="W221" s="122">
        <v>0</v>
      </c>
      <c r="X221" s="64">
        <v>36049704</v>
      </c>
      <c r="Y221" s="121"/>
      <c r="Z221" s="121"/>
      <c r="AA221" s="121"/>
      <c r="AB221" s="121"/>
      <c r="AC221" s="64">
        <v>36049704</v>
      </c>
      <c r="AD221" s="65">
        <v>43936</v>
      </c>
      <c r="AE221" s="65">
        <v>46491</v>
      </c>
      <c r="AF221" s="62">
        <v>7</v>
      </c>
      <c r="AG221" s="119">
        <v>84</v>
      </c>
      <c r="AH221" s="25">
        <v>429163.14285714284</v>
      </c>
      <c r="AI221" s="78">
        <v>19112060.428571425</v>
      </c>
      <c r="AJ221" s="78">
        <v>16937643.571428575</v>
      </c>
      <c r="AK221" s="27">
        <f t="shared" si="42"/>
        <v>429163.14285714284</v>
      </c>
      <c r="AL221" s="27">
        <f t="shared" si="44"/>
        <v>429163.14285714284</v>
      </c>
      <c r="AM221" s="27"/>
      <c r="AN221" s="27"/>
      <c r="AO221" s="27"/>
      <c r="AP221" s="27"/>
      <c r="AQ221" s="27"/>
      <c r="AR221" s="27"/>
      <c r="AS221" s="27"/>
      <c r="AT221" s="27"/>
      <c r="AU221" s="27"/>
      <c r="AV221" s="27"/>
      <c r="AW221" s="27">
        <f t="shared" si="37"/>
        <v>858326.28571428568</v>
      </c>
      <c r="AX221" s="79">
        <f t="shared" si="38"/>
        <v>16079317.285714289</v>
      </c>
      <c r="AY221" s="79">
        <f t="shared" si="39"/>
        <v>19970386.714285713</v>
      </c>
      <c r="AZ221" s="25">
        <v>1</v>
      </c>
      <c r="BA221" s="62" t="s">
        <v>97</v>
      </c>
      <c r="BB221" s="66">
        <v>1</v>
      </c>
      <c r="BC221" s="66"/>
      <c r="BD221" s="66"/>
      <c r="BE221" s="67">
        <f t="shared" si="43"/>
        <v>429163.14285714284</v>
      </c>
      <c r="BF221" s="67">
        <f t="shared" si="36"/>
        <v>0</v>
      </c>
      <c r="BG221" s="67">
        <f t="shared" si="35"/>
        <v>0</v>
      </c>
      <c r="BH221" s="66"/>
      <c r="BI221" s="68" t="s">
        <v>498</v>
      </c>
      <c r="BJ221" s="68" t="s">
        <v>85</v>
      </c>
      <c r="BK221" s="68" t="s">
        <v>85</v>
      </c>
      <c r="BL221" s="29"/>
      <c r="BO221" s="35" t="s">
        <v>1800</v>
      </c>
      <c r="BP221" s="1" t="s">
        <v>1815</v>
      </c>
      <c r="BQ221" s="1" t="e">
        <v>#N/A</v>
      </c>
    </row>
    <row r="222" spans="1:69" ht="15" hidden="1" customHeight="1">
      <c r="A222" s="1" t="s">
        <v>43</v>
      </c>
      <c r="C222" s="1" t="str">
        <f t="shared" si="40"/>
        <v>2704</v>
      </c>
      <c r="D222" s="1" t="str">
        <f t="shared" si="41"/>
        <v>2004</v>
      </c>
      <c r="E222" s="19" t="s">
        <v>48</v>
      </c>
      <c r="F222" s="62" t="s">
        <v>49</v>
      </c>
      <c r="G222" s="62">
        <v>2112</v>
      </c>
      <c r="H222" s="62" t="s">
        <v>693</v>
      </c>
      <c r="I222" s="62" t="s">
        <v>689</v>
      </c>
      <c r="J222" s="118">
        <v>1</v>
      </c>
      <c r="K222" s="119" t="s">
        <v>619</v>
      </c>
      <c r="L222" s="62" t="s">
        <v>77</v>
      </c>
      <c r="M222" s="120" t="s">
        <v>678</v>
      </c>
      <c r="N222" s="65">
        <v>43916</v>
      </c>
      <c r="O222" s="24">
        <v>1500</v>
      </c>
      <c r="P222" s="24">
        <v>23665</v>
      </c>
      <c r="Q222" s="64">
        <v>35497500</v>
      </c>
      <c r="R222" s="64">
        <v>0</v>
      </c>
      <c r="S222" s="64"/>
      <c r="T222" s="64">
        <v>552203.87363636354</v>
      </c>
      <c r="U222" s="64" t="s">
        <v>679</v>
      </c>
      <c r="V222" s="121">
        <v>36049704</v>
      </c>
      <c r="W222" s="122">
        <v>0</v>
      </c>
      <c r="X222" s="64">
        <v>36049704</v>
      </c>
      <c r="Y222" s="121"/>
      <c r="Z222" s="121"/>
      <c r="AA222" s="121"/>
      <c r="AB222" s="121"/>
      <c r="AC222" s="64">
        <v>36049704</v>
      </c>
      <c r="AD222" s="65">
        <v>43936</v>
      </c>
      <c r="AE222" s="65">
        <v>46491</v>
      </c>
      <c r="AF222" s="62">
        <v>7</v>
      </c>
      <c r="AG222" s="119">
        <v>84</v>
      </c>
      <c r="AH222" s="25">
        <v>429163.14285714284</v>
      </c>
      <c r="AI222" s="78">
        <v>19112060.428571425</v>
      </c>
      <c r="AJ222" s="78">
        <v>16937643.571428575</v>
      </c>
      <c r="AK222" s="27">
        <f t="shared" si="42"/>
        <v>429163.14285714284</v>
      </c>
      <c r="AL222" s="27">
        <f t="shared" si="44"/>
        <v>429163.14285714284</v>
      </c>
      <c r="AM222" s="27"/>
      <c r="AN222" s="27"/>
      <c r="AO222" s="27"/>
      <c r="AP222" s="27"/>
      <c r="AQ222" s="27"/>
      <c r="AR222" s="27"/>
      <c r="AS222" s="27"/>
      <c r="AT222" s="27"/>
      <c r="AU222" s="27"/>
      <c r="AV222" s="27"/>
      <c r="AW222" s="27">
        <f t="shared" si="37"/>
        <v>858326.28571428568</v>
      </c>
      <c r="AX222" s="79">
        <f t="shared" si="38"/>
        <v>16079317.285714289</v>
      </c>
      <c r="AY222" s="79">
        <f t="shared" si="39"/>
        <v>19970386.714285713</v>
      </c>
      <c r="AZ222" s="25">
        <v>1</v>
      </c>
      <c r="BA222" s="62" t="s">
        <v>97</v>
      </c>
      <c r="BB222" s="66">
        <v>1</v>
      </c>
      <c r="BC222" s="66"/>
      <c r="BD222" s="66"/>
      <c r="BE222" s="67">
        <f t="shared" si="43"/>
        <v>429163.14285714284</v>
      </c>
      <c r="BF222" s="67">
        <f t="shared" si="36"/>
        <v>0</v>
      </c>
      <c r="BG222" s="67">
        <f t="shared" si="35"/>
        <v>0</v>
      </c>
      <c r="BH222" s="66"/>
      <c r="BI222" s="68" t="s">
        <v>498</v>
      </c>
      <c r="BJ222" s="68" t="s">
        <v>85</v>
      </c>
      <c r="BK222" s="68" t="s">
        <v>85</v>
      </c>
      <c r="BL222" s="29"/>
      <c r="BO222" s="35" t="s">
        <v>1800</v>
      </c>
      <c r="BP222" s="1" t="s">
        <v>1815</v>
      </c>
      <c r="BQ222" s="1" t="e">
        <v>#N/A</v>
      </c>
    </row>
    <row r="223" spans="1:69" ht="15" hidden="1" customHeight="1">
      <c r="A223" s="1" t="s">
        <v>43</v>
      </c>
      <c r="C223" s="1" t="str">
        <f t="shared" si="40"/>
        <v>2606</v>
      </c>
      <c r="D223" s="1" t="str">
        <f t="shared" si="41"/>
        <v>2006</v>
      </c>
      <c r="E223" s="19" t="s">
        <v>48</v>
      </c>
      <c r="F223" s="62" t="s">
        <v>49</v>
      </c>
      <c r="G223" s="62">
        <v>2112</v>
      </c>
      <c r="H223" s="62" t="s">
        <v>694</v>
      </c>
      <c r="I223" s="62" t="s">
        <v>689</v>
      </c>
      <c r="J223" s="118">
        <v>1</v>
      </c>
      <c r="K223" s="119" t="s">
        <v>619</v>
      </c>
      <c r="L223" s="62" t="s">
        <v>77</v>
      </c>
      <c r="M223" s="120" t="s">
        <v>678</v>
      </c>
      <c r="N223" s="65">
        <v>43916</v>
      </c>
      <c r="O223" s="24">
        <v>1500</v>
      </c>
      <c r="P223" s="24">
        <v>23665</v>
      </c>
      <c r="Q223" s="64">
        <v>35497500</v>
      </c>
      <c r="R223" s="64">
        <v>0</v>
      </c>
      <c r="S223" s="64"/>
      <c r="T223" s="64">
        <v>552203.87363636354</v>
      </c>
      <c r="U223" s="64" t="s">
        <v>679</v>
      </c>
      <c r="V223" s="121">
        <v>36049704</v>
      </c>
      <c r="W223" s="122">
        <v>0</v>
      </c>
      <c r="X223" s="64">
        <v>36049704</v>
      </c>
      <c r="Y223" s="121"/>
      <c r="Z223" s="121"/>
      <c r="AA223" s="121"/>
      <c r="AB223" s="121"/>
      <c r="AC223" s="64">
        <v>36049704</v>
      </c>
      <c r="AD223" s="63">
        <v>44007</v>
      </c>
      <c r="AE223" s="65">
        <v>46197</v>
      </c>
      <c r="AF223" s="62">
        <v>6</v>
      </c>
      <c r="AG223" s="119">
        <v>72</v>
      </c>
      <c r="AH223" s="25">
        <v>500690.33333333331</v>
      </c>
      <c r="AI223" s="78">
        <v>21129121.333333332</v>
      </c>
      <c r="AJ223" s="78">
        <v>14920582.666666668</v>
      </c>
      <c r="AK223" s="27">
        <f t="shared" si="42"/>
        <v>500690.33333333331</v>
      </c>
      <c r="AL223" s="27">
        <f t="shared" si="44"/>
        <v>500690.33333333331</v>
      </c>
      <c r="AM223" s="27"/>
      <c r="AN223" s="27"/>
      <c r="AO223" s="27"/>
      <c r="AP223" s="27"/>
      <c r="AQ223" s="27"/>
      <c r="AR223" s="27"/>
      <c r="AS223" s="27"/>
      <c r="AT223" s="27"/>
      <c r="AU223" s="27"/>
      <c r="AV223" s="27"/>
      <c r="AW223" s="27">
        <f t="shared" si="37"/>
        <v>1001380.6666666666</v>
      </c>
      <c r="AX223" s="79">
        <f t="shared" si="38"/>
        <v>13919202.000000002</v>
      </c>
      <c r="AY223" s="79">
        <f t="shared" si="39"/>
        <v>22130502</v>
      </c>
      <c r="AZ223" s="25">
        <v>1</v>
      </c>
      <c r="BA223" s="62" t="s">
        <v>97</v>
      </c>
      <c r="BB223" s="66">
        <v>1</v>
      </c>
      <c r="BC223" s="66"/>
      <c r="BD223" s="66"/>
      <c r="BE223" s="67">
        <f t="shared" si="43"/>
        <v>500690.33333333331</v>
      </c>
      <c r="BF223" s="67">
        <f t="shared" si="36"/>
        <v>0</v>
      </c>
      <c r="BG223" s="67">
        <f t="shared" si="35"/>
        <v>0</v>
      </c>
      <c r="BH223" s="66"/>
      <c r="BI223" s="68" t="s">
        <v>695</v>
      </c>
      <c r="BJ223" s="68" t="s">
        <v>85</v>
      </c>
      <c r="BK223" s="68" t="s">
        <v>85</v>
      </c>
      <c r="BL223" s="29"/>
      <c r="BO223" s="35" t="s">
        <v>1801</v>
      </c>
      <c r="BP223" s="1" t="s">
        <v>1813</v>
      </c>
      <c r="BQ223" s="1" t="e">
        <v>#N/A</v>
      </c>
    </row>
    <row r="224" spans="1:69" ht="15" hidden="1" customHeight="1">
      <c r="A224" s="1" t="s">
        <v>43</v>
      </c>
      <c r="C224" s="1" t="str">
        <f t="shared" si="40"/>
        <v>2606</v>
      </c>
      <c r="D224" s="1" t="str">
        <f t="shared" si="41"/>
        <v>2006</v>
      </c>
      <c r="E224" s="19" t="s">
        <v>48</v>
      </c>
      <c r="F224" s="62" t="s">
        <v>49</v>
      </c>
      <c r="G224" s="62">
        <v>2112</v>
      </c>
      <c r="H224" s="62" t="s">
        <v>696</v>
      </c>
      <c r="I224" s="62" t="s">
        <v>689</v>
      </c>
      <c r="J224" s="118">
        <v>1</v>
      </c>
      <c r="K224" s="119" t="s">
        <v>619</v>
      </c>
      <c r="L224" s="62" t="s">
        <v>77</v>
      </c>
      <c r="M224" s="120" t="s">
        <v>678</v>
      </c>
      <c r="N224" s="65">
        <v>43916</v>
      </c>
      <c r="O224" s="24">
        <v>1500</v>
      </c>
      <c r="P224" s="24">
        <v>23665</v>
      </c>
      <c r="Q224" s="64">
        <v>35497500</v>
      </c>
      <c r="R224" s="64">
        <v>0</v>
      </c>
      <c r="S224" s="64"/>
      <c r="T224" s="64">
        <v>552203.87363636354</v>
      </c>
      <c r="U224" s="64" t="s">
        <v>679</v>
      </c>
      <c r="V224" s="121">
        <v>36049704</v>
      </c>
      <c r="W224" s="122">
        <v>0</v>
      </c>
      <c r="X224" s="64">
        <v>36049704</v>
      </c>
      <c r="Y224" s="121"/>
      <c r="Z224" s="121"/>
      <c r="AA224" s="121"/>
      <c r="AB224" s="121"/>
      <c r="AC224" s="64">
        <v>36049704</v>
      </c>
      <c r="AD224" s="63">
        <v>44007</v>
      </c>
      <c r="AE224" s="65">
        <v>46197</v>
      </c>
      <c r="AF224" s="62">
        <v>6</v>
      </c>
      <c r="AG224" s="119">
        <v>72</v>
      </c>
      <c r="AH224" s="25">
        <v>500690.33333333331</v>
      </c>
      <c r="AI224" s="78">
        <v>21129121.333333332</v>
      </c>
      <c r="AJ224" s="78">
        <v>14920582.666666668</v>
      </c>
      <c r="AK224" s="27">
        <f t="shared" si="42"/>
        <v>500690.33333333331</v>
      </c>
      <c r="AL224" s="27">
        <f t="shared" si="44"/>
        <v>500690.33333333331</v>
      </c>
      <c r="AM224" s="27"/>
      <c r="AN224" s="27"/>
      <c r="AO224" s="27"/>
      <c r="AP224" s="27"/>
      <c r="AQ224" s="27"/>
      <c r="AR224" s="27"/>
      <c r="AS224" s="27"/>
      <c r="AT224" s="27"/>
      <c r="AU224" s="27"/>
      <c r="AV224" s="27"/>
      <c r="AW224" s="27">
        <f t="shared" si="37"/>
        <v>1001380.6666666666</v>
      </c>
      <c r="AX224" s="79">
        <f t="shared" si="38"/>
        <v>13919202.000000002</v>
      </c>
      <c r="AY224" s="79">
        <f t="shared" si="39"/>
        <v>22130502</v>
      </c>
      <c r="AZ224" s="25">
        <v>1</v>
      </c>
      <c r="BA224" s="62" t="s">
        <v>97</v>
      </c>
      <c r="BB224" s="66">
        <v>1</v>
      </c>
      <c r="BC224" s="66"/>
      <c r="BD224" s="66"/>
      <c r="BE224" s="67">
        <f t="shared" si="43"/>
        <v>500690.33333333331</v>
      </c>
      <c r="BF224" s="67">
        <f t="shared" si="36"/>
        <v>0</v>
      </c>
      <c r="BG224" s="67">
        <f t="shared" si="35"/>
        <v>0</v>
      </c>
      <c r="BH224" s="66"/>
      <c r="BI224" s="68" t="s">
        <v>695</v>
      </c>
      <c r="BJ224" s="68" t="s">
        <v>85</v>
      </c>
      <c r="BK224" s="68" t="s">
        <v>85</v>
      </c>
      <c r="BL224" s="29"/>
      <c r="BO224" s="35" t="s">
        <v>1801</v>
      </c>
      <c r="BP224" s="1" t="s">
        <v>1813</v>
      </c>
      <c r="BQ224" s="1" t="e">
        <v>#N/A</v>
      </c>
    </row>
    <row r="225" spans="1:69" ht="15" hidden="1" customHeight="1">
      <c r="A225" s="1" t="s">
        <v>43</v>
      </c>
      <c r="C225" s="1" t="str">
        <f t="shared" si="40"/>
        <v>2606</v>
      </c>
      <c r="D225" s="1" t="str">
        <f t="shared" si="41"/>
        <v>2006</v>
      </c>
      <c r="E225" s="19" t="s">
        <v>48</v>
      </c>
      <c r="F225" s="62" t="s">
        <v>49</v>
      </c>
      <c r="G225" s="62">
        <v>2112</v>
      </c>
      <c r="H225" s="62" t="s">
        <v>697</v>
      </c>
      <c r="I225" s="62" t="s">
        <v>689</v>
      </c>
      <c r="J225" s="118">
        <v>1</v>
      </c>
      <c r="K225" s="119" t="s">
        <v>619</v>
      </c>
      <c r="L225" s="62" t="s">
        <v>77</v>
      </c>
      <c r="M225" s="120" t="s">
        <v>678</v>
      </c>
      <c r="N225" s="65">
        <v>43916</v>
      </c>
      <c r="O225" s="24">
        <v>1500</v>
      </c>
      <c r="P225" s="24">
        <v>23665</v>
      </c>
      <c r="Q225" s="64">
        <v>35497500</v>
      </c>
      <c r="R225" s="64">
        <v>0</v>
      </c>
      <c r="S225" s="64"/>
      <c r="T225" s="64">
        <v>552203.87363636354</v>
      </c>
      <c r="U225" s="64" t="s">
        <v>679</v>
      </c>
      <c r="V225" s="121">
        <v>36049704</v>
      </c>
      <c r="W225" s="122">
        <v>0</v>
      </c>
      <c r="X225" s="64">
        <v>36049704</v>
      </c>
      <c r="Y225" s="121"/>
      <c r="Z225" s="121"/>
      <c r="AA225" s="121"/>
      <c r="AB225" s="121"/>
      <c r="AC225" s="64">
        <v>36049704</v>
      </c>
      <c r="AD225" s="63">
        <v>44007</v>
      </c>
      <c r="AE225" s="65">
        <v>46197</v>
      </c>
      <c r="AF225" s="62">
        <v>6</v>
      </c>
      <c r="AG225" s="119">
        <v>72</v>
      </c>
      <c r="AH225" s="25">
        <v>500690.33333333331</v>
      </c>
      <c r="AI225" s="78">
        <v>21129121.333333332</v>
      </c>
      <c r="AJ225" s="78">
        <v>14920582.666666668</v>
      </c>
      <c r="AK225" s="27">
        <f t="shared" si="42"/>
        <v>500690.33333333331</v>
      </c>
      <c r="AL225" s="27">
        <f t="shared" si="44"/>
        <v>500690.33333333331</v>
      </c>
      <c r="AM225" s="27"/>
      <c r="AN225" s="27"/>
      <c r="AO225" s="27"/>
      <c r="AP225" s="27"/>
      <c r="AQ225" s="27"/>
      <c r="AR225" s="27"/>
      <c r="AS225" s="27"/>
      <c r="AT225" s="27"/>
      <c r="AU225" s="27"/>
      <c r="AV225" s="27"/>
      <c r="AW225" s="27">
        <f t="shared" si="37"/>
        <v>1001380.6666666666</v>
      </c>
      <c r="AX225" s="79">
        <f t="shared" si="38"/>
        <v>13919202.000000002</v>
      </c>
      <c r="AY225" s="79">
        <f t="shared" si="39"/>
        <v>22130502</v>
      </c>
      <c r="AZ225" s="25">
        <v>1</v>
      </c>
      <c r="BA225" s="62" t="s">
        <v>97</v>
      </c>
      <c r="BB225" s="66">
        <v>1</v>
      </c>
      <c r="BC225" s="66"/>
      <c r="BD225" s="66"/>
      <c r="BE225" s="67">
        <f t="shared" si="43"/>
        <v>500690.33333333331</v>
      </c>
      <c r="BF225" s="67">
        <f t="shared" si="36"/>
        <v>0</v>
      </c>
      <c r="BG225" s="67">
        <f t="shared" si="35"/>
        <v>0</v>
      </c>
      <c r="BH225" s="66"/>
      <c r="BI225" s="68" t="s">
        <v>695</v>
      </c>
      <c r="BJ225" s="68" t="s">
        <v>85</v>
      </c>
      <c r="BK225" s="68" t="s">
        <v>85</v>
      </c>
      <c r="BL225" s="29"/>
      <c r="BO225" s="35" t="s">
        <v>1801</v>
      </c>
      <c r="BP225" s="1" t="s">
        <v>1813</v>
      </c>
      <c r="BQ225" s="1" t="e">
        <v>#N/A</v>
      </c>
    </row>
    <row r="226" spans="1:69" ht="15" hidden="1" customHeight="1">
      <c r="A226" s="1" t="s">
        <v>43</v>
      </c>
      <c r="C226" s="1" t="str">
        <f t="shared" si="40"/>
        <v>2607</v>
      </c>
      <c r="D226" s="1" t="str">
        <f t="shared" si="41"/>
        <v>2007</v>
      </c>
      <c r="E226" s="19" t="s">
        <v>48</v>
      </c>
      <c r="F226" s="62" t="s">
        <v>49</v>
      </c>
      <c r="G226" s="66">
        <v>2112</v>
      </c>
      <c r="H226" s="66" t="s">
        <v>698</v>
      </c>
      <c r="I226" s="66" t="s">
        <v>689</v>
      </c>
      <c r="J226" s="118">
        <v>1</v>
      </c>
      <c r="K226" s="119" t="s">
        <v>619</v>
      </c>
      <c r="L226" s="62" t="s">
        <v>77</v>
      </c>
      <c r="M226" s="135" t="s">
        <v>678</v>
      </c>
      <c r="N226" s="65">
        <v>43916</v>
      </c>
      <c r="O226" s="24">
        <v>1500</v>
      </c>
      <c r="P226" s="24">
        <v>23665</v>
      </c>
      <c r="Q226" s="64">
        <v>35497500</v>
      </c>
      <c r="R226" s="64">
        <v>0</v>
      </c>
      <c r="S226" s="64"/>
      <c r="T226" s="64">
        <v>552203.87363636354</v>
      </c>
      <c r="U226" s="64" t="s">
        <v>679</v>
      </c>
      <c r="V226" s="121">
        <v>36049704</v>
      </c>
      <c r="W226" s="122">
        <v>0</v>
      </c>
      <c r="X226" s="64">
        <v>36049704</v>
      </c>
      <c r="Y226" s="121"/>
      <c r="Z226" s="121"/>
      <c r="AA226" s="121"/>
      <c r="AB226" s="121"/>
      <c r="AC226" s="64">
        <v>36049704</v>
      </c>
      <c r="AD226" s="65">
        <v>44037</v>
      </c>
      <c r="AE226" s="65">
        <v>46227</v>
      </c>
      <c r="AF226" s="66">
        <v>6</v>
      </c>
      <c r="AG226" s="119">
        <v>72</v>
      </c>
      <c r="AH226" s="25">
        <v>500690.33333333331</v>
      </c>
      <c r="AI226" s="78">
        <v>20641352.333333332</v>
      </c>
      <c r="AJ226" s="78">
        <v>15408351.666666668</v>
      </c>
      <c r="AK226" s="27">
        <f t="shared" si="42"/>
        <v>500690.33333333331</v>
      </c>
      <c r="AL226" s="27">
        <f t="shared" si="44"/>
        <v>500690.33333333331</v>
      </c>
      <c r="AM226" s="27"/>
      <c r="AN226" s="27"/>
      <c r="AO226" s="27"/>
      <c r="AP226" s="27"/>
      <c r="AQ226" s="27"/>
      <c r="AR226" s="27"/>
      <c r="AS226" s="27"/>
      <c r="AT226" s="27"/>
      <c r="AU226" s="27"/>
      <c r="AV226" s="27"/>
      <c r="AW226" s="27">
        <f t="shared" si="37"/>
        <v>1001380.6666666666</v>
      </c>
      <c r="AX226" s="79">
        <f t="shared" si="38"/>
        <v>14406971.000000002</v>
      </c>
      <c r="AY226" s="79">
        <f t="shared" si="39"/>
        <v>21642733</v>
      </c>
      <c r="AZ226" s="25">
        <v>1</v>
      </c>
      <c r="BA226" s="66" t="s">
        <v>97</v>
      </c>
      <c r="BB226" s="66">
        <v>1</v>
      </c>
      <c r="BC226" s="66"/>
      <c r="BD226" s="66"/>
      <c r="BE226" s="67">
        <f t="shared" si="43"/>
        <v>500690.33333333331</v>
      </c>
      <c r="BF226" s="67">
        <f t="shared" si="36"/>
        <v>0</v>
      </c>
      <c r="BG226" s="67">
        <f t="shared" si="35"/>
        <v>0</v>
      </c>
      <c r="BH226" s="66"/>
      <c r="BI226" s="68" t="s">
        <v>695</v>
      </c>
      <c r="BJ226" s="68" t="s">
        <v>85</v>
      </c>
      <c r="BK226" s="68" t="s">
        <v>85</v>
      </c>
      <c r="BL226" s="29"/>
      <c r="BO226" s="35" t="s">
        <v>1801</v>
      </c>
      <c r="BP226" s="1" t="s">
        <v>1813</v>
      </c>
      <c r="BQ226" s="1" t="e">
        <v>#N/A</v>
      </c>
    </row>
    <row r="227" spans="1:69" ht="15" hidden="1" customHeight="1">
      <c r="A227" s="1" t="s">
        <v>43</v>
      </c>
      <c r="C227" s="1" t="str">
        <f t="shared" si="40"/>
        <v>2607</v>
      </c>
      <c r="D227" s="1" t="str">
        <f t="shared" si="41"/>
        <v>2007</v>
      </c>
      <c r="E227" s="19" t="s">
        <v>48</v>
      </c>
      <c r="F227" s="62" t="s">
        <v>49</v>
      </c>
      <c r="G227" s="66">
        <v>2112</v>
      </c>
      <c r="H227" s="66" t="s">
        <v>699</v>
      </c>
      <c r="I227" s="66" t="s">
        <v>689</v>
      </c>
      <c r="J227" s="118">
        <v>1</v>
      </c>
      <c r="K227" s="119" t="s">
        <v>619</v>
      </c>
      <c r="L227" s="62" t="s">
        <v>77</v>
      </c>
      <c r="M227" s="135" t="s">
        <v>678</v>
      </c>
      <c r="N227" s="65">
        <v>43916</v>
      </c>
      <c r="O227" s="24">
        <v>1500</v>
      </c>
      <c r="P227" s="24">
        <v>23665</v>
      </c>
      <c r="Q227" s="64">
        <v>35497500</v>
      </c>
      <c r="R227" s="64">
        <v>0</v>
      </c>
      <c r="S227" s="64"/>
      <c r="T227" s="64">
        <v>552203.87363636354</v>
      </c>
      <c r="U227" s="64" t="s">
        <v>679</v>
      </c>
      <c r="V227" s="121">
        <v>36049704</v>
      </c>
      <c r="W227" s="122">
        <v>0</v>
      </c>
      <c r="X227" s="64">
        <v>36049704</v>
      </c>
      <c r="Y227" s="121"/>
      <c r="Z227" s="121"/>
      <c r="AA227" s="121"/>
      <c r="AB227" s="121"/>
      <c r="AC227" s="64">
        <v>36049704</v>
      </c>
      <c r="AD227" s="65">
        <v>44037</v>
      </c>
      <c r="AE227" s="65">
        <v>46227</v>
      </c>
      <c r="AF227" s="66">
        <v>6</v>
      </c>
      <c r="AG227" s="119">
        <v>72</v>
      </c>
      <c r="AH227" s="25">
        <v>500690.33333333331</v>
      </c>
      <c r="AI227" s="78">
        <v>20641352.333333332</v>
      </c>
      <c r="AJ227" s="78">
        <v>15408351.666666668</v>
      </c>
      <c r="AK227" s="27">
        <f t="shared" si="42"/>
        <v>500690.33333333331</v>
      </c>
      <c r="AL227" s="27">
        <f t="shared" si="44"/>
        <v>500690.33333333331</v>
      </c>
      <c r="AM227" s="27"/>
      <c r="AN227" s="27"/>
      <c r="AO227" s="27"/>
      <c r="AP227" s="27"/>
      <c r="AQ227" s="27"/>
      <c r="AR227" s="27"/>
      <c r="AS227" s="27"/>
      <c r="AT227" s="27"/>
      <c r="AU227" s="27"/>
      <c r="AV227" s="27"/>
      <c r="AW227" s="27">
        <f t="shared" si="37"/>
        <v>1001380.6666666666</v>
      </c>
      <c r="AX227" s="79">
        <f t="shared" si="38"/>
        <v>14406971.000000002</v>
      </c>
      <c r="AY227" s="79">
        <f t="shared" si="39"/>
        <v>21642733</v>
      </c>
      <c r="AZ227" s="25">
        <v>1</v>
      </c>
      <c r="BA227" s="66" t="s">
        <v>97</v>
      </c>
      <c r="BB227" s="66">
        <v>1</v>
      </c>
      <c r="BC227" s="66"/>
      <c r="BD227" s="66"/>
      <c r="BE227" s="67">
        <f t="shared" si="43"/>
        <v>500690.33333333331</v>
      </c>
      <c r="BF227" s="67">
        <f t="shared" si="36"/>
        <v>0</v>
      </c>
      <c r="BG227" s="67">
        <f t="shared" si="35"/>
        <v>0</v>
      </c>
      <c r="BH227" s="66"/>
      <c r="BI227" s="68" t="s">
        <v>695</v>
      </c>
      <c r="BJ227" s="68" t="s">
        <v>85</v>
      </c>
      <c r="BK227" s="68" t="s">
        <v>85</v>
      </c>
      <c r="BL227" s="29"/>
      <c r="BO227" s="35" t="s">
        <v>1801</v>
      </c>
      <c r="BP227" s="1" t="s">
        <v>1813</v>
      </c>
      <c r="BQ227" s="1" t="e">
        <v>#N/A</v>
      </c>
    </row>
    <row r="228" spans="1:69" ht="15" hidden="1" customHeight="1">
      <c r="A228" s="1" t="s">
        <v>43</v>
      </c>
      <c r="C228" s="1" t="str">
        <f t="shared" si="40"/>
        <v>2607</v>
      </c>
      <c r="D228" s="1" t="str">
        <f t="shared" si="41"/>
        <v>2007</v>
      </c>
      <c r="E228" s="19" t="s">
        <v>48</v>
      </c>
      <c r="F228" s="62" t="s">
        <v>49</v>
      </c>
      <c r="G228" s="66">
        <v>2112</v>
      </c>
      <c r="H228" s="66" t="s">
        <v>700</v>
      </c>
      <c r="I228" s="66" t="s">
        <v>689</v>
      </c>
      <c r="J228" s="118">
        <v>1</v>
      </c>
      <c r="K228" s="119" t="s">
        <v>619</v>
      </c>
      <c r="L228" s="62" t="s">
        <v>77</v>
      </c>
      <c r="M228" s="135" t="s">
        <v>678</v>
      </c>
      <c r="N228" s="65">
        <v>43916</v>
      </c>
      <c r="O228" s="24">
        <v>1500</v>
      </c>
      <c r="P228" s="24">
        <v>23665</v>
      </c>
      <c r="Q228" s="64">
        <v>35497500</v>
      </c>
      <c r="R228" s="64">
        <v>0</v>
      </c>
      <c r="S228" s="64"/>
      <c r="T228" s="64">
        <v>552203.87363636354</v>
      </c>
      <c r="U228" s="64" t="s">
        <v>679</v>
      </c>
      <c r="V228" s="121">
        <v>36049704</v>
      </c>
      <c r="W228" s="122">
        <v>0</v>
      </c>
      <c r="X228" s="64">
        <v>36049704</v>
      </c>
      <c r="Y228" s="121"/>
      <c r="Z228" s="121"/>
      <c r="AA228" s="121"/>
      <c r="AB228" s="121"/>
      <c r="AC228" s="64">
        <v>36049704</v>
      </c>
      <c r="AD228" s="65">
        <v>44037</v>
      </c>
      <c r="AE228" s="65">
        <v>46227</v>
      </c>
      <c r="AF228" s="66">
        <v>6</v>
      </c>
      <c r="AG228" s="119">
        <v>72</v>
      </c>
      <c r="AH228" s="25">
        <v>500690.33333333331</v>
      </c>
      <c r="AI228" s="78">
        <v>20641352.333333332</v>
      </c>
      <c r="AJ228" s="78">
        <v>15408351.666666668</v>
      </c>
      <c r="AK228" s="27">
        <f t="shared" si="42"/>
        <v>500690.33333333331</v>
      </c>
      <c r="AL228" s="27">
        <f t="shared" si="44"/>
        <v>500690.33333333331</v>
      </c>
      <c r="AM228" s="27"/>
      <c r="AN228" s="27"/>
      <c r="AO228" s="27"/>
      <c r="AP228" s="27"/>
      <c r="AQ228" s="27"/>
      <c r="AR228" s="27"/>
      <c r="AS228" s="27"/>
      <c r="AT228" s="27"/>
      <c r="AU228" s="27"/>
      <c r="AV228" s="27"/>
      <c r="AW228" s="27">
        <f t="shared" si="37"/>
        <v>1001380.6666666666</v>
      </c>
      <c r="AX228" s="79">
        <f t="shared" si="38"/>
        <v>14406971.000000002</v>
      </c>
      <c r="AY228" s="79">
        <f t="shared" si="39"/>
        <v>21642733</v>
      </c>
      <c r="AZ228" s="25">
        <v>1</v>
      </c>
      <c r="BA228" s="66" t="s">
        <v>97</v>
      </c>
      <c r="BB228" s="66">
        <v>1</v>
      </c>
      <c r="BC228" s="66"/>
      <c r="BD228" s="66"/>
      <c r="BE228" s="67">
        <f t="shared" si="43"/>
        <v>500690.33333333331</v>
      </c>
      <c r="BF228" s="67">
        <f t="shared" si="36"/>
        <v>0</v>
      </c>
      <c r="BG228" s="67">
        <f t="shared" si="35"/>
        <v>0</v>
      </c>
      <c r="BH228" s="66"/>
      <c r="BI228" s="68" t="s">
        <v>695</v>
      </c>
      <c r="BJ228" s="68" t="s">
        <v>85</v>
      </c>
      <c r="BK228" s="68" t="s">
        <v>85</v>
      </c>
      <c r="BL228" s="29"/>
      <c r="BO228" s="35" t="s">
        <v>1801</v>
      </c>
      <c r="BP228" s="1" t="s">
        <v>1813</v>
      </c>
      <c r="BQ228" s="1" t="e">
        <v>#N/A</v>
      </c>
    </row>
    <row r="229" spans="1:69" ht="15" hidden="1" customHeight="1">
      <c r="A229" s="1" t="s">
        <v>43</v>
      </c>
      <c r="C229" s="1" t="str">
        <f t="shared" si="40"/>
        <v>2704</v>
      </c>
      <c r="D229" s="1" t="str">
        <f t="shared" si="41"/>
        <v>2004</v>
      </c>
      <c r="E229" s="19" t="s">
        <v>48</v>
      </c>
      <c r="F229" s="62" t="s">
        <v>49</v>
      </c>
      <c r="G229" s="62">
        <v>2112</v>
      </c>
      <c r="H229" s="62" t="s">
        <v>701</v>
      </c>
      <c r="I229" s="62" t="s">
        <v>702</v>
      </c>
      <c r="J229" s="118">
        <v>1</v>
      </c>
      <c r="K229" s="119" t="s">
        <v>619</v>
      </c>
      <c r="L229" s="62" t="s">
        <v>77</v>
      </c>
      <c r="M229" s="120" t="s">
        <v>678</v>
      </c>
      <c r="N229" s="65">
        <v>43916</v>
      </c>
      <c r="O229" s="24">
        <v>25000</v>
      </c>
      <c r="P229" s="24">
        <v>23665</v>
      </c>
      <c r="Q229" s="64">
        <v>591625000</v>
      </c>
      <c r="R229" s="64">
        <v>0</v>
      </c>
      <c r="S229" s="64"/>
      <c r="T229" s="64">
        <v>9203397.870000001</v>
      </c>
      <c r="U229" s="64" t="s">
        <v>679</v>
      </c>
      <c r="V229" s="121">
        <v>600828398</v>
      </c>
      <c r="W229" s="122">
        <v>0</v>
      </c>
      <c r="X229" s="64">
        <v>600828398</v>
      </c>
      <c r="Y229" s="121"/>
      <c r="Z229" s="121"/>
      <c r="AA229" s="121"/>
      <c r="AB229" s="121"/>
      <c r="AC229" s="64">
        <v>600828398</v>
      </c>
      <c r="AD229" s="65">
        <v>43936</v>
      </c>
      <c r="AE229" s="65">
        <v>46491</v>
      </c>
      <c r="AF229" s="62">
        <v>7</v>
      </c>
      <c r="AG229" s="119">
        <v>84</v>
      </c>
      <c r="AH229" s="25">
        <v>7152719.0238095243</v>
      </c>
      <c r="AI229" s="78">
        <v>318534419.23809522</v>
      </c>
      <c r="AJ229" s="78">
        <v>282293978.76190478</v>
      </c>
      <c r="AK229" s="27">
        <f t="shared" si="42"/>
        <v>7152719.0238095243</v>
      </c>
      <c r="AL229" s="27">
        <f t="shared" si="44"/>
        <v>7152719.0238095243</v>
      </c>
      <c r="AM229" s="27"/>
      <c r="AN229" s="27"/>
      <c r="AO229" s="27"/>
      <c r="AP229" s="27"/>
      <c r="AQ229" s="27"/>
      <c r="AR229" s="27"/>
      <c r="AS229" s="27"/>
      <c r="AT229" s="27"/>
      <c r="AU229" s="27"/>
      <c r="AV229" s="27"/>
      <c r="AW229" s="27">
        <f t="shared" si="37"/>
        <v>14305438.047619049</v>
      </c>
      <c r="AX229" s="79">
        <f t="shared" si="38"/>
        <v>267988540.71428573</v>
      </c>
      <c r="AY229" s="79">
        <f t="shared" si="39"/>
        <v>332839857.28571427</v>
      </c>
      <c r="AZ229" s="25">
        <v>1</v>
      </c>
      <c r="BA229" s="62" t="s">
        <v>97</v>
      </c>
      <c r="BB229" s="66">
        <v>1</v>
      </c>
      <c r="BC229" s="66"/>
      <c r="BD229" s="66"/>
      <c r="BE229" s="67">
        <f t="shared" si="43"/>
        <v>7152719.0238095243</v>
      </c>
      <c r="BF229" s="67">
        <f t="shared" si="36"/>
        <v>0</v>
      </c>
      <c r="BG229" s="67">
        <f t="shared" si="35"/>
        <v>0</v>
      </c>
      <c r="BH229" s="66"/>
      <c r="BI229" s="68" t="s">
        <v>562</v>
      </c>
      <c r="BJ229" s="68" t="s">
        <v>117</v>
      </c>
      <c r="BK229" s="68" t="s">
        <v>117</v>
      </c>
      <c r="BL229" s="29"/>
      <c r="BO229" s="35" t="s">
        <v>1804</v>
      </c>
      <c r="BQ229" s="1">
        <v>0</v>
      </c>
    </row>
    <row r="230" spans="1:69" ht="15" hidden="1" customHeight="1">
      <c r="A230" s="1" t="s">
        <v>43</v>
      </c>
      <c r="C230" s="1" t="str">
        <f t="shared" si="40"/>
        <v>2704</v>
      </c>
      <c r="D230" s="1" t="str">
        <f t="shared" si="41"/>
        <v>2004</v>
      </c>
      <c r="E230" s="19" t="s">
        <v>48</v>
      </c>
      <c r="F230" s="62" t="s">
        <v>49</v>
      </c>
      <c r="G230" s="62">
        <v>2112</v>
      </c>
      <c r="H230" s="62" t="s">
        <v>703</v>
      </c>
      <c r="I230" s="62" t="s">
        <v>704</v>
      </c>
      <c r="J230" s="118">
        <v>1</v>
      </c>
      <c r="K230" s="119" t="s">
        <v>619</v>
      </c>
      <c r="L230" s="62" t="s">
        <v>77</v>
      </c>
      <c r="M230" s="120" t="s">
        <v>678</v>
      </c>
      <c r="N230" s="65">
        <v>43916</v>
      </c>
      <c r="O230" s="24">
        <v>27000</v>
      </c>
      <c r="P230" s="24">
        <v>23665</v>
      </c>
      <c r="Q230" s="64">
        <v>638955000</v>
      </c>
      <c r="R230" s="64">
        <v>0</v>
      </c>
      <c r="S230" s="64"/>
      <c r="T230" s="64">
        <v>9939669.7199999988</v>
      </c>
      <c r="U230" s="64" t="s">
        <v>679</v>
      </c>
      <c r="V230" s="121">
        <v>648894670</v>
      </c>
      <c r="W230" s="122">
        <v>0</v>
      </c>
      <c r="X230" s="64">
        <v>648894670</v>
      </c>
      <c r="Y230" s="121"/>
      <c r="Z230" s="121"/>
      <c r="AA230" s="121"/>
      <c r="AB230" s="121"/>
      <c r="AC230" s="64">
        <v>648894670</v>
      </c>
      <c r="AD230" s="65">
        <v>43936</v>
      </c>
      <c r="AE230" s="65">
        <v>46491</v>
      </c>
      <c r="AF230" s="62">
        <v>7</v>
      </c>
      <c r="AG230" s="119">
        <v>84</v>
      </c>
      <c r="AH230" s="25">
        <v>7724936.5476190476</v>
      </c>
      <c r="AI230" s="78">
        <v>344017189.47619045</v>
      </c>
      <c r="AJ230" s="78">
        <v>304877480.52380955</v>
      </c>
      <c r="AK230" s="27">
        <f t="shared" si="42"/>
        <v>7724936.5476190476</v>
      </c>
      <c r="AL230" s="27">
        <f t="shared" si="44"/>
        <v>7724936.5476190476</v>
      </c>
      <c r="AM230" s="27"/>
      <c r="AN230" s="27"/>
      <c r="AO230" s="27"/>
      <c r="AP230" s="27"/>
      <c r="AQ230" s="27"/>
      <c r="AR230" s="27"/>
      <c r="AS230" s="27"/>
      <c r="AT230" s="27"/>
      <c r="AU230" s="27"/>
      <c r="AV230" s="27"/>
      <c r="AW230" s="27">
        <f t="shared" si="37"/>
        <v>15449873.095238095</v>
      </c>
      <c r="AX230" s="79">
        <f t="shared" si="38"/>
        <v>289427607.42857146</v>
      </c>
      <c r="AY230" s="79">
        <f t="shared" si="39"/>
        <v>359467062.57142854</v>
      </c>
      <c r="AZ230" s="25">
        <v>1</v>
      </c>
      <c r="BA230" s="62" t="s">
        <v>79</v>
      </c>
      <c r="BB230" s="66">
        <v>1</v>
      </c>
      <c r="BC230" s="66"/>
      <c r="BD230" s="66"/>
      <c r="BE230" s="67">
        <f t="shared" si="43"/>
        <v>7724936.5476190476</v>
      </c>
      <c r="BF230" s="67">
        <f t="shared" si="36"/>
        <v>0</v>
      </c>
      <c r="BG230" s="67">
        <f t="shared" si="35"/>
        <v>0</v>
      </c>
      <c r="BH230" s="66"/>
      <c r="BI230" s="68" t="s">
        <v>446</v>
      </c>
      <c r="BJ230" s="68" t="s">
        <v>624</v>
      </c>
      <c r="BK230" s="68" t="s">
        <v>624</v>
      </c>
      <c r="BL230" s="29"/>
      <c r="BO230" s="35" t="s">
        <v>1804</v>
      </c>
      <c r="BQ230" s="1" t="s">
        <v>1989</v>
      </c>
    </row>
    <row r="231" spans="1:69" ht="15" hidden="1" customHeight="1">
      <c r="A231" s="1" t="s">
        <v>43</v>
      </c>
      <c r="C231" s="1" t="str">
        <f t="shared" si="40"/>
        <v>2705</v>
      </c>
      <c r="D231" s="1" t="str">
        <f t="shared" si="41"/>
        <v>2005</v>
      </c>
      <c r="E231" s="19" t="s">
        <v>48</v>
      </c>
      <c r="F231" s="62" t="s">
        <v>515</v>
      </c>
      <c r="G231" s="62">
        <v>2112</v>
      </c>
      <c r="H231" s="62" t="s">
        <v>705</v>
      </c>
      <c r="I231" s="62" t="s">
        <v>706</v>
      </c>
      <c r="J231" s="118">
        <v>1</v>
      </c>
      <c r="K231" s="119" t="s">
        <v>619</v>
      </c>
      <c r="L231" s="62" t="s">
        <v>77</v>
      </c>
      <c r="M231" s="120" t="s">
        <v>678</v>
      </c>
      <c r="N231" s="65">
        <v>43916</v>
      </c>
      <c r="O231" s="24">
        <v>40500</v>
      </c>
      <c r="P231" s="24">
        <v>23665</v>
      </c>
      <c r="Q231" s="64">
        <v>958432500</v>
      </c>
      <c r="R231" s="64">
        <v>0</v>
      </c>
      <c r="S231" s="64"/>
      <c r="T231" s="64">
        <v>14909504.58</v>
      </c>
      <c r="U231" s="64" t="s">
        <v>679</v>
      </c>
      <c r="V231" s="121">
        <v>973342005</v>
      </c>
      <c r="W231" s="122">
        <v>0</v>
      </c>
      <c r="X231" s="64">
        <v>973342005</v>
      </c>
      <c r="Y231" s="121"/>
      <c r="Z231" s="121"/>
      <c r="AA231" s="121"/>
      <c r="AB231" s="121"/>
      <c r="AC231" s="64">
        <v>973342005</v>
      </c>
      <c r="AD231" s="65">
        <v>43976</v>
      </c>
      <c r="AE231" s="65">
        <v>46531</v>
      </c>
      <c r="AF231" s="62">
        <v>7</v>
      </c>
      <c r="AG231" s="119">
        <v>84</v>
      </c>
      <c r="AH231" s="25">
        <v>11587404.821428571</v>
      </c>
      <c r="AI231" s="78">
        <v>500874924.21428567</v>
      </c>
      <c r="AJ231" s="78">
        <v>472467080.78571433</v>
      </c>
      <c r="AK231" s="27">
        <f t="shared" si="42"/>
        <v>11587404.821428571</v>
      </c>
      <c r="AL231" s="27">
        <f t="shared" si="44"/>
        <v>11587404.821428571</v>
      </c>
      <c r="AM231" s="27"/>
      <c r="AN231" s="27"/>
      <c r="AO231" s="27"/>
      <c r="AP231" s="27"/>
      <c r="AQ231" s="27"/>
      <c r="AR231" s="27"/>
      <c r="AS231" s="27"/>
      <c r="AT231" s="27"/>
      <c r="AU231" s="27"/>
      <c r="AV231" s="27"/>
      <c r="AW231" s="27">
        <f t="shared" si="37"/>
        <v>23174809.642857142</v>
      </c>
      <c r="AX231" s="79">
        <f t="shared" si="38"/>
        <v>449292271.14285719</v>
      </c>
      <c r="AY231" s="79">
        <f t="shared" si="39"/>
        <v>524049733.85714281</v>
      </c>
      <c r="AZ231" s="25">
        <v>1</v>
      </c>
      <c r="BA231" s="62" t="s">
        <v>79</v>
      </c>
      <c r="BB231" s="66">
        <v>1</v>
      </c>
      <c r="BC231" s="66"/>
      <c r="BD231" s="66"/>
      <c r="BE231" s="67">
        <f t="shared" si="43"/>
        <v>11587404.821428571</v>
      </c>
      <c r="BF231" s="67">
        <f t="shared" si="36"/>
        <v>0</v>
      </c>
      <c r="BG231" s="67">
        <f t="shared" si="35"/>
        <v>0</v>
      </c>
      <c r="BH231" s="66"/>
      <c r="BI231" s="68" t="s">
        <v>446</v>
      </c>
      <c r="BJ231" s="68" t="s">
        <v>623</v>
      </c>
      <c r="BK231" s="68" t="s">
        <v>624</v>
      </c>
      <c r="BL231" s="29"/>
      <c r="BO231" s="35" t="s">
        <v>1804</v>
      </c>
      <c r="BQ231" s="1" t="s">
        <v>1989</v>
      </c>
    </row>
    <row r="232" spans="1:69" ht="15" hidden="1" customHeight="1">
      <c r="A232" s="1" t="s">
        <v>43</v>
      </c>
      <c r="C232" s="1" t="str">
        <f t="shared" si="40"/>
        <v>2705</v>
      </c>
      <c r="D232" s="1" t="str">
        <f t="shared" si="41"/>
        <v>2005</v>
      </c>
      <c r="E232" s="19" t="s">
        <v>48</v>
      </c>
      <c r="F232" s="62" t="s">
        <v>515</v>
      </c>
      <c r="G232" s="62">
        <v>2112</v>
      </c>
      <c r="H232" s="62" t="s">
        <v>707</v>
      </c>
      <c r="I232" s="62" t="s">
        <v>708</v>
      </c>
      <c r="J232" s="118">
        <v>1</v>
      </c>
      <c r="K232" s="119" t="s">
        <v>619</v>
      </c>
      <c r="L232" s="62" t="s">
        <v>77</v>
      </c>
      <c r="M232" s="120" t="s">
        <v>678</v>
      </c>
      <c r="N232" s="65">
        <v>43916</v>
      </c>
      <c r="O232" s="24">
        <v>40500</v>
      </c>
      <c r="P232" s="24">
        <v>23665</v>
      </c>
      <c r="Q232" s="64">
        <v>958432500</v>
      </c>
      <c r="R232" s="64">
        <v>0</v>
      </c>
      <c r="S232" s="64"/>
      <c r="T232" s="64">
        <v>14909504.58</v>
      </c>
      <c r="U232" s="64" t="s">
        <v>679</v>
      </c>
      <c r="V232" s="121">
        <v>973342005</v>
      </c>
      <c r="W232" s="122">
        <v>0</v>
      </c>
      <c r="X232" s="64">
        <v>973342005</v>
      </c>
      <c r="Y232" s="121"/>
      <c r="Z232" s="121"/>
      <c r="AA232" s="121"/>
      <c r="AB232" s="121"/>
      <c r="AC232" s="64">
        <v>973342005</v>
      </c>
      <c r="AD232" s="65">
        <v>43976</v>
      </c>
      <c r="AE232" s="65">
        <v>46531</v>
      </c>
      <c r="AF232" s="62">
        <v>7</v>
      </c>
      <c r="AG232" s="119">
        <v>84</v>
      </c>
      <c r="AH232" s="25">
        <v>11587404.821428571</v>
      </c>
      <c r="AI232" s="78">
        <v>500874924.21428567</v>
      </c>
      <c r="AJ232" s="78">
        <v>472467080.78571433</v>
      </c>
      <c r="AK232" s="27">
        <f t="shared" si="42"/>
        <v>11587404.821428571</v>
      </c>
      <c r="AL232" s="27">
        <f t="shared" si="44"/>
        <v>11587404.821428571</v>
      </c>
      <c r="AM232" s="27"/>
      <c r="AN232" s="27"/>
      <c r="AO232" s="27"/>
      <c r="AP232" s="27"/>
      <c r="AQ232" s="27"/>
      <c r="AR232" s="27"/>
      <c r="AS232" s="27"/>
      <c r="AT232" s="27"/>
      <c r="AU232" s="27"/>
      <c r="AV232" s="27"/>
      <c r="AW232" s="27">
        <f t="shared" si="37"/>
        <v>23174809.642857142</v>
      </c>
      <c r="AX232" s="79">
        <f t="shared" si="38"/>
        <v>449292271.14285719</v>
      </c>
      <c r="AY232" s="79">
        <f t="shared" si="39"/>
        <v>524049733.85714281</v>
      </c>
      <c r="AZ232" s="25">
        <v>1</v>
      </c>
      <c r="BA232" s="62" t="s">
        <v>79</v>
      </c>
      <c r="BB232" s="66">
        <v>1</v>
      </c>
      <c r="BC232" s="66"/>
      <c r="BD232" s="66"/>
      <c r="BE232" s="67">
        <f t="shared" si="43"/>
        <v>11587404.821428571</v>
      </c>
      <c r="BF232" s="67">
        <f t="shared" si="36"/>
        <v>0</v>
      </c>
      <c r="BG232" s="67">
        <f t="shared" si="35"/>
        <v>0</v>
      </c>
      <c r="BH232" s="66"/>
      <c r="BI232" s="68" t="s">
        <v>446</v>
      </c>
      <c r="BJ232" s="68" t="s">
        <v>623</v>
      </c>
      <c r="BK232" s="68" t="s">
        <v>624</v>
      </c>
      <c r="BL232" s="29"/>
      <c r="BO232" s="35" t="s">
        <v>1804</v>
      </c>
      <c r="BQ232" s="1" t="s">
        <v>1989</v>
      </c>
    </row>
    <row r="233" spans="1:69" ht="15" hidden="1" customHeight="1">
      <c r="A233" s="1" t="s">
        <v>43</v>
      </c>
      <c r="C233" s="1" t="str">
        <f t="shared" si="40"/>
        <v>3005</v>
      </c>
      <c r="D233" s="1" t="str">
        <f t="shared" si="41"/>
        <v>2005</v>
      </c>
      <c r="E233" s="19" t="s">
        <v>48</v>
      </c>
      <c r="F233" s="62" t="s">
        <v>515</v>
      </c>
      <c r="G233" s="62">
        <v>2114</v>
      </c>
      <c r="H233" s="62" t="s">
        <v>709</v>
      </c>
      <c r="I233" s="62" t="s">
        <v>710</v>
      </c>
      <c r="J233" s="118">
        <v>1</v>
      </c>
      <c r="K233" s="119" t="s">
        <v>271</v>
      </c>
      <c r="L233" s="62" t="s">
        <v>77</v>
      </c>
      <c r="M233" s="120" t="s">
        <v>711</v>
      </c>
      <c r="N233" s="65">
        <v>43916</v>
      </c>
      <c r="O233" s="24">
        <v>4400</v>
      </c>
      <c r="P233" s="24">
        <v>23240</v>
      </c>
      <c r="Q233" s="64">
        <v>102256000</v>
      </c>
      <c r="R233" s="64">
        <v>12320880</v>
      </c>
      <c r="S233" s="64"/>
      <c r="T233" s="64">
        <v>1737079.0899999999</v>
      </c>
      <c r="U233" s="64" t="s">
        <v>712</v>
      </c>
      <c r="V233" s="121">
        <v>116313959</v>
      </c>
      <c r="W233" s="122">
        <v>0</v>
      </c>
      <c r="X233" s="64">
        <v>116313959</v>
      </c>
      <c r="Y233" s="121"/>
      <c r="Z233" s="121"/>
      <c r="AA233" s="121"/>
      <c r="AB233" s="121"/>
      <c r="AC233" s="64">
        <v>116313959</v>
      </c>
      <c r="AD233" s="65">
        <v>43971</v>
      </c>
      <c r="AE233" s="65">
        <v>47621</v>
      </c>
      <c r="AF233" s="62">
        <v>10</v>
      </c>
      <c r="AG233" s="119">
        <v>120</v>
      </c>
      <c r="AH233" s="25">
        <v>969282.9916666667</v>
      </c>
      <c r="AI233" s="78">
        <v>42054374.916666672</v>
      </c>
      <c r="AJ233" s="78">
        <v>74259584.083333328</v>
      </c>
      <c r="AK233" s="27">
        <f t="shared" si="42"/>
        <v>969282.9916666667</v>
      </c>
      <c r="AL233" s="27">
        <f t="shared" si="44"/>
        <v>969282.9916666667</v>
      </c>
      <c r="AM233" s="27"/>
      <c r="AN233" s="27"/>
      <c r="AO233" s="27"/>
      <c r="AP233" s="27"/>
      <c r="AQ233" s="27"/>
      <c r="AR233" s="27"/>
      <c r="AS233" s="27"/>
      <c r="AT233" s="27"/>
      <c r="AU233" s="27"/>
      <c r="AV233" s="27"/>
      <c r="AW233" s="27">
        <f t="shared" si="37"/>
        <v>1938565.9833333334</v>
      </c>
      <c r="AX233" s="79">
        <f t="shared" si="38"/>
        <v>72321018.099999994</v>
      </c>
      <c r="AY233" s="79">
        <f t="shared" si="39"/>
        <v>43992940.900000006</v>
      </c>
      <c r="AZ233" s="25">
        <v>1</v>
      </c>
      <c r="BA233" s="62" t="s">
        <v>79</v>
      </c>
      <c r="BB233" s="66">
        <v>1</v>
      </c>
      <c r="BC233" s="66"/>
      <c r="BD233" s="66"/>
      <c r="BE233" s="67">
        <f t="shared" si="43"/>
        <v>969282.9916666667</v>
      </c>
      <c r="BF233" s="67">
        <f t="shared" si="36"/>
        <v>0</v>
      </c>
      <c r="BG233" s="67">
        <f t="shared" si="35"/>
        <v>0</v>
      </c>
      <c r="BH233" s="66"/>
      <c r="BI233" s="68" t="s">
        <v>713</v>
      </c>
      <c r="BJ233" s="68" t="s">
        <v>591</v>
      </c>
      <c r="BK233" s="68" t="s">
        <v>59</v>
      </c>
      <c r="BL233" s="29"/>
      <c r="BO233" s="35" t="s">
        <v>1802</v>
      </c>
      <c r="BQ233" s="1" t="e">
        <v>#N/A</v>
      </c>
    </row>
    <row r="234" spans="1:69" ht="15" hidden="1" customHeight="1">
      <c r="A234" s="1" t="s">
        <v>43</v>
      </c>
      <c r="C234" s="1" t="str">
        <f t="shared" si="40"/>
        <v>2710</v>
      </c>
      <c r="D234" s="1" t="str">
        <f t="shared" si="41"/>
        <v>2010</v>
      </c>
      <c r="E234" s="19" t="s">
        <v>48</v>
      </c>
      <c r="F234" s="62" t="s">
        <v>515</v>
      </c>
      <c r="G234" s="62">
        <v>2112</v>
      </c>
      <c r="H234" s="62" t="s">
        <v>714</v>
      </c>
      <c r="I234" s="62" t="s">
        <v>715</v>
      </c>
      <c r="J234" s="118">
        <v>1</v>
      </c>
      <c r="K234" s="119" t="s">
        <v>271</v>
      </c>
      <c r="L234" s="62" t="s">
        <v>77</v>
      </c>
      <c r="M234" s="120" t="s">
        <v>711</v>
      </c>
      <c r="N234" s="65">
        <v>43916</v>
      </c>
      <c r="O234" s="24">
        <v>2800</v>
      </c>
      <c r="P234" s="24">
        <v>23240</v>
      </c>
      <c r="Q234" s="64">
        <v>65072000</v>
      </c>
      <c r="R234" s="64">
        <v>6533800</v>
      </c>
      <c r="S234" s="64"/>
      <c r="T234" s="64">
        <v>1105413.96</v>
      </c>
      <c r="U234" s="64" t="s">
        <v>712</v>
      </c>
      <c r="V234" s="121">
        <v>72711214</v>
      </c>
      <c r="W234" s="122">
        <v>0</v>
      </c>
      <c r="X234" s="64">
        <v>72711214</v>
      </c>
      <c r="Y234" s="121"/>
      <c r="Z234" s="121"/>
      <c r="AA234" s="121"/>
      <c r="AB234" s="121"/>
      <c r="AC234" s="64">
        <v>72711214</v>
      </c>
      <c r="AD234" s="65">
        <v>44114</v>
      </c>
      <c r="AE234" s="65">
        <v>46669</v>
      </c>
      <c r="AF234" s="62">
        <v>7</v>
      </c>
      <c r="AG234" s="119">
        <v>84</v>
      </c>
      <c r="AH234" s="25">
        <v>865609.69047619053</v>
      </c>
      <c r="AI234" s="78">
        <v>33507480.904761903</v>
      </c>
      <c r="AJ234" s="78">
        <v>39203733.095238097</v>
      </c>
      <c r="AK234" s="27">
        <f t="shared" si="42"/>
        <v>865609.69047619053</v>
      </c>
      <c r="AL234" s="27">
        <f t="shared" si="44"/>
        <v>865609.69047619053</v>
      </c>
      <c r="AM234" s="27"/>
      <c r="AN234" s="27"/>
      <c r="AO234" s="27"/>
      <c r="AP234" s="27"/>
      <c r="AQ234" s="27"/>
      <c r="AR234" s="27"/>
      <c r="AS234" s="27"/>
      <c r="AT234" s="27"/>
      <c r="AU234" s="27"/>
      <c r="AV234" s="27"/>
      <c r="AW234" s="27">
        <f t="shared" si="37"/>
        <v>1731219.3809523811</v>
      </c>
      <c r="AX234" s="79">
        <f t="shared" si="38"/>
        <v>37472513.714285716</v>
      </c>
      <c r="AY234" s="79">
        <f t="shared" si="39"/>
        <v>35238700.285714284</v>
      </c>
      <c r="AZ234" s="25">
        <v>1</v>
      </c>
      <c r="BA234" s="62" t="s">
        <v>97</v>
      </c>
      <c r="BB234" s="66">
        <v>1</v>
      </c>
      <c r="BC234" s="66"/>
      <c r="BD234" s="66"/>
      <c r="BE234" s="67">
        <f t="shared" si="43"/>
        <v>865609.69047619053</v>
      </c>
      <c r="BF234" s="67">
        <f t="shared" si="36"/>
        <v>0</v>
      </c>
      <c r="BG234" s="67">
        <f t="shared" si="35"/>
        <v>0</v>
      </c>
      <c r="BH234" s="66"/>
      <c r="BI234" s="68" t="s">
        <v>146</v>
      </c>
      <c r="BJ234" s="68" t="s">
        <v>716</v>
      </c>
      <c r="BK234" s="68" t="s">
        <v>85</v>
      </c>
      <c r="BL234" s="29"/>
      <c r="BO234" s="35" t="s">
        <v>1804</v>
      </c>
      <c r="BQ234" s="1" t="e">
        <v>#N/A</v>
      </c>
    </row>
    <row r="235" spans="1:69" ht="15" hidden="1" customHeight="1">
      <c r="A235" s="1" t="s">
        <v>43</v>
      </c>
      <c r="C235" s="1" t="str">
        <f t="shared" si="40"/>
        <v>2710</v>
      </c>
      <c r="D235" s="1" t="str">
        <f t="shared" si="41"/>
        <v>2010</v>
      </c>
      <c r="E235" s="19" t="s">
        <v>48</v>
      </c>
      <c r="F235" s="62" t="s">
        <v>515</v>
      </c>
      <c r="G235" s="62">
        <v>2112</v>
      </c>
      <c r="H235" s="62" t="s">
        <v>717</v>
      </c>
      <c r="I235" s="62" t="s">
        <v>715</v>
      </c>
      <c r="J235" s="118">
        <v>1</v>
      </c>
      <c r="K235" s="119" t="s">
        <v>271</v>
      </c>
      <c r="L235" s="62" t="s">
        <v>77</v>
      </c>
      <c r="M235" s="120" t="s">
        <v>711</v>
      </c>
      <c r="N235" s="65">
        <v>43916</v>
      </c>
      <c r="O235" s="24">
        <v>2800</v>
      </c>
      <c r="P235" s="24">
        <v>23240</v>
      </c>
      <c r="Q235" s="64">
        <v>65072000</v>
      </c>
      <c r="R235" s="64">
        <v>6533800</v>
      </c>
      <c r="S235" s="64"/>
      <c r="T235" s="64">
        <v>1105413.96</v>
      </c>
      <c r="U235" s="64" t="s">
        <v>712</v>
      </c>
      <c r="V235" s="121">
        <v>72711214</v>
      </c>
      <c r="W235" s="122">
        <v>0</v>
      </c>
      <c r="X235" s="64">
        <v>72711214</v>
      </c>
      <c r="Y235" s="121"/>
      <c r="Z235" s="121"/>
      <c r="AA235" s="121"/>
      <c r="AB235" s="121"/>
      <c r="AC235" s="64">
        <v>72711214</v>
      </c>
      <c r="AD235" s="65">
        <v>44114</v>
      </c>
      <c r="AE235" s="65">
        <v>46669</v>
      </c>
      <c r="AF235" s="62">
        <v>7</v>
      </c>
      <c r="AG235" s="119">
        <v>84</v>
      </c>
      <c r="AH235" s="25">
        <v>865609.69047619053</v>
      </c>
      <c r="AI235" s="78">
        <v>33507480.904761903</v>
      </c>
      <c r="AJ235" s="78">
        <v>39203733.095238097</v>
      </c>
      <c r="AK235" s="27">
        <f t="shared" si="42"/>
        <v>865609.69047619053</v>
      </c>
      <c r="AL235" s="27">
        <f t="shared" si="44"/>
        <v>865609.69047619053</v>
      </c>
      <c r="AM235" s="27"/>
      <c r="AN235" s="27"/>
      <c r="AO235" s="27"/>
      <c r="AP235" s="27"/>
      <c r="AQ235" s="27"/>
      <c r="AR235" s="27"/>
      <c r="AS235" s="27"/>
      <c r="AT235" s="27"/>
      <c r="AU235" s="27"/>
      <c r="AV235" s="27"/>
      <c r="AW235" s="27">
        <f t="shared" si="37"/>
        <v>1731219.3809523811</v>
      </c>
      <c r="AX235" s="79">
        <f t="shared" si="38"/>
        <v>37472513.714285716</v>
      </c>
      <c r="AY235" s="79">
        <f t="shared" si="39"/>
        <v>35238700.285714284</v>
      </c>
      <c r="AZ235" s="25">
        <v>1</v>
      </c>
      <c r="BA235" s="62" t="s">
        <v>97</v>
      </c>
      <c r="BB235" s="66">
        <v>1</v>
      </c>
      <c r="BC235" s="66"/>
      <c r="BD235" s="66"/>
      <c r="BE235" s="67">
        <f t="shared" si="43"/>
        <v>865609.69047619053</v>
      </c>
      <c r="BF235" s="67">
        <f t="shared" si="36"/>
        <v>0</v>
      </c>
      <c r="BG235" s="67">
        <f t="shared" si="35"/>
        <v>0</v>
      </c>
      <c r="BH235" s="66"/>
      <c r="BI235" s="68" t="s">
        <v>146</v>
      </c>
      <c r="BJ235" s="68" t="s">
        <v>716</v>
      </c>
      <c r="BK235" s="68" t="s">
        <v>85</v>
      </c>
      <c r="BL235" s="29"/>
      <c r="BO235" s="35" t="s">
        <v>1804</v>
      </c>
      <c r="BQ235" s="1" t="e">
        <v>#N/A</v>
      </c>
    </row>
    <row r="236" spans="1:69" ht="15" hidden="1" customHeight="1">
      <c r="A236" s="1" t="s">
        <v>43</v>
      </c>
      <c r="C236" s="1" t="str">
        <f t="shared" si="40"/>
        <v>3010</v>
      </c>
      <c r="D236" s="1" t="str">
        <f t="shared" si="41"/>
        <v>2010</v>
      </c>
      <c r="E236" s="19" t="s">
        <v>48</v>
      </c>
      <c r="F236" s="62" t="s">
        <v>515</v>
      </c>
      <c r="G236" s="62">
        <v>2112</v>
      </c>
      <c r="H236" s="62" t="s">
        <v>718</v>
      </c>
      <c r="I236" s="62" t="s">
        <v>719</v>
      </c>
      <c r="J236" s="118">
        <v>1</v>
      </c>
      <c r="K236" s="119" t="s">
        <v>271</v>
      </c>
      <c r="L236" s="62" t="s">
        <v>77</v>
      </c>
      <c r="M236" s="120" t="s">
        <v>711</v>
      </c>
      <c r="N236" s="65">
        <v>43916</v>
      </c>
      <c r="O236" s="24">
        <v>5400</v>
      </c>
      <c r="P236" s="24">
        <v>23240</v>
      </c>
      <c r="Q236" s="64">
        <v>125496000</v>
      </c>
      <c r="R236" s="64">
        <v>50025573</v>
      </c>
      <c r="S236" s="64"/>
      <c r="T236" s="64">
        <v>2131869.7999999998</v>
      </c>
      <c r="U236" s="64" t="s">
        <v>712</v>
      </c>
      <c r="V236" s="121">
        <v>177653443</v>
      </c>
      <c r="W236" s="122">
        <v>0</v>
      </c>
      <c r="X236" s="64">
        <v>177653443</v>
      </c>
      <c r="Y236" s="121"/>
      <c r="Z236" s="121"/>
      <c r="AA236" s="121"/>
      <c r="AB236" s="121"/>
      <c r="AC236" s="64">
        <v>177653443</v>
      </c>
      <c r="AD236" s="65">
        <v>44109</v>
      </c>
      <c r="AE236" s="65">
        <v>47759</v>
      </c>
      <c r="AF236" s="62">
        <v>10</v>
      </c>
      <c r="AG236" s="119">
        <v>120</v>
      </c>
      <c r="AH236" s="25">
        <v>1480445.3583333334</v>
      </c>
      <c r="AI236" s="78">
        <v>57546333.583333343</v>
      </c>
      <c r="AJ236" s="78">
        <v>120107109.41666666</v>
      </c>
      <c r="AK236" s="27">
        <f t="shared" si="42"/>
        <v>1480445.3583333334</v>
      </c>
      <c r="AL236" s="27">
        <f t="shared" si="44"/>
        <v>1480445.3583333334</v>
      </c>
      <c r="AM236" s="27"/>
      <c r="AN236" s="27"/>
      <c r="AO236" s="27"/>
      <c r="AP236" s="27"/>
      <c r="AQ236" s="27"/>
      <c r="AR236" s="27"/>
      <c r="AS236" s="27"/>
      <c r="AT236" s="27"/>
      <c r="AU236" s="27"/>
      <c r="AV236" s="27"/>
      <c r="AW236" s="27">
        <f t="shared" si="37"/>
        <v>2960890.7166666668</v>
      </c>
      <c r="AX236" s="79">
        <f t="shared" si="38"/>
        <v>117146218.69999999</v>
      </c>
      <c r="AY236" s="79">
        <f t="shared" si="39"/>
        <v>60507224.300000012</v>
      </c>
      <c r="AZ236" s="25">
        <v>1</v>
      </c>
      <c r="BA236" s="62" t="s">
        <v>97</v>
      </c>
      <c r="BB236" s="66">
        <v>1</v>
      </c>
      <c r="BC236" s="66"/>
      <c r="BD236" s="66"/>
      <c r="BE236" s="67">
        <f t="shared" si="43"/>
        <v>1480445.3583333334</v>
      </c>
      <c r="BF236" s="67">
        <f t="shared" si="36"/>
        <v>0</v>
      </c>
      <c r="BG236" s="67">
        <f t="shared" si="35"/>
        <v>0</v>
      </c>
      <c r="BH236" s="66"/>
      <c r="BI236" s="68" t="s">
        <v>720</v>
      </c>
      <c r="BJ236" s="68" t="s">
        <v>644</v>
      </c>
      <c r="BK236" s="68" t="s">
        <v>644</v>
      </c>
      <c r="BL236" s="29"/>
      <c r="BO236" s="35" t="s">
        <v>1804</v>
      </c>
      <c r="BQ236" s="1" t="e">
        <v>#N/A</v>
      </c>
    </row>
    <row r="237" spans="1:69" ht="15" hidden="1" customHeight="1">
      <c r="A237" s="1" t="s">
        <v>43</v>
      </c>
      <c r="C237" s="1" t="str">
        <f t="shared" si="40"/>
        <v>3010</v>
      </c>
      <c r="D237" s="1" t="str">
        <f t="shared" si="41"/>
        <v>2010</v>
      </c>
      <c r="E237" s="19" t="s">
        <v>48</v>
      </c>
      <c r="F237" s="62" t="s">
        <v>515</v>
      </c>
      <c r="G237" s="62">
        <v>2112</v>
      </c>
      <c r="H237" s="62" t="s">
        <v>721</v>
      </c>
      <c r="I237" s="62" t="s">
        <v>719</v>
      </c>
      <c r="J237" s="118">
        <v>1</v>
      </c>
      <c r="K237" s="119" t="s">
        <v>271</v>
      </c>
      <c r="L237" s="62" t="s">
        <v>77</v>
      </c>
      <c r="M237" s="120" t="s">
        <v>711</v>
      </c>
      <c r="N237" s="65">
        <v>43916</v>
      </c>
      <c r="O237" s="24">
        <v>5400</v>
      </c>
      <c r="P237" s="24">
        <v>23240</v>
      </c>
      <c r="Q237" s="64">
        <v>125496000</v>
      </c>
      <c r="R237" s="64">
        <v>50025573</v>
      </c>
      <c r="S237" s="64"/>
      <c r="T237" s="64">
        <v>2131869.7999999998</v>
      </c>
      <c r="U237" s="64" t="s">
        <v>712</v>
      </c>
      <c r="V237" s="121">
        <v>177653443</v>
      </c>
      <c r="W237" s="122">
        <v>0</v>
      </c>
      <c r="X237" s="64">
        <v>177653443</v>
      </c>
      <c r="Y237" s="121"/>
      <c r="Z237" s="121"/>
      <c r="AA237" s="121"/>
      <c r="AB237" s="121"/>
      <c r="AC237" s="64">
        <v>177653443</v>
      </c>
      <c r="AD237" s="65">
        <v>44109</v>
      </c>
      <c r="AE237" s="65">
        <v>47759</v>
      </c>
      <c r="AF237" s="62">
        <v>10</v>
      </c>
      <c r="AG237" s="119">
        <v>120</v>
      </c>
      <c r="AH237" s="25">
        <v>1480445.3583333334</v>
      </c>
      <c r="AI237" s="78">
        <v>57546333.583333343</v>
      </c>
      <c r="AJ237" s="78">
        <v>120107109.41666666</v>
      </c>
      <c r="AK237" s="27">
        <f t="shared" si="42"/>
        <v>1480445.3583333334</v>
      </c>
      <c r="AL237" s="27">
        <f t="shared" si="44"/>
        <v>1480445.3583333334</v>
      </c>
      <c r="AM237" s="27"/>
      <c r="AN237" s="27"/>
      <c r="AO237" s="27"/>
      <c r="AP237" s="27"/>
      <c r="AQ237" s="27"/>
      <c r="AR237" s="27"/>
      <c r="AS237" s="27"/>
      <c r="AT237" s="27"/>
      <c r="AU237" s="27"/>
      <c r="AV237" s="27"/>
      <c r="AW237" s="27">
        <f t="shared" si="37"/>
        <v>2960890.7166666668</v>
      </c>
      <c r="AX237" s="79">
        <f t="shared" si="38"/>
        <v>117146218.69999999</v>
      </c>
      <c r="AY237" s="79">
        <f t="shared" si="39"/>
        <v>60507224.300000012</v>
      </c>
      <c r="AZ237" s="25">
        <v>1</v>
      </c>
      <c r="BA237" s="62" t="s">
        <v>97</v>
      </c>
      <c r="BB237" s="66">
        <v>1</v>
      </c>
      <c r="BC237" s="66"/>
      <c r="BD237" s="66"/>
      <c r="BE237" s="67">
        <f t="shared" si="43"/>
        <v>1480445.3583333334</v>
      </c>
      <c r="BF237" s="67">
        <f t="shared" si="36"/>
        <v>0</v>
      </c>
      <c r="BG237" s="67">
        <f t="shared" si="35"/>
        <v>0</v>
      </c>
      <c r="BH237" s="66"/>
      <c r="BI237" s="68" t="s">
        <v>722</v>
      </c>
      <c r="BJ237" s="68" t="s">
        <v>644</v>
      </c>
      <c r="BK237" s="68" t="s">
        <v>644</v>
      </c>
      <c r="BL237" s="29"/>
      <c r="BO237" s="35" t="s">
        <v>1804</v>
      </c>
      <c r="BQ237" s="1" t="e">
        <v>#N/A</v>
      </c>
    </row>
    <row r="238" spans="1:69" ht="15" hidden="1" customHeight="1">
      <c r="A238" s="1" t="s">
        <v>43</v>
      </c>
      <c r="C238" s="1" t="str">
        <f t="shared" si="40"/>
        <v>2906</v>
      </c>
      <c r="D238" s="1" t="str">
        <f t="shared" si="41"/>
        <v>2106</v>
      </c>
      <c r="E238" s="19" t="s">
        <v>48</v>
      </c>
      <c r="F238" s="62" t="s">
        <v>515</v>
      </c>
      <c r="G238" s="62">
        <v>2112</v>
      </c>
      <c r="H238" s="62" t="s">
        <v>723</v>
      </c>
      <c r="I238" s="62" t="s">
        <v>724</v>
      </c>
      <c r="J238" s="118">
        <v>1</v>
      </c>
      <c r="K238" s="119" t="s">
        <v>271</v>
      </c>
      <c r="L238" s="62" t="s">
        <v>77</v>
      </c>
      <c r="M238" s="120" t="s">
        <v>711</v>
      </c>
      <c r="N238" s="65">
        <v>43916</v>
      </c>
      <c r="O238" s="24">
        <v>5200</v>
      </c>
      <c r="P238" s="24">
        <v>23240</v>
      </c>
      <c r="Q238" s="64">
        <v>120848000</v>
      </c>
      <c r="R238" s="64">
        <v>0</v>
      </c>
      <c r="S238" s="64"/>
      <c r="T238" s="64">
        <v>2052911.66</v>
      </c>
      <c r="U238" s="64" t="s">
        <v>712</v>
      </c>
      <c r="V238" s="121">
        <v>122900912</v>
      </c>
      <c r="W238" s="122">
        <v>0</v>
      </c>
      <c r="X238" s="64">
        <v>122900912</v>
      </c>
      <c r="Y238" s="121"/>
      <c r="Z238" s="121"/>
      <c r="AA238" s="121"/>
      <c r="AB238" s="121"/>
      <c r="AC238" s="64">
        <v>122900912</v>
      </c>
      <c r="AD238" s="65">
        <v>44365</v>
      </c>
      <c r="AE238" s="65">
        <v>47285</v>
      </c>
      <c r="AF238" s="62">
        <v>8</v>
      </c>
      <c r="AG238" s="119">
        <v>96</v>
      </c>
      <c r="AH238" s="25">
        <v>1280217.8333333333</v>
      </c>
      <c r="AI238" s="78">
        <v>38961299.466666661</v>
      </c>
      <c r="AJ238" s="78">
        <v>83939612.533333331</v>
      </c>
      <c r="AK238" s="27">
        <f t="shared" si="42"/>
        <v>1280217.8333333333</v>
      </c>
      <c r="AL238" s="27">
        <f t="shared" si="44"/>
        <v>1280217.8333333333</v>
      </c>
      <c r="AM238" s="27"/>
      <c r="AN238" s="27"/>
      <c r="AO238" s="27"/>
      <c r="AP238" s="27"/>
      <c r="AQ238" s="27"/>
      <c r="AR238" s="27"/>
      <c r="AS238" s="27"/>
      <c r="AT238" s="27"/>
      <c r="AU238" s="27"/>
      <c r="AV238" s="27"/>
      <c r="AW238" s="27">
        <f t="shared" si="37"/>
        <v>2560435.6666666665</v>
      </c>
      <c r="AX238" s="79">
        <f t="shared" si="38"/>
        <v>81379176.86666666</v>
      </c>
      <c r="AY238" s="79">
        <f t="shared" si="39"/>
        <v>41521735.133333325</v>
      </c>
      <c r="AZ238" s="25">
        <v>1</v>
      </c>
      <c r="BA238" s="62" t="s">
        <v>97</v>
      </c>
      <c r="BB238" s="66">
        <v>1</v>
      </c>
      <c r="BC238" s="66"/>
      <c r="BD238" s="66"/>
      <c r="BE238" s="67">
        <f t="shared" si="43"/>
        <v>1280217.8333333333</v>
      </c>
      <c r="BF238" s="67">
        <f t="shared" si="36"/>
        <v>0</v>
      </c>
      <c r="BG238" s="67">
        <f t="shared" si="35"/>
        <v>0</v>
      </c>
      <c r="BH238" s="66"/>
      <c r="BI238" s="68" t="s">
        <v>188</v>
      </c>
      <c r="BJ238" s="68" t="s">
        <v>716</v>
      </c>
      <c r="BK238" s="68" t="s">
        <v>85</v>
      </c>
      <c r="BL238" s="29"/>
      <c r="BO238" s="35" t="s">
        <v>1805</v>
      </c>
      <c r="BQ238" s="1" t="s">
        <v>1980</v>
      </c>
    </row>
    <row r="239" spans="1:69" ht="15" hidden="1" customHeight="1">
      <c r="A239" s="1" t="s">
        <v>43</v>
      </c>
      <c r="C239" s="1" t="str">
        <f t="shared" si="40"/>
        <v>2705</v>
      </c>
      <c r="D239" s="1" t="str">
        <f t="shared" si="41"/>
        <v>2005</v>
      </c>
      <c r="E239" s="19" t="s">
        <v>48</v>
      </c>
      <c r="F239" s="62" t="s">
        <v>725</v>
      </c>
      <c r="G239" s="62">
        <v>2112</v>
      </c>
      <c r="H239" s="62" t="s">
        <v>726</v>
      </c>
      <c r="I239" s="62" t="s">
        <v>727</v>
      </c>
      <c r="J239" s="136">
        <v>1</v>
      </c>
      <c r="K239" s="119" t="s">
        <v>271</v>
      </c>
      <c r="L239" s="62" t="s">
        <v>77</v>
      </c>
      <c r="M239" s="120" t="s">
        <v>711</v>
      </c>
      <c r="N239" s="65">
        <v>43916</v>
      </c>
      <c r="O239" s="24">
        <v>9500</v>
      </c>
      <c r="P239" s="64">
        <v>23240</v>
      </c>
      <c r="Q239" s="64">
        <v>220780000</v>
      </c>
      <c r="R239" s="64">
        <v>0</v>
      </c>
      <c r="S239" s="130"/>
      <c r="T239" s="64">
        <v>3750511.6799999997</v>
      </c>
      <c r="U239" s="121" t="s">
        <v>712</v>
      </c>
      <c r="V239" s="121">
        <v>224530512</v>
      </c>
      <c r="W239" s="122">
        <v>0</v>
      </c>
      <c r="X239" s="64">
        <v>224530512</v>
      </c>
      <c r="Y239" s="121"/>
      <c r="Z239" s="121"/>
      <c r="AA239" s="121"/>
      <c r="AB239" s="121"/>
      <c r="AC239" s="64">
        <v>224530512</v>
      </c>
      <c r="AD239" s="65">
        <v>43976</v>
      </c>
      <c r="AE239" s="65">
        <v>46531</v>
      </c>
      <c r="AF239" s="62">
        <v>7</v>
      </c>
      <c r="AG239" s="119">
        <v>84</v>
      </c>
      <c r="AH239" s="25">
        <v>2672982.2857142859</v>
      </c>
      <c r="AI239" s="78">
        <v>115541805.85714287</v>
      </c>
      <c r="AJ239" s="78">
        <v>108988706.14285713</v>
      </c>
      <c r="AK239" s="27">
        <f t="shared" si="42"/>
        <v>2672982.2857142859</v>
      </c>
      <c r="AL239" s="27">
        <f t="shared" si="44"/>
        <v>2672982.2857142859</v>
      </c>
      <c r="AM239" s="27"/>
      <c r="AN239" s="27"/>
      <c r="AO239" s="27"/>
      <c r="AP239" s="27"/>
      <c r="AQ239" s="27"/>
      <c r="AR239" s="27"/>
      <c r="AS239" s="27"/>
      <c r="AT239" s="27"/>
      <c r="AU239" s="27"/>
      <c r="AV239" s="27"/>
      <c r="AW239" s="27">
        <f t="shared" si="37"/>
        <v>5345964.5714285718</v>
      </c>
      <c r="AX239" s="79">
        <f t="shared" si="38"/>
        <v>103642741.57142857</v>
      </c>
      <c r="AY239" s="79">
        <f t="shared" si="39"/>
        <v>120887770.42857143</v>
      </c>
      <c r="AZ239" s="25">
        <v>1</v>
      </c>
      <c r="BA239" s="62" t="s">
        <v>97</v>
      </c>
      <c r="BB239" s="66">
        <v>1</v>
      </c>
      <c r="BC239" s="66"/>
      <c r="BD239" s="66"/>
      <c r="BE239" s="67">
        <f t="shared" si="43"/>
        <v>2672982.2857142859</v>
      </c>
      <c r="BF239" s="67">
        <f t="shared" si="36"/>
        <v>0</v>
      </c>
      <c r="BG239" s="67">
        <f t="shared" si="35"/>
        <v>0</v>
      </c>
      <c r="BH239" s="66"/>
      <c r="BI239" s="68" t="s">
        <v>188</v>
      </c>
      <c r="BJ239" s="68" t="s">
        <v>716</v>
      </c>
      <c r="BK239" s="68" t="s">
        <v>85</v>
      </c>
      <c r="BL239" s="29"/>
      <c r="BO239" s="35" t="s">
        <v>1805</v>
      </c>
      <c r="BQ239" s="1" t="s">
        <v>1980</v>
      </c>
    </row>
    <row r="240" spans="1:69" ht="15" hidden="1" customHeight="1">
      <c r="A240" s="1" t="s">
        <v>43</v>
      </c>
      <c r="C240" s="1" t="str">
        <f t="shared" si="40"/>
        <v>2710</v>
      </c>
      <c r="D240" s="1" t="str">
        <f t="shared" si="41"/>
        <v>2010</v>
      </c>
      <c r="E240" s="19" t="s">
        <v>48</v>
      </c>
      <c r="F240" s="62" t="s">
        <v>515</v>
      </c>
      <c r="G240" s="62">
        <v>2112</v>
      </c>
      <c r="H240" s="62" t="s">
        <v>728</v>
      </c>
      <c r="I240" s="62" t="s">
        <v>729</v>
      </c>
      <c r="J240" s="118">
        <v>1</v>
      </c>
      <c r="K240" s="119" t="s">
        <v>271</v>
      </c>
      <c r="L240" s="62" t="s">
        <v>77</v>
      </c>
      <c r="M240" s="120" t="s">
        <v>711</v>
      </c>
      <c r="N240" s="65">
        <v>43916</v>
      </c>
      <c r="O240" s="24">
        <v>25000</v>
      </c>
      <c r="P240" s="24">
        <v>23240</v>
      </c>
      <c r="Q240" s="64">
        <v>581000000</v>
      </c>
      <c r="R240" s="64">
        <v>0</v>
      </c>
      <c r="S240" s="64"/>
      <c r="T240" s="64">
        <v>9869767.5699999984</v>
      </c>
      <c r="U240" s="64" t="s">
        <v>712</v>
      </c>
      <c r="V240" s="121">
        <v>590869768</v>
      </c>
      <c r="W240" s="122">
        <v>0</v>
      </c>
      <c r="X240" s="64">
        <v>590869768</v>
      </c>
      <c r="Y240" s="121"/>
      <c r="Z240" s="121"/>
      <c r="AA240" s="121"/>
      <c r="AB240" s="121"/>
      <c r="AC240" s="64">
        <v>590869768</v>
      </c>
      <c r="AD240" s="65">
        <v>44109</v>
      </c>
      <c r="AE240" s="65">
        <v>46664</v>
      </c>
      <c r="AF240" s="62">
        <v>7</v>
      </c>
      <c r="AG240" s="119">
        <v>84</v>
      </c>
      <c r="AH240" s="25">
        <v>7034163.9047619049</v>
      </c>
      <c r="AI240" s="78">
        <v>273424761.04761904</v>
      </c>
      <c r="AJ240" s="78">
        <v>317445006.95238096</v>
      </c>
      <c r="AK240" s="27">
        <f t="shared" si="42"/>
        <v>7034163.9047619049</v>
      </c>
      <c r="AL240" s="27">
        <f t="shared" si="44"/>
        <v>7034163.9047619049</v>
      </c>
      <c r="AM240" s="27"/>
      <c r="AN240" s="27"/>
      <c r="AO240" s="27"/>
      <c r="AP240" s="27"/>
      <c r="AQ240" s="27"/>
      <c r="AR240" s="27"/>
      <c r="AS240" s="27"/>
      <c r="AT240" s="27"/>
      <c r="AU240" s="27"/>
      <c r="AV240" s="27"/>
      <c r="AW240" s="27">
        <f t="shared" si="37"/>
        <v>14068327.80952381</v>
      </c>
      <c r="AX240" s="79">
        <f t="shared" si="38"/>
        <v>303376679.14285713</v>
      </c>
      <c r="AY240" s="79">
        <f t="shared" si="39"/>
        <v>287493088.85714287</v>
      </c>
      <c r="AZ240" s="25">
        <v>1</v>
      </c>
      <c r="BA240" s="62" t="s">
        <v>97</v>
      </c>
      <c r="BB240" s="66">
        <v>1</v>
      </c>
      <c r="BC240" s="66"/>
      <c r="BD240" s="66"/>
      <c r="BE240" s="67">
        <f t="shared" si="43"/>
        <v>7034163.9047619049</v>
      </c>
      <c r="BF240" s="67">
        <f t="shared" si="36"/>
        <v>0</v>
      </c>
      <c r="BG240" s="67">
        <f t="shared" si="35"/>
        <v>0</v>
      </c>
      <c r="BH240" s="66"/>
      <c r="BI240" s="68" t="s">
        <v>713</v>
      </c>
      <c r="BJ240" s="68" t="s">
        <v>644</v>
      </c>
      <c r="BK240" s="68" t="s">
        <v>644</v>
      </c>
      <c r="BL240" s="29"/>
      <c r="BO240" s="35" t="s">
        <v>1802</v>
      </c>
      <c r="BQ240" s="1" t="e">
        <v>#N/A</v>
      </c>
    </row>
    <row r="241" spans="1:69" ht="15" hidden="1" customHeight="1">
      <c r="A241" s="1" t="s">
        <v>43</v>
      </c>
      <c r="C241" s="1" t="str">
        <f t="shared" si="40"/>
        <v>2710</v>
      </c>
      <c r="D241" s="1" t="str">
        <f t="shared" si="41"/>
        <v>2010</v>
      </c>
      <c r="E241" s="19" t="s">
        <v>48</v>
      </c>
      <c r="F241" s="62" t="s">
        <v>515</v>
      </c>
      <c r="G241" s="62">
        <v>2112</v>
      </c>
      <c r="H241" s="62" t="s">
        <v>730</v>
      </c>
      <c r="I241" s="62" t="s">
        <v>731</v>
      </c>
      <c r="J241" s="118">
        <v>1</v>
      </c>
      <c r="K241" s="119" t="s">
        <v>271</v>
      </c>
      <c r="L241" s="62" t="s">
        <v>77</v>
      </c>
      <c r="M241" s="120" t="s">
        <v>711</v>
      </c>
      <c r="N241" s="65">
        <v>43916</v>
      </c>
      <c r="O241" s="24">
        <v>25000</v>
      </c>
      <c r="P241" s="24">
        <v>23240</v>
      </c>
      <c r="Q241" s="64">
        <v>581000000</v>
      </c>
      <c r="R241" s="64">
        <v>0</v>
      </c>
      <c r="S241" s="64"/>
      <c r="T241" s="64">
        <v>9869767.5699999984</v>
      </c>
      <c r="U241" s="64" t="s">
        <v>712</v>
      </c>
      <c r="V241" s="121">
        <v>590869768</v>
      </c>
      <c r="W241" s="122">
        <v>0</v>
      </c>
      <c r="X241" s="64">
        <v>590869768</v>
      </c>
      <c r="Y241" s="121"/>
      <c r="Z241" s="121"/>
      <c r="AA241" s="121"/>
      <c r="AB241" s="121"/>
      <c r="AC241" s="64">
        <v>590869768</v>
      </c>
      <c r="AD241" s="65">
        <v>44109</v>
      </c>
      <c r="AE241" s="65">
        <v>46664</v>
      </c>
      <c r="AF241" s="62">
        <v>7</v>
      </c>
      <c r="AG241" s="119">
        <v>84</v>
      </c>
      <c r="AH241" s="25">
        <v>7034163.9047619049</v>
      </c>
      <c r="AI241" s="78">
        <v>273424761.04761904</v>
      </c>
      <c r="AJ241" s="78">
        <v>317445006.95238096</v>
      </c>
      <c r="AK241" s="27">
        <f t="shared" si="42"/>
        <v>7034163.9047619049</v>
      </c>
      <c r="AL241" s="27">
        <f t="shared" si="44"/>
        <v>7034163.9047619049</v>
      </c>
      <c r="AM241" s="27"/>
      <c r="AN241" s="27"/>
      <c r="AO241" s="27"/>
      <c r="AP241" s="27"/>
      <c r="AQ241" s="27"/>
      <c r="AR241" s="27"/>
      <c r="AS241" s="27"/>
      <c r="AT241" s="27"/>
      <c r="AU241" s="27"/>
      <c r="AV241" s="27"/>
      <c r="AW241" s="27">
        <f t="shared" si="37"/>
        <v>14068327.80952381</v>
      </c>
      <c r="AX241" s="79">
        <f t="shared" si="38"/>
        <v>303376679.14285713</v>
      </c>
      <c r="AY241" s="79">
        <f t="shared" si="39"/>
        <v>287493088.85714287</v>
      </c>
      <c r="AZ241" s="25">
        <v>1</v>
      </c>
      <c r="BA241" s="62" t="s">
        <v>97</v>
      </c>
      <c r="BB241" s="66">
        <v>1</v>
      </c>
      <c r="BC241" s="66"/>
      <c r="BD241" s="66"/>
      <c r="BE241" s="67">
        <f t="shared" si="43"/>
        <v>7034163.9047619049</v>
      </c>
      <c r="BF241" s="67">
        <f t="shared" si="36"/>
        <v>0</v>
      </c>
      <c r="BG241" s="67">
        <f t="shared" si="35"/>
        <v>0</v>
      </c>
      <c r="BH241" s="66"/>
      <c r="BI241" s="68" t="s">
        <v>713</v>
      </c>
      <c r="BJ241" s="68" t="s">
        <v>644</v>
      </c>
      <c r="BK241" s="68" t="s">
        <v>644</v>
      </c>
      <c r="BL241" s="29"/>
      <c r="BO241" s="35" t="s">
        <v>1802</v>
      </c>
      <c r="BQ241" s="1" t="e">
        <v>#N/A</v>
      </c>
    </row>
    <row r="242" spans="1:69" ht="15" hidden="1" customHeight="1">
      <c r="A242" s="1" t="s">
        <v>43</v>
      </c>
      <c r="C242" s="1" t="str">
        <f t="shared" si="40"/>
        <v>2809</v>
      </c>
      <c r="D242" s="1" t="str">
        <f t="shared" si="41"/>
        <v>2009</v>
      </c>
      <c r="E242" s="19" t="s">
        <v>48</v>
      </c>
      <c r="F242" s="62" t="s">
        <v>515</v>
      </c>
      <c r="G242" s="62">
        <v>2112</v>
      </c>
      <c r="H242" s="62" t="s">
        <v>732</v>
      </c>
      <c r="I242" s="62" t="s">
        <v>733</v>
      </c>
      <c r="J242" s="118">
        <v>1</v>
      </c>
      <c r="K242" s="119" t="s">
        <v>271</v>
      </c>
      <c r="L242" s="62" t="s">
        <v>77</v>
      </c>
      <c r="M242" s="120" t="s">
        <v>711</v>
      </c>
      <c r="N242" s="65">
        <v>43916</v>
      </c>
      <c r="O242" s="24">
        <v>74400</v>
      </c>
      <c r="P242" s="24">
        <v>23240</v>
      </c>
      <c r="Q242" s="64">
        <v>1729056000</v>
      </c>
      <c r="R242" s="64">
        <v>0</v>
      </c>
      <c r="S242" s="64"/>
      <c r="T242" s="64">
        <v>29372428.329999998</v>
      </c>
      <c r="U242" s="64" t="s">
        <v>712</v>
      </c>
      <c r="V242" s="121">
        <v>1758428428</v>
      </c>
      <c r="W242" s="122">
        <v>0</v>
      </c>
      <c r="X242" s="64">
        <v>1758428428</v>
      </c>
      <c r="Y242" s="121"/>
      <c r="Z242" s="121"/>
      <c r="AA242" s="121"/>
      <c r="AB242" s="121"/>
      <c r="AC242" s="64">
        <v>1758428428</v>
      </c>
      <c r="AD242" s="65">
        <v>44084</v>
      </c>
      <c r="AE242" s="65">
        <v>47004</v>
      </c>
      <c r="AF242" s="62">
        <v>8</v>
      </c>
      <c r="AG242" s="119">
        <v>96</v>
      </c>
      <c r="AH242" s="25">
        <v>18316962.791666668</v>
      </c>
      <c r="AI242" s="78">
        <v>727183428.91666663</v>
      </c>
      <c r="AJ242" s="78">
        <v>1031244999.0833334</v>
      </c>
      <c r="AK242" s="27">
        <f t="shared" si="42"/>
        <v>18316962.791666668</v>
      </c>
      <c r="AL242" s="27">
        <f t="shared" si="44"/>
        <v>18316962.791666668</v>
      </c>
      <c r="AM242" s="27"/>
      <c r="AN242" s="27"/>
      <c r="AO242" s="27"/>
      <c r="AP242" s="27"/>
      <c r="AQ242" s="27"/>
      <c r="AR242" s="27"/>
      <c r="AS242" s="27"/>
      <c r="AT242" s="27"/>
      <c r="AU242" s="27"/>
      <c r="AV242" s="27"/>
      <c r="AW242" s="27">
        <f t="shared" si="37"/>
        <v>36633925.583333336</v>
      </c>
      <c r="AX242" s="79">
        <f t="shared" si="38"/>
        <v>994611073.5</v>
      </c>
      <c r="AY242" s="79">
        <f t="shared" si="39"/>
        <v>763817354.5</v>
      </c>
      <c r="AZ242" s="25">
        <v>1</v>
      </c>
      <c r="BA242" s="62" t="s">
        <v>97</v>
      </c>
      <c r="BB242" s="66">
        <v>1</v>
      </c>
      <c r="BC242" s="66"/>
      <c r="BD242" s="66"/>
      <c r="BE242" s="67">
        <f t="shared" si="43"/>
        <v>18316962.791666668</v>
      </c>
      <c r="BF242" s="67">
        <f t="shared" si="36"/>
        <v>0</v>
      </c>
      <c r="BG242" s="67">
        <f t="shared" si="35"/>
        <v>0</v>
      </c>
      <c r="BH242" s="66"/>
      <c r="BI242" s="68" t="s">
        <v>242</v>
      </c>
      <c r="BJ242" s="68" t="s">
        <v>662</v>
      </c>
      <c r="BK242" s="68" t="s">
        <v>121</v>
      </c>
      <c r="BL242" s="29"/>
      <c r="BO242" s="35" t="s">
        <v>1805</v>
      </c>
      <c r="BQ242" s="1" t="s">
        <v>1979</v>
      </c>
    </row>
    <row r="243" spans="1:69" ht="15" hidden="1" customHeight="1">
      <c r="A243" s="1" t="s">
        <v>43</v>
      </c>
      <c r="C243" s="1" t="str">
        <f t="shared" si="40"/>
        <v>3010</v>
      </c>
      <c r="D243" s="1" t="str">
        <f t="shared" si="41"/>
        <v>2010</v>
      </c>
      <c r="E243" s="19" t="s">
        <v>48</v>
      </c>
      <c r="F243" s="62" t="s">
        <v>515</v>
      </c>
      <c r="G243" s="62">
        <v>2112</v>
      </c>
      <c r="H243" s="62" t="s">
        <v>734</v>
      </c>
      <c r="I243" s="62" t="s">
        <v>735</v>
      </c>
      <c r="J243" s="118">
        <v>1</v>
      </c>
      <c r="K243" s="119" t="s">
        <v>271</v>
      </c>
      <c r="L243" s="62" t="s">
        <v>77</v>
      </c>
      <c r="M243" s="120" t="s">
        <v>711</v>
      </c>
      <c r="N243" s="65">
        <v>43916</v>
      </c>
      <c r="O243" s="24">
        <v>10000</v>
      </c>
      <c r="P243" s="24">
        <v>23240</v>
      </c>
      <c r="Q243" s="64">
        <v>232400000</v>
      </c>
      <c r="R243" s="64">
        <v>0</v>
      </c>
      <c r="S243" s="64"/>
      <c r="T243" s="64">
        <v>3947907.03</v>
      </c>
      <c r="U243" s="64" t="s">
        <v>712</v>
      </c>
      <c r="V243" s="121">
        <v>236347907</v>
      </c>
      <c r="W243" s="122">
        <v>0</v>
      </c>
      <c r="X243" s="64">
        <v>236347907</v>
      </c>
      <c r="Y243" s="121"/>
      <c r="Z243" s="121"/>
      <c r="AA243" s="121"/>
      <c r="AB243" s="121"/>
      <c r="AC243" s="64">
        <v>236347907</v>
      </c>
      <c r="AD243" s="65">
        <v>44109</v>
      </c>
      <c r="AE243" s="65">
        <v>47759</v>
      </c>
      <c r="AF243" s="62">
        <v>10</v>
      </c>
      <c r="AG243" s="119">
        <v>120</v>
      </c>
      <c r="AH243" s="25">
        <v>1969565.8916666666</v>
      </c>
      <c r="AI243" s="78">
        <v>76558934.916666657</v>
      </c>
      <c r="AJ243" s="78">
        <v>159788972.08333334</v>
      </c>
      <c r="AK243" s="27">
        <f t="shared" si="42"/>
        <v>1969565.8916666666</v>
      </c>
      <c r="AL243" s="27">
        <f t="shared" si="44"/>
        <v>1969565.8916666666</v>
      </c>
      <c r="AM243" s="27"/>
      <c r="AN243" s="27"/>
      <c r="AO243" s="27"/>
      <c r="AP243" s="27"/>
      <c r="AQ243" s="27"/>
      <c r="AR243" s="27"/>
      <c r="AS243" s="27"/>
      <c r="AT243" s="27"/>
      <c r="AU243" s="27"/>
      <c r="AV243" s="27"/>
      <c r="AW243" s="27">
        <f t="shared" si="37"/>
        <v>3939131.7833333332</v>
      </c>
      <c r="AX243" s="79">
        <f t="shared" si="38"/>
        <v>155849840.30000001</v>
      </c>
      <c r="AY243" s="79">
        <f t="shared" si="39"/>
        <v>80498066.699999988</v>
      </c>
      <c r="AZ243" s="25">
        <v>1</v>
      </c>
      <c r="BA243" s="62" t="s">
        <v>97</v>
      </c>
      <c r="BB243" s="66">
        <v>1</v>
      </c>
      <c r="BC243" s="66"/>
      <c r="BD243" s="66"/>
      <c r="BE243" s="67">
        <f t="shared" si="43"/>
        <v>1969565.8916666666</v>
      </c>
      <c r="BF243" s="67">
        <f t="shared" si="36"/>
        <v>0</v>
      </c>
      <c r="BG243" s="67">
        <f t="shared" si="35"/>
        <v>0</v>
      </c>
      <c r="BH243" s="66" t="s">
        <v>736</v>
      </c>
      <c r="BI243" s="68" t="s">
        <v>737</v>
      </c>
      <c r="BJ243" s="68" t="s">
        <v>644</v>
      </c>
      <c r="BK243" s="68" t="s">
        <v>644</v>
      </c>
      <c r="BL243" s="29"/>
      <c r="BO243" s="35" t="s">
        <v>1802</v>
      </c>
      <c r="BQ243" s="1" t="e">
        <v>#N/A</v>
      </c>
    </row>
    <row r="244" spans="1:69" ht="15" hidden="1" customHeight="1">
      <c r="A244" s="1" t="s">
        <v>43</v>
      </c>
      <c r="C244" s="1" t="str">
        <f t="shared" si="40"/>
        <v>3004</v>
      </c>
      <c r="D244" s="1" t="str">
        <f t="shared" si="41"/>
        <v>2004</v>
      </c>
      <c r="E244" s="19" t="s">
        <v>48</v>
      </c>
      <c r="F244" s="62" t="s">
        <v>49</v>
      </c>
      <c r="G244" s="62">
        <v>2112</v>
      </c>
      <c r="H244" s="62" t="s">
        <v>738</v>
      </c>
      <c r="I244" s="62" t="s">
        <v>739</v>
      </c>
      <c r="J244" s="118">
        <v>1</v>
      </c>
      <c r="K244" s="119" t="s">
        <v>271</v>
      </c>
      <c r="L244" s="62" t="s">
        <v>77</v>
      </c>
      <c r="M244" s="120" t="s">
        <v>711</v>
      </c>
      <c r="N244" s="65">
        <v>43916</v>
      </c>
      <c r="O244" s="24">
        <v>33000</v>
      </c>
      <c r="P244" s="24">
        <v>23240</v>
      </c>
      <c r="Q244" s="64">
        <v>766920000</v>
      </c>
      <c r="R244" s="64">
        <v>0</v>
      </c>
      <c r="S244" s="64"/>
      <c r="T244" s="64">
        <v>13028093.209999999</v>
      </c>
      <c r="U244" s="64" t="s">
        <v>712</v>
      </c>
      <c r="V244" s="121">
        <v>779948093</v>
      </c>
      <c r="W244" s="122">
        <v>0</v>
      </c>
      <c r="X244" s="64">
        <v>779948093</v>
      </c>
      <c r="Y244" s="121"/>
      <c r="Z244" s="121"/>
      <c r="AA244" s="121"/>
      <c r="AB244" s="121"/>
      <c r="AC244" s="64">
        <v>779948093</v>
      </c>
      <c r="AD244" s="65">
        <v>43936</v>
      </c>
      <c r="AE244" s="65">
        <v>47586</v>
      </c>
      <c r="AF244" s="62">
        <v>10</v>
      </c>
      <c r="AG244" s="119">
        <v>120</v>
      </c>
      <c r="AH244" s="25">
        <v>6499567.4416666664</v>
      </c>
      <c r="AI244" s="78">
        <v>289447388.41666663</v>
      </c>
      <c r="AJ244" s="78">
        <v>490500704.58333337</v>
      </c>
      <c r="AK244" s="27">
        <f t="shared" si="42"/>
        <v>6499567.4416666664</v>
      </c>
      <c r="AL244" s="27">
        <f t="shared" si="44"/>
        <v>6499567.4416666664</v>
      </c>
      <c r="AM244" s="27"/>
      <c r="AN244" s="27"/>
      <c r="AO244" s="27"/>
      <c r="AP244" s="27"/>
      <c r="AQ244" s="27"/>
      <c r="AR244" s="27"/>
      <c r="AS244" s="27"/>
      <c r="AT244" s="27"/>
      <c r="AU244" s="27"/>
      <c r="AV244" s="27"/>
      <c r="AW244" s="27">
        <f t="shared" si="37"/>
        <v>12999134.883333333</v>
      </c>
      <c r="AX244" s="79">
        <f t="shared" si="38"/>
        <v>477501569.70000005</v>
      </c>
      <c r="AY244" s="79">
        <f t="shared" si="39"/>
        <v>302446523.29999995</v>
      </c>
      <c r="AZ244" s="25">
        <v>1</v>
      </c>
      <c r="BA244" s="62" t="s">
        <v>97</v>
      </c>
      <c r="BB244" s="66">
        <v>1</v>
      </c>
      <c r="BC244" s="66"/>
      <c r="BD244" s="66"/>
      <c r="BE244" s="67">
        <f t="shared" si="43"/>
        <v>6499567.4416666664</v>
      </c>
      <c r="BF244" s="67">
        <f t="shared" si="36"/>
        <v>0</v>
      </c>
      <c r="BG244" s="67">
        <f t="shared" si="35"/>
        <v>0</v>
      </c>
      <c r="BH244" s="66"/>
      <c r="BI244" s="68" t="s">
        <v>446</v>
      </c>
      <c r="BJ244" s="68" t="s">
        <v>117</v>
      </c>
      <c r="BK244" s="68" t="s">
        <v>117</v>
      </c>
      <c r="BL244" s="29"/>
      <c r="BO244" s="35" t="s">
        <v>1804</v>
      </c>
      <c r="BQ244" s="1">
        <v>0</v>
      </c>
    </row>
    <row r="245" spans="1:69" ht="15" hidden="1" customHeight="1">
      <c r="A245" s="1" t="s">
        <v>43</v>
      </c>
      <c r="C245" s="1" t="str">
        <f t="shared" si="40"/>
        <v>3005</v>
      </c>
      <c r="D245" s="1" t="str">
        <f t="shared" si="41"/>
        <v>2005</v>
      </c>
      <c r="E245" s="19" t="s">
        <v>48</v>
      </c>
      <c r="F245" s="62" t="s">
        <v>515</v>
      </c>
      <c r="G245" s="62">
        <v>2112</v>
      </c>
      <c r="H245" s="62" t="s">
        <v>740</v>
      </c>
      <c r="I245" s="62" t="s">
        <v>741</v>
      </c>
      <c r="J245" s="118">
        <v>1</v>
      </c>
      <c r="K245" s="119" t="s">
        <v>619</v>
      </c>
      <c r="L245" s="62" t="s">
        <v>742</v>
      </c>
      <c r="M245" s="120" t="s">
        <v>743</v>
      </c>
      <c r="N245" s="65">
        <v>43922</v>
      </c>
      <c r="O245" s="24">
        <v>64000</v>
      </c>
      <c r="P245" s="24">
        <v>23289</v>
      </c>
      <c r="Q245" s="64">
        <v>1490496000</v>
      </c>
      <c r="R245" s="64"/>
      <c r="S245" s="64"/>
      <c r="T245" s="64">
        <v>21298500</v>
      </c>
      <c r="U245" s="64" t="s">
        <v>744</v>
      </c>
      <c r="V245" s="121">
        <v>1511794500</v>
      </c>
      <c r="W245" s="122">
        <v>0</v>
      </c>
      <c r="X245" s="64">
        <v>1511794500</v>
      </c>
      <c r="Y245" s="121"/>
      <c r="Z245" s="121"/>
      <c r="AA245" s="121"/>
      <c r="AB245" s="121"/>
      <c r="AC245" s="64">
        <v>1511794500</v>
      </c>
      <c r="AD245" s="65">
        <v>43971</v>
      </c>
      <c r="AE245" s="65">
        <v>47621</v>
      </c>
      <c r="AF245" s="62">
        <v>10</v>
      </c>
      <c r="AG245" s="119">
        <v>120</v>
      </c>
      <c r="AH245" s="25">
        <v>12598287.5</v>
      </c>
      <c r="AI245" s="78">
        <v>546603135</v>
      </c>
      <c r="AJ245" s="78">
        <v>965191365</v>
      </c>
      <c r="AK245" s="27">
        <f t="shared" si="42"/>
        <v>12598287.5</v>
      </c>
      <c r="AL245" s="27">
        <f t="shared" si="44"/>
        <v>12598287.5</v>
      </c>
      <c r="AM245" s="27"/>
      <c r="AN245" s="27"/>
      <c r="AO245" s="27"/>
      <c r="AP245" s="27"/>
      <c r="AQ245" s="27"/>
      <c r="AR245" s="27"/>
      <c r="AS245" s="27"/>
      <c r="AT245" s="27"/>
      <c r="AU245" s="27"/>
      <c r="AV245" s="27"/>
      <c r="AW245" s="27">
        <f t="shared" si="37"/>
        <v>25196575</v>
      </c>
      <c r="AX245" s="79">
        <f t="shared" si="38"/>
        <v>939994790</v>
      </c>
      <c r="AY245" s="79">
        <f t="shared" si="39"/>
        <v>571799710</v>
      </c>
      <c r="AZ245" s="25">
        <v>1</v>
      </c>
      <c r="BA245" s="62" t="s">
        <v>97</v>
      </c>
      <c r="BB245" s="66">
        <v>1</v>
      </c>
      <c r="BC245" s="66"/>
      <c r="BD245" s="66"/>
      <c r="BE245" s="67">
        <f t="shared" si="43"/>
        <v>12598287.5</v>
      </c>
      <c r="BF245" s="67">
        <f t="shared" si="36"/>
        <v>0</v>
      </c>
      <c r="BG245" s="67">
        <f t="shared" si="35"/>
        <v>0</v>
      </c>
      <c r="BH245" s="66"/>
      <c r="BI245" s="68" t="s">
        <v>188</v>
      </c>
      <c r="BJ245" s="68" t="s">
        <v>716</v>
      </c>
      <c r="BK245" s="68" t="s">
        <v>85</v>
      </c>
      <c r="BL245" s="29"/>
      <c r="BO245" s="35" t="s">
        <v>1805</v>
      </c>
      <c r="BQ245" s="1" t="s">
        <v>1980</v>
      </c>
    </row>
    <row r="246" spans="1:69" ht="15" hidden="1" customHeight="1">
      <c r="A246" s="1" t="s">
        <v>43</v>
      </c>
      <c r="C246" s="1" t="str">
        <f t="shared" si="40"/>
        <v>3012</v>
      </c>
      <c r="D246" s="1" t="str">
        <f t="shared" si="41"/>
        <v>2012</v>
      </c>
      <c r="E246" s="19" t="s">
        <v>48</v>
      </c>
      <c r="F246" s="62" t="s">
        <v>515</v>
      </c>
      <c r="G246" s="62">
        <v>2112</v>
      </c>
      <c r="H246" s="62" t="s">
        <v>745</v>
      </c>
      <c r="I246" s="62" t="s">
        <v>746</v>
      </c>
      <c r="J246" s="118">
        <v>1</v>
      </c>
      <c r="K246" s="119" t="s">
        <v>619</v>
      </c>
      <c r="L246" s="62" t="s">
        <v>77</v>
      </c>
      <c r="M246" s="120" t="s">
        <v>747</v>
      </c>
      <c r="N246" s="65">
        <v>43929</v>
      </c>
      <c r="O246" s="24">
        <v>890000</v>
      </c>
      <c r="P246" s="24">
        <v>23480</v>
      </c>
      <c r="Q246" s="64">
        <v>20897200000</v>
      </c>
      <c r="R246" s="64"/>
      <c r="S246" s="64"/>
      <c r="T246" s="64">
        <v>140571100</v>
      </c>
      <c r="U246" s="64" t="s">
        <v>748</v>
      </c>
      <c r="V246" s="121">
        <v>21037771100</v>
      </c>
      <c r="W246" s="122">
        <v>0</v>
      </c>
      <c r="X246" s="64">
        <v>21037771100</v>
      </c>
      <c r="Y246" s="121"/>
      <c r="Z246" s="121"/>
      <c r="AA246" s="121"/>
      <c r="AB246" s="121"/>
      <c r="AC246" s="64">
        <v>21037771100</v>
      </c>
      <c r="AD246" s="65">
        <v>44185</v>
      </c>
      <c r="AE246" s="65">
        <v>47835</v>
      </c>
      <c r="AF246" s="62">
        <v>10</v>
      </c>
      <c r="AG246" s="119">
        <v>120</v>
      </c>
      <c r="AH246" s="25">
        <v>175314759.16666666</v>
      </c>
      <c r="AI246" s="78">
        <v>6379195103.666667</v>
      </c>
      <c r="AJ246" s="78">
        <v>14658575996.333332</v>
      </c>
      <c r="AK246" s="27">
        <f t="shared" si="42"/>
        <v>175314759.16666666</v>
      </c>
      <c r="AL246" s="27">
        <f t="shared" si="44"/>
        <v>175314759.16666666</v>
      </c>
      <c r="AM246" s="27"/>
      <c r="AN246" s="27"/>
      <c r="AO246" s="27"/>
      <c r="AP246" s="27"/>
      <c r="AQ246" s="27"/>
      <c r="AR246" s="27"/>
      <c r="AS246" s="27"/>
      <c r="AT246" s="27"/>
      <c r="AU246" s="27"/>
      <c r="AV246" s="27"/>
      <c r="AW246" s="27">
        <f t="shared" si="37"/>
        <v>350629518.33333331</v>
      </c>
      <c r="AX246" s="79">
        <f t="shared" si="38"/>
        <v>14307946477.999998</v>
      </c>
      <c r="AY246" s="79">
        <f t="shared" si="39"/>
        <v>6729824622</v>
      </c>
      <c r="AZ246" s="25">
        <v>1</v>
      </c>
      <c r="BA246" s="62" t="s">
        <v>97</v>
      </c>
      <c r="BB246" s="66">
        <v>1</v>
      </c>
      <c r="BC246" s="66"/>
      <c r="BD246" s="66"/>
      <c r="BE246" s="67">
        <f t="shared" si="43"/>
        <v>175314759.16666666</v>
      </c>
      <c r="BF246" s="67">
        <f t="shared" si="36"/>
        <v>0</v>
      </c>
      <c r="BG246" s="67">
        <f t="shared" si="35"/>
        <v>0</v>
      </c>
      <c r="BH246" s="66"/>
      <c r="BI246" s="68" t="s">
        <v>713</v>
      </c>
      <c r="BJ246" s="68" t="s">
        <v>644</v>
      </c>
      <c r="BK246" s="68" t="s">
        <v>644</v>
      </c>
      <c r="BL246" s="29"/>
      <c r="BO246" s="35" t="s">
        <v>1802</v>
      </c>
      <c r="BQ246" s="1" t="e">
        <v>#N/A</v>
      </c>
    </row>
    <row r="247" spans="1:69" ht="15" hidden="1" customHeight="1">
      <c r="A247" s="1" t="s">
        <v>43</v>
      </c>
      <c r="C247" s="1" t="str">
        <f t="shared" si="40"/>
        <v>2709</v>
      </c>
      <c r="D247" s="1" t="str">
        <f t="shared" si="41"/>
        <v>2009</v>
      </c>
      <c r="E247" s="19" t="s">
        <v>48</v>
      </c>
      <c r="F247" s="62" t="s">
        <v>515</v>
      </c>
      <c r="G247" s="62">
        <v>2112</v>
      </c>
      <c r="H247" s="62" t="s">
        <v>749</v>
      </c>
      <c r="I247" s="62" t="s">
        <v>750</v>
      </c>
      <c r="J247" s="118">
        <v>1</v>
      </c>
      <c r="K247" s="119" t="s">
        <v>619</v>
      </c>
      <c r="L247" s="62" t="s">
        <v>77</v>
      </c>
      <c r="M247" s="120" t="s">
        <v>751</v>
      </c>
      <c r="N247" s="65">
        <v>43929</v>
      </c>
      <c r="O247" s="24">
        <v>50000</v>
      </c>
      <c r="P247" s="24">
        <v>23525</v>
      </c>
      <c r="Q247" s="64">
        <v>1176250000</v>
      </c>
      <c r="R247" s="64"/>
      <c r="S247" s="64"/>
      <c r="T247" s="64">
        <v>105351544</v>
      </c>
      <c r="U247" s="64" t="s">
        <v>752</v>
      </c>
      <c r="V247" s="121">
        <v>1281601544</v>
      </c>
      <c r="W247" s="122">
        <v>0</v>
      </c>
      <c r="X247" s="64">
        <v>1281601544</v>
      </c>
      <c r="Y247" s="121">
        <v>-1281601544</v>
      </c>
      <c r="Z247" s="121">
        <v>1</v>
      </c>
      <c r="AA247" s="125">
        <v>44362</v>
      </c>
      <c r="AB247" s="123" t="s">
        <v>89</v>
      </c>
      <c r="AC247" s="64">
        <v>0</v>
      </c>
      <c r="AD247" s="65">
        <v>44085</v>
      </c>
      <c r="AE247" s="65">
        <v>46640</v>
      </c>
      <c r="AF247" s="62">
        <v>7</v>
      </c>
      <c r="AG247" s="119">
        <v>84</v>
      </c>
      <c r="AH247" s="25">
        <v>0</v>
      </c>
      <c r="AI247" s="78">
        <v>0</v>
      </c>
      <c r="AJ247" s="78">
        <v>0</v>
      </c>
      <c r="AK247" s="27">
        <f t="shared" si="42"/>
        <v>0</v>
      </c>
      <c r="AL247" s="27">
        <f t="shared" si="44"/>
        <v>0</v>
      </c>
      <c r="AM247" s="27"/>
      <c r="AN247" s="27"/>
      <c r="AO247" s="27"/>
      <c r="AP247" s="27"/>
      <c r="AQ247" s="27"/>
      <c r="AR247" s="27"/>
      <c r="AS247" s="27"/>
      <c r="AT247" s="27"/>
      <c r="AU247" s="27"/>
      <c r="AV247" s="27"/>
      <c r="AW247" s="27">
        <f t="shared" si="37"/>
        <v>0</v>
      </c>
      <c r="AX247" s="79">
        <f t="shared" si="38"/>
        <v>0</v>
      </c>
      <c r="AY247" s="79">
        <f t="shared" si="39"/>
        <v>0</v>
      </c>
      <c r="AZ247" s="25">
        <v>0</v>
      </c>
      <c r="BA247" s="62" t="s">
        <v>97</v>
      </c>
      <c r="BB247" s="66">
        <v>1</v>
      </c>
      <c r="BC247" s="66"/>
      <c r="BD247" s="66"/>
      <c r="BE247" s="67">
        <f t="shared" si="43"/>
        <v>0</v>
      </c>
      <c r="BF247" s="67">
        <f t="shared" si="36"/>
        <v>0</v>
      </c>
      <c r="BG247" s="67">
        <f t="shared" si="35"/>
        <v>0</v>
      </c>
      <c r="BH247" s="66"/>
      <c r="BI247" s="68" t="s">
        <v>562</v>
      </c>
      <c r="BJ247" s="68" t="s">
        <v>399</v>
      </c>
      <c r="BK247" s="68" t="s">
        <v>98</v>
      </c>
      <c r="BL247" s="29"/>
      <c r="BQ247" s="1" t="e">
        <v>#N/A</v>
      </c>
    </row>
    <row r="248" spans="1:69" ht="15" hidden="1" customHeight="1">
      <c r="A248" s="1" t="s">
        <v>43</v>
      </c>
      <c r="C248" s="1" t="str">
        <f t="shared" si="40"/>
        <v>2709</v>
      </c>
      <c r="D248" s="1" t="str">
        <f t="shared" si="41"/>
        <v>2009</v>
      </c>
      <c r="E248" s="19" t="s">
        <v>48</v>
      </c>
      <c r="F248" s="62" t="s">
        <v>515</v>
      </c>
      <c r="G248" s="62">
        <v>2112</v>
      </c>
      <c r="H248" s="62" t="s">
        <v>753</v>
      </c>
      <c r="I248" s="62" t="s">
        <v>754</v>
      </c>
      <c r="J248" s="118">
        <v>1</v>
      </c>
      <c r="K248" s="119" t="s">
        <v>619</v>
      </c>
      <c r="L248" s="62" t="s">
        <v>77</v>
      </c>
      <c r="M248" s="120" t="s">
        <v>751</v>
      </c>
      <c r="N248" s="65">
        <v>43929</v>
      </c>
      <c r="O248" s="24">
        <v>18000</v>
      </c>
      <c r="P248" s="24">
        <v>23525</v>
      </c>
      <c r="Q248" s="64">
        <v>423450000</v>
      </c>
      <c r="R248" s="64"/>
      <c r="S248" s="64"/>
      <c r="T248" s="64">
        <v>37926556</v>
      </c>
      <c r="U248" s="64" t="s">
        <v>752</v>
      </c>
      <c r="V248" s="121">
        <v>461376556</v>
      </c>
      <c r="W248" s="122">
        <v>0</v>
      </c>
      <c r="X248" s="64">
        <v>461376556</v>
      </c>
      <c r="Y248" s="121">
        <v>-461376556</v>
      </c>
      <c r="Z248" s="121">
        <v>1</v>
      </c>
      <c r="AA248" s="125">
        <v>44362</v>
      </c>
      <c r="AB248" s="123" t="s">
        <v>89</v>
      </c>
      <c r="AC248" s="64">
        <v>0</v>
      </c>
      <c r="AD248" s="65">
        <v>44085</v>
      </c>
      <c r="AE248" s="65">
        <v>46640</v>
      </c>
      <c r="AF248" s="62">
        <v>7</v>
      </c>
      <c r="AG248" s="119">
        <v>84</v>
      </c>
      <c r="AH248" s="25">
        <v>0</v>
      </c>
      <c r="AI248" s="78">
        <v>0</v>
      </c>
      <c r="AJ248" s="78">
        <v>0</v>
      </c>
      <c r="AK248" s="27">
        <f t="shared" si="42"/>
        <v>0</v>
      </c>
      <c r="AL248" s="27">
        <f t="shared" si="44"/>
        <v>0</v>
      </c>
      <c r="AM248" s="27"/>
      <c r="AN248" s="27"/>
      <c r="AO248" s="27"/>
      <c r="AP248" s="27"/>
      <c r="AQ248" s="27"/>
      <c r="AR248" s="27"/>
      <c r="AS248" s="27"/>
      <c r="AT248" s="27"/>
      <c r="AU248" s="27"/>
      <c r="AV248" s="27"/>
      <c r="AW248" s="27">
        <f t="shared" si="37"/>
        <v>0</v>
      </c>
      <c r="AX248" s="79">
        <f t="shared" si="38"/>
        <v>0</v>
      </c>
      <c r="AY248" s="79">
        <f t="shared" si="39"/>
        <v>0</v>
      </c>
      <c r="AZ248" s="25">
        <v>0</v>
      </c>
      <c r="BA248" s="62" t="s">
        <v>97</v>
      </c>
      <c r="BB248" s="66">
        <v>1</v>
      </c>
      <c r="BC248" s="66"/>
      <c r="BD248" s="66"/>
      <c r="BE248" s="67">
        <f t="shared" si="43"/>
        <v>0</v>
      </c>
      <c r="BF248" s="67">
        <f t="shared" si="36"/>
        <v>0</v>
      </c>
      <c r="BG248" s="67">
        <f t="shared" si="35"/>
        <v>0</v>
      </c>
      <c r="BH248" s="66"/>
      <c r="BI248" s="68" t="s">
        <v>562</v>
      </c>
      <c r="BJ248" s="68" t="s">
        <v>755</v>
      </c>
      <c r="BK248" s="68" t="s">
        <v>81</v>
      </c>
      <c r="BL248" s="29"/>
      <c r="BQ248" s="1" t="e">
        <v>#N/A</v>
      </c>
    </row>
    <row r="249" spans="1:69" ht="15" hidden="1" customHeight="1">
      <c r="A249" s="1" t="s">
        <v>43</v>
      </c>
      <c r="C249" s="1" t="str">
        <f t="shared" si="40"/>
        <v>2705</v>
      </c>
      <c r="D249" s="1" t="str">
        <f t="shared" si="41"/>
        <v>2005</v>
      </c>
      <c r="E249" s="19" t="s">
        <v>48</v>
      </c>
      <c r="F249" s="62" t="s">
        <v>515</v>
      </c>
      <c r="G249" s="62">
        <v>2112</v>
      </c>
      <c r="H249" s="62" t="s">
        <v>756</v>
      </c>
      <c r="I249" s="62" t="s">
        <v>757</v>
      </c>
      <c r="J249" s="118">
        <v>1</v>
      </c>
      <c r="K249" s="119" t="s">
        <v>619</v>
      </c>
      <c r="L249" s="62" t="s">
        <v>77</v>
      </c>
      <c r="M249" s="120" t="s">
        <v>751</v>
      </c>
      <c r="N249" s="65">
        <v>43929</v>
      </c>
      <c r="O249" s="24">
        <v>47000</v>
      </c>
      <c r="P249" s="24">
        <v>23525</v>
      </c>
      <c r="Q249" s="64">
        <v>1105675000</v>
      </c>
      <c r="R249" s="64"/>
      <c r="S249" s="64"/>
      <c r="T249" s="64">
        <v>99030452</v>
      </c>
      <c r="U249" s="64" t="s">
        <v>752</v>
      </c>
      <c r="V249" s="121">
        <v>1204705452</v>
      </c>
      <c r="W249" s="122">
        <v>0</v>
      </c>
      <c r="X249" s="64">
        <v>1204705452</v>
      </c>
      <c r="Y249" s="121"/>
      <c r="Z249" s="121"/>
      <c r="AA249" s="121"/>
      <c r="AB249" s="121"/>
      <c r="AC249" s="64">
        <v>1204705452</v>
      </c>
      <c r="AD249" s="65">
        <v>43976</v>
      </c>
      <c r="AE249" s="65">
        <v>46531</v>
      </c>
      <c r="AF249" s="62">
        <v>7</v>
      </c>
      <c r="AG249" s="119">
        <v>84</v>
      </c>
      <c r="AH249" s="25">
        <v>14341731.571428571</v>
      </c>
      <c r="AI249" s="78">
        <v>619932927.71428561</v>
      </c>
      <c r="AJ249" s="78">
        <v>584772524.28571439</v>
      </c>
      <c r="AK249" s="27">
        <f t="shared" si="42"/>
        <v>14341731.571428571</v>
      </c>
      <c r="AL249" s="27">
        <f t="shared" si="44"/>
        <v>14341731.571428571</v>
      </c>
      <c r="AM249" s="27"/>
      <c r="AN249" s="27"/>
      <c r="AO249" s="27"/>
      <c r="AP249" s="27"/>
      <c r="AQ249" s="27"/>
      <c r="AR249" s="27"/>
      <c r="AS249" s="27"/>
      <c r="AT249" s="27"/>
      <c r="AU249" s="27"/>
      <c r="AV249" s="27"/>
      <c r="AW249" s="27">
        <f t="shared" si="37"/>
        <v>28683463.142857142</v>
      </c>
      <c r="AX249" s="79">
        <f t="shared" si="38"/>
        <v>556089061.14285719</v>
      </c>
      <c r="AY249" s="79">
        <f t="shared" si="39"/>
        <v>648616390.85714281</v>
      </c>
      <c r="AZ249" s="25">
        <v>1</v>
      </c>
      <c r="BA249" s="62" t="s">
        <v>97</v>
      </c>
      <c r="BB249" s="66">
        <v>1</v>
      </c>
      <c r="BC249" s="66"/>
      <c r="BD249" s="66"/>
      <c r="BE249" s="67">
        <f t="shared" si="43"/>
        <v>14341731.571428571</v>
      </c>
      <c r="BF249" s="67">
        <f t="shared" si="36"/>
        <v>0</v>
      </c>
      <c r="BG249" s="67">
        <f t="shared" si="35"/>
        <v>0</v>
      </c>
      <c r="BH249" s="66"/>
      <c r="BI249" s="68" t="s">
        <v>446</v>
      </c>
      <c r="BJ249" s="68" t="s">
        <v>716</v>
      </c>
      <c r="BK249" s="68" t="s">
        <v>85</v>
      </c>
      <c r="BL249" s="29"/>
      <c r="BO249" s="35" t="s">
        <v>1804</v>
      </c>
      <c r="BQ249" s="1" t="s">
        <v>1980</v>
      </c>
    </row>
    <row r="250" spans="1:69" ht="15" hidden="1" customHeight="1">
      <c r="A250" s="1" t="s">
        <v>43</v>
      </c>
      <c r="C250" s="1" t="str">
        <f t="shared" si="40"/>
        <v>3010</v>
      </c>
      <c r="D250" s="1" t="str">
        <f t="shared" si="41"/>
        <v>2011</v>
      </c>
      <c r="E250" s="19" t="s">
        <v>48</v>
      </c>
      <c r="F250" s="62" t="s">
        <v>515</v>
      </c>
      <c r="G250" s="62">
        <v>2112</v>
      </c>
      <c r="H250" s="62" t="s">
        <v>758</v>
      </c>
      <c r="I250" s="62" t="s">
        <v>759</v>
      </c>
      <c r="J250" s="118">
        <v>1</v>
      </c>
      <c r="K250" s="119" t="s">
        <v>619</v>
      </c>
      <c r="L250" s="62" t="s">
        <v>760</v>
      </c>
      <c r="M250" s="120" t="s">
        <v>761</v>
      </c>
      <c r="N250" s="65">
        <v>43938</v>
      </c>
      <c r="O250" s="24">
        <v>70000</v>
      </c>
      <c r="P250" s="24">
        <v>23471.599999999999</v>
      </c>
      <c r="Q250" s="64">
        <v>1643012000</v>
      </c>
      <c r="R250" s="64">
        <v>164408400</v>
      </c>
      <c r="S250" s="64"/>
      <c r="T250" s="64">
        <v>47774206</v>
      </c>
      <c r="U250" s="64" t="s">
        <v>762</v>
      </c>
      <c r="V250" s="121">
        <v>1855194606</v>
      </c>
      <c r="W250" s="122">
        <v>0</v>
      </c>
      <c r="X250" s="64">
        <v>1855194606</v>
      </c>
      <c r="Y250" s="121"/>
      <c r="Z250" s="121"/>
      <c r="AA250" s="121"/>
      <c r="AB250" s="121"/>
      <c r="AC250" s="64">
        <v>1855194606</v>
      </c>
      <c r="AD250" s="65">
        <v>44136</v>
      </c>
      <c r="AE250" s="65">
        <v>47786</v>
      </c>
      <c r="AF250" s="62">
        <v>10</v>
      </c>
      <c r="AG250" s="119">
        <v>120</v>
      </c>
      <c r="AH250" s="25">
        <v>15459955.050000001</v>
      </c>
      <c r="AI250" s="78">
        <v>587478290.5</v>
      </c>
      <c r="AJ250" s="78">
        <v>1267716315.5</v>
      </c>
      <c r="AK250" s="27">
        <f t="shared" si="42"/>
        <v>15459955.050000001</v>
      </c>
      <c r="AL250" s="27">
        <f t="shared" si="44"/>
        <v>15459955.050000001</v>
      </c>
      <c r="AM250" s="27"/>
      <c r="AN250" s="27"/>
      <c r="AO250" s="27"/>
      <c r="AP250" s="27"/>
      <c r="AQ250" s="27"/>
      <c r="AR250" s="27"/>
      <c r="AS250" s="27"/>
      <c r="AT250" s="27"/>
      <c r="AU250" s="27"/>
      <c r="AV250" s="27"/>
      <c r="AW250" s="27">
        <f t="shared" si="37"/>
        <v>30919910.100000001</v>
      </c>
      <c r="AX250" s="79">
        <f t="shared" si="38"/>
        <v>1236796405.4000001</v>
      </c>
      <c r="AY250" s="79">
        <f t="shared" si="39"/>
        <v>618398200.60000002</v>
      </c>
      <c r="AZ250" s="25">
        <v>1</v>
      </c>
      <c r="BA250" s="62" t="s">
        <v>97</v>
      </c>
      <c r="BB250" s="66">
        <v>1</v>
      </c>
      <c r="BC250" s="66"/>
      <c r="BD250" s="66"/>
      <c r="BE250" s="67">
        <f t="shared" si="43"/>
        <v>15459955.050000001</v>
      </c>
      <c r="BF250" s="67">
        <f t="shared" si="36"/>
        <v>0</v>
      </c>
      <c r="BG250" s="67">
        <f t="shared" si="35"/>
        <v>0</v>
      </c>
      <c r="BH250" s="66"/>
      <c r="BI250" s="68" t="s">
        <v>80</v>
      </c>
      <c r="BJ250" s="68" t="s">
        <v>58</v>
      </c>
      <c r="BK250" s="68" t="s">
        <v>59</v>
      </c>
      <c r="BL250" s="29"/>
      <c r="BO250" s="35" t="s">
        <v>1804</v>
      </c>
      <c r="BQ250" s="1" t="e">
        <v>#N/A</v>
      </c>
    </row>
    <row r="251" spans="1:69" ht="15" hidden="1" customHeight="1">
      <c r="A251" s="1" t="s">
        <v>43</v>
      </c>
      <c r="C251" s="1" t="str">
        <f t="shared" si="40"/>
        <v>2705</v>
      </c>
      <c r="D251" s="1" t="str">
        <f t="shared" si="41"/>
        <v>2005</v>
      </c>
      <c r="E251" s="19" t="s">
        <v>48</v>
      </c>
      <c r="F251" s="62" t="s">
        <v>515</v>
      </c>
      <c r="G251" s="62">
        <v>2112</v>
      </c>
      <c r="H251" s="62" t="s">
        <v>763</v>
      </c>
      <c r="I251" s="62" t="s">
        <v>764</v>
      </c>
      <c r="J251" s="118">
        <v>1</v>
      </c>
      <c r="K251" s="119" t="s">
        <v>271</v>
      </c>
      <c r="L251" s="62" t="s">
        <v>765</v>
      </c>
      <c r="M251" s="120" t="s">
        <v>766</v>
      </c>
      <c r="N251" s="65">
        <v>43938</v>
      </c>
      <c r="O251" s="24"/>
      <c r="P251" s="24"/>
      <c r="Q251" s="64">
        <v>119735000</v>
      </c>
      <c r="R251" s="64"/>
      <c r="S251" s="64"/>
      <c r="T251" s="64"/>
      <c r="U251" s="64"/>
      <c r="V251" s="121">
        <v>119735000</v>
      </c>
      <c r="W251" s="122">
        <v>0</v>
      </c>
      <c r="X251" s="64">
        <v>119735000</v>
      </c>
      <c r="Y251" s="121"/>
      <c r="Z251" s="121"/>
      <c r="AA251" s="121"/>
      <c r="AB251" s="121"/>
      <c r="AC251" s="64">
        <v>119735000</v>
      </c>
      <c r="AD251" s="65">
        <v>43976</v>
      </c>
      <c r="AE251" s="65">
        <v>46531</v>
      </c>
      <c r="AF251" s="62">
        <v>7</v>
      </c>
      <c r="AG251" s="119">
        <v>84</v>
      </c>
      <c r="AH251" s="25">
        <v>1425416.6666666667</v>
      </c>
      <c r="AI251" s="78">
        <v>61614795.666666664</v>
      </c>
      <c r="AJ251" s="78">
        <v>58120204.333333336</v>
      </c>
      <c r="AK251" s="27">
        <f t="shared" si="42"/>
        <v>1425416.6666666667</v>
      </c>
      <c r="AL251" s="27">
        <f t="shared" si="44"/>
        <v>1425416.6666666667</v>
      </c>
      <c r="AM251" s="27"/>
      <c r="AN251" s="27"/>
      <c r="AO251" s="27"/>
      <c r="AP251" s="27"/>
      <c r="AQ251" s="27"/>
      <c r="AR251" s="27"/>
      <c r="AS251" s="27"/>
      <c r="AT251" s="27"/>
      <c r="AU251" s="27"/>
      <c r="AV251" s="27"/>
      <c r="AW251" s="27">
        <f t="shared" si="37"/>
        <v>2850833.3333333335</v>
      </c>
      <c r="AX251" s="79">
        <f t="shared" si="38"/>
        <v>55269371</v>
      </c>
      <c r="AY251" s="79">
        <f t="shared" si="39"/>
        <v>64465629</v>
      </c>
      <c r="AZ251" s="25">
        <v>1</v>
      </c>
      <c r="BA251" s="62" t="s">
        <v>97</v>
      </c>
      <c r="BB251" s="66">
        <v>1</v>
      </c>
      <c r="BC251" s="66"/>
      <c r="BD251" s="66"/>
      <c r="BE251" s="67">
        <f t="shared" si="43"/>
        <v>1425416.6666666667</v>
      </c>
      <c r="BF251" s="67">
        <f t="shared" si="36"/>
        <v>0</v>
      </c>
      <c r="BG251" s="67">
        <f t="shared" si="35"/>
        <v>0</v>
      </c>
      <c r="BH251" s="66" t="s">
        <v>1662</v>
      </c>
      <c r="BI251" s="68" t="s">
        <v>107</v>
      </c>
      <c r="BJ251" s="68" t="s">
        <v>716</v>
      </c>
      <c r="BK251" s="68" t="s">
        <v>85</v>
      </c>
      <c r="BL251" s="29"/>
      <c r="BO251" s="35" t="s">
        <v>1804</v>
      </c>
      <c r="BQ251" s="1" t="s">
        <v>1980</v>
      </c>
    </row>
    <row r="252" spans="1:69" ht="15" hidden="1" customHeight="1">
      <c r="A252" s="1" t="s">
        <v>43</v>
      </c>
      <c r="C252" s="1" t="str">
        <f t="shared" si="40"/>
        <v>2705</v>
      </c>
      <c r="D252" s="1" t="str">
        <f t="shared" si="41"/>
        <v>2005</v>
      </c>
      <c r="E252" s="19" t="s">
        <v>48</v>
      </c>
      <c r="F252" s="62" t="s">
        <v>49</v>
      </c>
      <c r="G252" s="62">
        <v>2114</v>
      </c>
      <c r="H252" s="62" t="s">
        <v>767</v>
      </c>
      <c r="I252" s="62" t="s">
        <v>768</v>
      </c>
      <c r="J252" s="118">
        <v>1</v>
      </c>
      <c r="K252" s="119" t="s">
        <v>619</v>
      </c>
      <c r="L252" s="62" t="s">
        <v>769</v>
      </c>
      <c r="M252" s="120" t="s">
        <v>770</v>
      </c>
      <c r="N252" s="65">
        <v>43946</v>
      </c>
      <c r="O252" s="24"/>
      <c r="P252" s="24"/>
      <c r="Q252" s="64">
        <v>43151000</v>
      </c>
      <c r="R252" s="64"/>
      <c r="S252" s="64"/>
      <c r="T252" s="64"/>
      <c r="U252" s="64"/>
      <c r="V252" s="121">
        <v>43151000</v>
      </c>
      <c r="W252" s="122">
        <v>0</v>
      </c>
      <c r="X252" s="64">
        <v>43151000</v>
      </c>
      <c r="Y252" s="121"/>
      <c r="Z252" s="121"/>
      <c r="AA252" s="121"/>
      <c r="AB252" s="121"/>
      <c r="AC252" s="64">
        <v>43151000</v>
      </c>
      <c r="AD252" s="65">
        <v>43961</v>
      </c>
      <c r="AE252" s="65">
        <v>46516</v>
      </c>
      <c r="AF252" s="62">
        <v>7</v>
      </c>
      <c r="AG252" s="119">
        <v>84</v>
      </c>
      <c r="AH252" s="25">
        <v>513702.38095238095</v>
      </c>
      <c r="AI252" s="78">
        <v>22453752.80952381</v>
      </c>
      <c r="AJ252" s="78">
        <v>20697247.19047619</v>
      </c>
      <c r="AK252" s="27">
        <f t="shared" si="42"/>
        <v>513702.38095238095</v>
      </c>
      <c r="AL252" s="27">
        <f t="shared" si="44"/>
        <v>513702.38095238095</v>
      </c>
      <c r="AM252" s="27"/>
      <c r="AN252" s="27"/>
      <c r="AO252" s="27"/>
      <c r="AP252" s="27"/>
      <c r="AQ252" s="27"/>
      <c r="AR252" s="27"/>
      <c r="AS252" s="27"/>
      <c r="AT252" s="27"/>
      <c r="AU252" s="27"/>
      <c r="AV252" s="27"/>
      <c r="AW252" s="27">
        <f t="shared" si="37"/>
        <v>1027404.7619047619</v>
      </c>
      <c r="AX252" s="79">
        <f t="shared" si="38"/>
        <v>19669842.428571429</v>
      </c>
      <c r="AY252" s="79">
        <f t="shared" si="39"/>
        <v>23481157.571428571</v>
      </c>
      <c r="AZ252" s="25">
        <v>1</v>
      </c>
      <c r="BA252" s="62" t="s">
        <v>79</v>
      </c>
      <c r="BB252" s="66">
        <v>1</v>
      </c>
      <c r="BC252" s="66"/>
      <c r="BD252" s="66"/>
      <c r="BE252" s="67">
        <f t="shared" si="43"/>
        <v>513702.38095238095</v>
      </c>
      <c r="BF252" s="67">
        <f t="shared" si="36"/>
        <v>0</v>
      </c>
      <c r="BG252" s="67">
        <f t="shared" si="35"/>
        <v>0</v>
      </c>
      <c r="BH252" s="66"/>
      <c r="BI252" s="68" t="s">
        <v>326</v>
      </c>
      <c r="BJ252" s="68" t="s">
        <v>85</v>
      </c>
      <c r="BK252" s="68" t="s">
        <v>85</v>
      </c>
      <c r="BL252" s="29"/>
      <c r="BO252" s="35" t="s">
        <v>1801</v>
      </c>
      <c r="BQ252" s="1" t="e">
        <v>#N/A</v>
      </c>
    </row>
    <row r="253" spans="1:69" ht="15" hidden="1" customHeight="1">
      <c r="A253" s="1" t="s">
        <v>43</v>
      </c>
      <c r="C253" s="1" t="str">
        <f t="shared" si="40"/>
        <v>2705</v>
      </c>
      <c r="D253" s="1" t="str">
        <f t="shared" si="41"/>
        <v>2005</v>
      </c>
      <c r="E253" s="19" t="s">
        <v>48</v>
      </c>
      <c r="F253" s="62" t="s">
        <v>515</v>
      </c>
      <c r="G253" s="62">
        <v>2112</v>
      </c>
      <c r="H253" s="62" t="s">
        <v>771</v>
      </c>
      <c r="I253" s="62" t="s">
        <v>772</v>
      </c>
      <c r="J253" s="118">
        <v>1</v>
      </c>
      <c r="K253" s="119" t="s">
        <v>619</v>
      </c>
      <c r="L253" s="62" t="s">
        <v>773</v>
      </c>
      <c r="M253" s="120" t="s">
        <v>774</v>
      </c>
      <c r="N253" s="63">
        <v>43927</v>
      </c>
      <c r="O253" s="24"/>
      <c r="P253" s="24"/>
      <c r="Q253" s="64">
        <v>349000000</v>
      </c>
      <c r="R253" s="64"/>
      <c r="S253" s="64"/>
      <c r="T253" s="64"/>
      <c r="U253" s="64"/>
      <c r="V253" s="121">
        <v>349000000</v>
      </c>
      <c r="W253" s="122">
        <v>0</v>
      </c>
      <c r="X253" s="64">
        <v>349000000</v>
      </c>
      <c r="Y253" s="121"/>
      <c r="Z253" s="121"/>
      <c r="AA253" s="121"/>
      <c r="AB253" s="121"/>
      <c r="AC253" s="64">
        <v>349000000</v>
      </c>
      <c r="AD253" s="65">
        <v>43961</v>
      </c>
      <c r="AE253" s="65">
        <v>46516</v>
      </c>
      <c r="AF253" s="62">
        <v>7</v>
      </c>
      <c r="AG253" s="119">
        <v>84</v>
      </c>
      <c r="AH253" s="25">
        <v>4154761.9047619049</v>
      </c>
      <c r="AI253" s="78">
        <v>181603306.04761904</v>
      </c>
      <c r="AJ253" s="78">
        <v>167396693.95238096</v>
      </c>
      <c r="AK253" s="27">
        <f t="shared" si="42"/>
        <v>4154761.9047619049</v>
      </c>
      <c r="AL253" s="27">
        <f t="shared" si="44"/>
        <v>4154761.9047619049</v>
      </c>
      <c r="AM253" s="27"/>
      <c r="AN253" s="27"/>
      <c r="AO253" s="27"/>
      <c r="AP253" s="27"/>
      <c r="AQ253" s="27"/>
      <c r="AR253" s="27"/>
      <c r="AS253" s="27"/>
      <c r="AT253" s="27"/>
      <c r="AU253" s="27"/>
      <c r="AV253" s="27"/>
      <c r="AW253" s="27">
        <f t="shared" si="37"/>
        <v>8309523.8095238097</v>
      </c>
      <c r="AX253" s="79">
        <f t="shared" si="38"/>
        <v>159087170.14285713</v>
      </c>
      <c r="AY253" s="79">
        <f t="shared" si="39"/>
        <v>189912829.85714287</v>
      </c>
      <c r="AZ253" s="25">
        <v>1</v>
      </c>
      <c r="BA253" s="62" t="s">
        <v>97</v>
      </c>
      <c r="BB253" s="66">
        <v>1</v>
      </c>
      <c r="BC253" s="66"/>
      <c r="BD253" s="66"/>
      <c r="BE253" s="67">
        <f t="shared" si="43"/>
        <v>4154761.9047619049</v>
      </c>
      <c r="BF253" s="67">
        <f t="shared" si="36"/>
        <v>0</v>
      </c>
      <c r="BG253" s="67">
        <f t="shared" si="35"/>
        <v>0</v>
      </c>
      <c r="BH253" s="66"/>
      <c r="BI253" s="68" t="s">
        <v>713</v>
      </c>
      <c r="BJ253" s="68" t="s">
        <v>644</v>
      </c>
      <c r="BK253" s="68" t="s">
        <v>644</v>
      </c>
      <c r="BL253" s="29"/>
      <c r="BO253" s="35" t="s">
        <v>1802</v>
      </c>
      <c r="BQ253" s="1" t="e">
        <v>#N/A</v>
      </c>
    </row>
    <row r="254" spans="1:69" ht="15" hidden="1" customHeight="1">
      <c r="A254" s="1" t="s">
        <v>43</v>
      </c>
      <c r="C254" s="1" t="str">
        <f t="shared" si="40"/>
        <v>3007</v>
      </c>
      <c r="D254" s="1" t="str">
        <f t="shared" si="41"/>
        <v>2007</v>
      </c>
      <c r="E254" s="19" t="s">
        <v>48</v>
      </c>
      <c r="F254" s="62" t="s">
        <v>49</v>
      </c>
      <c r="G254" s="66">
        <v>2112</v>
      </c>
      <c r="H254" s="66" t="s">
        <v>775</v>
      </c>
      <c r="I254" s="66" t="s">
        <v>776</v>
      </c>
      <c r="J254" s="118">
        <v>1</v>
      </c>
      <c r="K254" s="119" t="s">
        <v>619</v>
      </c>
      <c r="L254" s="62" t="s">
        <v>77</v>
      </c>
      <c r="M254" s="135" t="s">
        <v>777</v>
      </c>
      <c r="N254" s="63">
        <v>43963</v>
      </c>
      <c r="O254" s="24">
        <v>6600</v>
      </c>
      <c r="P254" s="24">
        <v>23435</v>
      </c>
      <c r="Q254" s="64">
        <v>154671000</v>
      </c>
      <c r="R254" s="64"/>
      <c r="S254" s="64"/>
      <c r="T254" s="64">
        <v>1874718.7142857143</v>
      </c>
      <c r="U254" s="64" t="s">
        <v>778</v>
      </c>
      <c r="V254" s="121">
        <v>156545719</v>
      </c>
      <c r="W254" s="122">
        <v>0</v>
      </c>
      <c r="X254" s="64">
        <v>156545719</v>
      </c>
      <c r="Y254" s="121"/>
      <c r="Z254" s="121"/>
      <c r="AA254" s="121"/>
      <c r="AB254" s="121"/>
      <c r="AC254" s="64">
        <v>156545719</v>
      </c>
      <c r="AD254" s="65">
        <v>44037</v>
      </c>
      <c r="AE254" s="65">
        <v>47688</v>
      </c>
      <c r="AF254" s="66">
        <v>10</v>
      </c>
      <c r="AG254" s="119">
        <v>120</v>
      </c>
      <c r="AH254" s="25">
        <v>1304547.6583333334</v>
      </c>
      <c r="AI254" s="78">
        <v>53781039.583333328</v>
      </c>
      <c r="AJ254" s="78">
        <v>102764679.41666667</v>
      </c>
      <c r="AK254" s="27">
        <f t="shared" si="42"/>
        <v>1304547.6583333334</v>
      </c>
      <c r="AL254" s="27">
        <f t="shared" si="44"/>
        <v>1304547.6583333334</v>
      </c>
      <c r="AM254" s="27"/>
      <c r="AN254" s="27"/>
      <c r="AO254" s="27"/>
      <c r="AP254" s="27"/>
      <c r="AQ254" s="27"/>
      <c r="AR254" s="27"/>
      <c r="AS254" s="27"/>
      <c r="AT254" s="27"/>
      <c r="AU254" s="27"/>
      <c r="AV254" s="27"/>
      <c r="AW254" s="27">
        <f t="shared" si="37"/>
        <v>2609095.3166666669</v>
      </c>
      <c r="AX254" s="79">
        <f t="shared" si="38"/>
        <v>100155584.10000001</v>
      </c>
      <c r="AY254" s="79">
        <f t="shared" si="39"/>
        <v>56390134.899999999</v>
      </c>
      <c r="AZ254" s="25">
        <v>1</v>
      </c>
      <c r="BA254" s="66" t="s">
        <v>97</v>
      </c>
      <c r="BB254" s="66">
        <v>1</v>
      </c>
      <c r="BC254" s="66"/>
      <c r="BD254" s="66"/>
      <c r="BE254" s="67">
        <f t="shared" si="43"/>
        <v>1304547.6583333334</v>
      </c>
      <c r="BF254" s="67">
        <f t="shared" si="36"/>
        <v>0</v>
      </c>
      <c r="BG254" s="67">
        <f t="shared" si="35"/>
        <v>0</v>
      </c>
      <c r="BH254" s="66"/>
      <c r="BI254" s="68" t="s">
        <v>191</v>
      </c>
      <c r="BJ254" s="68" t="s">
        <v>85</v>
      </c>
      <c r="BK254" s="68" t="s">
        <v>85</v>
      </c>
      <c r="BL254" s="29"/>
      <c r="BO254" s="35" t="s">
        <v>1800</v>
      </c>
      <c r="BP254" s="1" t="s">
        <v>1808</v>
      </c>
      <c r="BQ254" s="1" t="e">
        <v>#N/A</v>
      </c>
    </row>
    <row r="255" spans="1:69" ht="15" hidden="1" customHeight="1">
      <c r="A255" s="1" t="s">
        <v>43</v>
      </c>
      <c r="C255" s="1" t="str">
        <f t="shared" si="40"/>
        <v>3007</v>
      </c>
      <c r="D255" s="1" t="str">
        <f t="shared" si="41"/>
        <v>2007</v>
      </c>
      <c r="E255" s="19" t="s">
        <v>48</v>
      </c>
      <c r="F255" s="62" t="s">
        <v>49</v>
      </c>
      <c r="G255" s="66">
        <v>2112</v>
      </c>
      <c r="H255" s="66" t="s">
        <v>779</v>
      </c>
      <c r="I255" s="66" t="s">
        <v>776</v>
      </c>
      <c r="J255" s="118">
        <v>1</v>
      </c>
      <c r="K255" s="119" t="s">
        <v>619</v>
      </c>
      <c r="L255" s="62" t="s">
        <v>77</v>
      </c>
      <c r="M255" s="135" t="s">
        <v>777</v>
      </c>
      <c r="N255" s="63">
        <v>43963</v>
      </c>
      <c r="O255" s="24">
        <v>6600</v>
      </c>
      <c r="P255" s="24">
        <v>23435</v>
      </c>
      <c r="Q255" s="64">
        <v>154671000</v>
      </c>
      <c r="R255" s="64"/>
      <c r="S255" s="64"/>
      <c r="T255" s="64">
        <v>1874718.7142857143</v>
      </c>
      <c r="U255" s="64" t="s">
        <v>778</v>
      </c>
      <c r="V255" s="121">
        <v>156545719</v>
      </c>
      <c r="W255" s="122">
        <v>0</v>
      </c>
      <c r="X255" s="64">
        <v>156545719</v>
      </c>
      <c r="Y255" s="121"/>
      <c r="Z255" s="121"/>
      <c r="AA255" s="121"/>
      <c r="AB255" s="121"/>
      <c r="AC255" s="64">
        <v>156545719</v>
      </c>
      <c r="AD255" s="65">
        <v>44037</v>
      </c>
      <c r="AE255" s="65">
        <v>47688</v>
      </c>
      <c r="AF255" s="66">
        <v>10</v>
      </c>
      <c r="AG255" s="119">
        <v>120</v>
      </c>
      <c r="AH255" s="25">
        <v>1304547.6583333334</v>
      </c>
      <c r="AI255" s="78">
        <v>53781039.583333328</v>
      </c>
      <c r="AJ255" s="78">
        <v>102764679.41666667</v>
      </c>
      <c r="AK255" s="27">
        <f t="shared" si="42"/>
        <v>1304547.6583333334</v>
      </c>
      <c r="AL255" s="27">
        <f t="shared" si="44"/>
        <v>1304547.6583333334</v>
      </c>
      <c r="AM255" s="27"/>
      <c r="AN255" s="27"/>
      <c r="AO255" s="27"/>
      <c r="AP255" s="27"/>
      <c r="AQ255" s="27"/>
      <c r="AR255" s="27"/>
      <c r="AS255" s="27"/>
      <c r="AT255" s="27"/>
      <c r="AU255" s="27"/>
      <c r="AV255" s="27"/>
      <c r="AW255" s="27">
        <f t="shared" si="37"/>
        <v>2609095.3166666669</v>
      </c>
      <c r="AX255" s="79">
        <f t="shared" si="38"/>
        <v>100155584.10000001</v>
      </c>
      <c r="AY255" s="79">
        <f t="shared" si="39"/>
        <v>56390134.899999999</v>
      </c>
      <c r="AZ255" s="25">
        <v>1</v>
      </c>
      <c r="BA255" s="66" t="s">
        <v>97</v>
      </c>
      <c r="BB255" s="66">
        <v>1</v>
      </c>
      <c r="BC255" s="66"/>
      <c r="BD255" s="66"/>
      <c r="BE255" s="67">
        <f t="shared" si="43"/>
        <v>1304547.6583333334</v>
      </c>
      <c r="BF255" s="67">
        <f t="shared" si="36"/>
        <v>0</v>
      </c>
      <c r="BG255" s="67">
        <f t="shared" si="35"/>
        <v>0</v>
      </c>
      <c r="BH255" s="66"/>
      <c r="BI255" s="68" t="s">
        <v>191</v>
      </c>
      <c r="BJ255" s="68" t="s">
        <v>85</v>
      </c>
      <c r="BK255" s="68" t="s">
        <v>85</v>
      </c>
      <c r="BL255" s="29"/>
      <c r="BO255" s="35" t="s">
        <v>1800</v>
      </c>
      <c r="BP255" s="1" t="s">
        <v>1808</v>
      </c>
      <c r="BQ255" s="1" t="e">
        <v>#N/A</v>
      </c>
    </row>
    <row r="256" spans="1:69" ht="15" hidden="1" customHeight="1">
      <c r="A256" s="1" t="s">
        <v>43</v>
      </c>
      <c r="C256" s="1" t="str">
        <f t="shared" si="40"/>
        <v>3007</v>
      </c>
      <c r="D256" s="1" t="str">
        <f t="shared" si="41"/>
        <v>2007</v>
      </c>
      <c r="E256" s="19" t="s">
        <v>48</v>
      </c>
      <c r="F256" s="62" t="s">
        <v>49</v>
      </c>
      <c r="G256" s="66">
        <v>2112</v>
      </c>
      <c r="H256" s="66" t="s">
        <v>780</v>
      </c>
      <c r="I256" s="66" t="s">
        <v>776</v>
      </c>
      <c r="J256" s="118">
        <v>1</v>
      </c>
      <c r="K256" s="119" t="s">
        <v>619</v>
      </c>
      <c r="L256" s="62" t="s">
        <v>77</v>
      </c>
      <c r="M256" s="135" t="s">
        <v>777</v>
      </c>
      <c r="N256" s="63">
        <v>43963</v>
      </c>
      <c r="O256" s="24">
        <v>6600</v>
      </c>
      <c r="P256" s="24">
        <v>23435</v>
      </c>
      <c r="Q256" s="64">
        <v>154671000</v>
      </c>
      <c r="R256" s="64"/>
      <c r="S256" s="64"/>
      <c r="T256" s="64">
        <v>1874718.7142857143</v>
      </c>
      <c r="U256" s="64" t="s">
        <v>778</v>
      </c>
      <c r="V256" s="121">
        <v>156545719</v>
      </c>
      <c r="W256" s="122">
        <v>0</v>
      </c>
      <c r="X256" s="64">
        <v>156545719</v>
      </c>
      <c r="Y256" s="121"/>
      <c r="Z256" s="121"/>
      <c r="AA256" s="121"/>
      <c r="AB256" s="121"/>
      <c r="AC256" s="64">
        <v>156545719</v>
      </c>
      <c r="AD256" s="65">
        <v>44037</v>
      </c>
      <c r="AE256" s="65">
        <v>47688</v>
      </c>
      <c r="AF256" s="66">
        <v>10</v>
      </c>
      <c r="AG256" s="119">
        <v>120</v>
      </c>
      <c r="AH256" s="25">
        <v>1304547.6583333334</v>
      </c>
      <c r="AI256" s="78">
        <v>53781039.583333328</v>
      </c>
      <c r="AJ256" s="78">
        <v>102764679.41666667</v>
      </c>
      <c r="AK256" s="27">
        <f t="shared" si="42"/>
        <v>1304547.6583333334</v>
      </c>
      <c r="AL256" s="27">
        <f t="shared" si="44"/>
        <v>1304547.6583333334</v>
      </c>
      <c r="AM256" s="27"/>
      <c r="AN256" s="27"/>
      <c r="AO256" s="27"/>
      <c r="AP256" s="27"/>
      <c r="AQ256" s="27"/>
      <c r="AR256" s="27"/>
      <c r="AS256" s="27"/>
      <c r="AT256" s="27"/>
      <c r="AU256" s="27"/>
      <c r="AV256" s="27"/>
      <c r="AW256" s="27">
        <f t="shared" si="37"/>
        <v>2609095.3166666669</v>
      </c>
      <c r="AX256" s="79">
        <f t="shared" si="38"/>
        <v>100155584.10000001</v>
      </c>
      <c r="AY256" s="79">
        <f t="shared" si="39"/>
        <v>56390134.899999999</v>
      </c>
      <c r="AZ256" s="25">
        <v>1</v>
      </c>
      <c r="BA256" s="66" t="s">
        <v>97</v>
      </c>
      <c r="BB256" s="66">
        <v>1</v>
      </c>
      <c r="BC256" s="66"/>
      <c r="BD256" s="66"/>
      <c r="BE256" s="67">
        <f t="shared" si="43"/>
        <v>1304547.6583333334</v>
      </c>
      <c r="BF256" s="67">
        <f t="shared" si="36"/>
        <v>0</v>
      </c>
      <c r="BG256" s="67">
        <f t="shared" si="35"/>
        <v>0</v>
      </c>
      <c r="BH256" s="66"/>
      <c r="BI256" s="68" t="s">
        <v>191</v>
      </c>
      <c r="BJ256" s="68" t="s">
        <v>85</v>
      </c>
      <c r="BK256" s="68" t="s">
        <v>85</v>
      </c>
      <c r="BL256" s="29"/>
      <c r="BO256" s="35" t="s">
        <v>1800</v>
      </c>
      <c r="BP256" s="1" t="s">
        <v>1808</v>
      </c>
      <c r="BQ256" s="1" t="e">
        <v>#N/A</v>
      </c>
    </row>
    <row r="257" spans="1:69" ht="15" hidden="1" customHeight="1">
      <c r="A257" s="1" t="s">
        <v>43</v>
      </c>
      <c r="C257" s="1" t="str">
        <f t="shared" si="40"/>
        <v>3007</v>
      </c>
      <c r="D257" s="1" t="str">
        <f t="shared" si="41"/>
        <v>2007</v>
      </c>
      <c r="E257" s="19" t="s">
        <v>48</v>
      </c>
      <c r="F257" s="62" t="s">
        <v>49</v>
      </c>
      <c r="G257" s="66">
        <v>2112</v>
      </c>
      <c r="H257" s="66" t="s">
        <v>781</v>
      </c>
      <c r="I257" s="66" t="s">
        <v>776</v>
      </c>
      <c r="J257" s="118">
        <v>1</v>
      </c>
      <c r="K257" s="119" t="s">
        <v>619</v>
      </c>
      <c r="L257" s="62" t="s">
        <v>77</v>
      </c>
      <c r="M257" s="135" t="s">
        <v>777</v>
      </c>
      <c r="N257" s="63">
        <v>43963</v>
      </c>
      <c r="O257" s="24">
        <v>6600</v>
      </c>
      <c r="P257" s="24">
        <v>23435</v>
      </c>
      <c r="Q257" s="64">
        <v>154671000</v>
      </c>
      <c r="R257" s="64"/>
      <c r="S257" s="64"/>
      <c r="T257" s="64">
        <v>1874718.7142857143</v>
      </c>
      <c r="U257" s="64" t="s">
        <v>778</v>
      </c>
      <c r="V257" s="121">
        <v>156545719</v>
      </c>
      <c r="W257" s="122">
        <v>0</v>
      </c>
      <c r="X257" s="64">
        <v>156545719</v>
      </c>
      <c r="Y257" s="121"/>
      <c r="Z257" s="121"/>
      <c r="AA257" s="121"/>
      <c r="AB257" s="121"/>
      <c r="AC257" s="64">
        <v>156545719</v>
      </c>
      <c r="AD257" s="65">
        <v>44037</v>
      </c>
      <c r="AE257" s="65">
        <v>47688</v>
      </c>
      <c r="AF257" s="66">
        <v>10</v>
      </c>
      <c r="AG257" s="119">
        <v>120</v>
      </c>
      <c r="AH257" s="25">
        <v>1304547.6583333334</v>
      </c>
      <c r="AI257" s="78">
        <v>53781039.583333328</v>
      </c>
      <c r="AJ257" s="78">
        <v>102764679.41666667</v>
      </c>
      <c r="AK257" s="27">
        <f t="shared" si="42"/>
        <v>1304547.6583333334</v>
      </c>
      <c r="AL257" s="27">
        <f t="shared" si="44"/>
        <v>1304547.6583333334</v>
      </c>
      <c r="AM257" s="27"/>
      <c r="AN257" s="27"/>
      <c r="AO257" s="27"/>
      <c r="AP257" s="27"/>
      <c r="AQ257" s="27"/>
      <c r="AR257" s="27"/>
      <c r="AS257" s="27"/>
      <c r="AT257" s="27"/>
      <c r="AU257" s="27"/>
      <c r="AV257" s="27"/>
      <c r="AW257" s="27">
        <f t="shared" si="37"/>
        <v>2609095.3166666669</v>
      </c>
      <c r="AX257" s="79">
        <f t="shared" si="38"/>
        <v>100155584.10000001</v>
      </c>
      <c r="AY257" s="79">
        <f t="shared" si="39"/>
        <v>56390134.899999999</v>
      </c>
      <c r="AZ257" s="25">
        <v>1</v>
      </c>
      <c r="BA257" s="66" t="s">
        <v>97</v>
      </c>
      <c r="BB257" s="66">
        <v>1</v>
      </c>
      <c r="BC257" s="66"/>
      <c r="BD257" s="66"/>
      <c r="BE257" s="67">
        <f t="shared" si="43"/>
        <v>1304547.6583333334</v>
      </c>
      <c r="BF257" s="67">
        <f t="shared" si="36"/>
        <v>0</v>
      </c>
      <c r="BG257" s="67">
        <f t="shared" si="35"/>
        <v>0</v>
      </c>
      <c r="BH257" s="66"/>
      <c r="BI257" s="68" t="s">
        <v>344</v>
      </c>
      <c r="BJ257" s="68" t="s">
        <v>85</v>
      </c>
      <c r="BK257" s="68" t="s">
        <v>85</v>
      </c>
      <c r="BL257" s="29"/>
      <c r="BO257" s="35" t="s">
        <v>1800</v>
      </c>
      <c r="BP257" s="1" t="s">
        <v>1806</v>
      </c>
      <c r="BQ257" s="1" t="e">
        <v>#N/A</v>
      </c>
    </row>
    <row r="258" spans="1:69" ht="15" hidden="1" customHeight="1">
      <c r="A258" s="1" t="s">
        <v>43</v>
      </c>
      <c r="C258" s="1" t="str">
        <f t="shared" si="40"/>
        <v>3007</v>
      </c>
      <c r="D258" s="1" t="str">
        <f t="shared" si="41"/>
        <v>2007</v>
      </c>
      <c r="E258" s="19" t="s">
        <v>48</v>
      </c>
      <c r="F258" s="62" t="s">
        <v>49</v>
      </c>
      <c r="G258" s="66">
        <v>2112</v>
      </c>
      <c r="H258" s="66" t="s">
        <v>782</v>
      </c>
      <c r="I258" s="66" t="s">
        <v>776</v>
      </c>
      <c r="J258" s="118">
        <v>1</v>
      </c>
      <c r="K258" s="119" t="s">
        <v>619</v>
      </c>
      <c r="L258" s="62" t="s">
        <v>77</v>
      </c>
      <c r="M258" s="135" t="s">
        <v>777</v>
      </c>
      <c r="N258" s="63">
        <v>43963</v>
      </c>
      <c r="O258" s="24">
        <v>6600</v>
      </c>
      <c r="P258" s="24">
        <v>23435</v>
      </c>
      <c r="Q258" s="64">
        <v>154671000</v>
      </c>
      <c r="R258" s="64"/>
      <c r="S258" s="64"/>
      <c r="T258" s="64">
        <v>1874718.7142857143</v>
      </c>
      <c r="U258" s="64" t="s">
        <v>778</v>
      </c>
      <c r="V258" s="121">
        <v>156545719</v>
      </c>
      <c r="W258" s="122">
        <v>0</v>
      </c>
      <c r="X258" s="64">
        <v>156545719</v>
      </c>
      <c r="Y258" s="121"/>
      <c r="Z258" s="121"/>
      <c r="AA258" s="121"/>
      <c r="AB258" s="121"/>
      <c r="AC258" s="64">
        <v>156545719</v>
      </c>
      <c r="AD258" s="65">
        <v>44037</v>
      </c>
      <c r="AE258" s="65">
        <v>47688</v>
      </c>
      <c r="AF258" s="66">
        <v>10</v>
      </c>
      <c r="AG258" s="119">
        <v>120</v>
      </c>
      <c r="AH258" s="25">
        <v>1304547.6583333334</v>
      </c>
      <c r="AI258" s="78">
        <v>53781039.583333328</v>
      </c>
      <c r="AJ258" s="78">
        <v>102764679.41666667</v>
      </c>
      <c r="AK258" s="27">
        <f t="shared" si="42"/>
        <v>1304547.6583333334</v>
      </c>
      <c r="AL258" s="27">
        <f t="shared" si="44"/>
        <v>1304547.6583333334</v>
      </c>
      <c r="AM258" s="27"/>
      <c r="AN258" s="27"/>
      <c r="AO258" s="27"/>
      <c r="AP258" s="27"/>
      <c r="AQ258" s="27"/>
      <c r="AR258" s="27"/>
      <c r="AS258" s="27"/>
      <c r="AT258" s="27"/>
      <c r="AU258" s="27"/>
      <c r="AV258" s="27"/>
      <c r="AW258" s="27">
        <f t="shared" si="37"/>
        <v>2609095.3166666669</v>
      </c>
      <c r="AX258" s="79">
        <f t="shared" si="38"/>
        <v>100155584.10000001</v>
      </c>
      <c r="AY258" s="79">
        <f t="shared" si="39"/>
        <v>56390134.899999999</v>
      </c>
      <c r="AZ258" s="25">
        <v>1</v>
      </c>
      <c r="BA258" s="66" t="s">
        <v>97</v>
      </c>
      <c r="BB258" s="66">
        <v>1</v>
      </c>
      <c r="BC258" s="66"/>
      <c r="BD258" s="66"/>
      <c r="BE258" s="67">
        <f t="shared" si="43"/>
        <v>1304547.6583333334</v>
      </c>
      <c r="BF258" s="67">
        <f t="shared" si="36"/>
        <v>0</v>
      </c>
      <c r="BG258" s="67">
        <f t="shared" si="35"/>
        <v>0</v>
      </c>
      <c r="BH258" s="66"/>
      <c r="BI258" s="68" t="s">
        <v>344</v>
      </c>
      <c r="BJ258" s="68" t="s">
        <v>85</v>
      </c>
      <c r="BK258" s="68" t="s">
        <v>85</v>
      </c>
      <c r="BL258" s="29"/>
      <c r="BO258" s="35" t="s">
        <v>1800</v>
      </c>
      <c r="BP258" s="1" t="s">
        <v>1806</v>
      </c>
      <c r="BQ258" s="1" t="e">
        <v>#N/A</v>
      </c>
    </row>
    <row r="259" spans="1:69" ht="15" hidden="1" customHeight="1">
      <c r="A259" s="1" t="s">
        <v>43</v>
      </c>
      <c r="C259" s="1" t="str">
        <f t="shared" si="40"/>
        <v>3007</v>
      </c>
      <c r="D259" s="1" t="str">
        <f t="shared" si="41"/>
        <v>2007</v>
      </c>
      <c r="E259" s="19" t="s">
        <v>48</v>
      </c>
      <c r="F259" s="62" t="s">
        <v>49</v>
      </c>
      <c r="G259" s="66">
        <v>2112</v>
      </c>
      <c r="H259" s="66" t="s">
        <v>783</v>
      </c>
      <c r="I259" s="66" t="s">
        <v>776</v>
      </c>
      <c r="J259" s="118">
        <v>1</v>
      </c>
      <c r="K259" s="119" t="s">
        <v>619</v>
      </c>
      <c r="L259" s="62" t="s">
        <v>77</v>
      </c>
      <c r="M259" s="135" t="s">
        <v>777</v>
      </c>
      <c r="N259" s="63">
        <v>43963</v>
      </c>
      <c r="O259" s="24">
        <v>6600</v>
      </c>
      <c r="P259" s="24">
        <v>23435</v>
      </c>
      <c r="Q259" s="64">
        <v>154671000</v>
      </c>
      <c r="R259" s="64"/>
      <c r="S259" s="64"/>
      <c r="T259" s="64">
        <v>1874718.7142857143</v>
      </c>
      <c r="U259" s="64" t="s">
        <v>778</v>
      </c>
      <c r="V259" s="121">
        <v>156545719</v>
      </c>
      <c r="W259" s="122">
        <v>0</v>
      </c>
      <c r="X259" s="64">
        <v>156545719</v>
      </c>
      <c r="Y259" s="121"/>
      <c r="Z259" s="121"/>
      <c r="AA259" s="121"/>
      <c r="AB259" s="121"/>
      <c r="AC259" s="64">
        <v>156545719</v>
      </c>
      <c r="AD259" s="65">
        <v>44037</v>
      </c>
      <c r="AE259" s="65">
        <v>47688</v>
      </c>
      <c r="AF259" s="66">
        <v>10</v>
      </c>
      <c r="AG259" s="119">
        <v>120</v>
      </c>
      <c r="AH259" s="25">
        <v>1304547.6583333334</v>
      </c>
      <c r="AI259" s="78">
        <v>53781039.583333328</v>
      </c>
      <c r="AJ259" s="78">
        <v>102764679.41666667</v>
      </c>
      <c r="AK259" s="27">
        <f t="shared" si="42"/>
        <v>1304547.6583333334</v>
      </c>
      <c r="AL259" s="27">
        <f t="shared" si="44"/>
        <v>1304547.6583333334</v>
      </c>
      <c r="AM259" s="27"/>
      <c r="AN259" s="27"/>
      <c r="AO259" s="27"/>
      <c r="AP259" s="27"/>
      <c r="AQ259" s="27"/>
      <c r="AR259" s="27"/>
      <c r="AS259" s="27"/>
      <c r="AT259" s="27"/>
      <c r="AU259" s="27"/>
      <c r="AV259" s="27"/>
      <c r="AW259" s="27">
        <f t="shared" si="37"/>
        <v>2609095.3166666669</v>
      </c>
      <c r="AX259" s="79">
        <f t="shared" si="38"/>
        <v>100155584.10000001</v>
      </c>
      <c r="AY259" s="79">
        <f t="shared" si="39"/>
        <v>56390134.899999999</v>
      </c>
      <c r="AZ259" s="25">
        <v>1</v>
      </c>
      <c r="BA259" s="66" t="s">
        <v>97</v>
      </c>
      <c r="BB259" s="66">
        <v>1</v>
      </c>
      <c r="BC259" s="66"/>
      <c r="BD259" s="66"/>
      <c r="BE259" s="67">
        <f t="shared" si="43"/>
        <v>1304547.6583333334</v>
      </c>
      <c r="BF259" s="67">
        <f t="shared" si="36"/>
        <v>0</v>
      </c>
      <c r="BG259" s="67">
        <f t="shared" si="35"/>
        <v>0</v>
      </c>
      <c r="BH259" s="66"/>
      <c r="BI259" s="68" t="s">
        <v>344</v>
      </c>
      <c r="BJ259" s="68" t="s">
        <v>85</v>
      </c>
      <c r="BK259" s="68" t="s">
        <v>85</v>
      </c>
      <c r="BL259" s="29"/>
      <c r="BO259" s="35" t="s">
        <v>1800</v>
      </c>
      <c r="BP259" s="1" t="s">
        <v>1806</v>
      </c>
      <c r="BQ259" s="1" t="e">
        <v>#N/A</v>
      </c>
    </row>
    <row r="260" spans="1:69" ht="15" hidden="1" customHeight="1">
      <c r="A260" s="1" t="s">
        <v>43</v>
      </c>
      <c r="C260" s="1" t="str">
        <f t="shared" si="40"/>
        <v>3007</v>
      </c>
      <c r="D260" s="1" t="str">
        <f t="shared" si="41"/>
        <v>2007</v>
      </c>
      <c r="E260" s="19" t="s">
        <v>48</v>
      </c>
      <c r="F260" s="62" t="s">
        <v>49</v>
      </c>
      <c r="G260" s="66">
        <v>2112</v>
      </c>
      <c r="H260" s="66" t="s">
        <v>784</v>
      </c>
      <c r="I260" s="66" t="s">
        <v>776</v>
      </c>
      <c r="J260" s="118">
        <v>1</v>
      </c>
      <c r="K260" s="119" t="s">
        <v>619</v>
      </c>
      <c r="L260" s="62" t="s">
        <v>77</v>
      </c>
      <c r="M260" s="135" t="s">
        <v>777</v>
      </c>
      <c r="N260" s="63">
        <v>43963</v>
      </c>
      <c r="O260" s="24">
        <v>6600</v>
      </c>
      <c r="P260" s="24">
        <v>23435</v>
      </c>
      <c r="Q260" s="64">
        <v>154671000</v>
      </c>
      <c r="R260" s="64"/>
      <c r="S260" s="64"/>
      <c r="T260" s="64">
        <v>1874718.7142857143</v>
      </c>
      <c r="U260" s="64" t="s">
        <v>778</v>
      </c>
      <c r="V260" s="121">
        <v>156545719</v>
      </c>
      <c r="W260" s="122">
        <v>0</v>
      </c>
      <c r="X260" s="64">
        <v>156545719</v>
      </c>
      <c r="Y260" s="121"/>
      <c r="Z260" s="121"/>
      <c r="AA260" s="121"/>
      <c r="AB260" s="121"/>
      <c r="AC260" s="64">
        <v>156545719</v>
      </c>
      <c r="AD260" s="65">
        <v>44037</v>
      </c>
      <c r="AE260" s="65">
        <v>47688</v>
      </c>
      <c r="AF260" s="66">
        <v>10</v>
      </c>
      <c r="AG260" s="119">
        <v>120</v>
      </c>
      <c r="AH260" s="25">
        <v>1304547.6583333334</v>
      </c>
      <c r="AI260" s="78">
        <v>53781039.583333328</v>
      </c>
      <c r="AJ260" s="78">
        <v>102764679.41666667</v>
      </c>
      <c r="AK260" s="27">
        <f t="shared" si="42"/>
        <v>1304547.6583333334</v>
      </c>
      <c r="AL260" s="27">
        <f t="shared" si="44"/>
        <v>1304547.6583333334</v>
      </c>
      <c r="AM260" s="27"/>
      <c r="AN260" s="27"/>
      <c r="AO260" s="27"/>
      <c r="AP260" s="27"/>
      <c r="AQ260" s="27"/>
      <c r="AR260" s="27"/>
      <c r="AS260" s="27"/>
      <c r="AT260" s="27"/>
      <c r="AU260" s="27"/>
      <c r="AV260" s="27"/>
      <c r="AW260" s="27">
        <f t="shared" si="37"/>
        <v>2609095.3166666669</v>
      </c>
      <c r="AX260" s="79">
        <f t="shared" si="38"/>
        <v>100155584.10000001</v>
      </c>
      <c r="AY260" s="79">
        <f t="shared" si="39"/>
        <v>56390134.899999999</v>
      </c>
      <c r="AZ260" s="25">
        <v>1</v>
      </c>
      <c r="BA260" s="66" t="s">
        <v>97</v>
      </c>
      <c r="BB260" s="66">
        <v>1</v>
      </c>
      <c r="BC260" s="66"/>
      <c r="BD260" s="66"/>
      <c r="BE260" s="67">
        <f t="shared" si="43"/>
        <v>1304547.6583333334</v>
      </c>
      <c r="BF260" s="67">
        <f t="shared" si="36"/>
        <v>0</v>
      </c>
      <c r="BG260" s="67">
        <f t="shared" si="35"/>
        <v>0</v>
      </c>
      <c r="BH260" s="66"/>
      <c r="BI260" s="68" t="s">
        <v>420</v>
      </c>
      <c r="BJ260" s="68" t="s">
        <v>85</v>
      </c>
      <c r="BK260" s="68" t="s">
        <v>85</v>
      </c>
      <c r="BL260" s="29"/>
      <c r="BO260" s="35" t="s">
        <v>1800</v>
      </c>
      <c r="BP260" s="1" t="s">
        <v>1818</v>
      </c>
      <c r="BQ260" s="1" t="e">
        <v>#N/A</v>
      </c>
    </row>
    <row r="261" spans="1:69" ht="15" hidden="1" customHeight="1">
      <c r="A261" s="1" t="s">
        <v>43</v>
      </c>
      <c r="C261" s="1" t="str">
        <f t="shared" si="40"/>
        <v>3005</v>
      </c>
      <c r="D261" s="1" t="str">
        <f t="shared" si="41"/>
        <v>2005</v>
      </c>
      <c r="E261" s="19" t="s">
        <v>48</v>
      </c>
      <c r="F261" s="62" t="s">
        <v>515</v>
      </c>
      <c r="G261" s="62">
        <v>2112</v>
      </c>
      <c r="H261" s="62" t="s">
        <v>785</v>
      </c>
      <c r="I261" s="62" t="s">
        <v>786</v>
      </c>
      <c r="J261" s="118">
        <v>1</v>
      </c>
      <c r="K261" s="119" t="s">
        <v>619</v>
      </c>
      <c r="L261" s="62" t="s">
        <v>77</v>
      </c>
      <c r="M261" s="120" t="s">
        <v>787</v>
      </c>
      <c r="N261" s="63">
        <v>43973</v>
      </c>
      <c r="O261" s="24">
        <v>71000</v>
      </c>
      <c r="P261" s="24">
        <v>23346</v>
      </c>
      <c r="Q261" s="64">
        <v>1657566000</v>
      </c>
      <c r="R261" s="64"/>
      <c r="S261" s="64"/>
      <c r="T261" s="64">
        <v>11310931</v>
      </c>
      <c r="U261" s="64" t="s">
        <v>788</v>
      </c>
      <c r="V261" s="121">
        <v>1668876931</v>
      </c>
      <c r="W261" s="122">
        <v>0</v>
      </c>
      <c r="X261" s="64">
        <v>1668876931</v>
      </c>
      <c r="Y261" s="121"/>
      <c r="Z261" s="121"/>
      <c r="AA261" s="121"/>
      <c r="AB261" s="121"/>
      <c r="AC261" s="64">
        <v>1668876931</v>
      </c>
      <c r="AD261" s="65">
        <v>43981</v>
      </c>
      <c r="AE261" s="65">
        <v>47631</v>
      </c>
      <c r="AF261" s="62">
        <v>10</v>
      </c>
      <c r="AG261" s="119">
        <v>120</v>
      </c>
      <c r="AH261" s="25">
        <v>13907307.758333333</v>
      </c>
      <c r="AI261" s="78">
        <v>598911487.58333325</v>
      </c>
      <c r="AJ261" s="78">
        <v>1069965443.4166667</v>
      </c>
      <c r="AK261" s="27">
        <f t="shared" si="42"/>
        <v>13907307.758333333</v>
      </c>
      <c r="AL261" s="27">
        <f t="shared" si="44"/>
        <v>13907307.758333333</v>
      </c>
      <c r="AM261" s="27"/>
      <c r="AN261" s="27"/>
      <c r="AO261" s="27"/>
      <c r="AP261" s="27"/>
      <c r="AQ261" s="27"/>
      <c r="AR261" s="27"/>
      <c r="AS261" s="27"/>
      <c r="AT261" s="27"/>
      <c r="AU261" s="27"/>
      <c r="AV261" s="27"/>
      <c r="AW261" s="27">
        <f t="shared" si="37"/>
        <v>27814615.516666666</v>
      </c>
      <c r="AX261" s="79">
        <f t="shared" si="38"/>
        <v>1042150827.9000001</v>
      </c>
      <c r="AY261" s="79">
        <f t="shared" si="39"/>
        <v>626726103.0999999</v>
      </c>
      <c r="AZ261" s="25">
        <v>1</v>
      </c>
      <c r="BA261" s="62" t="s">
        <v>97</v>
      </c>
      <c r="BB261" s="66">
        <v>1</v>
      </c>
      <c r="BC261" s="66"/>
      <c r="BD261" s="66"/>
      <c r="BE261" s="67">
        <f t="shared" si="43"/>
        <v>13907307.758333333</v>
      </c>
      <c r="BF261" s="67">
        <f t="shared" si="36"/>
        <v>0</v>
      </c>
      <c r="BG261" s="67">
        <f t="shared" si="35"/>
        <v>0</v>
      </c>
      <c r="BH261" s="66"/>
      <c r="BI261" s="68" t="s">
        <v>446</v>
      </c>
      <c r="BJ261" s="68" t="s">
        <v>623</v>
      </c>
      <c r="BK261" s="68" t="s">
        <v>789</v>
      </c>
      <c r="BL261" s="29"/>
      <c r="BO261" s="35" t="s">
        <v>1805</v>
      </c>
      <c r="BQ261" s="1" t="s">
        <v>1989</v>
      </c>
    </row>
    <row r="262" spans="1:69" ht="15" hidden="1" customHeight="1">
      <c r="A262" s="1" t="s">
        <v>43</v>
      </c>
      <c r="C262" s="1" t="str">
        <f t="shared" si="40"/>
        <v>2805</v>
      </c>
      <c r="D262" s="1" t="str">
        <f t="shared" si="41"/>
        <v>2005</v>
      </c>
      <c r="E262" s="19" t="s">
        <v>48</v>
      </c>
      <c r="F262" s="62" t="s">
        <v>49</v>
      </c>
      <c r="G262" s="62">
        <v>2114</v>
      </c>
      <c r="H262" s="62" t="s">
        <v>790</v>
      </c>
      <c r="I262" s="62" t="s">
        <v>791</v>
      </c>
      <c r="J262" s="118">
        <v>1</v>
      </c>
      <c r="K262" s="119" t="s">
        <v>619</v>
      </c>
      <c r="L262" s="62" t="s">
        <v>638</v>
      </c>
      <c r="M262" s="120" t="s">
        <v>792</v>
      </c>
      <c r="N262" s="63">
        <v>43962</v>
      </c>
      <c r="O262" s="24"/>
      <c r="P262" s="24"/>
      <c r="Q262" s="64">
        <v>70000000</v>
      </c>
      <c r="R262" s="64"/>
      <c r="S262" s="64"/>
      <c r="T262" s="64"/>
      <c r="U262" s="64"/>
      <c r="V262" s="121">
        <v>70000000</v>
      </c>
      <c r="W262" s="122">
        <v>0</v>
      </c>
      <c r="X262" s="64">
        <v>70000000</v>
      </c>
      <c r="Y262" s="121"/>
      <c r="Z262" s="121"/>
      <c r="AA262" s="121"/>
      <c r="AB262" s="121"/>
      <c r="AC262" s="64">
        <v>70000000</v>
      </c>
      <c r="AD262" s="65">
        <v>43976</v>
      </c>
      <c r="AE262" s="65">
        <v>46896</v>
      </c>
      <c r="AF262" s="62">
        <v>8</v>
      </c>
      <c r="AG262" s="119">
        <v>96</v>
      </c>
      <c r="AH262" s="25">
        <v>729166.66666666663</v>
      </c>
      <c r="AI262" s="78">
        <v>31518828.666666668</v>
      </c>
      <c r="AJ262" s="78">
        <v>38481171.333333328</v>
      </c>
      <c r="AK262" s="27">
        <f t="shared" si="42"/>
        <v>729166.66666666663</v>
      </c>
      <c r="AL262" s="27">
        <f t="shared" si="44"/>
        <v>729166.66666666663</v>
      </c>
      <c r="AM262" s="27"/>
      <c r="AN262" s="27"/>
      <c r="AO262" s="27"/>
      <c r="AP262" s="27"/>
      <c r="AQ262" s="27"/>
      <c r="AR262" s="27"/>
      <c r="AS262" s="27"/>
      <c r="AT262" s="27"/>
      <c r="AU262" s="27"/>
      <c r="AV262" s="27"/>
      <c r="AW262" s="27">
        <f t="shared" si="37"/>
        <v>1458333.3333333333</v>
      </c>
      <c r="AX262" s="79">
        <f t="shared" si="38"/>
        <v>37022837.999999993</v>
      </c>
      <c r="AY262" s="79">
        <f t="shared" si="39"/>
        <v>32977162</v>
      </c>
      <c r="AZ262" s="25">
        <v>1</v>
      </c>
      <c r="BA262" s="62" t="s">
        <v>79</v>
      </c>
      <c r="BB262" s="66">
        <v>1</v>
      </c>
      <c r="BC262" s="66"/>
      <c r="BD262" s="66"/>
      <c r="BE262" s="67">
        <f t="shared" si="43"/>
        <v>729166.66666666663</v>
      </c>
      <c r="BF262" s="67">
        <f t="shared" si="36"/>
        <v>0</v>
      </c>
      <c r="BG262" s="67">
        <f t="shared" si="35"/>
        <v>0</v>
      </c>
      <c r="BH262" s="66"/>
      <c r="BI262" s="68">
        <v>0</v>
      </c>
      <c r="BJ262" s="68" t="s">
        <v>58</v>
      </c>
      <c r="BK262" s="68" t="s">
        <v>59</v>
      </c>
      <c r="BL262" s="29"/>
      <c r="BO262" s="35" t="s">
        <v>1804</v>
      </c>
      <c r="BQ262" s="1" t="e">
        <v>#N/A</v>
      </c>
    </row>
    <row r="263" spans="1:69" ht="15" hidden="1" customHeight="1">
      <c r="A263" s="1" t="s">
        <v>43</v>
      </c>
      <c r="C263" s="1" t="str">
        <f t="shared" si="40"/>
        <v>3005</v>
      </c>
      <c r="D263" s="1" t="str">
        <f t="shared" si="41"/>
        <v>2005</v>
      </c>
      <c r="E263" s="19" t="s">
        <v>48</v>
      </c>
      <c r="F263" s="62" t="s">
        <v>49</v>
      </c>
      <c r="G263" s="62">
        <v>2135</v>
      </c>
      <c r="H263" s="62" t="s">
        <v>793</v>
      </c>
      <c r="I263" s="62" t="s">
        <v>794</v>
      </c>
      <c r="J263" s="118">
        <v>1</v>
      </c>
      <c r="K263" s="119" t="s">
        <v>619</v>
      </c>
      <c r="L263" s="62" t="s">
        <v>795</v>
      </c>
      <c r="M263" s="120" t="s">
        <v>796</v>
      </c>
      <c r="N263" s="63">
        <v>43957</v>
      </c>
      <c r="O263" s="24"/>
      <c r="P263" s="24"/>
      <c r="Q263" s="64">
        <v>152404000</v>
      </c>
      <c r="R263" s="64"/>
      <c r="S263" s="64"/>
      <c r="T263" s="64"/>
      <c r="U263" s="64"/>
      <c r="V263" s="121">
        <v>152404000</v>
      </c>
      <c r="W263" s="122">
        <v>0</v>
      </c>
      <c r="X263" s="64">
        <v>152404000</v>
      </c>
      <c r="Y263" s="121"/>
      <c r="Z263" s="121"/>
      <c r="AA263" s="121"/>
      <c r="AB263" s="121"/>
      <c r="AC263" s="64">
        <v>152404000</v>
      </c>
      <c r="AD263" s="65">
        <v>43957</v>
      </c>
      <c r="AE263" s="65">
        <v>47607</v>
      </c>
      <c r="AF263" s="62">
        <v>10</v>
      </c>
      <c r="AG263" s="119">
        <v>120</v>
      </c>
      <c r="AH263" s="25">
        <v>1270033.3333333333</v>
      </c>
      <c r="AI263" s="78">
        <v>55676611.333333336</v>
      </c>
      <c r="AJ263" s="78">
        <v>96727388.666666657</v>
      </c>
      <c r="AK263" s="27">
        <f t="shared" si="42"/>
        <v>1270033.3333333333</v>
      </c>
      <c r="AL263" s="27">
        <f t="shared" si="44"/>
        <v>1270033.3333333333</v>
      </c>
      <c r="AM263" s="27"/>
      <c r="AN263" s="27"/>
      <c r="AO263" s="27"/>
      <c r="AP263" s="27"/>
      <c r="AQ263" s="27"/>
      <c r="AR263" s="27"/>
      <c r="AS263" s="27"/>
      <c r="AT263" s="27"/>
      <c r="AU263" s="27"/>
      <c r="AV263" s="27"/>
      <c r="AW263" s="27">
        <f t="shared" si="37"/>
        <v>2540066.6666666665</v>
      </c>
      <c r="AX263" s="79">
        <f t="shared" si="38"/>
        <v>94187321.999999985</v>
      </c>
      <c r="AY263" s="79">
        <f t="shared" si="39"/>
        <v>58216678</v>
      </c>
      <c r="AZ263" s="25">
        <v>1</v>
      </c>
      <c r="BA263" s="62" t="s">
        <v>97</v>
      </c>
      <c r="BB263" s="66">
        <v>1</v>
      </c>
      <c r="BC263" s="66"/>
      <c r="BD263" s="66"/>
      <c r="BE263" s="67">
        <f t="shared" si="43"/>
        <v>1270033.3333333333</v>
      </c>
      <c r="BF263" s="67">
        <f t="shared" si="36"/>
        <v>0</v>
      </c>
      <c r="BG263" s="67">
        <f t="shared" si="35"/>
        <v>0</v>
      </c>
      <c r="BH263" s="66"/>
      <c r="BI263" s="68" t="s">
        <v>57</v>
      </c>
      <c r="BJ263" s="68" t="s">
        <v>58</v>
      </c>
      <c r="BK263" s="68" t="s">
        <v>59</v>
      </c>
      <c r="BL263" s="29"/>
      <c r="BO263" s="35" t="s">
        <v>1804</v>
      </c>
      <c r="BQ263" s="1" t="e">
        <v>#N/A</v>
      </c>
    </row>
    <row r="264" spans="1:69" ht="15" hidden="1" customHeight="1">
      <c r="A264" s="1" t="s">
        <v>43</v>
      </c>
      <c r="C264" s="1" t="str">
        <f t="shared" si="40"/>
        <v>2806</v>
      </c>
      <c r="D264" s="1" t="str">
        <f t="shared" si="41"/>
        <v>2006</v>
      </c>
      <c r="E264" s="19" t="s">
        <v>48</v>
      </c>
      <c r="F264" s="62" t="s">
        <v>49</v>
      </c>
      <c r="G264" s="62">
        <v>2112</v>
      </c>
      <c r="H264" s="62" t="s">
        <v>797</v>
      </c>
      <c r="I264" s="62" t="s">
        <v>798</v>
      </c>
      <c r="J264" s="118">
        <v>1</v>
      </c>
      <c r="K264" s="119" t="s">
        <v>619</v>
      </c>
      <c r="L264" s="62" t="s">
        <v>799</v>
      </c>
      <c r="M264" s="120" t="s">
        <v>800</v>
      </c>
      <c r="N264" s="63">
        <v>44004</v>
      </c>
      <c r="O264" s="24"/>
      <c r="P264" s="24"/>
      <c r="Q264" s="64">
        <v>54500000</v>
      </c>
      <c r="R264" s="64"/>
      <c r="S264" s="64"/>
      <c r="T264" s="64"/>
      <c r="U264" s="64"/>
      <c r="V264" s="121">
        <v>54500000</v>
      </c>
      <c r="W264" s="122">
        <v>0</v>
      </c>
      <c r="X264" s="64">
        <v>54500000</v>
      </c>
      <c r="Y264" s="121"/>
      <c r="Z264" s="121"/>
      <c r="AA264" s="121"/>
      <c r="AB264" s="121"/>
      <c r="AC264" s="64">
        <v>54500000</v>
      </c>
      <c r="AD264" s="65">
        <v>44004</v>
      </c>
      <c r="AE264" s="65">
        <v>46924</v>
      </c>
      <c r="AF264" s="62">
        <v>8</v>
      </c>
      <c r="AG264" s="119">
        <v>96</v>
      </c>
      <c r="AH264" s="25">
        <v>567708.33333333337</v>
      </c>
      <c r="AI264" s="78">
        <v>24014051.333333332</v>
      </c>
      <c r="AJ264" s="78">
        <v>30485948.666666668</v>
      </c>
      <c r="AK264" s="27">
        <f t="shared" si="42"/>
        <v>567708.33333333337</v>
      </c>
      <c r="AL264" s="27">
        <f t="shared" si="44"/>
        <v>567708.33333333337</v>
      </c>
      <c r="AM264" s="27"/>
      <c r="AN264" s="27"/>
      <c r="AO264" s="27"/>
      <c r="AP264" s="27"/>
      <c r="AQ264" s="27"/>
      <c r="AR264" s="27"/>
      <c r="AS264" s="27"/>
      <c r="AT264" s="27"/>
      <c r="AU264" s="27"/>
      <c r="AV264" s="27"/>
      <c r="AW264" s="27">
        <f t="shared" si="37"/>
        <v>1135416.6666666667</v>
      </c>
      <c r="AX264" s="79">
        <f t="shared" si="38"/>
        <v>29350532</v>
      </c>
      <c r="AY264" s="79">
        <f t="shared" si="39"/>
        <v>25149468</v>
      </c>
      <c r="AZ264" s="25">
        <v>1</v>
      </c>
      <c r="BA264" s="62" t="s">
        <v>97</v>
      </c>
      <c r="BB264" s="66">
        <v>1</v>
      </c>
      <c r="BC264" s="66"/>
      <c r="BD264" s="66"/>
      <c r="BE264" s="67">
        <f t="shared" si="43"/>
        <v>567708.33333333337</v>
      </c>
      <c r="BF264" s="67">
        <f t="shared" si="36"/>
        <v>0</v>
      </c>
      <c r="BG264" s="67">
        <f t="shared" si="35"/>
        <v>0</v>
      </c>
      <c r="BH264" s="66"/>
      <c r="BI264" s="68" t="s">
        <v>80</v>
      </c>
      <c r="BJ264" s="68" t="s">
        <v>58</v>
      </c>
      <c r="BK264" s="68" t="s">
        <v>59</v>
      </c>
      <c r="BL264" s="29"/>
      <c r="BO264" s="35" t="s">
        <v>1804</v>
      </c>
      <c r="BQ264" s="1" t="e">
        <v>#N/A</v>
      </c>
    </row>
    <row r="265" spans="1:69" ht="15" hidden="1" customHeight="1">
      <c r="A265" s="1" t="s">
        <v>43</v>
      </c>
      <c r="C265" s="1" t="str">
        <f t="shared" si="40"/>
        <v>2810</v>
      </c>
      <c r="D265" s="1" t="str">
        <f t="shared" si="41"/>
        <v>2010</v>
      </c>
      <c r="E265" s="19" t="s">
        <v>48</v>
      </c>
      <c r="F265" s="62" t="s">
        <v>49</v>
      </c>
      <c r="G265" s="62">
        <v>2112</v>
      </c>
      <c r="H265" s="62" t="s">
        <v>801</v>
      </c>
      <c r="I265" s="62" t="s">
        <v>802</v>
      </c>
      <c r="J265" s="118">
        <v>1</v>
      </c>
      <c r="K265" s="119" t="s">
        <v>619</v>
      </c>
      <c r="L265" s="62" t="s">
        <v>765</v>
      </c>
      <c r="M265" s="120" t="s">
        <v>803</v>
      </c>
      <c r="N265" s="63">
        <v>44012</v>
      </c>
      <c r="O265" s="24"/>
      <c r="P265" s="24"/>
      <c r="Q265" s="64">
        <v>61500000</v>
      </c>
      <c r="R265" s="64"/>
      <c r="S265" s="64"/>
      <c r="T265" s="64"/>
      <c r="U265" s="64"/>
      <c r="V265" s="121">
        <v>61500000</v>
      </c>
      <c r="W265" s="122">
        <v>0</v>
      </c>
      <c r="X265" s="64">
        <v>61500000</v>
      </c>
      <c r="Y265" s="121"/>
      <c r="Z265" s="121"/>
      <c r="AA265" s="121"/>
      <c r="AB265" s="121"/>
      <c r="AC265" s="64">
        <v>61500000</v>
      </c>
      <c r="AD265" s="65">
        <v>44113</v>
      </c>
      <c r="AE265" s="65">
        <v>47033</v>
      </c>
      <c r="AF265" s="62">
        <v>8</v>
      </c>
      <c r="AG265" s="119">
        <v>96</v>
      </c>
      <c r="AH265" s="25">
        <v>640625</v>
      </c>
      <c r="AI265" s="78">
        <v>24819052</v>
      </c>
      <c r="AJ265" s="78">
        <v>36680948</v>
      </c>
      <c r="AK265" s="27">
        <f t="shared" si="42"/>
        <v>640625</v>
      </c>
      <c r="AL265" s="27">
        <f t="shared" si="44"/>
        <v>640625</v>
      </c>
      <c r="AM265" s="27"/>
      <c r="AN265" s="27"/>
      <c r="AO265" s="27"/>
      <c r="AP265" s="27"/>
      <c r="AQ265" s="27"/>
      <c r="AR265" s="27"/>
      <c r="AS265" s="27"/>
      <c r="AT265" s="27"/>
      <c r="AU265" s="27"/>
      <c r="AV265" s="27"/>
      <c r="AW265" s="27">
        <f t="shared" si="37"/>
        <v>1281250</v>
      </c>
      <c r="AX265" s="79">
        <f t="shared" si="38"/>
        <v>35399698</v>
      </c>
      <c r="AY265" s="79">
        <f t="shared" si="39"/>
        <v>26100302</v>
      </c>
      <c r="AZ265" s="25">
        <v>1</v>
      </c>
      <c r="BA265" s="62" t="s">
        <v>97</v>
      </c>
      <c r="BB265" s="66">
        <v>1</v>
      </c>
      <c r="BC265" s="66"/>
      <c r="BD265" s="66"/>
      <c r="BE265" s="67">
        <f t="shared" si="43"/>
        <v>640625</v>
      </c>
      <c r="BF265" s="67">
        <f t="shared" si="36"/>
        <v>0</v>
      </c>
      <c r="BG265" s="67">
        <f t="shared" si="35"/>
        <v>0</v>
      </c>
      <c r="BH265" s="66"/>
      <c r="BI265" s="68" t="s">
        <v>101</v>
      </c>
      <c r="BJ265" s="68" t="s">
        <v>644</v>
      </c>
      <c r="BK265" s="68" t="s">
        <v>349</v>
      </c>
      <c r="BL265" s="29"/>
      <c r="BO265" s="35" t="s">
        <v>1802</v>
      </c>
      <c r="BQ265" s="1" t="e">
        <v>#N/A</v>
      </c>
    </row>
    <row r="266" spans="1:69" ht="15" hidden="1" customHeight="1">
      <c r="A266" s="1" t="s">
        <v>43</v>
      </c>
      <c r="C266" s="1" t="str">
        <f t="shared" si="40"/>
        <v>3007</v>
      </c>
      <c r="D266" s="1" t="str">
        <f t="shared" si="41"/>
        <v>2007</v>
      </c>
      <c r="E266" s="19" t="s">
        <v>48</v>
      </c>
      <c r="F266" s="62" t="s">
        <v>49</v>
      </c>
      <c r="G266" s="66">
        <v>2112</v>
      </c>
      <c r="H266" s="66" t="s">
        <v>804</v>
      </c>
      <c r="I266" s="66" t="s">
        <v>805</v>
      </c>
      <c r="J266" s="118">
        <v>1</v>
      </c>
      <c r="K266" s="119" t="s">
        <v>619</v>
      </c>
      <c r="L266" s="62" t="s">
        <v>77</v>
      </c>
      <c r="M266" s="135" t="s">
        <v>806</v>
      </c>
      <c r="N266" s="63">
        <v>43997</v>
      </c>
      <c r="O266" s="24">
        <v>67500</v>
      </c>
      <c r="P266" s="24">
        <v>23445</v>
      </c>
      <c r="Q266" s="64">
        <v>1582537500</v>
      </c>
      <c r="R266" s="64"/>
      <c r="S266" s="64"/>
      <c r="T266" s="64">
        <v>6395686.8200000003</v>
      </c>
      <c r="U266" s="64" t="s">
        <v>807</v>
      </c>
      <c r="V266" s="121">
        <v>1588933187</v>
      </c>
      <c r="W266" s="122">
        <v>0</v>
      </c>
      <c r="X266" s="64">
        <v>1588933187</v>
      </c>
      <c r="Y266" s="121"/>
      <c r="Z266" s="121"/>
      <c r="AA266" s="121"/>
      <c r="AB266" s="121"/>
      <c r="AC266" s="64">
        <v>1588933187</v>
      </c>
      <c r="AD266" s="65">
        <v>44019</v>
      </c>
      <c r="AE266" s="65">
        <v>47669</v>
      </c>
      <c r="AF266" s="66">
        <v>10</v>
      </c>
      <c r="AG266" s="119">
        <v>120</v>
      </c>
      <c r="AH266" s="25">
        <v>13241109.891666668</v>
      </c>
      <c r="AI266" s="78">
        <v>553563823.91666675</v>
      </c>
      <c r="AJ266" s="78">
        <v>1035369363.0833333</v>
      </c>
      <c r="AK266" s="27">
        <f t="shared" si="42"/>
        <v>13241109.891666668</v>
      </c>
      <c r="AL266" s="27">
        <f t="shared" si="44"/>
        <v>13241109.891666668</v>
      </c>
      <c r="AM266" s="27"/>
      <c r="AN266" s="27"/>
      <c r="AO266" s="27"/>
      <c r="AP266" s="27"/>
      <c r="AQ266" s="27"/>
      <c r="AR266" s="27"/>
      <c r="AS266" s="27"/>
      <c r="AT266" s="27"/>
      <c r="AU266" s="27"/>
      <c r="AV266" s="27"/>
      <c r="AW266" s="27">
        <f t="shared" si="37"/>
        <v>26482219.783333335</v>
      </c>
      <c r="AX266" s="79">
        <f t="shared" si="38"/>
        <v>1008887143.3</v>
      </c>
      <c r="AY266" s="79">
        <f t="shared" si="39"/>
        <v>580046043.70000005</v>
      </c>
      <c r="AZ266" s="25">
        <v>1</v>
      </c>
      <c r="BA266" s="66" t="s">
        <v>97</v>
      </c>
      <c r="BB266" s="66">
        <v>1</v>
      </c>
      <c r="BC266" s="66"/>
      <c r="BD266" s="66"/>
      <c r="BE266" s="67">
        <f t="shared" si="43"/>
        <v>13241109.891666668</v>
      </c>
      <c r="BF266" s="67">
        <f t="shared" si="36"/>
        <v>0</v>
      </c>
      <c r="BG266" s="67">
        <f t="shared" ref="BG266:BG329" si="45">+$AL266*BD266</f>
        <v>0</v>
      </c>
      <c r="BH266" s="66"/>
      <c r="BI266" s="68" t="s">
        <v>491</v>
      </c>
      <c r="BJ266" s="68" t="s">
        <v>81</v>
      </c>
      <c r="BK266" s="68" t="s">
        <v>81</v>
      </c>
      <c r="BL266" s="29"/>
      <c r="BO266" s="35" t="s">
        <v>1800</v>
      </c>
      <c r="BP266" s="1" t="s">
        <v>1812</v>
      </c>
      <c r="BQ266" s="1" t="e">
        <v>#N/A</v>
      </c>
    </row>
    <row r="267" spans="1:69" ht="15" hidden="1" customHeight="1">
      <c r="A267" s="1" t="s">
        <v>43</v>
      </c>
      <c r="C267" s="1" t="str">
        <f t="shared" si="40"/>
        <v>3007</v>
      </c>
      <c r="D267" s="1" t="str">
        <f t="shared" si="41"/>
        <v>2007</v>
      </c>
      <c r="E267" s="19" t="s">
        <v>48</v>
      </c>
      <c r="F267" s="62" t="s">
        <v>49</v>
      </c>
      <c r="G267" s="66">
        <v>2112</v>
      </c>
      <c r="H267" s="66" t="s">
        <v>808</v>
      </c>
      <c r="I267" s="66" t="s">
        <v>805</v>
      </c>
      <c r="J267" s="118">
        <v>1</v>
      </c>
      <c r="K267" s="119" t="s">
        <v>619</v>
      </c>
      <c r="L267" s="62" t="s">
        <v>77</v>
      </c>
      <c r="M267" s="135" t="s">
        <v>806</v>
      </c>
      <c r="N267" s="63">
        <v>43997</v>
      </c>
      <c r="O267" s="24">
        <v>67500</v>
      </c>
      <c r="P267" s="24">
        <v>23445</v>
      </c>
      <c r="Q267" s="64">
        <v>1582537500</v>
      </c>
      <c r="R267" s="64"/>
      <c r="S267" s="64"/>
      <c r="T267" s="64">
        <v>6395686.8200000003</v>
      </c>
      <c r="U267" s="64" t="s">
        <v>807</v>
      </c>
      <c r="V267" s="121">
        <v>1588933187</v>
      </c>
      <c r="W267" s="122">
        <v>0</v>
      </c>
      <c r="X267" s="64">
        <v>1588933187</v>
      </c>
      <c r="Y267" s="121"/>
      <c r="Z267" s="121"/>
      <c r="AA267" s="121"/>
      <c r="AB267" s="121"/>
      <c r="AC267" s="64">
        <v>1588933187</v>
      </c>
      <c r="AD267" s="65">
        <v>44032</v>
      </c>
      <c r="AE267" s="65">
        <v>47682</v>
      </c>
      <c r="AF267" s="66">
        <v>10</v>
      </c>
      <c r="AG267" s="119">
        <v>120</v>
      </c>
      <c r="AH267" s="25">
        <v>13241109.891666668</v>
      </c>
      <c r="AI267" s="78">
        <v>548011099.91666675</v>
      </c>
      <c r="AJ267" s="78">
        <v>1040922087.0833333</v>
      </c>
      <c r="AK267" s="27">
        <f t="shared" si="42"/>
        <v>13241109.891666668</v>
      </c>
      <c r="AL267" s="27">
        <f t="shared" si="44"/>
        <v>13241109.891666668</v>
      </c>
      <c r="AM267" s="27"/>
      <c r="AN267" s="27"/>
      <c r="AO267" s="27"/>
      <c r="AP267" s="27"/>
      <c r="AQ267" s="27"/>
      <c r="AR267" s="27"/>
      <c r="AS267" s="27"/>
      <c r="AT267" s="27"/>
      <c r="AU267" s="27"/>
      <c r="AV267" s="27"/>
      <c r="AW267" s="27">
        <f t="shared" si="37"/>
        <v>26482219.783333335</v>
      </c>
      <c r="AX267" s="79">
        <f t="shared" si="38"/>
        <v>1014439867.3</v>
      </c>
      <c r="AY267" s="79">
        <f t="shared" si="39"/>
        <v>574493319.70000005</v>
      </c>
      <c r="AZ267" s="25">
        <v>1</v>
      </c>
      <c r="BA267" s="66" t="s">
        <v>97</v>
      </c>
      <c r="BB267" s="66">
        <v>1</v>
      </c>
      <c r="BC267" s="66"/>
      <c r="BD267" s="66"/>
      <c r="BE267" s="67">
        <f t="shared" si="43"/>
        <v>13241109.891666668</v>
      </c>
      <c r="BF267" s="67">
        <f t="shared" ref="BF267:BF330" si="46">+$AL267*BC267</f>
        <v>0</v>
      </c>
      <c r="BG267" s="67">
        <f t="shared" si="45"/>
        <v>0</v>
      </c>
      <c r="BH267" s="66"/>
      <c r="BI267" s="68" t="s">
        <v>534</v>
      </c>
      <c r="BJ267" s="68" t="s">
        <v>81</v>
      </c>
      <c r="BK267" s="68" t="s">
        <v>81</v>
      </c>
      <c r="BL267" s="29"/>
      <c r="BO267" s="35" t="s">
        <v>1800</v>
      </c>
      <c r="BP267" s="1" t="s">
        <v>1819</v>
      </c>
      <c r="BQ267" s="1" t="e">
        <v>#N/A</v>
      </c>
    </row>
    <row r="268" spans="1:69" ht="15" hidden="1" customHeight="1">
      <c r="A268" s="1" t="s">
        <v>43</v>
      </c>
      <c r="C268" s="1" t="str">
        <f t="shared" si="40"/>
        <v>3007</v>
      </c>
      <c r="D268" s="1" t="str">
        <f t="shared" si="41"/>
        <v>2008</v>
      </c>
      <c r="E268" s="19" t="s">
        <v>48</v>
      </c>
      <c r="F268" s="62" t="s">
        <v>49</v>
      </c>
      <c r="G268" s="62">
        <v>2112</v>
      </c>
      <c r="H268" s="62" t="s">
        <v>809</v>
      </c>
      <c r="I268" s="62" t="s">
        <v>810</v>
      </c>
      <c r="J268" s="118">
        <v>1</v>
      </c>
      <c r="K268" s="119" t="s">
        <v>619</v>
      </c>
      <c r="L268" s="62" t="s">
        <v>77</v>
      </c>
      <c r="M268" s="120" t="s">
        <v>806</v>
      </c>
      <c r="N268" s="63">
        <v>43997</v>
      </c>
      <c r="O268" s="24">
        <v>72000</v>
      </c>
      <c r="P268" s="24">
        <v>23445</v>
      </c>
      <c r="Q268" s="64">
        <v>1688040000</v>
      </c>
      <c r="R268" s="64"/>
      <c r="S268" s="64"/>
      <c r="T268" s="64">
        <v>6822065.9399999995</v>
      </c>
      <c r="U268" s="64" t="s">
        <v>807</v>
      </c>
      <c r="V268" s="121">
        <v>1694862066</v>
      </c>
      <c r="W268" s="122">
        <v>0</v>
      </c>
      <c r="X268" s="64">
        <v>1694862066</v>
      </c>
      <c r="Y268" s="121"/>
      <c r="Z268" s="121"/>
      <c r="AA268" s="121"/>
      <c r="AB268" s="121"/>
      <c r="AC268" s="64">
        <v>1694862066</v>
      </c>
      <c r="AD268" s="65">
        <v>44044</v>
      </c>
      <c r="AE268" s="65">
        <v>47694</v>
      </c>
      <c r="AF268" s="62">
        <v>10</v>
      </c>
      <c r="AG268" s="119">
        <v>120</v>
      </c>
      <c r="AH268" s="25">
        <v>14123850.550000001</v>
      </c>
      <c r="AI268" s="78">
        <v>579077886.5</v>
      </c>
      <c r="AJ268" s="78">
        <v>1115784179.5</v>
      </c>
      <c r="AK268" s="27">
        <f t="shared" si="42"/>
        <v>14123850.550000001</v>
      </c>
      <c r="AL268" s="27">
        <f t="shared" si="44"/>
        <v>14123850.550000001</v>
      </c>
      <c r="AM268" s="27"/>
      <c r="AN268" s="27"/>
      <c r="AO268" s="27"/>
      <c r="AP268" s="27"/>
      <c r="AQ268" s="27"/>
      <c r="AR268" s="27"/>
      <c r="AS268" s="27"/>
      <c r="AT268" s="27"/>
      <c r="AU268" s="27"/>
      <c r="AV268" s="27"/>
      <c r="AW268" s="27">
        <f t="shared" si="37"/>
        <v>28247701.100000001</v>
      </c>
      <c r="AX268" s="79">
        <f t="shared" si="38"/>
        <v>1087536478.4000001</v>
      </c>
      <c r="AY268" s="79">
        <f t="shared" si="39"/>
        <v>607325587.60000002</v>
      </c>
      <c r="AZ268" s="25">
        <v>1</v>
      </c>
      <c r="BA268" s="62" t="s">
        <v>97</v>
      </c>
      <c r="BB268" s="66">
        <v>1</v>
      </c>
      <c r="BC268" s="66"/>
      <c r="BD268" s="66"/>
      <c r="BE268" s="67">
        <f t="shared" si="43"/>
        <v>14123850.550000001</v>
      </c>
      <c r="BF268" s="67">
        <f t="shared" si="46"/>
        <v>0</v>
      </c>
      <c r="BG268" s="67">
        <f t="shared" si="45"/>
        <v>0</v>
      </c>
      <c r="BH268" s="66"/>
      <c r="BI268" s="68" t="s">
        <v>695</v>
      </c>
      <c r="BJ268" s="68" t="s">
        <v>81</v>
      </c>
      <c r="BK268" s="68" t="s">
        <v>81</v>
      </c>
      <c r="BL268" s="29"/>
      <c r="BO268" s="35" t="s">
        <v>1801</v>
      </c>
      <c r="BP268" s="1" t="s">
        <v>1820</v>
      </c>
      <c r="BQ268" s="1" t="s">
        <v>1930</v>
      </c>
    </row>
    <row r="269" spans="1:69" ht="15" hidden="1" customHeight="1">
      <c r="A269" s="1" t="s">
        <v>43</v>
      </c>
      <c r="C269" s="1" t="str">
        <f t="shared" si="40"/>
        <v>3007</v>
      </c>
      <c r="D269" s="1" t="str">
        <f t="shared" si="41"/>
        <v>2007</v>
      </c>
      <c r="E269" s="19" t="s">
        <v>48</v>
      </c>
      <c r="F269" s="62" t="s">
        <v>49</v>
      </c>
      <c r="G269" s="66">
        <v>2112</v>
      </c>
      <c r="H269" s="66" t="s">
        <v>811</v>
      </c>
      <c r="I269" s="66" t="s">
        <v>812</v>
      </c>
      <c r="J269" s="118">
        <v>1</v>
      </c>
      <c r="K269" s="119" t="s">
        <v>619</v>
      </c>
      <c r="L269" s="62" t="s">
        <v>77</v>
      </c>
      <c r="M269" s="135" t="s">
        <v>806</v>
      </c>
      <c r="N269" s="63">
        <v>43997</v>
      </c>
      <c r="O269" s="24">
        <v>22000</v>
      </c>
      <c r="P269" s="24">
        <v>23445</v>
      </c>
      <c r="Q269" s="64">
        <v>515790000</v>
      </c>
      <c r="R269" s="64"/>
      <c r="S269" s="64"/>
      <c r="T269" s="64">
        <v>2084520.1466666665</v>
      </c>
      <c r="U269" s="64" t="s">
        <v>807</v>
      </c>
      <c r="V269" s="121">
        <v>517874520</v>
      </c>
      <c r="W269" s="122">
        <v>0</v>
      </c>
      <c r="X269" s="64">
        <v>517874520</v>
      </c>
      <c r="Y269" s="121"/>
      <c r="Z269" s="121"/>
      <c r="AA269" s="121"/>
      <c r="AB269" s="121"/>
      <c r="AC269" s="64">
        <v>517874520</v>
      </c>
      <c r="AD269" s="65">
        <v>44019</v>
      </c>
      <c r="AE269" s="65">
        <v>47669</v>
      </c>
      <c r="AF269" s="66">
        <v>10</v>
      </c>
      <c r="AG269" s="119">
        <v>120</v>
      </c>
      <c r="AH269" s="25">
        <v>4315621</v>
      </c>
      <c r="AI269" s="78">
        <v>180420801</v>
      </c>
      <c r="AJ269" s="78">
        <v>337453719</v>
      </c>
      <c r="AK269" s="27">
        <f t="shared" si="42"/>
        <v>4315621</v>
      </c>
      <c r="AL269" s="27">
        <f t="shared" si="44"/>
        <v>4315621</v>
      </c>
      <c r="AM269" s="27"/>
      <c r="AN269" s="27"/>
      <c r="AO269" s="27"/>
      <c r="AP269" s="27"/>
      <c r="AQ269" s="27"/>
      <c r="AR269" s="27"/>
      <c r="AS269" s="27"/>
      <c r="AT269" s="27"/>
      <c r="AU269" s="27"/>
      <c r="AV269" s="27"/>
      <c r="AW269" s="27">
        <f t="shared" si="37"/>
        <v>8631242</v>
      </c>
      <c r="AX269" s="79">
        <f t="shared" si="38"/>
        <v>328822477</v>
      </c>
      <c r="AY269" s="79">
        <f t="shared" si="39"/>
        <v>189052043</v>
      </c>
      <c r="AZ269" s="25">
        <v>1</v>
      </c>
      <c r="BA269" s="66" t="s">
        <v>97</v>
      </c>
      <c r="BB269" s="66">
        <v>1</v>
      </c>
      <c r="BC269" s="66"/>
      <c r="BD269" s="66"/>
      <c r="BE269" s="67">
        <f t="shared" si="43"/>
        <v>4315621</v>
      </c>
      <c r="BF269" s="67">
        <f t="shared" si="46"/>
        <v>0</v>
      </c>
      <c r="BG269" s="67">
        <f t="shared" si="45"/>
        <v>0</v>
      </c>
      <c r="BH269" s="66"/>
      <c r="BI269" s="68" t="s">
        <v>491</v>
      </c>
      <c r="BJ269" s="68" t="s">
        <v>81</v>
      </c>
      <c r="BK269" s="68" t="s">
        <v>81</v>
      </c>
      <c r="BL269" s="29"/>
      <c r="BO269" s="35" t="s">
        <v>1800</v>
      </c>
      <c r="BP269" s="1" t="s">
        <v>1812</v>
      </c>
      <c r="BQ269" s="1" t="e">
        <v>#N/A</v>
      </c>
    </row>
    <row r="270" spans="1:69" ht="15" hidden="1" customHeight="1">
      <c r="A270" s="1" t="s">
        <v>43</v>
      </c>
      <c r="C270" s="1" t="str">
        <f t="shared" si="40"/>
        <v>3007</v>
      </c>
      <c r="D270" s="1" t="str">
        <f t="shared" si="41"/>
        <v>2007</v>
      </c>
      <c r="E270" s="19" t="s">
        <v>48</v>
      </c>
      <c r="F270" s="62" t="s">
        <v>49</v>
      </c>
      <c r="G270" s="66">
        <v>2112</v>
      </c>
      <c r="H270" s="66" t="s">
        <v>813</v>
      </c>
      <c r="I270" s="66" t="s">
        <v>812</v>
      </c>
      <c r="J270" s="118">
        <v>1</v>
      </c>
      <c r="K270" s="119" t="s">
        <v>619</v>
      </c>
      <c r="L270" s="62" t="s">
        <v>77</v>
      </c>
      <c r="M270" s="135" t="s">
        <v>806</v>
      </c>
      <c r="N270" s="63">
        <v>43997</v>
      </c>
      <c r="O270" s="24">
        <v>22000</v>
      </c>
      <c r="P270" s="24">
        <v>23445</v>
      </c>
      <c r="Q270" s="64">
        <v>515790000</v>
      </c>
      <c r="R270" s="64"/>
      <c r="S270" s="64"/>
      <c r="T270" s="64">
        <v>2084520.1466666665</v>
      </c>
      <c r="U270" s="64" t="s">
        <v>807</v>
      </c>
      <c r="V270" s="121">
        <v>517874520</v>
      </c>
      <c r="W270" s="122">
        <v>0</v>
      </c>
      <c r="X270" s="64">
        <v>517874520</v>
      </c>
      <c r="Y270" s="121"/>
      <c r="Z270" s="121"/>
      <c r="AA270" s="121"/>
      <c r="AB270" s="121"/>
      <c r="AC270" s="64">
        <v>517874520</v>
      </c>
      <c r="AD270" s="65">
        <v>44032</v>
      </c>
      <c r="AE270" s="65">
        <v>47682</v>
      </c>
      <c r="AF270" s="66">
        <v>10</v>
      </c>
      <c r="AG270" s="119">
        <v>120</v>
      </c>
      <c r="AH270" s="25">
        <v>4315621</v>
      </c>
      <c r="AI270" s="78">
        <v>178611024</v>
      </c>
      <c r="AJ270" s="78">
        <v>339263496</v>
      </c>
      <c r="AK270" s="27">
        <f t="shared" si="42"/>
        <v>4315621</v>
      </c>
      <c r="AL270" s="27">
        <f t="shared" si="44"/>
        <v>4315621</v>
      </c>
      <c r="AM270" s="27"/>
      <c r="AN270" s="27"/>
      <c r="AO270" s="27"/>
      <c r="AP270" s="27"/>
      <c r="AQ270" s="27"/>
      <c r="AR270" s="27"/>
      <c r="AS270" s="27"/>
      <c r="AT270" s="27"/>
      <c r="AU270" s="27"/>
      <c r="AV270" s="27"/>
      <c r="AW270" s="27">
        <f t="shared" si="37"/>
        <v>8631242</v>
      </c>
      <c r="AX270" s="79">
        <f t="shared" si="38"/>
        <v>330632254</v>
      </c>
      <c r="AY270" s="79">
        <f t="shared" si="39"/>
        <v>187242266</v>
      </c>
      <c r="AZ270" s="25">
        <v>1</v>
      </c>
      <c r="BA270" s="66" t="s">
        <v>97</v>
      </c>
      <c r="BB270" s="66">
        <v>1</v>
      </c>
      <c r="BC270" s="66"/>
      <c r="BD270" s="66"/>
      <c r="BE270" s="67">
        <f t="shared" si="43"/>
        <v>4315621</v>
      </c>
      <c r="BF270" s="67">
        <f t="shared" si="46"/>
        <v>0</v>
      </c>
      <c r="BG270" s="67">
        <f t="shared" si="45"/>
        <v>0</v>
      </c>
      <c r="BH270" s="66"/>
      <c r="BI270" s="68" t="s">
        <v>534</v>
      </c>
      <c r="BJ270" s="68" t="s">
        <v>81</v>
      </c>
      <c r="BK270" s="68" t="s">
        <v>81</v>
      </c>
      <c r="BL270" s="29"/>
      <c r="BO270" s="35" t="s">
        <v>1800</v>
      </c>
      <c r="BP270" s="1" t="s">
        <v>1819</v>
      </c>
      <c r="BQ270" s="1" t="e">
        <v>#N/A</v>
      </c>
    </row>
    <row r="271" spans="1:69" ht="15" hidden="1" customHeight="1">
      <c r="A271" s="1" t="s">
        <v>43</v>
      </c>
      <c r="C271" s="1" t="str">
        <f t="shared" si="40"/>
        <v>3007</v>
      </c>
      <c r="D271" s="1" t="str">
        <f t="shared" si="41"/>
        <v>2008</v>
      </c>
      <c r="E271" s="19" t="s">
        <v>48</v>
      </c>
      <c r="F271" s="62" t="s">
        <v>49</v>
      </c>
      <c r="G271" s="62">
        <v>2112</v>
      </c>
      <c r="H271" s="62" t="s">
        <v>814</v>
      </c>
      <c r="I271" s="62" t="s">
        <v>812</v>
      </c>
      <c r="J271" s="118">
        <v>1</v>
      </c>
      <c r="K271" s="119" t="s">
        <v>619</v>
      </c>
      <c r="L271" s="62" t="s">
        <v>77</v>
      </c>
      <c r="M271" s="120" t="s">
        <v>806</v>
      </c>
      <c r="N271" s="63">
        <v>43997</v>
      </c>
      <c r="O271" s="24">
        <v>22000</v>
      </c>
      <c r="P271" s="24">
        <v>23445</v>
      </c>
      <c r="Q271" s="64">
        <v>515790000</v>
      </c>
      <c r="R271" s="64"/>
      <c r="S271" s="64"/>
      <c r="T271" s="64">
        <v>2084520.1466666665</v>
      </c>
      <c r="U271" s="64" t="s">
        <v>807</v>
      </c>
      <c r="V271" s="121">
        <v>517874520</v>
      </c>
      <c r="W271" s="122">
        <v>0</v>
      </c>
      <c r="X271" s="64">
        <v>517874520</v>
      </c>
      <c r="Y271" s="121"/>
      <c r="Z271" s="121"/>
      <c r="AA271" s="121"/>
      <c r="AB271" s="121"/>
      <c r="AC271" s="64">
        <v>517874520</v>
      </c>
      <c r="AD271" s="65">
        <v>44044</v>
      </c>
      <c r="AE271" s="65">
        <v>47694</v>
      </c>
      <c r="AF271" s="62">
        <v>10</v>
      </c>
      <c r="AG271" s="119">
        <v>120</v>
      </c>
      <c r="AH271" s="25">
        <v>4315621</v>
      </c>
      <c r="AI271" s="78">
        <v>176940461</v>
      </c>
      <c r="AJ271" s="78">
        <v>340934059</v>
      </c>
      <c r="AK271" s="27">
        <f t="shared" si="42"/>
        <v>4315621</v>
      </c>
      <c r="AL271" s="27">
        <f t="shared" si="44"/>
        <v>4315621</v>
      </c>
      <c r="AM271" s="27"/>
      <c r="AN271" s="27"/>
      <c r="AO271" s="27"/>
      <c r="AP271" s="27"/>
      <c r="AQ271" s="27"/>
      <c r="AR271" s="27"/>
      <c r="AS271" s="27"/>
      <c r="AT271" s="27"/>
      <c r="AU271" s="27"/>
      <c r="AV271" s="27"/>
      <c r="AW271" s="27">
        <f t="shared" si="37"/>
        <v>8631242</v>
      </c>
      <c r="AX271" s="79">
        <f t="shared" si="38"/>
        <v>332302817</v>
      </c>
      <c r="AY271" s="79">
        <f t="shared" si="39"/>
        <v>185571703</v>
      </c>
      <c r="AZ271" s="25">
        <v>1</v>
      </c>
      <c r="BA271" s="62" t="s">
        <v>97</v>
      </c>
      <c r="BB271" s="66">
        <v>1</v>
      </c>
      <c r="BC271" s="66"/>
      <c r="BD271" s="66"/>
      <c r="BE271" s="67">
        <f t="shared" si="43"/>
        <v>4315621</v>
      </c>
      <c r="BF271" s="67">
        <f t="shared" si="46"/>
        <v>0</v>
      </c>
      <c r="BG271" s="67">
        <f t="shared" si="45"/>
        <v>0</v>
      </c>
      <c r="BH271" s="66"/>
      <c r="BI271" s="68" t="s">
        <v>695</v>
      </c>
      <c r="BJ271" s="68" t="s">
        <v>81</v>
      </c>
      <c r="BK271" s="68" t="s">
        <v>81</v>
      </c>
      <c r="BL271" s="29"/>
      <c r="BO271" s="35" t="s">
        <v>1800</v>
      </c>
      <c r="BP271" s="1" t="s">
        <v>1810</v>
      </c>
      <c r="BQ271" s="1" t="e">
        <v>#N/A</v>
      </c>
    </row>
    <row r="272" spans="1:69" ht="15" hidden="1" customHeight="1">
      <c r="A272" s="1" t="s">
        <v>43</v>
      </c>
      <c r="C272" s="1" t="str">
        <f t="shared" si="40"/>
        <v>3007</v>
      </c>
      <c r="D272" s="1" t="str">
        <f t="shared" si="41"/>
        <v>2007</v>
      </c>
      <c r="E272" s="19" t="s">
        <v>48</v>
      </c>
      <c r="F272" s="62" t="s">
        <v>49</v>
      </c>
      <c r="G272" s="66">
        <v>2112</v>
      </c>
      <c r="H272" s="66" t="s">
        <v>815</v>
      </c>
      <c r="I272" s="66" t="s">
        <v>816</v>
      </c>
      <c r="J272" s="118">
        <v>1</v>
      </c>
      <c r="K272" s="119" t="s">
        <v>619</v>
      </c>
      <c r="L272" s="62" t="s">
        <v>77</v>
      </c>
      <c r="M272" s="135" t="s">
        <v>817</v>
      </c>
      <c r="N272" s="63">
        <v>44006</v>
      </c>
      <c r="O272" s="24">
        <v>65000</v>
      </c>
      <c r="P272" s="24">
        <v>23307</v>
      </c>
      <c r="Q272" s="64">
        <v>1514955000</v>
      </c>
      <c r="R272" s="64"/>
      <c r="S272" s="64"/>
      <c r="T272" s="64">
        <v>6837395.4899999993</v>
      </c>
      <c r="U272" s="64" t="s">
        <v>818</v>
      </c>
      <c r="V272" s="121">
        <v>1521792395</v>
      </c>
      <c r="W272" s="122">
        <v>0</v>
      </c>
      <c r="X272" s="64">
        <v>1521792395</v>
      </c>
      <c r="Y272" s="121"/>
      <c r="Z272" s="121"/>
      <c r="AA272" s="121"/>
      <c r="AB272" s="121"/>
      <c r="AC272" s="64">
        <v>1521792395</v>
      </c>
      <c r="AD272" s="65">
        <v>44015</v>
      </c>
      <c r="AE272" s="65">
        <v>47665</v>
      </c>
      <c r="AF272" s="66">
        <v>10</v>
      </c>
      <c r="AG272" s="119">
        <v>120</v>
      </c>
      <c r="AH272" s="25">
        <v>12681603.291666666</v>
      </c>
      <c r="AI272" s="78">
        <v>531809160.91666663</v>
      </c>
      <c r="AJ272" s="78">
        <v>989983234.08333337</v>
      </c>
      <c r="AK272" s="27">
        <f t="shared" si="42"/>
        <v>12681603.291666666</v>
      </c>
      <c r="AL272" s="27">
        <f t="shared" si="44"/>
        <v>12681603.291666666</v>
      </c>
      <c r="AM272" s="27"/>
      <c r="AN272" s="27"/>
      <c r="AO272" s="27"/>
      <c r="AP272" s="27"/>
      <c r="AQ272" s="27"/>
      <c r="AR272" s="27"/>
      <c r="AS272" s="27"/>
      <c r="AT272" s="27"/>
      <c r="AU272" s="27"/>
      <c r="AV272" s="27"/>
      <c r="AW272" s="27">
        <f t="shared" si="37"/>
        <v>25363206.583333332</v>
      </c>
      <c r="AX272" s="79">
        <f t="shared" si="38"/>
        <v>964620027.5</v>
      </c>
      <c r="AY272" s="79">
        <f t="shared" si="39"/>
        <v>557172367.5</v>
      </c>
      <c r="AZ272" s="25">
        <v>1</v>
      </c>
      <c r="BA272" s="66" t="s">
        <v>97</v>
      </c>
      <c r="BB272" s="66">
        <v>1</v>
      </c>
      <c r="BC272" s="66"/>
      <c r="BD272" s="66"/>
      <c r="BE272" s="67">
        <f t="shared" si="43"/>
        <v>12681603.291666666</v>
      </c>
      <c r="BF272" s="67">
        <f t="shared" si="46"/>
        <v>0</v>
      </c>
      <c r="BG272" s="67">
        <f t="shared" si="45"/>
        <v>0</v>
      </c>
      <c r="BH272" s="66"/>
      <c r="BI272" s="68" t="s">
        <v>819</v>
      </c>
      <c r="BJ272" s="68" t="s">
        <v>121</v>
      </c>
      <c r="BK272" s="68" t="s">
        <v>121</v>
      </c>
      <c r="BL272" s="29"/>
      <c r="BO272" s="35" t="s">
        <v>1800</v>
      </c>
      <c r="BP272" s="1" t="s">
        <v>1821</v>
      </c>
      <c r="BQ272" s="1" t="e">
        <v>#N/A</v>
      </c>
    </row>
    <row r="273" spans="1:69" ht="15" hidden="1" customHeight="1">
      <c r="A273" s="1" t="s">
        <v>43</v>
      </c>
      <c r="C273" s="1" t="str">
        <f t="shared" si="40"/>
        <v>3007</v>
      </c>
      <c r="D273" s="1" t="str">
        <f t="shared" si="41"/>
        <v>2007</v>
      </c>
      <c r="E273" s="19" t="s">
        <v>48</v>
      </c>
      <c r="F273" s="62" t="s">
        <v>49</v>
      </c>
      <c r="G273" s="66">
        <v>2112</v>
      </c>
      <c r="H273" s="66" t="s">
        <v>820</v>
      </c>
      <c r="I273" s="66" t="s">
        <v>821</v>
      </c>
      <c r="J273" s="118">
        <v>1</v>
      </c>
      <c r="K273" s="119" t="s">
        <v>619</v>
      </c>
      <c r="L273" s="62" t="s">
        <v>77</v>
      </c>
      <c r="M273" s="135" t="s">
        <v>817</v>
      </c>
      <c r="N273" s="63">
        <v>44006</v>
      </c>
      <c r="O273" s="24">
        <v>160000</v>
      </c>
      <c r="P273" s="24">
        <v>23307</v>
      </c>
      <c r="Q273" s="64">
        <v>3729120000</v>
      </c>
      <c r="R273" s="64"/>
      <c r="S273" s="64"/>
      <c r="T273" s="64">
        <v>16830513.510000002</v>
      </c>
      <c r="U273" s="64" t="s">
        <v>818</v>
      </c>
      <c r="V273" s="121">
        <v>3745950514</v>
      </c>
      <c r="W273" s="122">
        <v>0</v>
      </c>
      <c r="X273" s="64">
        <v>3745950514</v>
      </c>
      <c r="Y273" s="121"/>
      <c r="Z273" s="121"/>
      <c r="AA273" s="121"/>
      <c r="AB273" s="121"/>
      <c r="AC273" s="64">
        <v>3745950514</v>
      </c>
      <c r="AD273" s="65">
        <v>44032</v>
      </c>
      <c r="AE273" s="65">
        <v>47682</v>
      </c>
      <c r="AF273" s="66">
        <v>10</v>
      </c>
      <c r="AG273" s="119">
        <v>120</v>
      </c>
      <c r="AH273" s="25">
        <v>31216254.283333335</v>
      </c>
      <c r="AI273" s="78">
        <v>1291950127.8333335</v>
      </c>
      <c r="AJ273" s="78">
        <v>2454000386.1666665</v>
      </c>
      <c r="AK273" s="27">
        <f t="shared" si="42"/>
        <v>31216254.283333335</v>
      </c>
      <c r="AL273" s="27">
        <f t="shared" si="44"/>
        <v>31216254.283333335</v>
      </c>
      <c r="AM273" s="27"/>
      <c r="AN273" s="27"/>
      <c r="AO273" s="27"/>
      <c r="AP273" s="27"/>
      <c r="AQ273" s="27"/>
      <c r="AR273" s="27"/>
      <c r="AS273" s="27"/>
      <c r="AT273" s="27"/>
      <c r="AU273" s="27"/>
      <c r="AV273" s="27"/>
      <c r="AW273" s="27">
        <f t="shared" ref="AW273:AW336" si="47">+SUM(AK273:AV273)</f>
        <v>62432508.56666667</v>
      </c>
      <c r="AX273" s="79">
        <f t="shared" ref="AX273:AX336" si="48">AC273-AI273-AW273</f>
        <v>2391567877.5999999</v>
      </c>
      <c r="AY273" s="79">
        <f t="shared" ref="AY273:AY336" si="49">AW273+AI273</f>
        <v>1354382636.4000001</v>
      </c>
      <c r="AZ273" s="25">
        <v>1</v>
      </c>
      <c r="BA273" s="66" t="s">
        <v>97</v>
      </c>
      <c r="BB273" s="66">
        <v>1</v>
      </c>
      <c r="BC273" s="66"/>
      <c r="BD273" s="66"/>
      <c r="BE273" s="67">
        <f t="shared" si="43"/>
        <v>31216254.283333335</v>
      </c>
      <c r="BF273" s="67">
        <f t="shared" si="46"/>
        <v>0</v>
      </c>
      <c r="BG273" s="67">
        <f t="shared" si="45"/>
        <v>0</v>
      </c>
      <c r="BH273" s="66"/>
      <c r="BI273" s="68" t="s">
        <v>534</v>
      </c>
      <c r="BJ273" s="68" t="s">
        <v>85</v>
      </c>
      <c r="BK273" s="68" t="s">
        <v>85</v>
      </c>
      <c r="BL273" s="29"/>
      <c r="BO273" s="35" t="s">
        <v>1800</v>
      </c>
      <c r="BP273" s="1" t="s">
        <v>1819</v>
      </c>
      <c r="BQ273" s="1" t="e">
        <v>#N/A</v>
      </c>
    </row>
    <row r="274" spans="1:69" ht="15" hidden="1" customHeight="1">
      <c r="A274" s="1" t="s">
        <v>43</v>
      </c>
      <c r="C274" s="1" t="str">
        <f t="shared" ref="C274:C337" si="50">+RIGHT(YEAR(AE274),2)&amp;IF(LEN(MONTH(AE274))=2,MONTH(AE274),"0"&amp;MONTH(AE274))</f>
        <v>2806</v>
      </c>
      <c r="D274" s="1" t="str">
        <f t="shared" ref="D274:D337" si="51">+RIGHT(YEAR(AD274),2)&amp;IF(LEN(MONTH(AD274))=2,MONTH(AD274),"0"&amp;MONTH(AD274))</f>
        <v>2006</v>
      </c>
      <c r="E274" s="19" t="s">
        <v>48</v>
      </c>
      <c r="F274" s="62" t="s">
        <v>49</v>
      </c>
      <c r="G274" s="62">
        <v>2114</v>
      </c>
      <c r="H274" s="62" t="s">
        <v>822</v>
      </c>
      <c r="I274" s="62" t="s">
        <v>823</v>
      </c>
      <c r="J274" s="118">
        <v>1</v>
      </c>
      <c r="K274" s="119" t="s">
        <v>619</v>
      </c>
      <c r="L274" s="62" t="s">
        <v>601</v>
      </c>
      <c r="M274" s="120" t="s">
        <v>824</v>
      </c>
      <c r="N274" s="63">
        <v>43990</v>
      </c>
      <c r="O274" s="24">
        <v>2050</v>
      </c>
      <c r="P274" s="24">
        <v>23332</v>
      </c>
      <c r="Q274" s="64">
        <v>47830600</v>
      </c>
      <c r="R274" s="64"/>
      <c r="S274" s="64"/>
      <c r="T274" s="64">
        <v>2029772.2</v>
      </c>
      <c r="U274" s="64" t="s">
        <v>825</v>
      </c>
      <c r="V274" s="121">
        <v>49860372</v>
      </c>
      <c r="W274" s="122">
        <v>0</v>
      </c>
      <c r="X274" s="64">
        <v>49860372</v>
      </c>
      <c r="Y274" s="121"/>
      <c r="Z274" s="121"/>
      <c r="AA274" s="121"/>
      <c r="AB274" s="121"/>
      <c r="AC274" s="64">
        <v>49860372</v>
      </c>
      <c r="AD274" s="65">
        <v>43990</v>
      </c>
      <c r="AE274" s="65">
        <v>46910</v>
      </c>
      <c r="AF274" s="62">
        <v>8</v>
      </c>
      <c r="AG274" s="119">
        <v>96</v>
      </c>
      <c r="AH274" s="25">
        <v>519378.875</v>
      </c>
      <c r="AI274" s="78">
        <v>22212107.75</v>
      </c>
      <c r="AJ274" s="78">
        <v>27648264.25</v>
      </c>
      <c r="AK274" s="27">
        <f t="shared" ref="AK274:AK337" si="52">+IF(AND(AK$3&gt;=$D274,AK$3&lt;$C274),$AH274,$AJ274)</f>
        <v>519378.875</v>
      </c>
      <c r="AL274" s="27">
        <f t="shared" si="44"/>
        <v>519378.875</v>
      </c>
      <c r="AM274" s="27"/>
      <c r="AN274" s="27"/>
      <c r="AO274" s="27"/>
      <c r="AP274" s="27"/>
      <c r="AQ274" s="27"/>
      <c r="AR274" s="27"/>
      <c r="AS274" s="27"/>
      <c r="AT274" s="27"/>
      <c r="AU274" s="27"/>
      <c r="AV274" s="27"/>
      <c r="AW274" s="27">
        <f t="shared" si="47"/>
        <v>1038757.75</v>
      </c>
      <c r="AX274" s="79">
        <f t="shared" si="48"/>
        <v>26609506.5</v>
      </c>
      <c r="AY274" s="79">
        <f t="shared" si="49"/>
        <v>23250865.5</v>
      </c>
      <c r="AZ274" s="25">
        <v>1</v>
      </c>
      <c r="BA274" s="62" t="s">
        <v>79</v>
      </c>
      <c r="BB274" s="66">
        <v>1</v>
      </c>
      <c r="BC274" s="66"/>
      <c r="BD274" s="66"/>
      <c r="BE274" s="67">
        <f t="shared" si="43"/>
        <v>519378.875</v>
      </c>
      <c r="BF274" s="67">
        <f t="shared" si="46"/>
        <v>0</v>
      </c>
      <c r="BG274" s="67">
        <f t="shared" si="45"/>
        <v>0</v>
      </c>
      <c r="BH274" s="66"/>
      <c r="BI274" s="68" t="s">
        <v>491</v>
      </c>
      <c r="BJ274" s="68" t="s">
        <v>58</v>
      </c>
      <c r="BK274" s="68" t="s">
        <v>59</v>
      </c>
      <c r="BL274" s="29"/>
      <c r="BO274" s="35" t="s">
        <v>1800</v>
      </c>
      <c r="BP274" s="1" t="s">
        <v>1822</v>
      </c>
      <c r="BQ274" s="1" t="e">
        <v>#N/A</v>
      </c>
    </row>
    <row r="275" spans="1:69" ht="15" hidden="1" customHeight="1">
      <c r="A275" s="1" t="s">
        <v>43</v>
      </c>
      <c r="C275" s="1" t="str">
        <f t="shared" si="50"/>
        <v>2806</v>
      </c>
      <c r="D275" s="1" t="str">
        <f t="shared" si="51"/>
        <v>2006</v>
      </c>
      <c r="E275" s="19" t="s">
        <v>48</v>
      </c>
      <c r="F275" s="62" t="s">
        <v>49</v>
      </c>
      <c r="G275" s="62">
        <v>2114</v>
      </c>
      <c r="H275" s="62" t="s">
        <v>826</v>
      </c>
      <c r="I275" s="62" t="s">
        <v>823</v>
      </c>
      <c r="J275" s="118">
        <v>1</v>
      </c>
      <c r="K275" s="119" t="s">
        <v>619</v>
      </c>
      <c r="L275" s="62" t="s">
        <v>601</v>
      </c>
      <c r="M275" s="120" t="s">
        <v>824</v>
      </c>
      <c r="N275" s="63">
        <v>43990</v>
      </c>
      <c r="O275" s="24">
        <v>2050</v>
      </c>
      <c r="P275" s="24">
        <v>23332</v>
      </c>
      <c r="Q275" s="64">
        <v>47830600</v>
      </c>
      <c r="R275" s="64"/>
      <c r="S275" s="64"/>
      <c r="T275" s="64">
        <v>2029772.2</v>
      </c>
      <c r="U275" s="64" t="s">
        <v>825</v>
      </c>
      <c r="V275" s="121">
        <v>49860372</v>
      </c>
      <c r="W275" s="122">
        <v>0</v>
      </c>
      <c r="X275" s="64">
        <v>49860372</v>
      </c>
      <c r="Y275" s="121"/>
      <c r="Z275" s="121"/>
      <c r="AA275" s="121"/>
      <c r="AB275" s="121"/>
      <c r="AC275" s="64">
        <v>49860372</v>
      </c>
      <c r="AD275" s="65">
        <v>43990</v>
      </c>
      <c r="AE275" s="65">
        <v>46910</v>
      </c>
      <c r="AF275" s="62">
        <v>8</v>
      </c>
      <c r="AG275" s="119">
        <v>96</v>
      </c>
      <c r="AH275" s="25">
        <v>519378.875</v>
      </c>
      <c r="AI275" s="78">
        <v>22212107.75</v>
      </c>
      <c r="AJ275" s="78">
        <v>27648264.25</v>
      </c>
      <c r="AK275" s="27">
        <f t="shared" si="52"/>
        <v>519378.875</v>
      </c>
      <c r="AL275" s="27">
        <f t="shared" si="44"/>
        <v>519378.875</v>
      </c>
      <c r="AM275" s="27"/>
      <c r="AN275" s="27"/>
      <c r="AO275" s="27"/>
      <c r="AP275" s="27"/>
      <c r="AQ275" s="27"/>
      <c r="AR275" s="27"/>
      <c r="AS275" s="27"/>
      <c r="AT275" s="27"/>
      <c r="AU275" s="27"/>
      <c r="AV275" s="27"/>
      <c r="AW275" s="27">
        <f t="shared" si="47"/>
        <v>1038757.75</v>
      </c>
      <c r="AX275" s="79">
        <f t="shared" si="48"/>
        <v>26609506.5</v>
      </c>
      <c r="AY275" s="79">
        <f t="shared" si="49"/>
        <v>23250865.5</v>
      </c>
      <c r="AZ275" s="25">
        <v>1</v>
      </c>
      <c r="BA275" s="62" t="s">
        <v>79</v>
      </c>
      <c r="BB275" s="66">
        <v>1</v>
      </c>
      <c r="BC275" s="66"/>
      <c r="BD275" s="66"/>
      <c r="BE275" s="67">
        <f t="shared" si="43"/>
        <v>519378.875</v>
      </c>
      <c r="BF275" s="67">
        <f t="shared" si="46"/>
        <v>0</v>
      </c>
      <c r="BG275" s="67">
        <f t="shared" si="45"/>
        <v>0</v>
      </c>
      <c r="BH275" s="66"/>
      <c r="BI275" s="68" t="s">
        <v>534</v>
      </c>
      <c r="BJ275" s="68" t="s">
        <v>58</v>
      </c>
      <c r="BK275" s="68" t="s">
        <v>59</v>
      </c>
      <c r="BL275" s="29"/>
      <c r="BO275" s="35" t="s">
        <v>1800</v>
      </c>
      <c r="BP275" s="1" t="s">
        <v>1816</v>
      </c>
      <c r="BQ275" s="1" t="e">
        <v>#N/A</v>
      </c>
    </row>
    <row r="276" spans="1:69" ht="15" hidden="1" customHeight="1">
      <c r="A276" s="1" t="s">
        <v>43</v>
      </c>
      <c r="C276" s="1" t="str">
        <f t="shared" si="50"/>
        <v>2806</v>
      </c>
      <c r="D276" s="1" t="str">
        <f t="shared" si="51"/>
        <v>2006</v>
      </c>
      <c r="E276" s="19" t="s">
        <v>48</v>
      </c>
      <c r="F276" s="62" t="s">
        <v>49</v>
      </c>
      <c r="G276" s="62">
        <v>2114</v>
      </c>
      <c r="H276" s="62" t="s">
        <v>827</v>
      </c>
      <c r="I276" s="62" t="s">
        <v>823</v>
      </c>
      <c r="J276" s="118">
        <v>1</v>
      </c>
      <c r="K276" s="119" t="s">
        <v>619</v>
      </c>
      <c r="L276" s="62" t="s">
        <v>601</v>
      </c>
      <c r="M276" s="120" t="s">
        <v>824</v>
      </c>
      <c r="N276" s="63">
        <v>43990</v>
      </c>
      <c r="O276" s="24">
        <v>2050</v>
      </c>
      <c r="P276" s="24">
        <v>23332</v>
      </c>
      <c r="Q276" s="64">
        <v>47830600</v>
      </c>
      <c r="R276" s="64"/>
      <c r="S276" s="64"/>
      <c r="T276" s="64">
        <v>2029772.2</v>
      </c>
      <c r="U276" s="64" t="s">
        <v>825</v>
      </c>
      <c r="V276" s="121">
        <v>49860372</v>
      </c>
      <c r="W276" s="122">
        <v>0</v>
      </c>
      <c r="X276" s="64">
        <v>49860372</v>
      </c>
      <c r="Y276" s="121"/>
      <c r="Z276" s="121"/>
      <c r="AA276" s="121"/>
      <c r="AB276" s="121"/>
      <c r="AC276" s="64">
        <v>49860372</v>
      </c>
      <c r="AD276" s="65">
        <v>43990</v>
      </c>
      <c r="AE276" s="65">
        <v>46910</v>
      </c>
      <c r="AF276" s="62">
        <v>8</v>
      </c>
      <c r="AG276" s="119">
        <v>96</v>
      </c>
      <c r="AH276" s="25">
        <v>519378.875</v>
      </c>
      <c r="AI276" s="78">
        <v>22212107.75</v>
      </c>
      <c r="AJ276" s="78">
        <v>27648264.25</v>
      </c>
      <c r="AK276" s="27">
        <f t="shared" si="52"/>
        <v>519378.875</v>
      </c>
      <c r="AL276" s="27">
        <f t="shared" si="44"/>
        <v>519378.875</v>
      </c>
      <c r="AM276" s="27"/>
      <c r="AN276" s="27"/>
      <c r="AO276" s="27"/>
      <c r="AP276" s="27"/>
      <c r="AQ276" s="27"/>
      <c r="AR276" s="27"/>
      <c r="AS276" s="27"/>
      <c r="AT276" s="27"/>
      <c r="AU276" s="27"/>
      <c r="AV276" s="27"/>
      <c r="AW276" s="27">
        <f t="shared" si="47"/>
        <v>1038757.75</v>
      </c>
      <c r="AX276" s="79">
        <f t="shared" si="48"/>
        <v>26609506.5</v>
      </c>
      <c r="AY276" s="79">
        <f t="shared" si="49"/>
        <v>23250865.5</v>
      </c>
      <c r="AZ276" s="25">
        <v>1</v>
      </c>
      <c r="BA276" s="62" t="s">
        <v>79</v>
      </c>
      <c r="BB276" s="66">
        <v>1</v>
      </c>
      <c r="BC276" s="66"/>
      <c r="BD276" s="66"/>
      <c r="BE276" s="67">
        <f t="shared" si="43"/>
        <v>519378.875</v>
      </c>
      <c r="BF276" s="67">
        <f t="shared" si="46"/>
        <v>0</v>
      </c>
      <c r="BG276" s="67">
        <f t="shared" si="45"/>
        <v>0</v>
      </c>
      <c r="BH276" s="66"/>
      <c r="BI276" s="68" t="s">
        <v>828</v>
      </c>
      <c r="BJ276" s="68" t="s">
        <v>58</v>
      </c>
      <c r="BK276" s="68" t="s">
        <v>59</v>
      </c>
      <c r="BL276" s="29"/>
      <c r="BO276" s="35" t="s">
        <v>1800</v>
      </c>
      <c r="BP276" s="1" t="s">
        <v>1810</v>
      </c>
      <c r="BQ276" s="1" t="e">
        <v>#N/A</v>
      </c>
    </row>
    <row r="277" spans="1:69" ht="15" hidden="1" customHeight="1">
      <c r="A277" s="1" t="s">
        <v>43</v>
      </c>
      <c r="C277" s="1" t="str">
        <f t="shared" si="50"/>
        <v>2806</v>
      </c>
      <c r="D277" s="1" t="str">
        <f t="shared" si="51"/>
        <v>2006</v>
      </c>
      <c r="E277" s="19" t="s">
        <v>48</v>
      </c>
      <c r="F277" s="62" t="s">
        <v>49</v>
      </c>
      <c r="G277" s="62">
        <v>2114</v>
      </c>
      <c r="H277" s="62" t="s">
        <v>829</v>
      </c>
      <c r="I277" s="62" t="s">
        <v>823</v>
      </c>
      <c r="J277" s="118">
        <v>1</v>
      </c>
      <c r="K277" s="119" t="s">
        <v>619</v>
      </c>
      <c r="L277" s="62" t="s">
        <v>601</v>
      </c>
      <c r="M277" s="120" t="s">
        <v>824</v>
      </c>
      <c r="N277" s="63">
        <v>43990</v>
      </c>
      <c r="O277" s="24">
        <v>2050</v>
      </c>
      <c r="P277" s="24">
        <v>23332</v>
      </c>
      <c r="Q277" s="64">
        <v>47830600</v>
      </c>
      <c r="R277" s="64"/>
      <c r="S277" s="64"/>
      <c r="T277" s="64">
        <v>2029772.2</v>
      </c>
      <c r="U277" s="64" t="s">
        <v>825</v>
      </c>
      <c r="V277" s="121">
        <v>49860372</v>
      </c>
      <c r="W277" s="122">
        <v>0</v>
      </c>
      <c r="X277" s="64">
        <v>49860372</v>
      </c>
      <c r="Y277" s="121"/>
      <c r="Z277" s="121"/>
      <c r="AA277" s="121"/>
      <c r="AB277" s="121"/>
      <c r="AC277" s="64">
        <v>49860372</v>
      </c>
      <c r="AD277" s="63">
        <v>43990</v>
      </c>
      <c r="AE277" s="65">
        <v>46910</v>
      </c>
      <c r="AF277" s="62">
        <v>8</v>
      </c>
      <c r="AG277" s="119">
        <v>96</v>
      </c>
      <c r="AH277" s="25">
        <v>519378.875</v>
      </c>
      <c r="AI277" s="78">
        <v>22212107.75</v>
      </c>
      <c r="AJ277" s="78">
        <v>27648264.25</v>
      </c>
      <c r="AK277" s="27">
        <f t="shared" si="52"/>
        <v>519378.875</v>
      </c>
      <c r="AL277" s="27">
        <f t="shared" si="44"/>
        <v>519378.875</v>
      </c>
      <c r="AM277" s="27"/>
      <c r="AN277" s="27"/>
      <c r="AO277" s="27"/>
      <c r="AP277" s="27"/>
      <c r="AQ277" s="27"/>
      <c r="AR277" s="27"/>
      <c r="AS277" s="27"/>
      <c r="AT277" s="27"/>
      <c r="AU277" s="27"/>
      <c r="AV277" s="27"/>
      <c r="AW277" s="27">
        <f t="shared" si="47"/>
        <v>1038757.75</v>
      </c>
      <c r="AX277" s="79">
        <f t="shared" si="48"/>
        <v>26609506.5</v>
      </c>
      <c r="AY277" s="79">
        <f t="shared" si="49"/>
        <v>23250865.5</v>
      </c>
      <c r="AZ277" s="25">
        <v>1</v>
      </c>
      <c r="BA277" s="62" t="s">
        <v>79</v>
      </c>
      <c r="BB277" s="66">
        <v>1</v>
      </c>
      <c r="BC277" s="66"/>
      <c r="BD277" s="66"/>
      <c r="BE277" s="67">
        <f t="shared" ref="BE277:BE340" si="53">+$AL277*BB277</f>
        <v>519378.875</v>
      </c>
      <c r="BF277" s="67">
        <f t="shared" si="46"/>
        <v>0</v>
      </c>
      <c r="BG277" s="67">
        <f t="shared" si="45"/>
        <v>0</v>
      </c>
      <c r="BH277" s="66"/>
      <c r="BI277" s="68" t="s">
        <v>830</v>
      </c>
      <c r="BJ277" s="68" t="s">
        <v>58</v>
      </c>
      <c r="BK277" s="68" t="s">
        <v>59</v>
      </c>
      <c r="BL277" s="29"/>
      <c r="BO277" s="35" t="s">
        <v>1800</v>
      </c>
      <c r="BP277" s="1" t="s">
        <v>1823</v>
      </c>
      <c r="BQ277" s="1" t="e">
        <v>#N/A</v>
      </c>
    </row>
    <row r="278" spans="1:69" ht="15" hidden="1" customHeight="1">
      <c r="A278" s="1" t="s">
        <v>43</v>
      </c>
      <c r="C278" s="1" t="str">
        <f t="shared" si="50"/>
        <v>2806</v>
      </c>
      <c r="D278" s="1" t="str">
        <f t="shared" si="51"/>
        <v>2006</v>
      </c>
      <c r="E278" s="19" t="s">
        <v>48</v>
      </c>
      <c r="F278" s="62" t="s">
        <v>515</v>
      </c>
      <c r="G278" s="62">
        <v>2114</v>
      </c>
      <c r="H278" s="62" t="s">
        <v>831</v>
      </c>
      <c r="I278" s="62" t="s">
        <v>823</v>
      </c>
      <c r="J278" s="118">
        <v>1</v>
      </c>
      <c r="K278" s="119" t="s">
        <v>619</v>
      </c>
      <c r="L278" s="62" t="s">
        <v>601</v>
      </c>
      <c r="M278" s="120" t="s">
        <v>824</v>
      </c>
      <c r="N278" s="63">
        <v>43990</v>
      </c>
      <c r="O278" s="24">
        <v>2050</v>
      </c>
      <c r="P278" s="24">
        <v>23332</v>
      </c>
      <c r="Q278" s="64">
        <v>47830600</v>
      </c>
      <c r="R278" s="64"/>
      <c r="S278" s="64"/>
      <c r="T278" s="64">
        <v>2029772.2</v>
      </c>
      <c r="U278" s="64" t="s">
        <v>825</v>
      </c>
      <c r="V278" s="121">
        <v>49860372</v>
      </c>
      <c r="W278" s="122">
        <v>0</v>
      </c>
      <c r="X278" s="64">
        <v>49860372</v>
      </c>
      <c r="Y278" s="121"/>
      <c r="Z278" s="121"/>
      <c r="AA278" s="121"/>
      <c r="AB278" s="121"/>
      <c r="AC278" s="64">
        <v>49860372</v>
      </c>
      <c r="AD278" s="63">
        <v>43990</v>
      </c>
      <c r="AE278" s="65">
        <v>46910</v>
      </c>
      <c r="AF278" s="62">
        <v>8</v>
      </c>
      <c r="AG278" s="119">
        <v>96</v>
      </c>
      <c r="AH278" s="25">
        <v>519378.875</v>
      </c>
      <c r="AI278" s="78">
        <v>22212107.75</v>
      </c>
      <c r="AJ278" s="78">
        <v>27648264.25</v>
      </c>
      <c r="AK278" s="27">
        <f t="shared" si="52"/>
        <v>519378.875</v>
      </c>
      <c r="AL278" s="27">
        <f t="shared" si="44"/>
        <v>519378.875</v>
      </c>
      <c r="AM278" s="27"/>
      <c r="AN278" s="27"/>
      <c r="AO278" s="27"/>
      <c r="AP278" s="27"/>
      <c r="AQ278" s="27"/>
      <c r="AR278" s="27"/>
      <c r="AS278" s="27"/>
      <c r="AT278" s="27"/>
      <c r="AU278" s="27"/>
      <c r="AV278" s="27"/>
      <c r="AW278" s="27">
        <f t="shared" si="47"/>
        <v>1038757.75</v>
      </c>
      <c r="AX278" s="79">
        <f t="shared" si="48"/>
        <v>26609506.5</v>
      </c>
      <c r="AY278" s="79">
        <f t="shared" si="49"/>
        <v>23250865.5</v>
      </c>
      <c r="AZ278" s="25">
        <v>1</v>
      </c>
      <c r="BA278" s="62" t="s">
        <v>79</v>
      </c>
      <c r="BB278" s="66">
        <v>1</v>
      </c>
      <c r="BC278" s="66"/>
      <c r="BD278" s="66"/>
      <c r="BE278" s="67">
        <f t="shared" si="53"/>
        <v>519378.875</v>
      </c>
      <c r="BF278" s="67">
        <f t="shared" si="46"/>
        <v>0</v>
      </c>
      <c r="BG278" s="67">
        <f t="shared" si="45"/>
        <v>0</v>
      </c>
      <c r="BH278" s="66"/>
      <c r="BI278" s="68" t="s">
        <v>713</v>
      </c>
      <c r="BJ278" s="68" t="s">
        <v>591</v>
      </c>
      <c r="BK278" s="68" t="s">
        <v>59</v>
      </c>
      <c r="BL278" s="29"/>
      <c r="BO278" s="35" t="s">
        <v>1800</v>
      </c>
      <c r="BP278" s="1" t="s">
        <v>1821</v>
      </c>
      <c r="BQ278" s="1" t="e">
        <v>#N/A</v>
      </c>
    </row>
    <row r="279" spans="1:69" ht="15" hidden="1" customHeight="1">
      <c r="A279" s="1" t="s">
        <v>43</v>
      </c>
      <c r="C279" s="1" t="str">
        <f t="shared" si="50"/>
        <v>2510</v>
      </c>
      <c r="D279" s="1" t="str">
        <f t="shared" si="51"/>
        <v>2010</v>
      </c>
      <c r="E279" s="19" t="s">
        <v>48</v>
      </c>
      <c r="F279" s="62" t="s">
        <v>515</v>
      </c>
      <c r="G279" s="62">
        <v>2114</v>
      </c>
      <c r="H279" s="62" t="s">
        <v>832</v>
      </c>
      <c r="I279" s="62" t="s">
        <v>833</v>
      </c>
      <c r="J279" s="118">
        <v>1</v>
      </c>
      <c r="K279" s="119" t="s">
        <v>619</v>
      </c>
      <c r="L279" s="62" t="s">
        <v>834</v>
      </c>
      <c r="M279" s="120" t="s">
        <v>835</v>
      </c>
      <c r="N279" s="63">
        <v>44015</v>
      </c>
      <c r="O279" s="24">
        <v>1323.06</v>
      </c>
      <c r="P279" s="24">
        <v>23395.5</v>
      </c>
      <c r="Q279" s="64">
        <v>30953650.23</v>
      </c>
      <c r="R279" s="64">
        <v>3696403</v>
      </c>
      <c r="S279" s="64"/>
      <c r="T279" s="64">
        <v>902788.41000000027</v>
      </c>
      <c r="U279" s="64" t="s">
        <v>836</v>
      </c>
      <c r="V279" s="121">
        <v>35552842</v>
      </c>
      <c r="W279" s="122">
        <v>0</v>
      </c>
      <c r="X279" s="64">
        <v>35552842</v>
      </c>
      <c r="Y279" s="121"/>
      <c r="Z279" s="121"/>
      <c r="AA279" s="121"/>
      <c r="AB279" s="121"/>
      <c r="AC279" s="64">
        <v>35552842</v>
      </c>
      <c r="AD279" s="65">
        <v>44114</v>
      </c>
      <c r="AE279" s="65">
        <v>45939</v>
      </c>
      <c r="AF279" s="62">
        <v>5</v>
      </c>
      <c r="AG279" s="119">
        <v>60</v>
      </c>
      <c r="AH279" s="25">
        <v>592547.3666666667</v>
      </c>
      <c r="AI279" s="78">
        <v>22937306.666666668</v>
      </c>
      <c r="AJ279" s="78">
        <v>12615535.333333332</v>
      </c>
      <c r="AK279" s="27">
        <f t="shared" si="52"/>
        <v>592547.3666666667</v>
      </c>
      <c r="AL279" s="27">
        <f t="shared" si="44"/>
        <v>592547.3666666667</v>
      </c>
      <c r="AM279" s="27"/>
      <c r="AN279" s="27"/>
      <c r="AO279" s="27"/>
      <c r="AP279" s="27"/>
      <c r="AQ279" s="27"/>
      <c r="AR279" s="27"/>
      <c r="AS279" s="27"/>
      <c r="AT279" s="27"/>
      <c r="AU279" s="27"/>
      <c r="AV279" s="27"/>
      <c r="AW279" s="27">
        <f t="shared" si="47"/>
        <v>1185094.7333333334</v>
      </c>
      <c r="AX279" s="79">
        <f t="shared" si="48"/>
        <v>11430440.599999998</v>
      </c>
      <c r="AY279" s="79">
        <f t="shared" si="49"/>
        <v>24122401.400000002</v>
      </c>
      <c r="AZ279" s="25">
        <v>1</v>
      </c>
      <c r="BA279" s="62" t="s">
        <v>79</v>
      </c>
      <c r="BB279" s="66">
        <v>1</v>
      </c>
      <c r="BC279" s="66"/>
      <c r="BD279" s="66"/>
      <c r="BE279" s="67">
        <f t="shared" si="53"/>
        <v>592547.3666666667</v>
      </c>
      <c r="BF279" s="67">
        <f t="shared" si="46"/>
        <v>0</v>
      </c>
      <c r="BG279" s="67">
        <f t="shared" si="45"/>
        <v>0</v>
      </c>
      <c r="BH279" s="66"/>
      <c r="BI279" s="68" t="s">
        <v>188</v>
      </c>
      <c r="BJ279" s="68" t="s">
        <v>716</v>
      </c>
      <c r="BK279" s="68" t="s">
        <v>85</v>
      </c>
      <c r="BL279" s="29"/>
      <c r="BO279" s="35" t="s">
        <v>1805</v>
      </c>
      <c r="BQ279" s="1" t="e">
        <v>#N/A</v>
      </c>
    </row>
    <row r="280" spans="1:69" ht="15" hidden="1" customHeight="1">
      <c r="A280" s="1" t="s">
        <v>43</v>
      </c>
      <c r="C280" s="1" t="str">
        <f t="shared" si="50"/>
        <v>2710</v>
      </c>
      <c r="D280" s="1" t="str">
        <f t="shared" si="51"/>
        <v>2011</v>
      </c>
      <c r="E280" s="19" t="s">
        <v>48</v>
      </c>
      <c r="F280" s="62" t="s">
        <v>515</v>
      </c>
      <c r="G280" s="62">
        <v>2114</v>
      </c>
      <c r="H280" s="62" t="s">
        <v>837</v>
      </c>
      <c r="I280" s="62" t="s">
        <v>838</v>
      </c>
      <c r="J280" s="118">
        <v>1</v>
      </c>
      <c r="K280" s="119" t="s">
        <v>619</v>
      </c>
      <c r="L280" s="62" t="s">
        <v>834</v>
      </c>
      <c r="M280" s="120" t="s">
        <v>835</v>
      </c>
      <c r="N280" s="63">
        <v>44015</v>
      </c>
      <c r="O280" s="24">
        <v>2754.83</v>
      </c>
      <c r="P280" s="24">
        <v>23395.5</v>
      </c>
      <c r="Q280" s="64">
        <v>64450625.265000001</v>
      </c>
      <c r="R280" s="64">
        <v>9620654</v>
      </c>
      <c r="S280" s="64"/>
      <c r="T280" s="64">
        <v>1879754.99</v>
      </c>
      <c r="U280" s="64" t="s">
        <v>836</v>
      </c>
      <c r="V280" s="121">
        <v>75951034</v>
      </c>
      <c r="W280" s="122">
        <v>0</v>
      </c>
      <c r="X280" s="64">
        <v>75951034</v>
      </c>
      <c r="Y280" s="121"/>
      <c r="Z280" s="121"/>
      <c r="AA280" s="121"/>
      <c r="AB280" s="121"/>
      <c r="AC280" s="64">
        <v>75951034</v>
      </c>
      <c r="AD280" s="65">
        <v>44136</v>
      </c>
      <c r="AE280" s="65">
        <v>46691</v>
      </c>
      <c r="AF280" s="62">
        <v>7</v>
      </c>
      <c r="AG280" s="119">
        <v>84</v>
      </c>
      <c r="AH280" s="25">
        <v>904178.97619047621</v>
      </c>
      <c r="AI280" s="78">
        <v>34358801.761904761</v>
      </c>
      <c r="AJ280" s="78">
        <v>41592232.238095239</v>
      </c>
      <c r="AK280" s="27">
        <f t="shared" si="52"/>
        <v>904178.97619047621</v>
      </c>
      <c r="AL280" s="27">
        <f t="shared" ref="AL280:AL343" si="54">+IF(AND(AL$3&gt;=$D280,AL$3&lt;$C280),$AH280,$AJ280-SUM(AJ280:AK280))</f>
        <v>904178.97619047621</v>
      </c>
      <c r="AM280" s="27"/>
      <c r="AN280" s="27"/>
      <c r="AO280" s="27"/>
      <c r="AP280" s="27"/>
      <c r="AQ280" s="27"/>
      <c r="AR280" s="27"/>
      <c r="AS280" s="27"/>
      <c r="AT280" s="27"/>
      <c r="AU280" s="27"/>
      <c r="AV280" s="27"/>
      <c r="AW280" s="27">
        <f t="shared" si="47"/>
        <v>1808357.9523809524</v>
      </c>
      <c r="AX280" s="79">
        <f t="shared" si="48"/>
        <v>39783874.285714284</v>
      </c>
      <c r="AY280" s="79">
        <f t="shared" si="49"/>
        <v>36167159.714285716</v>
      </c>
      <c r="AZ280" s="25">
        <v>1</v>
      </c>
      <c r="BA280" s="62" t="s">
        <v>79</v>
      </c>
      <c r="BB280" s="66">
        <v>1</v>
      </c>
      <c r="BC280" s="66"/>
      <c r="BD280" s="66"/>
      <c r="BE280" s="67">
        <f t="shared" si="53"/>
        <v>904178.97619047621</v>
      </c>
      <c r="BF280" s="67">
        <f t="shared" si="46"/>
        <v>0</v>
      </c>
      <c r="BG280" s="67">
        <f t="shared" si="45"/>
        <v>0</v>
      </c>
      <c r="BH280" s="66"/>
      <c r="BI280" s="68" t="s">
        <v>839</v>
      </c>
      <c r="BJ280" s="68" t="s">
        <v>716</v>
      </c>
      <c r="BK280" s="68" t="s">
        <v>85</v>
      </c>
      <c r="BL280" s="29"/>
      <c r="BO280" s="35" t="s">
        <v>1805</v>
      </c>
      <c r="BQ280" s="1" t="e">
        <v>#N/A</v>
      </c>
    </row>
    <row r="281" spans="1:69" ht="15" hidden="1" customHeight="1">
      <c r="A281" s="1" t="s">
        <v>43</v>
      </c>
      <c r="C281" s="1" t="str">
        <f t="shared" si="50"/>
        <v>2810</v>
      </c>
      <c r="D281" s="1" t="str">
        <f t="shared" si="51"/>
        <v>2011</v>
      </c>
      <c r="E281" s="19" t="s">
        <v>48</v>
      </c>
      <c r="F281" s="62" t="s">
        <v>515</v>
      </c>
      <c r="G281" s="62">
        <v>2112</v>
      </c>
      <c r="H281" s="62" t="s">
        <v>840</v>
      </c>
      <c r="I281" s="62" t="s">
        <v>841</v>
      </c>
      <c r="J281" s="118">
        <v>1</v>
      </c>
      <c r="K281" s="119" t="s">
        <v>619</v>
      </c>
      <c r="L281" s="62" t="s">
        <v>834</v>
      </c>
      <c r="M281" s="120" t="s">
        <v>835</v>
      </c>
      <c r="N281" s="63">
        <v>44015</v>
      </c>
      <c r="O281" s="24">
        <v>5587.68</v>
      </c>
      <c r="P281" s="24">
        <v>23395.5</v>
      </c>
      <c r="Q281" s="64">
        <v>130726567.44000001</v>
      </c>
      <c r="R281" s="64">
        <v>19513777</v>
      </c>
      <c r="S281" s="64"/>
      <c r="T281" s="64">
        <v>3812746.83</v>
      </c>
      <c r="U281" s="64" t="s">
        <v>836</v>
      </c>
      <c r="V281" s="121">
        <v>154053091</v>
      </c>
      <c r="W281" s="122">
        <v>0</v>
      </c>
      <c r="X281" s="64">
        <v>154053091</v>
      </c>
      <c r="Y281" s="121"/>
      <c r="Z281" s="121"/>
      <c r="AA281" s="121"/>
      <c r="AB281" s="121"/>
      <c r="AC281" s="64">
        <v>154053091</v>
      </c>
      <c r="AD281" s="65">
        <v>44136</v>
      </c>
      <c r="AE281" s="65">
        <v>47056</v>
      </c>
      <c r="AF281" s="62">
        <v>8</v>
      </c>
      <c r="AG281" s="119">
        <v>96</v>
      </c>
      <c r="AH281" s="25">
        <v>1604719.6979166667</v>
      </c>
      <c r="AI281" s="78">
        <v>60979356.979166672</v>
      </c>
      <c r="AJ281" s="78">
        <v>93073734.020833328</v>
      </c>
      <c r="AK281" s="27">
        <f t="shared" si="52"/>
        <v>1604719.6979166667</v>
      </c>
      <c r="AL281" s="27">
        <f t="shared" si="54"/>
        <v>1604719.6979166667</v>
      </c>
      <c r="AM281" s="27"/>
      <c r="AN281" s="27"/>
      <c r="AO281" s="27"/>
      <c r="AP281" s="27"/>
      <c r="AQ281" s="27"/>
      <c r="AR281" s="27"/>
      <c r="AS281" s="27"/>
      <c r="AT281" s="27"/>
      <c r="AU281" s="27"/>
      <c r="AV281" s="27"/>
      <c r="AW281" s="27">
        <f t="shared" si="47"/>
        <v>3209439.3958333335</v>
      </c>
      <c r="AX281" s="79">
        <f t="shared" si="48"/>
        <v>89864294.625</v>
      </c>
      <c r="AY281" s="79">
        <f t="shared" si="49"/>
        <v>64188796.375000007</v>
      </c>
      <c r="AZ281" s="25">
        <v>1</v>
      </c>
      <c r="BA281" s="62" t="s">
        <v>97</v>
      </c>
      <c r="BB281" s="66">
        <v>1</v>
      </c>
      <c r="BC281" s="66"/>
      <c r="BD281" s="66"/>
      <c r="BE281" s="67">
        <f t="shared" si="53"/>
        <v>1604719.6979166667</v>
      </c>
      <c r="BF281" s="67">
        <f t="shared" si="46"/>
        <v>0</v>
      </c>
      <c r="BG281" s="67">
        <f t="shared" si="45"/>
        <v>0</v>
      </c>
      <c r="BH281" s="66"/>
      <c r="BI281" s="68" t="s">
        <v>188</v>
      </c>
      <c r="BJ281" s="68" t="s">
        <v>716</v>
      </c>
      <c r="BK281" s="68" t="s">
        <v>85</v>
      </c>
      <c r="BL281" s="29"/>
      <c r="BO281" s="35" t="s">
        <v>1804</v>
      </c>
      <c r="BQ281" s="1" t="e">
        <v>#N/A</v>
      </c>
    </row>
    <row r="282" spans="1:69" ht="15" hidden="1" customHeight="1">
      <c r="A282" s="1" t="s">
        <v>43</v>
      </c>
      <c r="C282" s="1" t="str">
        <f t="shared" si="50"/>
        <v>2810</v>
      </c>
      <c r="D282" s="1" t="str">
        <f t="shared" si="51"/>
        <v>2011</v>
      </c>
      <c r="E282" s="19" t="s">
        <v>48</v>
      </c>
      <c r="F282" s="62" t="s">
        <v>515</v>
      </c>
      <c r="G282" s="62">
        <v>2112</v>
      </c>
      <c r="H282" s="62" t="s">
        <v>842</v>
      </c>
      <c r="I282" s="62" t="s">
        <v>841</v>
      </c>
      <c r="J282" s="118">
        <v>1</v>
      </c>
      <c r="K282" s="119" t="s">
        <v>619</v>
      </c>
      <c r="L282" s="62" t="s">
        <v>834</v>
      </c>
      <c r="M282" s="120" t="s">
        <v>835</v>
      </c>
      <c r="N282" s="63">
        <v>44015</v>
      </c>
      <c r="O282" s="24">
        <v>5587.68</v>
      </c>
      <c r="P282" s="24">
        <v>23395.5</v>
      </c>
      <c r="Q282" s="64">
        <v>130726567.44000001</v>
      </c>
      <c r="R282" s="64">
        <v>19513777</v>
      </c>
      <c r="S282" s="64"/>
      <c r="T282" s="64">
        <v>3812746.83</v>
      </c>
      <c r="U282" s="64" t="s">
        <v>836</v>
      </c>
      <c r="V282" s="121">
        <v>154053091</v>
      </c>
      <c r="W282" s="122">
        <v>0</v>
      </c>
      <c r="X282" s="64">
        <v>154053091</v>
      </c>
      <c r="Y282" s="121"/>
      <c r="Z282" s="121"/>
      <c r="AA282" s="121"/>
      <c r="AB282" s="121"/>
      <c r="AC282" s="64">
        <v>154053091</v>
      </c>
      <c r="AD282" s="65">
        <v>44136</v>
      </c>
      <c r="AE282" s="65">
        <v>47056</v>
      </c>
      <c r="AF282" s="62">
        <v>8</v>
      </c>
      <c r="AG282" s="119">
        <v>96</v>
      </c>
      <c r="AH282" s="25">
        <v>1604719.6979166667</v>
      </c>
      <c r="AI282" s="78">
        <v>60979356.979166672</v>
      </c>
      <c r="AJ282" s="78">
        <v>93073734.020833328</v>
      </c>
      <c r="AK282" s="27">
        <f t="shared" si="52"/>
        <v>1604719.6979166667</v>
      </c>
      <c r="AL282" s="27">
        <f t="shared" si="54"/>
        <v>1604719.6979166667</v>
      </c>
      <c r="AM282" s="27"/>
      <c r="AN282" s="27"/>
      <c r="AO282" s="27"/>
      <c r="AP282" s="27"/>
      <c r="AQ282" s="27"/>
      <c r="AR282" s="27"/>
      <c r="AS282" s="27"/>
      <c r="AT282" s="27"/>
      <c r="AU282" s="27"/>
      <c r="AV282" s="27"/>
      <c r="AW282" s="27">
        <f t="shared" si="47"/>
        <v>3209439.3958333335</v>
      </c>
      <c r="AX282" s="79">
        <f t="shared" si="48"/>
        <v>89864294.625</v>
      </c>
      <c r="AY282" s="79">
        <f t="shared" si="49"/>
        <v>64188796.375000007</v>
      </c>
      <c r="AZ282" s="25">
        <v>1</v>
      </c>
      <c r="BA282" s="62" t="s">
        <v>97</v>
      </c>
      <c r="BB282" s="66">
        <v>1</v>
      </c>
      <c r="BC282" s="66"/>
      <c r="BD282" s="66"/>
      <c r="BE282" s="67">
        <f t="shared" si="53"/>
        <v>1604719.6979166667</v>
      </c>
      <c r="BF282" s="67">
        <f t="shared" si="46"/>
        <v>0</v>
      </c>
      <c r="BG282" s="67">
        <f t="shared" si="45"/>
        <v>0</v>
      </c>
      <c r="BH282" s="66"/>
      <c r="BI282" s="68" t="s">
        <v>188</v>
      </c>
      <c r="BJ282" s="68" t="s">
        <v>716</v>
      </c>
      <c r="BK282" s="68" t="s">
        <v>85</v>
      </c>
      <c r="BL282" s="29"/>
      <c r="BO282" s="35" t="s">
        <v>1804</v>
      </c>
      <c r="BQ282" s="1" t="e">
        <v>#N/A</v>
      </c>
    </row>
    <row r="283" spans="1:69" ht="15" hidden="1" customHeight="1">
      <c r="A283" s="1" t="s">
        <v>43</v>
      </c>
      <c r="C283" s="1" t="str">
        <f t="shared" si="50"/>
        <v>2810</v>
      </c>
      <c r="D283" s="1" t="str">
        <f t="shared" si="51"/>
        <v>2011</v>
      </c>
      <c r="E283" s="19" t="s">
        <v>48</v>
      </c>
      <c r="F283" s="62" t="s">
        <v>515</v>
      </c>
      <c r="G283" s="62">
        <v>2112</v>
      </c>
      <c r="H283" s="62" t="s">
        <v>843</v>
      </c>
      <c r="I283" s="62" t="s">
        <v>844</v>
      </c>
      <c r="J283" s="118">
        <v>1</v>
      </c>
      <c r="K283" s="119" t="s">
        <v>619</v>
      </c>
      <c r="L283" s="62" t="s">
        <v>834</v>
      </c>
      <c r="M283" s="120" t="s">
        <v>835</v>
      </c>
      <c r="N283" s="63">
        <v>44015</v>
      </c>
      <c r="O283" s="24">
        <v>4056.85</v>
      </c>
      <c r="P283" s="24">
        <v>23395.5</v>
      </c>
      <c r="Q283" s="64">
        <v>94912034.174999997</v>
      </c>
      <c r="R283" s="64">
        <v>14167680.666666666</v>
      </c>
      <c r="S283" s="64"/>
      <c r="T283" s="64">
        <v>2768186.8000000003</v>
      </c>
      <c r="U283" s="64" t="s">
        <v>836</v>
      </c>
      <c r="V283" s="121">
        <v>111847902</v>
      </c>
      <c r="W283" s="122">
        <v>0</v>
      </c>
      <c r="X283" s="64">
        <v>111847902</v>
      </c>
      <c r="Y283" s="121"/>
      <c r="Z283" s="121"/>
      <c r="AA283" s="121"/>
      <c r="AB283" s="121"/>
      <c r="AC283" s="64">
        <v>111847902</v>
      </c>
      <c r="AD283" s="65">
        <v>44136</v>
      </c>
      <c r="AE283" s="65">
        <v>47056</v>
      </c>
      <c r="AF283" s="62">
        <v>8</v>
      </c>
      <c r="AG283" s="119">
        <v>96</v>
      </c>
      <c r="AH283" s="25">
        <v>1165082.3125</v>
      </c>
      <c r="AI283" s="78">
        <v>44273119.125</v>
      </c>
      <c r="AJ283" s="78">
        <v>67574782.875</v>
      </c>
      <c r="AK283" s="27">
        <f t="shared" si="52"/>
        <v>1165082.3125</v>
      </c>
      <c r="AL283" s="27">
        <f t="shared" si="54"/>
        <v>1165082.3125</v>
      </c>
      <c r="AM283" s="27"/>
      <c r="AN283" s="27"/>
      <c r="AO283" s="27"/>
      <c r="AP283" s="27"/>
      <c r="AQ283" s="27"/>
      <c r="AR283" s="27"/>
      <c r="AS283" s="27"/>
      <c r="AT283" s="27"/>
      <c r="AU283" s="27"/>
      <c r="AV283" s="27"/>
      <c r="AW283" s="27">
        <f t="shared" si="47"/>
        <v>2330164.625</v>
      </c>
      <c r="AX283" s="79">
        <f t="shared" si="48"/>
        <v>65244618.25</v>
      </c>
      <c r="AY283" s="79">
        <f t="shared" si="49"/>
        <v>46603283.75</v>
      </c>
      <c r="AZ283" s="25">
        <v>1</v>
      </c>
      <c r="BA283" s="62" t="s">
        <v>97</v>
      </c>
      <c r="BB283" s="66">
        <v>1</v>
      </c>
      <c r="BC283" s="66"/>
      <c r="BD283" s="66"/>
      <c r="BE283" s="67">
        <f t="shared" si="53"/>
        <v>1165082.3125</v>
      </c>
      <c r="BF283" s="67">
        <f t="shared" si="46"/>
        <v>0</v>
      </c>
      <c r="BG283" s="67">
        <f t="shared" si="45"/>
        <v>0</v>
      </c>
      <c r="BH283" s="66"/>
      <c r="BI283" s="68" t="s">
        <v>188</v>
      </c>
      <c r="BJ283" s="68" t="s">
        <v>716</v>
      </c>
      <c r="BK283" s="68" t="s">
        <v>85</v>
      </c>
      <c r="BL283" s="29"/>
      <c r="BO283" s="35" t="s">
        <v>1804</v>
      </c>
      <c r="BQ283" s="1" t="e">
        <v>#N/A</v>
      </c>
    </row>
    <row r="284" spans="1:69" ht="15" hidden="1" customHeight="1">
      <c r="A284" s="1" t="s">
        <v>43</v>
      </c>
      <c r="C284" s="1" t="str">
        <f t="shared" si="50"/>
        <v>2810</v>
      </c>
      <c r="D284" s="1" t="str">
        <f t="shared" si="51"/>
        <v>2011</v>
      </c>
      <c r="E284" s="19" t="s">
        <v>48</v>
      </c>
      <c r="F284" s="62" t="s">
        <v>515</v>
      </c>
      <c r="G284" s="62">
        <v>2112</v>
      </c>
      <c r="H284" s="62" t="s">
        <v>845</v>
      </c>
      <c r="I284" s="62" t="s">
        <v>844</v>
      </c>
      <c r="J284" s="118">
        <v>1</v>
      </c>
      <c r="K284" s="119" t="s">
        <v>619</v>
      </c>
      <c r="L284" s="62" t="s">
        <v>834</v>
      </c>
      <c r="M284" s="120" t="s">
        <v>835</v>
      </c>
      <c r="N284" s="63">
        <v>44015</v>
      </c>
      <c r="O284" s="24">
        <v>4056.85</v>
      </c>
      <c r="P284" s="24">
        <v>23395.5</v>
      </c>
      <c r="Q284" s="64">
        <v>94912034.174999997</v>
      </c>
      <c r="R284" s="64">
        <v>14167680.666666666</v>
      </c>
      <c r="S284" s="64"/>
      <c r="T284" s="64">
        <v>2768186.8000000003</v>
      </c>
      <c r="U284" s="64" t="s">
        <v>836</v>
      </c>
      <c r="V284" s="121">
        <v>111847902</v>
      </c>
      <c r="W284" s="122">
        <v>0</v>
      </c>
      <c r="X284" s="64">
        <v>111847902</v>
      </c>
      <c r="Y284" s="121"/>
      <c r="Z284" s="121"/>
      <c r="AA284" s="121"/>
      <c r="AB284" s="121"/>
      <c r="AC284" s="64">
        <v>111847902</v>
      </c>
      <c r="AD284" s="65">
        <v>44136</v>
      </c>
      <c r="AE284" s="65">
        <v>47056</v>
      </c>
      <c r="AF284" s="62">
        <v>8</v>
      </c>
      <c r="AG284" s="119">
        <v>96</v>
      </c>
      <c r="AH284" s="25">
        <v>1165082.3125</v>
      </c>
      <c r="AI284" s="78">
        <v>44273119.125</v>
      </c>
      <c r="AJ284" s="78">
        <v>67574782.875</v>
      </c>
      <c r="AK284" s="27">
        <f t="shared" si="52"/>
        <v>1165082.3125</v>
      </c>
      <c r="AL284" s="27">
        <f t="shared" si="54"/>
        <v>1165082.3125</v>
      </c>
      <c r="AM284" s="27"/>
      <c r="AN284" s="27"/>
      <c r="AO284" s="27"/>
      <c r="AP284" s="27"/>
      <c r="AQ284" s="27"/>
      <c r="AR284" s="27"/>
      <c r="AS284" s="27"/>
      <c r="AT284" s="27"/>
      <c r="AU284" s="27"/>
      <c r="AV284" s="27"/>
      <c r="AW284" s="27">
        <f t="shared" si="47"/>
        <v>2330164.625</v>
      </c>
      <c r="AX284" s="79">
        <f t="shared" si="48"/>
        <v>65244618.25</v>
      </c>
      <c r="AY284" s="79">
        <f t="shared" si="49"/>
        <v>46603283.75</v>
      </c>
      <c r="AZ284" s="25">
        <v>1</v>
      </c>
      <c r="BA284" s="62" t="s">
        <v>97</v>
      </c>
      <c r="BB284" s="66">
        <v>1</v>
      </c>
      <c r="BC284" s="66"/>
      <c r="BD284" s="66"/>
      <c r="BE284" s="67">
        <f t="shared" si="53"/>
        <v>1165082.3125</v>
      </c>
      <c r="BF284" s="67">
        <f t="shared" si="46"/>
        <v>0</v>
      </c>
      <c r="BG284" s="67">
        <f t="shared" si="45"/>
        <v>0</v>
      </c>
      <c r="BH284" s="66"/>
      <c r="BI284" s="68" t="s">
        <v>188</v>
      </c>
      <c r="BJ284" s="68" t="s">
        <v>716</v>
      </c>
      <c r="BK284" s="68" t="s">
        <v>85</v>
      </c>
      <c r="BL284" s="29"/>
      <c r="BO284" s="35" t="s">
        <v>1804</v>
      </c>
      <c r="BQ284" s="1" t="e">
        <v>#N/A</v>
      </c>
    </row>
    <row r="285" spans="1:69" ht="15" hidden="1" customHeight="1">
      <c r="A285" s="1" t="s">
        <v>43</v>
      </c>
      <c r="C285" s="1" t="str">
        <f t="shared" si="50"/>
        <v>2810</v>
      </c>
      <c r="D285" s="1" t="str">
        <f t="shared" si="51"/>
        <v>2011</v>
      </c>
      <c r="E285" s="19" t="s">
        <v>48</v>
      </c>
      <c r="F285" s="62" t="s">
        <v>515</v>
      </c>
      <c r="G285" s="62">
        <v>2112</v>
      </c>
      <c r="H285" s="62" t="s">
        <v>846</v>
      </c>
      <c r="I285" s="62" t="s">
        <v>844</v>
      </c>
      <c r="J285" s="118">
        <v>1</v>
      </c>
      <c r="K285" s="119" t="s">
        <v>619</v>
      </c>
      <c r="L285" s="62" t="s">
        <v>834</v>
      </c>
      <c r="M285" s="120" t="s">
        <v>835</v>
      </c>
      <c r="N285" s="63">
        <v>44015</v>
      </c>
      <c r="O285" s="24">
        <v>4056.85</v>
      </c>
      <c r="P285" s="24">
        <v>23395.5</v>
      </c>
      <c r="Q285" s="64">
        <v>94912034.174999997</v>
      </c>
      <c r="R285" s="64">
        <v>14167680.666666666</v>
      </c>
      <c r="S285" s="64"/>
      <c r="T285" s="64">
        <v>2768186.8000000003</v>
      </c>
      <c r="U285" s="64" t="s">
        <v>836</v>
      </c>
      <c r="V285" s="121">
        <v>111847902</v>
      </c>
      <c r="W285" s="122">
        <v>0</v>
      </c>
      <c r="X285" s="64">
        <v>111847902</v>
      </c>
      <c r="Y285" s="121"/>
      <c r="Z285" s="121"/>
      <c r="AA285" s="121"/>
      <c r="AB285" s="121"/>
      <c r="AC285" s="64">
        <v>111847902</v>
      </c>
      <c r="AD285" s="65">
        <v>44136</v>
      </c>
      <c r="AE285" s="65">
        <v>47056</v>
      </c>
      <c r="AF285" s="62">
        <v>8</v>
      </c>
      <c r="AG285" s="119">
        <v>96</v>
      </c>
      <c r="AH285" s="25">
        <v>1165082.3125</v>
      </c>
      <c r="AI285" s="78">
        <v>44273119.125</v>
      </c>
      <c r="AJ285" s="78">
        <v>67574782.875</v>
      </c>
      <c r="AK285" s="27">
        <f t="shared" si="52"/>
        <v>1165082.3125</v>
      </c>
      <c r="AL285" s="27">
        <f t="shared" si="54"/>
        <v>1165082.3125</v>
      </c>
      <c r="AM285" s="27"/>
      <c r="AN285" s="27"/>
      <c r="AO285" s="27"/>
      <c r="AP285" s="27"/>
      <c r="AQ285" s="27"/>
      <c r="AR285" s="27"/>
      <c r="AS285" s="27"/>
      <c r="AT285" s="27"/>
      <c r="AU285" s="27"/>
      <c r="AV285" s="27"/>
      <c r="AW285" s="27">
        <f t="shared" si="47"/>
        <v>2330164.625</v>
      </c>
      <c r="AX285" s="79">
        <f t="shared" si="48"/>
        <v>65244618.25</v>
      </c>
      <c r="AY285" s="79">
        <f t="shared" si="49"/>
        <v>46603283.75</v>
      </c>
      <c r="AZ285" s="25">
        <v>1</v>
      </c>
      <c r="BA285" s="62" t="s">
        <v>97</v>
      </c>
      <c r="BB285" s="66">
        <v>1</v>
      </c>
      <c r="BC285" s="66"/>
      <c r="BD285" s="66"/>
      <c r="BE285" s="67">
        <f t="shared" si="53"/>
        <v>1165082.3125</v>
      </c>
      <c r="BF285" s="67">
        <f t="shared" si="46"/>
        <v>0</v>
      </c>
      <c r="BG285" s="67">
        <f t="shared" si="45"/>
        <v>0</v>
      </c>
      <c r="BH285" s="66"/>
      <c r="BI285" s="68" t="s">
        <v>188</v>
      </c>
      <c r="BJ285" s="68" t="s">
        <v>716</v>
      </c>
      <c r="BK285" s="68" t="s">
        <v>85</v>
      </c>
      <c r="BL285" s="29"/>
      <c r="BO285" s="35" t="s">
        <v>1804</v>
      </c>
      <c r="BQ285" s="1" t="e">
        <v>#N/A</v>
      </c>
    </row>
    <row r="286" spans="1:69" ht="15" hidden="1" customHeight="1">
      <c r="A286" s="1" t="s">
        <v>43</v>
      </c>
      <c r="C286" s="1" t="str">
        <f t="shared" si="50"/>
        <v>2810</v>
      </c>
      <c r="D286" s="1" t="str">
        <f t="shared" si="51"/>
        <v>2011</v>
      </c>
      <c r="E286" s="19" t="s">
        <v>48</v>
      </c>
      <c r="F286" s="62" t="s">
        <v>515</v>
      </c>
      <c r="G286" s="62">
        <v>2112</v>
      </c>
      <c r="H286" s="62" t="s">
        <v>847</v>
      </c>
      <c r="I286" s="62" t="s">
        <v>844</v>
      </c>
      <c r="J286" s="118">
        <v>1</v>
      </c>
      <c r="K286" s="119" t="s">
        <v>619</v>
      </c>
      <c r="L286" s="62" t="s">
        <v>834</v>
      </c>
      <c r="M286" s="120" t="s">
        <v>835</v>
      </c>
      <c r="N286" s="63">
        <v>44015</v>
      </c>
      <c r="O286" s="24">
        <v>4056.85</v>
      </c>
      <c r="P286" s="24">
        <v>23395.5</v>
      </c>
      <c r="Q286" s="64">
        <v>94912034.174999997</v>
      </c>
      <c r="R286" s="64">
        <v>14167680.5</v>
      </c>
      <c r="S286" s="64"/>
      <c r="T286" s="64">
        <v>2768186.7950000009</v>
      </c>
      <c r="U286" s="64" t="s">
        <v>836</v>
      </c>
      <c r="V286" s="121">
        <v>111847901</v>
      </c>
      <c r="W286" s="122">
        <v>0</v>
      </c>
      <c r="X286" s="64">
        <v>111847901</v>
      </c>
      <c r="Y286" s="121"/>
      <c r="Z286" s="121"/>
      <c r="AA286" s="121"/>
      <c r="AB286" s="121"/>
      <c r="AC286" s="64">
        <v>111847901</v>
      </c>
      <c r="AD286" s="65">
        <v>44136</v>
      </c>
      <c r="AE286" s="65">
        <v>47056</v>
      </c>
      <c r="AF286" s="62">
        <v>8</v>
      </c>
      <c r="AG286" s="119">
        <v>96</v>
      </c>
      <c r="AH286" s="25">
        <v>1165082.3020833333</v>
      </c>
      <c r="AI286" s="78">
        <v>44273119.020833336</v>
      </c>
      <c r="AJ286" s="78">
        <v>67574781.979166672</v>
      </c>
      <c r="AK286" s="27">
        <f t="shared" si="52"/>
        <v>1165082.3020833333</v>
      </c>
      <c r="AL286" s="27">
        <f t="shared" si="54"/>
        <v>1165082.3020833333</v>
      </c>
      <c r="AM286" s="27"/>
      <c r="AN286" s="27"/>
      <c r="AO286" s="27"/>
      <c r="AP286" s="27"/>
      <c r="AQ286" s="27"/>
      <c r="AR286" s="27"/>
      <c r="AS286" s="27"/>
      <c r="AT286" s="27"/>
      <c r="AU286" s="27"/>
      <c r="AV286" s="27"/>
      <c r="AW286" s="27">
        <f t="shared" si="47"/>
        <v>2330164.6041666665</v>
      </c>
      <c r="AX286" s="79">
        <f t="shared" si="48"/>
        <v>65244617.374999993</v>
      </c>
      <c r="AY286" s="79">
        <f t="shared" si="49"/>
        <v>46603283.625</v>
      </c>
      <c r="AZ286" s="25">
        <v>1</v>
      </c>
      <c r="BA286" s="62" t="s">
        <v>97</v>
      </c>
      <c r="BB286" s="66">
        <v>1</v>
      </c>
      <c r="BC286" s="66"/>
      <c r="BD286" s="66"/>
      <c r="BE286" s="67">
        <f t="shared" si="53"/>
        <v>1165082.3020833333</v>
      </c>
      <c r="BF286" s="67">
        <f t="shared" si="46"/>
        <v>0</v>
      </c>
      <c r="BG286" s="67">
        <f t="shared" si="45"/>
        <v>0</v>
      </c>
      <c r="BH286" s="66"/>
      <c r="BI286" s="68" t="s">
        <v>188</v>
      </c>
      <c r="BJ286" s="68" t="s">
        <v>716</v>
      </c>
      <c r="BK286" s="68" t="s">
        <v>85</v>
      </c>
      <c r="BL286" s="29"/>
      <c r="BO286" s="35" t="s">
        <v>1804</v>
      </c>
      <c r="BQ286" s="1" t="e">
        <v>#N/A</v>
      </c>
    </row>
    <row r="287" spans="1:69" ht="15" hidden="1" customHeight="1">
      <c r="A287" s="1" t="s">
        <v>43</v>
      </c>
      <c r="C287" s="1" t="str">
        <f t="shared" si="50"/>
        <v>2810</v>
      </c>
      <c r="D287" s="1" t="str">
        <f t="shared" si="51"/>
        <v>2011</v>
      </c>
      <c r="E287" s="19" t="s">
        <v>48</v>
      </c>
      <c r="F287" s="62" t="s">
        <v>515</v>
      </c>
      <c r="G287" s="62">
        <v>2112</v>
      </c>
      <c r="H287" s="62" t="s">
        <v>848</v>
      </c>
      <c r="I287" s="62" t="s">
        <v>844</v>
      </c>
      <c r="J287" s="118">
        <v>1</v>
      </c>
      <c r="K287" s="119" t="s">
        <v>619</v>
      </c>
      <c r="L287" s="62" t="s">
        <v>834</v>
      </c>
      <c r="M287" s="120" t="s">
        <v>835</v>
      </c>
      <c r="N287" s="63">
        <v>44015</v>
      </c>
      <c r="O287" s="24">
        <v>4056.85</v>
      </c>
      <c r="P287" s="24">
        <v>23395.5</v>
      </c>
      <c r="Q287" s="64">
        <v>94912034.174999997</v>
      </c>
      <c r="R287" s="64">
        <v>14167680.5</v>
      </c>
      <c r="S287" s="64"/>
      <c r="T287" s="64">
        <v>2768186.7950000009</v>
      </c>
      <c r="U287" s="64" t="s">
        <v>836</v>
      </c>
      <c r="V287" s="121">
        <v>111847901</v>
      </c>
      <c r="W287" s="122">
        <v>0</v>
      </c>
      <c r="X287" s="64">
        <v>111847901</v>
      </c>
      <c r="Y287" s="121"/>
      <c r="Z287" s="121"/>
      <c r="AA287" s="121"/>
      <c r="AB287" s="121"/>
      <c r="AC287" s="64">
        <v>111847901</v>
      </c>
      <c r="AD287" s="65">
        <v>44136</v>
      </c>
      <c r="AE287" s="65">
        <v>47056</v>
      </c>
      <c r="AF287" s="62">
        <v>8</v>
      </c>
      <c r="AG287" s="119">
        <v>96</v>
      </c>
      <c r="AH287" s="25">
        <v>1165082.3020833333</v>
      </c>
      <c r="AI287" s="78">
        <v>44273119.020833336</v>
      </c>
      <c r="AJ287" s="78">
        <v>67574781.979166672</v>
      </c>
      <c r="AK287" s="27">
        <f t="shared" si="52"/>
        <v>1165082.3020833333</v>
      </c>
      <c r="AL287" s="27">
        <f t="shared" si="54"/>
        <v>1165082.3020833333</v>
      </c>
      <c r="AM287" s="27"/>
      <c r="AN287" s="27"/>
      <c r="AO287" s="27"/>
      <c r="AP287" s="27"/>
      <c r="AQ287" s="27"/>
      <c r="AR287" s="27"/>
      <c r="AS287" s="27"/>
      <c r="AT287" s="27"/>
      <c r="AU287" s="27"/>
      <c r="AV287" s="27"/>
      <c r="AW287" s="27">
        <f t="shared" si="47"/>
        <v>2330164.6041666665</v>
      </c>
      <c r="AX287" s="79">
        <f t="shared" si="48"/>
        <v>65244617.374999993</v>
      </c>
      <c r="AY287" s="79">
        <f t="shared" si="49"/>
        <v>46603283.625</v>
      </c>
      <c r="AZ287" s="25">
        <v>1</v>
      </c>
      <c r="BA287" s="62" t="s">
        <v>97</v>
      </c>
      <c r="BB287" s="66">
        <v>1</v>
      </c>
      <c r="BC287" s="66"/>
      <c r="BD287" s="66"/>
      <c r="BE287" s="67">
        <f t="shared" si="53"/>
        <v>1165082.3020833333</v>
      </c>
      <c r="BF287" s="67">
        <f t="shared" si="46"/>
        <v>0</v>
      </c>
      <c r="BG287" s="67">
        <f t="shared" si="45"/>
        <v>0</v>
      </c>
      <c r="BH287" s="66"/>
      <c r="BI287" s="68" t="s">
        <v>188</v>
      </c>
      <c r="BJ287" s="68" t="s">
        <v>716</v>
      </c>
      <c r="BK287" s="68" t="s">
        <v>85</v>
      </c>
      <c r="BL287" s="29"/>
      <c r="BO287" s="35" t="s">
        <v>1804</v>
      </c>
      <c r="BQ287" s="1" t="e">
        <v>#N/A</v>
      </c>
    </row>
    <row r="288" spans="1:69" ht="15" hidden="1" customHeight="1">
      <c r="A288" s="1" t="s">
        <v>43</v>
      </c>
      <c r="C288" s="1" t="str">
        <f t="shared" si="50"/>
        <v>3010</v>
      </c>
      <c r="D288" s="1" t="str">
        <f t="shared" si="51"/>
        <v>2011</v>
      </c>
      <c r="E288" s="19" t="s">
        <v>48</v>
      </c>
      <c r="F288" s="62" t="s">
        <v>515</v>
      </c>
      <c r="G288" s="62">
        <v>2112</v>
      </c>
      <c r="H288" s="62" t="s">
        <v>849</v>
      </c>
      <c r="I288" s="62" t="s">
        <v>850</v>
      </c>
      <c r="J288" s="118">
        <v>1</v>
      </c>
      <c r="K288" s="119" t="s">
        <v>619</v>
      </c>
      <c r="L288" s="62" t="s">
        <v>834</v>
      </c>
      <c r="M288" s="120" t="s">
        <v>835</v>
      </c>
      <c r="N288" s="63">
        <v>44015</v>
      </c>
      <c r="O288" s="24">
        <v>64667.360000000001</v>
      </c>
      <c r="P288" s="24">
        <v>23395.5</v>
      </c>
      <c r="Q288" s="64">
        <v>1512925220.8800001</v>
      </c>
      <c r="R288" s="64"/>
      <c r="S288" s="64"/>
      <c r="T288" s="64">
        <v>44125696.49000001</v>
      </c>
      <c r="U288" s="64" t="s">
        <v>836</v>
      </c>
      <c r="V288" s="121">
        <v>1557050917</v>
      </c>
      <c r="W288" s="122">
        <v>0</v>
      </c>
      <c r="X288" s="64">
        <v>1557050917</v>
      </c>
      <c r="Y288" s="121"/>
      <c r="Z288" s="121"/>
      <c r="AA288" s="121"/>
      <c r="AB288" s="121"/>
      <c r="AC288" s="64">
        <v>1557050917</v>
      </c>
      <c r="AD288" s="65">
        <v>44136</v>
      </c>
      <c r="AE288" s="65">
        <v>47786</v>
      </c>
      <c r="AF288" s="62">
        <v>10</v>
      </c>
      <c r="AG288" s="119">
        <v>120</v>
      </c>
      <c r="AH288" s="25">
        <v>12975424.308333334</v>
      </c>
      <c r="AI288" s="78">
        <v>493066115.08333337</v>
      </c>
      <c r="AJ288" s="78">
        <v>1063984801.9166666</v>
      </c>
      <c r="AK288" s="27">
        <f t="shared" si="52"/>
        <v>12975424.308333334</v>
      </c>
      <c r="AL288" s="27">
        <f t="shared" si="54"/>
        <v>12975424.308333334</v>
      </c>
      <c r="AM288" s="27"/>
      <c r="AN288" s="27"/>
      <c r="AO288" s="27"/>
      <c r="AP288" s="27"/>
      <c r="AQ288" s="27"/>
      <c r="AR288" s="27"/>
      <c r="AS288" s="27"/>
      <c r="AT288" s="27"/>
      <c r="AU288" s="27"/>
      <c r="AV288" s="27"/>
      <c r="AW288" s="27">
        <f t="shared" si="47"/>
        <v>25950848.616666667</v>
      </c>
      <c r="AX288" s="79">
        <f t="shared" si="48"/>
        <v>1038033953.3</v>
      </c>
      <c r="AY288" s="79">
        <f t="shared" si="49"/>
        <v>519016963.70000005</v>
      </c>
      <c r="AZ288" s="25">
        <v>1</v>
      </c>
      <c r="BA288" s="62" t="s">
        <v>97</v>
      </c>
      <c r="BB288" s="66">
        <v>1</v>
      </c>
      <c r="BC288" s="66"/>
      <c r="BD288" s="66"/>
      <c r="BE288" s="67">
        <f t="shared" si="53"/>
        <v>12975424.308333334</v>
      </c>
      <c r="BF288" s="67">
        <f t="shared" si="46"/>
        <v>0</v>
      </c>
      <c r="BG288" s="67">
        <f t="shared" si="45"/>
        <v>0</v>
      </c>
      <c r="BH288" s="66"/>
      <c r="BI288" s="68" t="s">
        <v>851</v>
      </c>
      <c r="BJ288" s="68" t="s">
        <v>716</v>
      </c>
      <c r="BK288" s="68" t="s">
        <v>85</v>
      </c>
      <c r="BL288" s="29"/>
      <c r="BO288" s="35" t="s">
        <v>1804</v>
      </c>
      <c r="BQ288" s="1" t="e">
        <v>#N/A</v>
      </c>
    </row>
    <row r="289" spans="1:69" ht="15" hidden="1" customHeight="1">
      <c r="A289" s="1" t="s">
        <v>43</v>
      </c>
      <c r="C289" s="1" t="str">
        <f t="shared" si="50"/>
        <v>3010</v>
      </c>
      <c r="D289" s="1" t="str">
        <f t="shared" si="51"/>
        <v>2011</v>
      </c>
      <c r="E289" s="19" t="s">
        <v>48</v>
      </c>
      <c r="F289" s="62" t="s">
        <v>515</v>
      </c>
      <c r="G289" s="62">
        <v>2112</v>
      </c>
      <c r="H289" s="62" t="s">
        <v>852</v>
      </c>
      <c r="I289" s="62" t="s">
        <v>853</v>
      </c>
      <c r="J289" s="118">
        <v>1</v>
      </c>
      <c r="K289" s="119" t="s">
        <v>619</v>
      </c>
      <c r="L289" s="62" t="s">
        <v>834</v>
      </c>
      <c r="M289" s="120" t="s">
        <v>835</v>
      </c>
      <c r="N289" s="63">
        <v>44015</v>
      </c>
      <c r="O289" s="24">
        <v>24296.880000000001</v>
      </c>
      <c r="P289" s="24">
        <v>23395.5</v>
      </c>
      <c r="Q289" s="64">
        <v>568437656.04000008</v>
      </c>
      <c r="R289" s="64">
        <v>84851655</v>
      </c>
      <c r="S289" s="64"/>
      <c r="T289" s="64">
        <v>16578947.279999999</v>
      </c>
      <c r="U289" s="64" t="s">
        <v>836</v>
      </c>
      <c r="V289" s="121">
        <v>669868258</v>
      </c>
      <c r="W289" s="122">
        <v>0</v>
      </c>
      <c r="X289" s="64">
        <v>669868258</v>
      </c>
      <c r="Y289" s="121"/>
      <c r="Z289" s="121"/>
      <c r="AA289" s="121"/>
      <c r="AB289" s="121"/>
      <c r="AC289" s="64">
        <v>669868258</v>
      </c>
      <c r="AD289" s="65">
        <v>44136</v>
      </c>
      <c r="AE289" s="65">
        <v>47786</v>
      </c>
      <c r="AF289" s="62">
        <v>10</v>
      </c>
      <c r="AG289" s="119">
        <v>120</v>
      </c>
      <c r="AH289" s="25">
        <v>5582235.4833333334</v>
      </c>
      <c r="AI289" s="78">
        <v>212124934.83333334</v>
      </c>
      <c r="AJ289" s="78">
        <v>457743323.16666663</v>
      </c>
      <c r="AK289" s="27">
        <f t="shared" si="52"/>
        <v>5582235.4833333334</v>
      </c>
      <c r="AL289" s="27">
        <f t="shared" si="54"/>
        <v>5582235.4833333334</v>
      </c>
      <c r="AM289" s="27"/>
      <c r="AN289" s="27"/>
      <c r="AO289" s="27"/>
      <c r="AP289" s="27"/>
      <c r="AQ289" s="27"/>
      <c r="AR289" s="27"/>
      <c r="AS289" s="27"/>
      <c r="AT289" s="27"/>
      <c r="AU289" s="27"/>
      <c r="AV289" s="27"/>
      <c r="AW289" s="27">
        <f t="shared" si="47"/>
        <v>11164470.966666667</v>
      </c>
      <c r="AX289" s="79">
        <f t="shared" si="48"/>
        <v>446578852.19999999</v>
      </c>
      <c r="AY289" s="79">
        <f t="shared" si="49"/>
        <v>223289405.80000001</v>
      </c>
      <c r="AZ289" s="25">
        <v>1</v>
      </c>
      <c r="BA289" s="62" t="s">
        <v>97</v>
      </c>
      <c r="BB289" s="66">
        <v>1</v>
      </c>
      <c r="BC289" s="66"/>
      <c r="BD289" s="66"/>
      <c r="BE289" s="67">
        <f t="shared" si="53"/>
        <v>5582235.4833333334</v>
      </c>
      <c r="BF289" s="67">
        <f t="shared" si="46"/>
        <v>0</v>
      </c>
      <c r="BG289" s="67">
        <f t="shared" si="45"/>
        <v>0</v>
      </c>
      <c r="BH289" s="66"/>
      <c r="BI289" s="68" t="s">
        <v>851</v>
      </c>
      <c r="BJ289" s="68" t="s">
        <v>716</v>
      </c>
      <c r="BK289" s="68" t="s">
        <v>85</v>
      </c>
      <c r="BL289" s="29"/>
      <c r="BO289" s="35" t="s">
        <v>1804</v>
      </c>
      <c r="BQ289" s="1" t="e">
        <v>#N/A</v>
      </c>
    </row>
    <row r="290" spans="1:69" ht="15" hidden="1" customHeight="1">
      <c r="A290" s="1" t="s">
        <v>43</v>
      </c>
      <c r="C290" s="1" t="str">
        <f t="shared" si="50"/>
        <v>2810</v>
      </c>
      <c r="D290" s="1" t="str">
        <f t="shared" si="51"/>
        <v>2011</v>
      </c>
      <c r="E290" s="19" t="s">
        <v>48</v>
      </c>
      <c r="F290" s="62" t="s">
        <v>515</v>
      </c>
      <c r="G290" s="62">
        <v>2112</v>
      </c>
      <c r="H290" s="62" t="s">
        <v>854</v>
      </c>
      <c r="I290" s="62" t="s">
        <v>855</v>
      </c>
      <c r="J290" s="118">
        <v>1</v>
      </c>
      <c r="K290" s="119" t="s">
        <v>619</v>
      </c>
      <c r="L290" s="62" t="s">
        <v>834</v>
      </c>
      <c r="M290" s="120" t="s">
        <v>835</v>
      </c>
      <c r="N290" s="63">
        <v>44015</v>
      </c>
      <c r="O290" s="24">
        <v>4545.38</v>
      </c>
      <c r="P290" s="24">
        <v>23395.5</v>
      </c>
      <c r="Q290" s="64">
        <v>106341437.79000001</v>
      </c>
      <c r="R290" s="64"/>
      <c r="S290" s="64"/>
      <c r="T290" s="64">
        <v>3101534.6500000008</v>
      </c>
      <c r="U290" s="64" t="s">
        <v>836</v>
      </c>
      <c r="V290" s="121">
        <v>109442972</v>
      </c>
      <c r="W290" s="122">
        <v>0</v>
      </c>
      <c r="X290" s="64">
        <v>109442972</v>
      </c>
      <c r="Y290" s="121"/>
      <c r="Z290" s="121"/>
      <c r="AA290" s="121"/>
      <c r="AB290" s="121"/>
      <c r="AC290" s="64">
        <v>109442972</v>
      </c>
      <c r="AD290" s="65">
        <v>44136</v>
      </c>
      <c r="AE290" s="65">
        <v>47056</v>
      </c>
      <c r="AF290" s="62">
        <v>8</v>
      </c>
      <c r="AG290" s="119">
        <v>96</v>
      </c>
      <c r="AH290" s="25">
        <v>1140030.9583333333</v>
      </c>
      <c r="AI290" s="78">
        <v>43321177.583333336</v>
      </c>
      <c r="AJ290" s="78">
        <v>66121794.416666664</v>
      </c>
      <c r="AK290" s="27">
        <f t="shared" si="52"/>
        <v>1140030.9583333333</v>
      </c>
      <c r="AL290" s="27">
        <f t="shared" si="54"/>
        <v>1140030.9583333333</v>
      </c>
      <c r="AM290" s="27"/>
      <c r="AN290" s="27"/>
      <c r="AO290" s="27"/>
      <c r="AP290" s="27"/>
      <c r="AQ290" s="27"/>
      <c r="AR290" s="27"/>
      <c r="AS290" s="27"/>
      <c r="AT290" s="27"/>
      <c r="AU290" s="27"/>
      <c r="AV290" s="27"/>
      <c r="AW290" s="27">
        <f t="shared" si="47"/>
        <v>2280061.9166666665</v>
      </c>
      <c r="AX290" s="79">
        <f t="shared" si="48"/>
        <v>63841732.5</v>
      </c>
      <c r="AY290" s="79">
        <f t="shared" si="49"/>
        <v>45601239.5</v>
      </c>
      <c r="AZ290" s="25">
        <v>1</v>
      </c>
      <c r="BA290" s="62" t="s">
        <v>97</v>
      </c>
      <c r="BB290" s="66">
        <v>1</v>
      </c>
      <c r="BC290" s="66"/>
      <c r="BD290" s="66"/>
      <c r="BE290" s="67">
        <f t="shared" si="53"/>
        <v>1140030.9583333333</v>
      </c>
      <c r="BF290" s="67">
        <f t="shared" si="46"/>
        <v>0</v>
      </c>
      <c r="BG290" s="67">
        <f t="shared" si="45"/>
        <v>0</v>
      </c>
      <c r="BH290" s="66"/>
      <c r="BI290" s="68" t="s">
        <v>188</v>
      </c>
      <c r="BJ290" s="68" t="s">
        <v>716</v>
      </c>
      <c r="BK290" s="68" t="s">
        <v>85</v>
      </c>
      <c r="BL290" s="29"/>
      <c r="BO290" s="35" t="s">
        <v>1804</v>
      </c>
      <c r="BQ290" s="1" t="e">
        <v>#N/A</v>
      </c>
    </row>
    <row r="291" spans="1:69" ht="15" hidden="1" customHeight="1">
      <c r="A291" s="1" t="s">
        <v>43</v>
      </c>
      <c r="C291" s="1" t="str">
        <f t="shared" si="50"/>
        <v>3008</v>
      </c>
      <c r="D291" s="1" t="str">
        <f t="shared" si="51"/>
        <v>2008</v>
      </c>
      <c r="E291" s="19" t="s">
        <v>48</v>
      </c>
      <c r="F291" s="62" t="s">
        <v>515</v>
      </c>
      <c r="G291" s="62">
        <v>2112</v>
      </c>
      <c r="H291" s="62" t="s">
        <v>856</v>
      </c>
      <c r="I291" s="62" t="s">
        <v>857</v>
      </c>
      <c r="J291" s="118">
        <v>1</v>
      </c>
      <c r="K291" s="119" t="s">
        <v>619</v>
      </c>
      <c r="L291" s="62" t="s">
        <v>858</v>
      </c>
      <c r="M291" s="120" t="s">
        <v>859</v>
      </c>
      <c r="N291" s="63">
        <v>44025</v>
      </c>
      <c r="O291" s="24">
        <v>28500</v>
      </c>
      <c r="P291" s="24">
        <v>23272</v>
      </c>
      <c r="Q291" s="64">
        <v>663252000</v>
      </c>
      <c r="R291" s="64"/>
      <c r="S291" s="64"/>
      <c r="T291" s="64">
        <v>13140735.5313925</v>
      </c>
      <c r="U291" s="64" t="s">
        <v>860</v>
      </c>
      <c r="V291" s="121">
        <v>676392736</v>
      </c>
      <c r="W291" s="122">
        <v>0</v>
      </c>
      <c r="X291" s="64">
        <v>676392736</v>
      </c>
      <c r="Y291" s="121"/>
      <c r="Z291" s="121"/>
      <c r="AA291" s="121"/>
      <c r="AB291" s="121"/>
      <c r="AC291" s="64">
        <v>676392736</v>
      </c>
      <c r="AD291" s="65">
        <v>44063</v>
      </c>
      <c r="AE291" s="65">
        <v>47713</v>
      </c>
      <c r="AF291" s="62">
        <v>10</v>
      </c>
      <c r="AG291" s="119">
        <v>120</v>
      </c>
      <c r="AH291" s="25">
        <v>5636606.1333333338</v>
      </c>
      <c r="AI291" s="78">
        <v>227646153.33333331</v>
      </c>
      <c r="AJ291" s="78">
        <v>448746582.66666669</v>
      </c>
      <c r="AK291" s="27">
        <f t="shared" si="52"/>
        <v>5636606.1333333338</v>
      </c>
      <c r="AL291" s="27">
        <f t="shared" si="54"/>
        <v>5636606.1333333338</v>
      </c>
      <c r="AM291" s="27"/>
      <c r="AN291" s="27"/>
      <c r="AO291" s="27"/>
      <c r="AP291" s="27"/>
      <c r="AQ291" s="27"/>
      <c r="AR291" s="27"/>
      <c r="AS291" s="27"/>
      <c r="AT291" s="27"/>
      <c r="AU291" s="27"/>
      <c r="AV291" s="27"/>
      <c r="AW291" s="27">
        <f t="shared" si="47"/>
        <v>11273212.266666668</v>
      </c>
      <c r="AX291" s="79">
        <f t="shared" si="48"/>
        <v>437473370.40000004</v>
      </c>
      <c r="AY291" s="79">
        <f t="shared" si="49"/>
        <v>238919365.59999999</v>
      </c>
      <c r="AZ291" s="25">
        <v>1</v>
      </c>
      <c r="BA291" s="62" t="s">
        <v>97</v>
      </c>
      <c r="BB291" s="66">
        <v>1</v>
      </c>
      <c r="BC291" s="66"/>
      <c r="BD291" s="66"/>
      <c r="BE291" s="67">
        <f t="shared" si="53"/>
        <v>5636606.1333333338</v>
      </c>
      <c r="BF291" s="67">
        <f t="shared" si="46"/>
        <v>0</v>
      </c>
      <c r="BG291" s="67">
        <f t="shared" si="45"/>
        <v>0</v>
      </c>
      <c r="BH291" s="66"/>
      <c r="BI291" s="68" t="s">
        <v>861</v>
      </c>
      <c r="BJ291" s="68" t="s">
        <v>591</v>
      </c>
      <c r="BK291" s="68" t="s">
        <v>59</v>
      </c>
      <c r="BL291" s="29"/>
      <c r="BO291" s="35" t="s">
        <v>1800</v>
      </c>
      <c r="BQ291" s="1" t="e">
        <v>#N/A</v>
      </c>
    </row>
    <row r="292" spans="1:69" ht="15" hidden="1" customHeight="1">
      <c r="A292" s="1" t="s">
        <v>43</v>
      </c>
      <c r="C292" s="1" t="str">
        <f t="shared" si="50"/>
        <v>3010</v>
      </c>
      <c r="D292" s="1" t="str">
        <f t="shared" si="51"/>
        <v>2010</v>
      </c>
      <c r="E292" s="19" t="s">
        <v>48</v>
      </c>
      <c r="F292" s="62" t="s">
        <v>515</v>
      </c>
      <c r="G292" s="62">
        <v>2112</v>
      </c>
      <c r="H292" s="62" t="s">
        <v>862</v>
      </c>
      <c r="I292" s="62" t="s">
        <v>863</v>
      </c>
      <c r="J292" s="118">
        <v>1</v>
      </c>
      <c r="K292" s="119" t="s">
        <v>619</v>
      </c>
      <c r="L292" s="62" t="s">
        <v>864</v>
      </c>
      <c r="M292" s="120" t="s">
        <v>865</v>
      </c>
      <c r="N292" s="63">
        <v>44032</v>
      </c>
      <c r="O292" s="24">
        <v>79600</v>
      </c>
      <c r="P292" s="24">
        <v>23251.599999999999</v>
      </c>
      <c r="Q292" s="64">
        <v>1850827360</v>
      </c>
      <c r="R292" s="64"/>
      <c r="S292" s="64"/>
      <c r="T292" s="64">
        <v>24465200</v>
      </c>
      <c r="U292" s="64" t="s">
        <v>866</v>
      </c>
      <c r="V292" s="121">
        <v>1875292560</v>
      </c>
      <c r="W292" s="122">
        <v>0</v>
      </c>
      <c r="X292" s="64">
        <v>1875292560</v>
      </c>
      <c r="Y292" s="121"/>
      <c r="Z292" s="121"/>
      <c r="AA292" s="121"/>
      <c r="AB292" s="121"/>
      <c r="AC292" s="64">
        <v>1875292560</v>
      </c>
      <c r="AD292" s="65">
        <v>44109</v>
      </c>
      <c r="AE292" s="65">
        <v>47759</v>
      </c>
      <c r="AF292" s="62">
        <v>10</v>
      </c>
      <c r="AG292" s="119">
        <v>120</v>
      </c>
      <c r="AH292" s="25">
        <v>15627438</v>
      </c>
      <c r="AI292" s="78">
        <v>607453638</v>
      </c>
      <c r="AJ292" s="78">
        <v>1267838922</v>
      </c>
      <c r="AK292" s="27">
        <f t="shared" si="52"/>
        <v>15627438</v>
      </c>
      <c r="AL292" s="27">
        <f t="shared" si="54"/>
        <v>15627438</v>
      </c>
      <c r="AM292" s="27"/>
      <c r="AN292" s="27"/>
      <c r="AO292" s="27"/>
      <c r="AP292" s="27"/>
      <c r="AQ292" s="27"/>
      <c r="AR292" s="27"/>
      <c r="AS292" s="27"/>
      <c r="AT292" s="27"/>
      <c r="AU292" s="27"/>
      <c r="AV292" s="27"/>
      <c r="AW292" s="27">
        <f t="shared" si="47"/>
        <v>31254876</v>
      </c>
      <c r="AX292" s="79">
        <f t="shared" si="48"/>
        <v>1236584046</v>
      </c>
      <c r="AY292" s="79">
        <f t="shared" si="49"/>
        <v>638708514</v>
      </c>
      <c r="AZ292" s="25">
        <v>1</v>
      </c>
      <c r="BA292" s="62" t="s">
        <v>97</v>
      </c>
      <c r="BB292" s="66">
        <v>1</v>
      </c>
      <c r="BC292" s="66"/>
      <c r="BD292" s="66"/>
      <c r="BE292" s="67">
        <f t="shared" si="53"/>
        <v>15627438</v>
      </c>
      <c r="BF292" s="67">
        <f t="shared" si="46"/>
        <v>0</v>
      </c>
      <c r="BG292" s="67">
        <f t="shared" si="45"/>
        <v>0</v>
      </c>
      <c r="BH292" s="66"/>
      <c r="BI292" s="68" t="s">
        <v>713</v>
      </c>
      <c r="BJ292" s="68" t="s">
        <v>644</v>
      </c>
      <c r="BK292" s="68" t="s">
        <v>644</v>
      </c>
      <c r="BL292" s="29"/>
      <c r="BO292" s="35" t="s">
        <v>1802</v>
      </c>
      <c r="BQ292" s="1" t="e">
        <v>#N/A</v>
      </c>
    </row>
    <row r="293" spans="1:69" ht="15" hidden="1" customHeight="1">
      <c r="A293" s="1" t="s">
        <v>43</v>
      </c>
      <c r="C293" s="1" t="str">
        <f t="shared" si="50"/>
        <v>3008</v>
      </c>
      <c r="D293" s="1" t="str">
        <f t="shared" si="51"/>
        <v>2008</v>
      </c>
      <c r="E293" s="19" t="s">
        <v>48</v>
      </c>
      <c r="F293" s="62" t="s">
        <v>515</v>
      </c>
      <c r="G293" s="62">
        <v>2112</v>
      </c>
      <c r="H293" s="62" t="s">
        <v>867</v>
      </c>
      <c r="I293" s="62" t="s">
        <v>868</v>
      </c>
      <c r="J293" s="118">
        <v>1</v>
      </c>
      <c r="K293" s="119" t="s">
        <v>619</v>
      </c>
      <c r="L293" s="62" t="s">
        <v>638</v>
      </c>
      <c r="M293" s="120" t="s">
        <v>869</v>
      </c>
      <c r="N293" s="63">
        <v>44013</v>
      </c>
      <c r="O293" s="24"/>
      <c r="P293" s="24"/>
      <c r="Q293" s="64">
        <v>960000000</v>
      </c>
      <c r="R293" s="64"/>
      <c r="S293" s="64"/>
      <c r="T293" s="64"/>
      <c r="U293" s="64"/>
      <c r="V293" s="121">
        <v>960000000</v>
      </c>
      <c r="W293" s="122">
        <v>0</v>
      </c>
      <c r="X293" s="64">
        <v>960000000</v>
      </c>
      <c r="Y293" s="121"/>
      <c r="Z293" s="121"/>
      <c r="AA293" s="121"/>
      <c r="AB293" s="121"/>
      <c r="AC293" s="64">
        <v>960000000</v>
      </c>
      <c r="AD293" s="65">
        <v>44048</v>
      </c>
      <c r="AE293" s="65">
        <v>47698</v>
      </c>
      <c r="AF293" s="62">
        <v>10</v>
      </c>
      <c r="AG293" s="119">
        <v>120</v>
      </c>
      <c r="AH293" s="25">
        <v>8000000</v>
      </c>
      <c r="AI293" s="78">
        <v>326967742</v>
      </c>
      <c r="AJ293" s="78">
        <v>633032258</v>
      </c>
      <c r="AK293" s="27">
        <f t="shared" si="52"/>
        <v>8000000</v>
      </c>
      <c r="AL293" s="27">
        <f t="shared" si="54"/>
        <v>8000000</v>
      </c>
      <c r="AM293" s="27"/>
      <c r="AN293" s="27"/>
      <c r="AO293" s="27"/>
      <c r="AP293" s="27"/>
      <c r="AQ293" s="27"/>
      <c r="AR293" s="27"/>
      <c r="AS293" s="27"/>
      <c r="AT293" s="27"/>
      <c r="AU293" s="27"/>
      <c r="AV293" s="27"/>
      <c r="AW293" s="27">
        <f t="shared" si="47"/>
        <v>16000000</v>
      </c>
      <c r="AX293" s="79">
        <f t="shared" si="48"/>
        <v>617032258</v>
      </c>
      <c r="AY293" s="79">
        <f t="shared" si="49"/>
        <v>342967742</v>
      </c>
      <c r="AZ293" s="25">
        <v>1</v>
      </c>
      <c r="BA293" s="62" t="s">
        <v>870</v>
      </c>
      <c r="BB293" s="66">
        <v>1</v>
      </c>
      <c r="BC293" s="66"/>
      <c r="BD293" s="66"/>
      <c r="BE293" s="67">
        <f t="shared" si="53"/>
        <v>8000000</v>
      </c>
      <c r="BF293" s="67">
        <f t="shared" si="46"/>
        <v>0</v>
      </c>
      <c r="BG293" s="67">
        <f t="shared" si="45"/>
        <v>0</v>
      </c>
      <c r="BH293" s="66"/>
      <c r="BI293" s="68" t="s">
        <v>871</v>
      </c>
      <c r="BJ293" s="68" t="s">
        <v>591</v>
      </c>
      <c r="BK293" s="68" t="s">
        <v>59</v>
      </c>
      <c r="BL293" s="29"/>
      <c r="BO293" s="35" t="s">
        <v>1804</v>
      </c>
      <c r="BQ293" s="1" t="e">
        <v>#N/A</v>
      </c>
    </row>
    <row r="294" spans="1:69" ht="15" hidden="1" customHeight="1">
      <c r="A294" s="1" t="s">
        <v>43</v>
      </c>
      <c r="C294" s="1" t="str">
        <f t="shared" si="50"/>
        <v>2808</v>
      </c>
      <c r="D294" s="1" t="str">
        <f t="shared" si="51"/>
        <v>2008</v>
      </c>
      <c r="E294" s="19" t="s">
        <v>48</v>
      </c>
      <c r="F294" s="62" t="s">
        <v>49</v>
      </c>
      <c r="G294" s="62">
        <v>2135</v>
      </c>
      <c r="H294" s="62" t="s">
        <v>872</v>
      </c>
      <c r="I294" s="62" t="s">
        <v>873</v>
      </c>
      <c r="J294" s="118">
        <v>1</v>
      </c>
      <c r="K294" s="119" t="s">
        <v>619</v>
      </c>
      <c r="L294" s="62" t="s">
        <v>795</v>
      </c>
      <c r="M294" s="120" t="s">
        <v>874</v>
      </c>
      <c r="N294" s="63">
        <v>44068</v>
      </c>
      <c r="O294" s="24"/>
      <c r="P294" s="24"/>
      <c r="Q294" s="64">
        <v>71815000</v>
      </c>
      <c r="R294" s="64"/>
      <c r="S294" s="64"/>
      <c r="T294" s="64"/>
      <c r="U294" s="64"/>
      <c r="V294" s="121">
        <v>71815000</v>
      </c>
      <c r="W294" s="122">
        <v>0</v>
      </c>
      <c r="X294" s="64">
        <v>71815000</v>
      </c>
      <c r="Y294" s="121"/>
      <c r="Z294" s="121"/>
      <c r="AA294" s="121"/>
      <c r="AB294" s="121"/>
      <c r="AC294" s="64">
        <v>71815000</v>
      </c>
      <c r="AD294" s="65">
        <v>44068</v>
      </c>
      <c r="AE294" s="65">
        <v>46988</v>
      </c>
      <c r="AF294" s="62">
        <v>8</v>
      </c>
      <c r="AG294" s="119">
        <v>96</v>
      </c>
      <c r="AH294" s="25">
        <v>748072.91666666663</v>
      </c>
      <c r="AI294" s="78">
        <v>30091839.166666668</v>
      </c>
      <c r="AJ294" s="78">
        <v>41723160.833333328</v>
      </c>
      <c r="AK294" s="27">
        <f t="shared" si="52"/>
        <v>748072.91666666663</v>
      </c>
      <c r="AL294" s="27">
        <f t="shared" si="54"/>
        <v>748072.91666666663</v>
      </c>
      <c r="AM294" s="27"/>
      <c r="AN294" s="27"/>
      <c r="AO294" s="27"/>
      <c r="AP294" s="27"/>
      <c r="AQ294" s="27"/>
      <c r="AR294" s="27"/>
      <c r="AS294" s="27"/>
      <c r="AT294" s="27"/>
      <c r="AU294" s="27"/>
      <c r="AV294" s="27"/>
      <c r="AW294" s="27">
        <f t="shared" si="47"/>
        <v>1496145.8333333333</v>
      </c>
      <c r="AX294" s="79">
        <f t="shared" si="48"/>
        <v>40227014.999999993</v>
      </c>
      <c r="AY294" s="79">
        <f t="shared" si="49"/>
        <v>31587985</v>
      </c>
      <c r="AZ294" s="25">
        <v>1</v>
      </c>
      <c r="BA294" s="62" t="s">
        <v>97</v>
      </c>
      <c r="BB294" s="66">
        <v>1</v>
      </c>
      <c r="BC294" s="66"/>
      <c r="BD294" s="66"/>
      <c r="BE294" s="67">
        <f t="shared" si="53"/>
        <v>748072.91666666663</v>
      </c>
      <c r="BF294" s="67">
        <f t="shared" si="46"/>
        <v>0</v>
      </c>
      <c r="BG294" s="67">
        <f t="shared" si="45"/>
        <v>0</v>
      </c>
      <c r="BH294" s="66"/>
      <c r="BI294" s="68" t="s">
        <v>875</v>
      </c>
      <c r="BJ294" s="68" t="s">
        <v>58</v>
      </c>
      <c r="BK294" s="68" t="s">
        <v>59</v>
      </c>
      <c r="BL294" s="29"/>
      <c r="BO294" s="35" t="s">
        <v>1804</v>
      </c>
      <c r="BQ294" s="1" t="e">
        <v>#N/A</v>
      </c>
    </row>
    <row r="295" spans="1:69" ht="15" hidden="1" customHeight="1">
      <c r="A295" s="1" t="s">
        <v>43</v>
      </c>
      <c r="C295" s="1" t="str">
        <f t="shared" si="50"/>
        <v>2901</v>
      </c>
      <c r="D295" s="1" t="str">
        <f t="shared" si="51"/>
        <v>2101</v>
      </c>
      <c r="E295" s="19" t="s">
        <v>48</v>
      </c>
      <c r="F295" s="62" t="s">
        <v>49</v>
      </c>
      <c r="G295" s="62">
        <v>2112</v>
      </c>
      <c r="H295" s="62" t="s">
        <v>876</v>
      </c>
      <c r="I295" s="62" t="s">
        <v>776</v>
      </c>
      <c r="J295" s="118">
        <v>1</v>
      </c>
      <c r="K295" s="119" t="s">
        <v>619</v>
      </c>
      <c r="L295" s="62" t="s">
        <v>877</v>
      </c>
      <c r="M295" s="120" t="s">
        <v>878</v>
      </c>
      <c r="N295" s="63">
        <v>44062</v>
      </c>
      <c r="O295" s="131">
        <v>5964.2857142857147</v>
      </c>
      <c r="P295" s="24">
        <v>23300.799999999999</v>
      </c>
      <c r="Q295" s="64">
        <v>138972629</v>
      </c>
      <c r="R295" s="64"/>
      <c r="S295" s="64"/>
      <c r="T295" s="64">
        <v>1093563.3214285714</v>
      </c>
      <c r="U295" s="64" t="s">
        <v>879</v>
      </c>
      <c r="V295" s="121">
        <v>140066192</v>
      </c>
      <c r="W295" s="122">
        <v>0</v>
      </c>
      <c r="X295" s="64">
        <v>140066192</v>
      </c>
      <c r="Y295" s="121"/>
      <c r="Z295" s="121"/>
      <c r="AA295" s="121"/>
      <c r="AB295" s="121"/>
      <c r="AC295" s="64">
        <v>140066192</v>
      </c>
      <c r="AD295" s="65">
        <v>44224</v>
      </c>
      <c r="AE295" s="65">
        <v>47145</v>
      </c>
      <c r="AF295" s="62">
        <v>8</v>
      </c>
      <c r="AG295" s="119">
        <v>96</v>
      </c>
      <c r="AH295" s="25">
        <v>1459022.8333333333</v>
      </c>
      <c r="AI295" s="78">
        <v>51254064.365591399</v>
      </c>
      <c r="AJ295" s="78">
        <v>88812127.634408593</v>
      </c>
      <c r="AK295" s="27">
        <f t="shared" si="52"/>
        <v>1459022.8333333333</v>
      </c>
      <c r="AL295" s="27">
        <f t="shared" si="54"/>
        <v>1459022.8333333333</v>
      </c>
      <c r="AM295" s="27"/>
      <c r="AN295" s="27"/>
      <c r="AO295" s="27"/>
      <c r="AP295" s="27"/>
      <c r="AQ295" s="27"/>
      <c r="AR295" s="27"/>
      <c r="AS295" s="27"/>
      <c r="AT295" s="27"/>
      <c r="AU295" s="27"/>
      <c r="AV295" s="27"/>
      <c r="AW295" s="27">
        <f t="shared" si="47"/>
        <v>2918045.6666666665</v>
      </c>
      <c r="AX295" s="79">
        <f t="shared" si="48"/>
        <v>85894081.967741922</v>
      </c>
      <c r="AY295" s="79">
        <f t="shared" si="49"/>
        <v>54172110.032258064</v>
      </c>
      <c r="AZ295" s="25">
        <v>1</v>
      </c>
      <c r="BA295" s="62" t="s">
        <v>97</v>
      </c>
      <c r="BB295" s="66">
        <v>1</v>
      </c>
      <c r="BC295" s="66"/>
      <c r="BD295" s="66"/>
      <c r="BE295" s="67">
        <f t="shared" si="53"/>
        <v>1459022.8333333333</v>
      </c>
      <c r="BF295" s="67">
        <f t="shared" si="46"/>
        <v>0</v>
      </c>
      <c r="BG295" s="67">
        <f t="shared" si="45"/>
        <v>0</v>
      </c>
      <c r="BH295" s="66"/>
      <c r="BI295" s="68" t="s">
        <v>420</v>
      </c>
      <c r="BJ295" s="68" t="s">
        <v>85</v>
      </c>
      <c r="BK295" s="68" t="s">
        <v>85</v>
      </c>
      <c r="BL295" s="29"/>
      <c r="BO295" s="35" t="s">
        <v>1800</v>
      </c>
      <c r="BP295" s="1" t="s">
        <v>1818</v>
      </c>
      <c r="BQ295" s="1" t="e">
        <v>#N/A</v>
      </c>
    </row>
    <row r="296" spans="1:69" ht="15" hidden="1" customHeight="1">
      <c r="A296" s="1" t="s">
        <v>43</v>
      </c>
      <c r="C296" s="1" t="str">
        <f t="shared" si="50"/>
        <v>2901</v>
      </c>
      <c r="D296" s="1" t="str">
        <f t="shared" si="51"/>
        <v>2101</v>
      </c>
      <c r="E296" s="19" t="s">
        <v>48</v>
      </c>
      <c r="F296" s="62" t="s">
        <v>49</v>
      </c>
      <c r="G296" s="62">
        <v>2112</v>
      </c>
      <c r="H296" s="62" t="s">
        <v>880</v>
      </c>
      <c r="I296" s="62" t="s">
        <v>776</v>
      </c>
      <c r="J296" s="118">
        <v>1</v>
      </c>
      <c r="K296" s="119" t="s">
        <v>619</v>
      </c>
      <c r="L296" s="62" t="s">
        <v>877</v>
      </c>
      <c r="M296" s="120" t="s">
        <v>878</v>
      </c>
      <c r="N296" s="63">
        <v>44062</v>
      </c>
      <c r="O296" s="131">
        <v>5964.2857142857147</v>
      </c>
      <c r="P296" s="24">
        <v>23300.799999999999</v>
      </c>
      <c r="Q296" s="64">
        <v>138972629</v>
      </c>
      <c r="R296" s="64"/>
      <c r="S296" s="64"/>
      <c r="T296" s="64">
        <v>1093563.3214285714</v>
      </c>
      <c r="U296" s="64" t="s">
        <v>879</v>
      </c>
      <c r="V296" s="121">
        <v>140066192</v>
      </c>
      <c r="W296" s="122">
        <v>0</v>
      </c>
      <c r="X296" s="64">
        <v>140066192</v>
      </c>
      <c r="Y296" s="121"/>
      <c r="Z296" s="121"/>
      <c r="AA296" s="121"/>
      <c r="AB296" s="121"/>
      <c r="AC296" s="64">
        <v>140066192</v>
      </c>
      <c r="AD296" s="65">
        <v>44224</v>
      </c>
      <c r="AE296" s="65">
        <v>47145</v>
      </c>
      <c r="AF296" s="62">
        <v>8</v>
      </c>
      <c r="AG296" s="119">
        <v>96</v>
      </c>
      <c r="AH296" s="25">
        <v>1459022.8333333333</v>
      </c>
      <c r="AI296" s="78">
        <v>51254064.365591399</v>
      </c>
      <c r="AJ296" s="78">
        <v>88812127.634408593</v>
      </c>
      <c r="AK296" s="27">
        <f t="shared" si="52"/>
        <v>1459022.8333333333</v>
      </c>
      <c r="AL296" s="27">
        <f t="shared" si="54"/>
        <v>1459022.8333333333</v>
      </c>
      <c r="AM296" s="27"/>
      <c r="AN296" s="27"/>
      <c r="AO296" s="27"/>
      <c r="AP296" s="27"/>
      <c r="AQ296" s="27"/>
      <c r="AR296" s="27"/>
      <c r="AS296" s="27"/>
      <c r="AT296" s="27"/>
      <c r="AU296" s="27"/>
      <c r="AV296" s="27"/>
      <c r="AW296" s="27">
        <f t="shared" si="47"/>
        <v>2918045.6666666665</v>
      </c>
      <c r="AX296" s="79">
        <f t="shared" si="48"/>
        <v>85894081.967741922</v>
      </c>
      <c r="AY296" s="79">
        <f t="shared" si="49"/>
        <v>54172110.032258064</v>
      </c>
      <c r="AZ296" s="25">
        <v>1</v>
      </c>
      <c r="BA296" s="62" t="s">
        <v>97</v>
      </c>
      <c r="BB296" s="66">
        <v>1</v>
      </c>
      <c r="BC296" s="66"/>
      <c r="BD296" s="66"/>
      <c r="BE296" s="67">
        <f t="shared" si="53"/>
        <v>1459022.8333333333</v>
      </c>
      <c r="BF296" s="67">
        <f t="shared" si="46"/>
        <v>0</v>
      </c>
      <c r="BG296" s="67">
        <f t="shared" si="45"/>
        <v>0</v>
      </c>
      <c r="BH296" s="66"/>
      <c r="BI296" s="68" t="s">
        <v>420</v>
      </c>
      <c r="BJ296" s="68" t="s">
        <v>85</v>
      </c>
      <c r="BK296" s="68" t="s">
        <v>85</v>
      </c>
      <c r="BL296" s="29"/>
      <c r="BO296" s="35" t="s">
        <v>1800</v>
      </c>
      <c r="BP296" s="1" t="s">
        <v>1818</v>
      </c>
      <c r="BQ296" s="1" t="e">
        <v>#N/A</v>
      </c>
    </row>
    <row r="297" spans="1:69" ht="15" hidden="1" customHeight="1">
      <c r="A297" s="1" t="s">
        <v>43</v>
      </c>
      <c r="C297" s="1" t="str">
        <f t="shared" si="50"/>
        <v>2901</v>
      </c>
      <c r="D297" s="1" t="str">
        <f t="shared" si="51"/>
        <v>2101</v>
      </c>
      <c r="E297" s="19" t="s">
        <v>48</v>
      </c>
      <c r="F297" s="62" t="s">
        <v>49</v>
      </c>
      <c r="G297" s="62">
        <v>2112</v>
      </c>
      <c r="H297" s="62" t="s">
        <v>881</v>
      </c>
      <c r="I297" s="62" t="s">
        <v>776</v>
      </c>
      <c r="J297" s="118">
        <v>1</v>
      </c>
      <c r="K297" s="119" t="s">
        <v>619</v>
      </c>
      <c r="L297" s="62" t="s">
        <v>877</v>
      </c>
      <c r="M297" s="120" t="s">
        <v>878</v>
      </c>
      <c r="N297" s="63">
        <v>44062</v>
      </c>
      <c r="O297" s="131">
        <v>5964.2857142857147</v>
      </c>
      <c r="P297" s="24">
        <v>23300.799999999999</v>
      </c>
      <c r="Q297" s="64">
        <v>138972629</v>
      </c>
      <c r="R297" s="64"/>
      <c r="S297" s="64"/>
      <c r="T297" s="64">
        <v>1093563.3214285714</v>
      </c>
      <c r="U297" s="64" t="s">
        <v>879</v>
      </c>
      <c r="V297" s="121">
        <v>140066192</v>
      </c>
      <c r="W297" s="122">
        <v>0</v>
      </c>
      <c r="X297" s="64">
        <v>140066192</v>
      </c>
      <c r="Y297" s="121"/>
      <c r="Z297" s="121"/>
      <c r="AA297" s="121"/>
      <c r="AB297" s="121"/>
      <c r="AC297" s="64">
        <v>140066192</v>
      </c>
      <c r="AD297" s="65">
        <v>44224</v>
      </c>
      <c r="AE297" s="65">
        <v>47145</v>
      </c>
      <c r="AF297" s="62">
        <v>8</v>
      </c>
      <c r="AG297" s="119">
        <v>96</v>
      </c>
      <c r="AH297" s="25">
        <v>1459022.8333333333</v>
      </c>
      <c r="AI297" s="78">
        <v>51254064.365591399</v>
      </c>
      <c r="AJ297" s="78">
        <v>88812127.634408593</v>
      </c>
      <c r="AK297" s="27">
        <f t="shared" si="52"/>
        <v>1459022.8333333333</v>
      </c>
      <c r="AL297" s="27">
        <f t="shared" si="54"/>
        <v>1459022.8333333333</v>
      </c>
      <c r="AM297" s="27"/>
      <c r="AN297" s="27"/>
      <c r="AO297" s="27"/>
      <c r="AP297" s="27"/>
      <c r="AQ297" s="27"/>
      <c r="AR297" s="27"/>
      <c r="AS297" s="27"/>
      <c r="AT297" s="27"/>
      <c r="AU297" s="27"/>
      <c r="AV297" s="27"/>
      <c r="AW297" s="27">
        <f t="shared" si="47"/>
        <v>2918045.6666666665</v>
      </c>
      <c r="AX297" s="79">
        <f t="shared" si="48"/>
        <v>85894081.967741922</v>
      </c>
      <c r="AY297" s="79">
        <f t="shared" si="49"/>
        <v>54172110.032258064</v>
      </c>
      <c r="AZ297" s="25">
        <v>1</v>
      </c>
      <c r="BA297" s="62" t="s">
        <v>97</v>
      </c>
      <c r="BB297" s="66">
        <v>1</v>
      </c>
      <c r="BC297" s="66"/>
      <c r="BD297" s="66"/>
      <c r="BE297" s="67">
        <f t="shared" si="53"/>
        <v>1459022.8333333333</v>
      </c>
      <c r="BF297" s="67">
        <f t="shared" si="46"/>
        <v>0</v>
      </c>
      <c r="BG297" s="67">
        <f t="shared" si="45"/>
        <v>0</v>
      </c>
      <c r="BH297" s="66"/>
      <c r="BI297" s="68" t="s">
        <v>477</v>
      </c>
      <c r="BJ297" s="68" t="s">
        <v>85</v>
      </c>
      <c r="BK297" s="68" t="s">
        <v>85</v>
      </c>
      <c r="BL297" s="29"/>
      <c r="BO297" s="35" t="s">
        <v>1800</v>
      </c>
      <c r="BP297" s="1" t="s">
        <v>1809</v>
      </c>
      <c r="BQ297" s="1" t="e">
        <v>#N/A</v>
      </c>
    </row>
    <row r="298" spans="1:69" ht="15" hidden="1" customHeight="1">
      <c r="A298" s="1" t="s">
        <v>43</v>
      </c>
      <c r="C298" s="1" t="str">
        <f t="shared" si="50"/>
        <v>2901</v>
      </c>
      <c r="D298" s="1" t="str">
        <f t="shared" si="51"/>
        <v>2101</v>
      </c>
      <c r="E298" s="19" t="s">
        <v>48</v>
      </c>
      <c r="F298" s="62" t="s">
        <v>49</v>
      </c>
      <c r="G298" s="62">
        <v>2112</v>
      </c>
      <c r="H298" s="62" t="s">
        <v>882</v>
      </c>
      <c r="I298" s="62" t="s">
        <v>776</v>
      </c>
      <c r="J298" s="118">
        <v>1</v>
      </c>
      <c r="K298" s="119" t="s">
        <v>619</v>
      </c>
      <c r="L298" s="62" t="s">
        <v>877</v>
      </c>
      <c r="M298" s="120" t="s">
        <v>878</v>
      </c>
      <c r="N298" s="63">
        <v>44062</v>
      </c>
      <c r="O298" s="131">
        <v>5964.2857142857147</v>
      </c>
      <c r="P298" s="24">
        <v>23300.799999999999</v>
      </c>
      <c r="Q298" s="64">
        <v>138972629</v>
      </c>
      <c r="R298" s="64"/>
      <c r="S298" s="64"/>
      <c r="T298" s="64">
        <v>1093563.3214285714</v>
      </c>
      <c r="U298" s="64" t="s">
        <v>879</v>
      </c>
      <c r="V298" s="121">
        <v>140066192</v>
      </c>
      <c r="W298" s="122">
        <v>0</v>
      </c>
      <c r="X298" s="64">
        <v>140066192</v>
      </c>
      <c r="Y298" s="121"/>
      <c r="Z298" s="121"/>
      <c r="AA298" s="121"/>
      <c r="AB298" s="121"/>
      <c r="AC298" s="64">
        <v>140066192</v>
      </c>
      <c r="AD298" s="65">
        <v>44224</v>
      </c>
      <c r="AE298" s="65">
        <v>47145</v>
      </c>
      <c r="AF298" s="62">
        <v>8</v>
      </c>
      <c r="AG298" s="119">
        <v>96</v>
      </c>
      <c r="AH298" s="25">
        <v>1459022.8333333333</v>
      </c>
      <c r="AI298" s="78">
        <v>51254064.365591399</v>
      </c>
      <c r="AJ298" s="78">
        <v>88812127.634408593</v>
      </c>
      <c r="AK298" s="27">
        <f t="shared" si="52"/>
        <v>1459022.8333333333</v>
      </c>
      <c r="AL298" s="27">
        <f t="shared" si="54"/>
        <v>1459022.8333333333</v>
      </c>
      <c r="AM298" s="27"/>
      <c r="AN298" s="27"/>
      <c r="AO298" s="27"/>
      <c r="AP298" s="27"/>
      <c r="AQ298" s="27"/>
      <c r="AR298" s="27"/>
      <c r="AS298" s="27"/>
      <c r="AT298" s="27"/>
      <c r="AU298" s="27"/>
      <c r="AV298" s="27"/>
      <c r="AW298" s="27">
        <f t="shared" si="47"/>
        <v>2918045.6666666665</v>
      </c>
      <c r="AX298" s="79">
        <f t="shared" si="48"/>
        <v>85894081.967741922</v>
      </c>
      <c r="AY298" s="79">
        <f t="shared" si="49"/>
        <v>54172110.032258064</v>
      </c>
      <c r="AZ298" s="25">
        <v>1</v>
      </c>
      <c r="BA298" s="62" t="s">
        <v>97</v>
      </c>
      <c r="BB298" s="66">
        <v>1</v>
      </c>
      <c r="BC298" s="66"/>
      <c r="BD298" s="66"/>
      <c r="BE298" s="67">
        <f t="shared" si="53"/>
        <v>1459022.8333333333</v>
      </c>
      <c r="BF298" s="67">
        <f t="shared" si="46"/>
        <v>0</v>
      </c>
      <c r="BG298" s="67">
        <f t="shared" si="45"/>
        <v>0</v>
      </c>
      <c r="BH298" s="66"/>
      <c r="BI298" s="68" t="s">
        <v>534</v>
      </c>
      <c r="BJ298" s="68" t="s">
        <v>85</v>
      </c>
      <c r="BK298" s="68" t="s">
        <v>85</v>
      </c>
      <c r="BL298" s="29"/>
      <c r="BO298" s="35" t="s">
        <v>1800</v>
      </c>
      <c r="BP298" s="1" t="s">
        <v>1819</v>
      </c>
      <c r="BQ298" s="1" t="e">
        <v>#N/A</v>
      </c>
    </row>
    <row r="299" spans="1:69" ht="15" hidden="1" customHeight="1">
      <c r="A299" s="1" t="s">
        <v>43</v>
      </c>
      <c r="C299" s="1" t="str">
        <f t="shared" si="50"/>
        <v>2901</v>
      </c>
      <c r="D299" s="1" t="str">
        <f t="shared" si="51"/>
        <v>2101</v>
      </c>
      <c r="E299" s="19" t="s">
        <v>48</v>
      </c>
      <c r="F299" s="62" t="s">
        <v>49</v>
      </c>
      <c r="G299" s="62">
        <v>2112</v>
      </c>
      <c r="H299" s="62" t="s">
        <v>883</v>
      </c>
      <c r="I299" s="62" t="s">
        <v>776</v>
      </c>
      <c r="J299" s="118">
        <v>1</v>
      </c>
      <c r="K299" s="119" t="s">
        <v>619</v>
      </c>
      <c r="L299" s="62" t="s">
        <v>877</v>
      </c>
      <c r="M299" s="120" t="s">
        <v>878</v>
      </c>
      <c r="N299" s="63">
        <v>44062</v>
      </c>
      <c r="O299" s="131">
        <v>5964.2857142857147</v>
      </c>
      <c r="P299" s="24">
        <v>23300.799999999999</v>
      </c>
      <c r="Q299" s="64">
        <v>138972629</v>
      </c>
      <c r="R299" s="64"/>
      <c r="S299" s="64"/>
      <c r="T299" s="64">
        <v>1093563.3214285714</v>
      </c>
      <c r="U299" s="64" t="s">
        <v>879</v>
      </c>
      <c r="V299" s="121">
        <v>140066192</v>
      </c>
      <c r="W299" s="122">
        <v>0</v>
      </c>
      <c r="X299" s="64">
        <v>140066192</v>
      </c>
      <c r="Y299" s="121"/>
      <c r="Z299" s="121"/>
      <c r="AA299" s="121"/>
      <c r="AB299" s="121"/>
      <c r="AC299" s="64">
        <v>140066192</v>
      </c>
      <c r="AD299" s="65">
        <v>44224</v>
      </c>
      <c r="AE299" s="65">
        <v>47145</v>
      </c>
      <c r="AF299" s="62">
        <v>8</v>
      </c>
      <c r="AG299" s="119">
        <v>96</v>
      </c>
      <c r="AH299" s="25">
        <v>1459022.8333333333</v>
      </c>
      <c r="AI299" s="78">
        <v>51254064.365591399</v>
      </c>
      <c r="AJ299" s="78">
        <v>88812127.634408593</v>
      </c>
      <c r="AK299" s="27">
        <f t="shared" si="52"/>
        <v>1459022.8333333333</v>
      </c>
      <c r="AL299" s="27">
        <f t="shared" si="54"/>
        <v>1459022.8333333333</v>
      </c>
      <c r="AM299" s="27"/>
      <c r="AN299" s="27"/>
      <c r="AO299" s="27"/>
      <c r="AP299" s="27"/>
      <c r="AQ299" s="27"/>
      <c r="AR299" s="27"/>
      <c r="AS299" s="27"/>
      <c r="AT299" s="27"/>
      <c r="AU299" s="27"/>
      <c r="AV299" s="27"/>
      <c r="AW299" s="27">
        <f t="shared" si="47"/>
        <v>2918045.6666666665</v>
      </c>
      <c r="AX299" s="79">
        <f t="shared" si="48"/>
        <v>85894081.967741922</v>
      </c>
      <c r="AY299" s="79">
        <f t="shared" si="49"/>
        <v>54172110.032258064</v>
      </c>
      <c r="AZ299" s="25">
        <v>1</v>
      </c>
      <c r="BA299" s="62" t="s">
        <v>97</v>
      </c>
      <c r="BB299" s="66">
        <v>1</v>
      </c>
      <c r="BC299" s="66"/>
      <c r="BD299" s="66"/>
      <c r="BE299" s="67">
        <f t="shared" si="53"/>
        <v>1459022.8333333333</v>
      </c>
      <c r="BF299" s="67">
        <f t="shared" si="46"/>
        <v>0</v>
      </c>
      <c r="BG299" s="67">
        <f t="shared" si="45"/>
        <v>0</v>
      </c>
      <c r="BH299" s="66"/>
      <c r="BI299" s="68" t="s">
        <v>534</v>
      </c>
      <c r="BJ299" s="68" t="s">
        <v>85</v>
      </c>
      <c r="BK299" s="68" t="s">
        <v>85</v>
      </c>
      <c r="BL299" s="29"/>
      <c r="BO299" s="35" t="s">
        <v>1800</v>
      </c>
      <c r="BP299" s="1" t="s">
        <v>1819</v>
      </c>
      <c r="BQ299" s="1" t="e">
        <v>#N/A</v>
      </c>
    </row>
    <row r="300" spans="1:69" ht="15" hidden="1" customHeight="1">
      <c r="A300" s="1" t="s">
        <v>43</v>
      </c>
      <c r="C300" s="1" t="str">
        <f t="shared" si="50"/>
        <v>2901</v>
      </c>
      <c r="D300" s="1" t="str">
        <f t="shared" si="51"/>
        <v>2101</v>
      </c>
      <c r="E300" s="19" t="s">
        <v>48</v>
      </c>
      <c r="F300" s="62" t="s">
        <v>49</v>
      </c>
      <c r="G300" s="62">
        <v>2112</v>
      </c>
      <c r="H300" s="62" t="s">
        <v>884</v>
      </c>
      <c r="I300" s="62" t="s">
        <v>776</v>
      </c>
      <c r="J300" s="118">
        <v>1</v>
      </c>
      <c r="K300" s="119" t="s">
        <v>619</v>
      </c>
      <c r="L300" s="62" t="s">
        <v>877</v>
      </c>
      <c r="M300" s="120" t="s">
        <v>878</v>
      </c>
      <c r="N300" s="63">
        <v>44062</v>
      </c>
      <c r="O300" s="131">
        <v>5964.2857142857147</v>
      </c>
      <c r="P300" s="24">
        <v>23300.799999999999</v>
      </c>
      <c r="Q300" s="64">
        <v>138972629</v>
      </c>
      <c r="R300" s="64"/>
      <c r="S300" s="64"/>
      <c r="T300" s="64">
        <v>1093563.3214285714</v>
      </c>
      <c r="U300" s="64" t="s">
        <v>879</v>
      </c>
      <c r="V300" s="121">
        <v>140066192</v>
      </c>
      <c r="W300" s="122">
        <v>0</v>
      </c>
      <c r="X300" s="64">
        <v>140066192</v>
      </c>
      <c r="Y300" s="121"/>
      <c r="Z300" s="121"/>
      <c r="AA300" s="121"/>
      <c r="AB300" s="121"/>
      <c r="AC300" s="64">
        <v>140066192</v>
      </c>
      <c r="AD300" s="65">
        <v>44224</v>
      </c>
      <c r="AE300" s="65">
        <v>47145</v>
      </c>
      <c r="AF300" s="62">
        <v>8</v>
      </c>
      <c r="AG300" s="119">
        <v>96</v>
      </c>
      <c r="AH300" s="25">
        <v>1459022.8333333333</v>
      </c>
      <c r="AI300" s="78">
        <v>51254064.365591399</v>
      </c>
      <c r="AJ300" s="78">
        <v>88812127.634408593</v>
      </c>
      <c r="AK300" s="27">
        <f t="shared" si="52"/>
        <v>1459022.8333333333</v>
      </c>
      <c r="AL300" s="27">
        <f t="shared" si="54"/>
        <v>1459022.8333333333</v>
      </c>
      <c r="AM300" s="27"/>
      <c r="AN300" s="27"/>
      <c r="AO300" s="27"/>
      <c r="AP300" s="27"/>
      <c r="AQ300" s="27"/>
      <c r="AR300" s="27"/>
      <c r="AS300" s="27"/>
      <c r="AT300" s="27"/>
      <c r="AU300" s="27"/>
      <c r="AV300" s="27"/>
      <c r="AW300" s="27">
        <f t="shared" si="47"/>
        <v>2918045.6666666665</v>
      </c>
      <c r="AX300" s="79">
        <f t="shared" si="48"/>
        <v>85894081.967741922</v>
      </c>
      <c r="AY300" s="79">
        <f t="shared" si="49"/>
        <v>54172110.032258064</v>
      </c>
      <c r="AZ300" s="25">
        <v>1</v>
      </c>
      <c r="BA300" s="62" t="s">
        <v>97</v>
      </c>
      <c r="BB300" s="66">
        <v>1</v>
      </c>
      <c r="BC300" s="66"/>
      <c r="BD300" s="66"/>
      <c r="BE300" s="67">
        <f t="shared" si="53"/>
        <v>1459022.8333333333</v>
      </c>
      <c r="BF300" s="67">
        <f t="shared" si="46"/>
        <v>0</v>
      </c>
      <c r="BG300" s="67">
        <f t="shared" si="45"/>
        <v>0</v>
      </c>
      <c r="BH300" s="66"/>
      <c r="BI300" s="68" t="s">
        <v>534</v>
      </c>
      <c r="BJ300" s="68" t="s">
        <v>85</v>
      </c>
      <c r="BK300" s="68" t="s">
        <v>85</v>
      </c>
      <c r="BL300" s="29"/>
      <c r="BO300" s="35" t="s">
        <v>1800</v>
      </c>
      <c r="BP300" s="1" t="s">
        <v>1819</v>
      </c>
      <c r="BQ300" s="1" t="e">
        <v>#N/A</v>
      </c>
    </row>
    <row r="301" spans="1:69" ht="15" hidden="1" customHeight="1">
      <c r="A301" s="1" t="s">
        <v>43</v>
      </c>
      <c r="C301" s="1" t="str">
        <f t="shared" si="50"/>
        <v>2901</v>
      </c>
      <c r="D301" s="1" t="str">
        <f t="shared" si="51"/>
        <v>2101</v>
      </c>
      <c r="E301" s="19" t="s">
        <v>48</v>
      </c>
      <c r="F301" s="62" t="s">
        <v>49</v>
      </c>
      <c r="G301" s="62">
        <v>2112</v>
      </c>
      <c r="H301" s="62" t="s">
        <v>885</v>
      </c>
      <c r="I301" s="62" t="s">
        <v>776</v>
      </c>
      <c r="J301" s="118">
        <v>1</v>
      </c>
      <c r="K301" s="119" t="s">
        <v>619</v>
      </c>
      <c r="L301" s="62" t="s">
        <v>877</v>
      </c>
      <c r="M301" s="120" t="s">
        <v>878</v>
      </c>
      <c r="N301" s="63">
        <v>44062</v>
      </c>
      <c r="O301" s="131">
        <v>5964.2857142857147</v>
      </c>
      <c r="P301" s="24">
        <v>23300.799999999999</v>
      </c>
      <c r="Q301" s="64">
        <v>138972629</v>
      </c>
      <c r="R301" s="64"/>
      <c r="S301" s="64"/>
      <c r="T301" s="64">
        <v>1093563.3214285714</v>
      </c>
      <c r="U301" s="64" t="s">
        <v>879</v>
      </c>
      <c r="V301" s="121">
        <v>140066192</v>
      </c>
      <c r="W301" s="122">
        <v>0</v>
      </c>
      <c r="X301" s="64">
        <v>140066192</v>
      </c>
      <c r="Y301" s="121"/>
      <c r="Z301" s="121"/>
      <c r="AA301" s="121"/>
      <c r="AB301" s="121"/>
      <c r="AC301" s="64">
        <v>140066192</v>
      </c>
      <c r="AD301" s="65">
        <v>44224</v>
      </c>
      <c r="AE301" s="65">
        <v>47145</v>
      </c>
      <c r="AF301" s="62">
        <v>8</v>
      </c>
      <c r="AG301" s="119">
        <v>96</v>
      </c>
      <c r="AH301" s="25">
        <v>1459022.8333333333</v>
      </c>
      <c r="AI301" s="78">
        <v>51254064.365591399</v>
      </c>
      <c r="AJ301" s="78">
        <v>88812127.634408593</v>
      </c>
      <c r="AK301" s="27">
        <f t="shared" si="52"/>
        <v>1459022.8333333333</v>
      </c>
      <c r="AL301" s="27">
        <f t="shared" si="54"/>
        <v>1459022.8333333333</v>
      </c>
      <c r="AM301" s="27"/>
      <c r="AN301" s="27"/>
      <c r="AO301" s="27"/>
      <c r="AP301" s="27"/>
      <c r="AQ301" s="27"/>
      <c r="AR301" s="27"/>
      <c r="AS301" s="27"/>
      <c r="AT301" s="27"/>
      <c r="AU301" s="27"/>
      <c r="AV301" s="27"/>
      <c r="AW301" s="27">
        <f t="shared" si="47"/>
        <v>2918045.6666666665</v>
      </c>
      <c r="AX301" s="79">
        <f t="shared" si="48"/>
        <v>85894081.967741922</v>
      </c>
      <c r="AY301" s="79">
        <f t="shared" si="49"/>
        <v>54172110.032258064</v>
      </c>
      <c r="AZ301" s="25">
        <v>1</v>
      </c>
      <c r="BA301" s="62" t="s">
        <v>97</v>
      </c>
      <c r="BB301" s="66">
        <v>1</v>
      </c>
      <c r="BC301" s="66"/>
      <c r="BD301" s="66"/>
      <c r="BE301" s="67">
        <f t="shared" si="53"/>
        <v>1459022.8333333333</v>
      </c>
      <c r="BF301" s="67">
        <f t="shared" si="46"/>
        <v>0</v>
      </c>
      <c r="BG301" s="67">
        <f t="shared" si="45"/>
        <v>0</v>
      </c>
      <c r="BH301" s="66"/>
      <c r="BI301" s="68" t="s">
        <v>534</v>
      </c>
      <c r="BJ301" s="68" t="s">
        <v>85</v>
      </c>
      <c r="BK301" s="68" t="s">
        <v>85</v>
      </c>
      <c r="BL301" s="29"/>
      <c r="BO301" s="35" t="s">
        <v>1800</v>
      </c>
      <c r="BP301" s="1" t="s">
        <v>1819</v>
      </c>
      <c r="BQ301" s="1" t="e">
        <v>#N/A</v>
      </c>
    </row>
    <row r="302" spans="1:69" ht="15" hidden="1" customHeight="1">
      <c r="A302" s="1" t="s">
        <v>43</v>
      </c>
      <c r="C302" s="1" t="str">
        <f t="shared" si="50"/>
        <v>2901</v>
      </c>
      <c r="D302" s="1" t="str">
        <f t="shared" si="51"/>
        <v>2101</v>
      </c>
      <c r="E302" s="19" t="s">
        <v>48</v>
      </c>
      <c r="F302" s="62" t="s">
        <v>49</v>
      </c>
      <c r="G302" s="62">
        <v>2112</v>
      </c>
      <c r="H302" s="62" t="s">
        <v>886</v>
      </c>
      <c r="I302" s="62" t="s">
        <v>776</v>
      </c>
      <c r="J302" s="118">
        <v>1</v>
      </c>
      <c r="K302" s="119" t="s">
        <v>619</v>
      </c>
      <c r="L302" s="62" t="s">
        <v>877</v>
      </c>
      <c r="M302" s="120" t="s">
        <v>878</v>
      </c>
      <c r="N302" s="63">
        <v>44062</v>
      </c>
      <c r="O302" s="131">
        <v>5964.2857142857147</v>
      </c>
      <c r="P302" s="24">
        <v>23300.799999999999</v>
      </c>
      <c r="Q302" s="64">
        <v>138972629</v>
      </c>
      <c r="R302" s="64"/>
      <c r="S302" s="64"/>
      <c r="T302" s="64">
        <v>1093563.3214285714</v>
      </c>
      <c r="U302" s="64" t="s">
        <v>879</v>
      </c>
      <c r="V302" s="121">
        <v>140066192</v>
      </c>
      <c r="W302" s="122">
        <v>0</v>
      </c>
      <c r="X302" s="64">
        <v>140066192</v>
      </c>
      <c r="Y302" s="121"/>
      <c r="Z302" s="121"/>
      <c r="AA302" s="121"/>
      <c r="AB302" s="121"/>
      <c r="AC302" s="64">
        <v>140066192</v>
      </c>
      <c r="AD302" s="65">
        <v>44224</v>
      </c>
      <c r="AE302" s="65">
        <v>47145</v>
      </c>
      <c r="AF302" s="62">
        <v>8</v>
      </c>
      <c r="AG302" s="119">
        <v>96</v>
      </c>
      <c r="AH302" s="25">
        <v>1459022.8333333333</v>
      </c>
      <c r="AI302" s="78">
        <v>51254064.365591399</v>
      </c>
      <c r="AJ302" s="78">
        <v>88812127.634408593</v>
      </c>
      <c r="AK302" s="27">
        <f t="shared" si="52"/>
        <v>1459022.8333333333</v>
      </c>
      <c r="AL302" s="27">
        <f t="shared" si="54"/>
        <v>1459022.8333333333</v>
      </c>
      <c r="AM302" s="27"/>
      <c r="AN302" s="27"/>
      <c r="AO302" s="27"/>
      <c r="AP302" s="27"/>
      <c r="AQ302" s="27"/>
      <c r="AR302" s="27"/>
      <c r="AS302" s="27"/>
      <c r="AT302" s="27"/>
      <c r="AU302" s="27"/>
      <c r="AV302" s="27"/>
      <c r="AW302" s="27">
        <f t="shared" si="47"/>
        <v>2918045.6666666665</v>
      </c>
      <c r="AX302" s="79">
        <f t="shared" si="48"/>
        <v>85894081.967741922</v>
      </c>
      <c r="AY302" s="79">
        <f t="shared" si="49"/>
        <v>54172110.032258064</v>
      </c>
      <c r="AZ302" s="25">
        <v>1</v>
      </c>
      <c r="BA302" s="62" t="s">
        <v>97</v>
      </c>
      <c r="BB302" s="66">
        <v>1</v>
      </c>
      <c r="BC302" s="66"/>
      <c r="BD302" s="66"/>
      <c r="BE302" s="67">
        <f t="shared" si="53"/>
        <v>1459022.8333333333</v>
      </c>
      <c r="BF302" s="67">
        <f t="shared" si="46"/>
        <v>0</v>
      </c>
      <c r="BG302" s="67">
        <f t="shared" si="45"/>
        <v>0</v>
      </c>
      <c r="BH302" s="66"/>
      <c r="BI302" s="68" t="s">
        <v>828</v>
      </c>
      <c r="BJ302" s="68" t="s">
        <v>85</v>
      </c>
      <c r="BK302" s="68" t="s">
        <v>85</v>
      </c>
      <c r="BL302" s="29"/>
      <c r="BO302" s="35" t="s">
        <v>1800</v>
      </c>
      <c r="BP302" s="1" t="s">
        <v>1822</v>
      </c>
      <c r="BQ302" s="1" t="e">
        <v>#N/A</v>
      </c>
    </row>
    <row r="303" spans="1:69" ht="15" hidden="1" customHeight="1">
      <c r="A303" s="1" t="s">
        <v>43</v>
      </c>
      <c r="C303" s="1" t="str">
        <f t="shared" si="50"/>
        <v>2901</v>
      </c>
      <c r="D303" s="1" t="str">
        <f t="shared" si="51"/>
        <v>2101</v>
      </c>
      <c r="E303" s="19" t="s">
        <v>48</v>
      </c>
      <c r="F303" s="62" t="s">
        <v>49</v>
      </c>
      <c r="G303" s="62">
        <v>2112</v>
      </c>
      <c r="H303" s="62" t="s">
        <v>887</v>
      </c>
      <c r="I303" s="62" t="s">
        <v>776</v>
      </c>
      <c r="J303" s="118">
        <v>1</v>
      </c>
      <c r="K303" s="119" t="s">
        <v>619</v>
      </c>
      <c r="L303" s="62" t="s">
        <v>877</v>
      </c>
      <c r="M303" s="120" t="s">
        <v>878</v>
      </c>
      <c r="N303" s="63">
        <v>44062</v>
      </c>
      <c r="O303" s="131">
        <v>5964.2857142857147</v>
      </c>
      <c r="P303" s="24">
        <v>23300.799999999999</v>
      </c>
      <c r="Q303" s="64">
        <v>138972629</v>
      </c>
      <c r="R303" s="64"/>
      <c r="S303" s="64"/>
      <c r="T303" s="64">
        <v>1093563.3214285714</v>
      </c>
      <c r="U303" s="64" t="s">
        <v>879</v>
      </c>
      <c r="V303" s="121">
        <v>140066192</v>
      </c>
      <c r="W303" s="122">
        <v>0</v>
      </c>
      <c r="X303" s="64">
        <v>140066192</v>
      </c>
      <c r="Y303" s="121"/>
      <c r="Z303" s="121"/>
      <c r="AA303" s="121"/>
      <c r="AB303" s="121"/>
      <c r="AC303" s="64">
        <v>140066192</v>
      </c>
      <c r="AD303" s="65">
        <v>44224</v>
      </c>
      <c r="AE303" s="65">
        <v>47145</v>
      </c>
      <c r="AF303" s="62">
        <v>8</v>
      </c>
      <c r="AG303" s="119">
        <v>96</v>
      </c>
      <c r="AH303" s="25">
        <v>1459022.8333333333</v>
      </c>
      <c r="AI303" s="78">
        <v>51254064.365591399</v>
      </c>
      <c r="AJ303" s="78">
        <v>88812127.634408593</v>
      </c>
      <c r="AK303" s="27">
        <f t="shared" si="52"/>
        <v>1459022.8333333333</v>
      </c>
      <c r="AL303" s="27">
        <f t="shared" si="54"/>
        <v>1459022.8333333333</v>
      </c>
      <c r="AM303" s="27"/>
      <c r="AN303" s="27"/>
      <c r="AO303" s="27"/>
      <c r="AP303" s="27"/>
      <c r="AQ303" s="27"/>
      <c r="AR303" s="27"/>
      <c r="AS303" s="27"/>
      <c r="AT303" s="27"/>
      <c r="AU303" s="27"/>
      <c r="AV303" s="27"/>
      <c r="AW303" s="27">
        <f t="shared" si="47"/>
        <v>2918045.6666666665</v>
      </c>
      <c r="AX303" s="79">
        <f t="shared" si="48"/>
        <v>85894081.967741922</v>
      </c>
      <c r="AY303" s="79">
        <f t="shared" si="49"/>
        <v>54172110.032258064</v>
      </c>
      <c r="AZ303" s="25">
        <v>1</v>
      </c>
      <c r="BA303" s="62" t="s">
        <v>97</v>
      </c>
      <c r="BB303" s="66">
        <v>1</v>
      </c>
      <c r="BC303" s="66"/>
      <c r="BD303" s="66"/>
      <c r="BE303" s="67">
        <f t="shared" si="53"/>
        <v>1459022.8333333333</v>
      </c>
      <c r="BF303" s="67">
        <f t="shared" si="46"/>
        <v>0</v>
      </c>
      <c r="BG303" s="67">
        <f t="shared" si="45"/>
        <v>0</v>
      </c>
      <c r="BH303" s="66"/>
      <c r="BI303" s="68" t="s">
        <v>828</v>
      </c>
      <c r="BJ303" s="68" t="s">
        <v>85</v>
      </c>
      <c r="BK303" s="68" t="s">
        <v>85</v>
      </c>
      <c r="BL303" s="29"/>
      <c r="BO303" s="35" t="s">
        <v>1800</v>
      </c>
      <c r="BP303" s="1" t="s">
        <v>1822</v>
      </c>
      <c r="BQ303" s="1" t="e">
        <v>#N/A</v>
      </c>
    </row>
    <row r="304" spans="1:69" ht="15" hidden="1" customHeight="1">
      <c r="A304" s="1" t="s">
        <v>43</v>
      </c>
      <c r="C304" s="1" t="str">
        <f t="shared" si="50"/>
        <v>2901</v>
      </c>
      <c r="D304" s="1" t="str">
        <f t="shared" si="51"/>
        <v>2101</v>
      </c>
      <c r="E304" s="19" t="s">
        <v>48</v>
      </c>
      <c r="F304" s="62" t="s">
        <v>49</v>
      </c>
      <c r="G304" s="62">
        <v>2112</v>
      </c>
      <c r="H304" s="62" t="s">
        <v>888</v>
      </c>
      <c r="I304" s="62" t="s">
        <v>776</v>
      </c>
      <c r="J304" s="118">
        <v>1</v>
      </c>
      <c r="K304" s="119" t="s">
        <v>619</v>
      </c>
      <c r="L304" s="62" t="s">
        <v>877</v>
      </c>
      <c r="M304" s="120" t="s">
        <v>878</v>
      </c>
      <c r="N304" s="63">
        <v>44062</v>
      </c>
      <c r="O304" s="131">
        <v>5964.2857142857147</v>
      </c>
      <c r="P304" s="24">
        <v>23300.799999999999</v>
      </c>
      <c r="Q304" s="64">
        <v>138972629</v>
      </c>
      <c r="R304" s="64"/>
      <c r="S304" s="64"/>
      <c r="T304" s="64">
        <v>1093563.3214285714</v>
      </c>
      <c r="U304" s="64" t="s">
        <v>879</v>
      </c>
      <c r="V304" s="121">
        <v>140066192</v>
      </c>
      <c r="W304" s="122">
        <v>0</v>
      </c>
      <c r="X304" s="64">
        <v>140066192</v>
      </c>
      <c r="Y304" s="121"/>
      <c r="Z304" s="121"/>
      <c r="AA304" s="121"/>
      <c r="AB304" s="121"/>
      <c r="AC304" s="64">
        <v>140066192</v>
      </c>
      <c r="AD304" s="65">
        <v>44224</v>
      </c>
      <c r="AE304" s="65">
        <v>47145</v>
      </c>
      <c r="AF304" s="62">
        <v>8</v>
      </c>
      <c r="AG304" s="119">
        <v>96</v>
      </c>
      <c r="AH304" s="25">
        <v>1459022.8333333333</v>
      </c>
      <c r="AI304" s="78">
        <v>51254064.365591399</v>
      </c>
      <c r="AJ304" s="78">
        <v>88812127.634408593</v>
      </c>
      <c r="AK304" s="27">
        <f t="shared" si="52"/>
        <v>1459022.8333333333</v>
      </c>
      <c r="AL304" s="27">
        <f t="shared" si="54"/>
        <v>1459022.8333333333</v>
      </c>
      <c r="AM304" s="27"/>
      <c r="AN304" s="27"/>
      <c r="AO304" s="27"/>
      <c r="AP304" s="27"/>
      <c r="AQ304" s="27"/>
      <c r="AR304" s="27"/>
      <c r="AS304" s="27"/>
      <c r="AT304" s="27"/>
      <c r="AU304" s="27"/>
      <c r="AV304" s="27"/>
      <c r="AW304" s="27">
        <f t="shared" si="47"/>
        <v>2918045.6666666665</v>
      </c>
      <c r="AX304" s="79">
        <f t="shared" si="48"/>
        <v>85894081.967741922</v>
      </c>
      <c r="AY304" s="79">
        <f t="shared" si="49"/>
        <v>54172110.032258064</v>
      </c>
      <c r="AZ304" s="25">
        <v>1</v>
      </c>
      <c r="BA304" s="62" t="s">
        <v>97</v>
      </c>
      <c r="BB304" s="66">
        <v>1</v>
      </c>
      <c r="BC304" s="66"/>
      <c r="BD304" s="66"/>
      <c r="BE304" s="67">
        <f t="shared" si="53"/>
        <v>1459022.8333333333</v>
      </c>
      <c r="BF304" s="67">
        <f t="shared" si="46"/>
        <v>0</v>
      </c>
      <c r="BG304" s="67">
        <f t="shared" si="45"/>
        <v>0</v>
      </c>
      <c r="BH304" s="66"/>
      <c r="BI304" s="68" t="s">
        <v>828</v>
      </c>
      <c r="BJ304" s="68" t="s">
        <v>85</v>
      </c>
      <c r="BK304" s="68" t="s">
        <v>85</v>
      </c>
      <c r="BL304" s="29"/>
      <c r="BO304" s="35" t="s">
        <v>1800</v>
      </c>
      <c r="BP304" s="1" t="s">
        <v>1822</v>
      </c>
      <c r="BQ304" s="1" t="e">
        <v>#N/A</v>
      </c>
    </row>
    <row r="305" spans="1:69" ht="15" hidden="1" customHeight="1">
      <c r="A305" s="1" t="s">
        <v>43</v>
      </c>
      <c r="C305" s="1" t="str">
        <f t="shared" si="50"/>
        <v>2901</v>
      </c>
      <c r="D305" s="1" t="str">
        <f t="shared" si="51"/>
        <v>2101</v>
      </c>
      <c r="E305" s="19" t="s">
        <v>48</v>
      </c>
      <c r="F305" s="62" t="s">
        <v>49</v>
      </c>
      <c r="G305" s="62">
        <v>2112</v>
      </c>
      <c r="H305" s="62" t="s">
        <v>889</v>
      </c>
      <c r="I305" s="62" t="s">
        <v>776</v>
      </c>
      <c r="J305" s="118">
        <v>1</v>
      </c>
      <c r="K305" s="119" t="s">
        <v>619</v>
      </c>
      <c r="L305" s="62" t="s">
        <v>877</v>
      </c>
      <c r="M305" s="120" t="s">
        <v>878</v>
      </c>
      <c r="N305" s="63">
        <v>44062</v>
      </c>
      <c r="O305" s="131">
        <v>5964.2857142857147</v>
      </c>
      <c r="P305" s="24">
        <v>23300.799999999999</v>
      </c>
      <c r="Q305" s="64">
        <v>138972629</v>
      </c>
      <c r="R305" s="64"/>
      <c r="S305" s="64"/>
      <c r="T305" s="64">
        <v>1093563.3214285714</v>
      </c>
      <c r="U305" s="64" t="s">
        <v>879</v>
      </c>
      <c r="V305" s="121">
        <v>140066192</v>
      </c>
      <c r="W305" s="122">
        <v>0</v>
      </c>
      <c r="X305" s="64">
        <v>140066192</v>
      </c>
      <c r="Y305" s="121"/>
      <c r="Z305" s="121"/>
      <c r="AA305" s="121"/>
      <c r="AB305" s="121"/>
      <c r="AC305" s="64">
        <v>140066192</v>
      </c>
      <c r="AD305" s="65">
        <v>44224</v>
      </c>
      <c r="AE305" s="65">
        <v>47145</v>
      </c>
      <c r="AF305" s="62">
        <v>8</v>
      </c>
      <c r="AG305" s="119">
        <v>96</v>
      </c>
      <c r="AH305" s="25">
        <v>1459022.8333333333</v>
      </c>
      <c r="AI305" s="78">
        <v>51254064.365591399</v>
      </c>
      <c r="AJ305" s="78">
        <v>88812127.634408593</v>
      </c>
      <c r="AK305" s="27">
        <f t="shared" si="52"/>
        <v>1459022.8333333333</v>
      </c>
      <c r="AL305" s="27">
        <f t="shared" si="54"/>
        <v>1459022.8333333333</v>
      </c>
      <c r="AM305" s="27"/>
      <c r="AN305" s="27"/>
      <c r="AO305" s="27"/>
      <c r="AP305" s="27"/>
      <c r="AQ305" s="27"/>
      <c r="AR305" s="27"/>
      <c r="AS305" s="27"/>
      <c r="AT305" s="27"/>
      <c r="AU305" s="27"/>
      <c r="AV305" s="27"/>
      <c r="AW305" s="27">
        <f t="shared" si="47"/>
        <v>2918045.6666666665</v>
      </c>
      <c r="AX305" s="79">
        <f t="shared" si="48"/>
        <v>85894081.967741922</v>
      </c>
      <c r="AY305" s="79">
        <f t="shared" si="49"/>
        <v>54172110.032258064</v>
      </c>
      <c r="AZ305" s="25">
        <v>1</v>
      </c>
      <c r="BA305" s="62" t="s">
        <v>97</v>
      </c>
      <c r="BB305" s="66">
        <v>1</v>
      </c>
      <c r="BC305" s="66"/>
      <c r="BD305" s="66"/>
      <c r="BE305" s="67">
        <f t="shared" si="53"/>
        <v>1459022.8333333333</v>
      </c>
      <c r="BF305" s="67">
        <f t="shared" si="46"/>
        <v>0</v>
      </c>
      <c r="BG305" s="67">
        <f t="shared" si="45"/>
        <v>0</v>
      </c>
      <c r="BH305" s="66"/>
      <c r="BI305" s="68" t="s">
        <v>828</v>
      </c>
      <c r="BJ305" s="68" t="s">
        <v>85</v>
      </c>
      <c r="BK305" s="68" t="s">
        <v>85</v>
      </c>
      <c r="BL305" s="29"/>
      <c r="BO305" s="35" t="s">
        <v>1800</v>
      </c>
      <c r="BP305" s="1" t="s">
        <v>1822</v>
      </c>
      <c r="BQ305" s="1" t="e">
        <v>#N/A</v>
      </c>
    </row>
    <row r="306" spans="1:69" ht="15" hidden="1" customHeight="1">
      <c r="A306" s="1" t="s">
        <v>43</v>
      </c>
      <c r="C306" s="1" t="str">
        <f t="shared" si="50"/>
        <v>2901</v>
      </c>
      <c r="D306" s="1" t="str">
        <f t="shared" si="51"/>
        <v>2101</v>
      </c>
      <c r="E306" s="19" t="s">
        <v>48</v>
      </c>
      <c r="F306" s="62" t="s">
        <v>49</v>
      </c>
      <c r="G306" s="62">
        <v>2112</v>
      </c>
      <c r="H306" s="62" t="s">
        <v>890</v>
      </c>
      <c r="I306" s="62" t="s">
        <v>776</v>
      </c>
      <c r="J306" s="118">
        <v>1</v>
      </c>
      <c r="K306" s="119" t="s">
        <v>619</v>
      </c>
      <c r="L306" s="62" t="s">
        <v>877</v>
      </c>
      <c r="M306" s="120" t="s">
        <v>878</v>
      </c>
      <c r="N306" s="63">
        <v>44062</v>
      </c>
      <c r="O306" s="131">
        <v>5964.2857142857147</v>
      </c>
      <c r="P306" s="24">
        <v>23300.799999999999</v>
      </c>
      <c r="Q306" s="64">
        <v>138972629</v>
      </c>
      <c r="R306" s="64"/>
      <c r="S306" s="64"/>
      <c r="T306" s="64">
        <v>1093563.3214285714</v>
      </c>
      <c r="U306" s="64" t="s">
        <v>879</v>
      </c>
      <c r="V306" s="121">
        <v>140066192</v>
      </c>
      <c r="W306" s="122">
        <v>0</v>
      </c>
      <c r="X306" s="64">
        <v>140066192</v>
      </c>
      <c r="Y306" s="121"/>
      <c r="Z306" s="121"/>
      <c r="AA306" s="121"/>
      <c r="AB306" s="121"/>
      <c r="AC306" s="64">
        <v>140066192</v>
      </c>
      <c r="AD306" s="65">
        <v>44224</v>
      </c>
      <c r="AE306" s="65">
        <v>47145</v>
      </c>
      <c r="AF306" s="62">
        <v>8</v>
      </c>
      <c r="AG306" s="119">
        <v>96</v>
      </c>
      <c r="AH306" s="25">
        <v>1459022.8333333333</v>
      </c>
      <c r="AI306" s="78">
        <v>51254064.365591399</v>
      </c>
      <c r="AJ306" s="78">
        <v>88812127.634408593</v>
      </c>
      <c r="AK306" s="27">
        <f t="shared" si="52"/>
        <v>1459022.8333333333</v>
      </c>
      <c r="AL306" s="27">
        <f t="shared" si="54"/>
        <v>1459022.8333333333</v>
      </c>
      <c r="AM306" s="27"/>
      <c r="AN306" s="27"/>
      <c r="AO306" s="27"/>
      <c r="AP306" s="27"/>
      <c r="AQ306" s="27"/>
      <c r="AR306" s="27"/>
      <c r="AS306" s="27"/>
      <c r="AT306" s="27"/>
      <c r="AU306" s="27"/>
      <c r="AV306" s="27"/>
      <c r="AW306" s="27">
        <f t="shared" si="47"/>
        <v>2918045.6666666665</v>
      </c>
      <c r="AX306" s="79">
        <f t="shared" si="48"/>
        <v>85894081.967741922</v>
      </c>
      <c r="AY306" s="79">
        <f t="shared" si="49"/>
        <v>54172110.032258064</v>
      </c>
      <c r="AZ306" s="25">
        <v>1</v>
      </c>
      <c r="BA306" s="62" t="s">
        <v>97</v>
      </c>
      <c r="BB306" s="66">
        <v>1</v>
      </c>
      <c r="BC306" s="66"/>
      <c r="BD306" s="66"/>
      <c r="BE306" s="67">
        <f t="shared" si="53"/>
        <v>1459022.8333333333</v>
      </c>
      <c r="BF306" s="67">
        <f t="shared" si="46"/>
        <v>0</v>
      </c>
      <c r="BG306" s="67">
        <f t="shared" si="45"/>
        <v>0</v>
      </c>
      <c r="BH306" s="66"/>
      <c r="BI306" s="68" t="s">
        <v>830</v>
      </c>
      <c r="BJ306" s="68" t="s">
        <v>85</v>
      </c>
      <c r="BK306" s="68" t="s">
        <v>85</v>
      </c>
      <c r="BL306" s="29"/>
      <c r="BO306" s="35" t="s">
        <v>1800</v>
      </c>
      <c r="BP306" s="1" t="s">
        <v>1816</v>
      </c>
      <c r="BQ306" s="1" t="e">
        <v>#N/A</v>
      </c>
    </row>
    <row r="307" spans="1:69" ht="15" hidden="1" customHeight="1">
      <c r="A307" s="1" t="s">
        <v>43</v>
      </c>
      <c r="C307" s="1" t="str">
        <f t="shared" si="50"/>
        <v>2901</v>
      </c>
      <c r="D307" s="1" t="str">
        <f t="shared" si="51"/>
        <v>2101</v>
      </c>
      <c r="E307" s="19" t="s">
        <v>48</v>
      </c>
      <c r="F307" s="62" t="s">
        <v>49</v>
      </c>
      <c r="G307" s="62">
        <v>2112</v>
      </c>
      <c r="H307" s="62" t="s">
        <v>891</v>
      </c>
      <c r="I307" s="62" t="s">
        <v>776</v>
      </c>
      <c r="J307" s="118">
        <v>1</v>
      </c>
      <c r="K307" s="119" t="s">
        <v>619</v>
      </c>
      <c r="L307" s="62" t="s">
        <v>877</v>
      </c>
      <c r="M307" s="120" t="s">
        <v>878</v>
      </c>
      <c r="N307" s="63">
        <v>44062</v>
      </c>
      <c r="O307" s="131">
        <v>5964.2857142857147</v>
      </c>
      <c r="P307" s="24">
        <v>23300.799999999999</v>
      </c>
      <c r="Q307" s="64">
        <v>138972629</v>
      </c>
      <c r="R307" s="64"/>
      <c r="S307" s="64"/>
      <c r="T307" s="64">
        <v>1093563.3214285714</v>
      </c>
      <c r="U307" s="64" t="s">
        <v>879</v>
      </c>
      <c r="V307" s="121">
        <v>140066192</v>
      </c>
      <c r="W307" s="122">
        <v>0</v>
      </c>
      <c r="X307" s="64">
        <v>140066192</v>
      </c>
      <c r="Y307" s="121"/>
      <c r="Z307" s="121"/>
      <c r="AA307" s="121"/>
      <c r="AB307" s="121"/>
      <c r="AC307" s="64">
        <v>140066192</v>
      </c>
      <c r="AD307" s="65">
        <v>44224</v>
      </c>
      <c r="AE307" s="65">
        <v>47145</v>
      </c>
      <c r="AF307" s="62">
        <v>8</v>
      </c>
      <c r="AG307" s="119">
        <v>96</v>
      </c>
      <c r="AH307" s="25">
        <v>1459022.8333333333</v>
      </c>
      <c r="AI307" s="78">
        <v>51254064.365591399</v>
      </c>
      <c r="AJ307" s="78">
        <v>88812127.634408593</v>
      </c>
      <c r="AK307" s="27">
        <f t="shared" si="52"/>
        <v>1459022.8333333333</v>
      </c>
      <c r="AL307" s="27">
        <f t="shared" si="54"/>
        <v>1459022.8333333333</v>
      </c>
      <c r="AM307" s="27"/>
      <c r="AN307" s="27"/>
      <c r="AO307" s="27"/>
      <c r="AP307" s="27"/>
      <c r="AQ307" s="27"/>
      <c r="AR307" s="27"/>
      <c r="AS307" s="27"/>
      <c r="AT307" s="27"/>
      <c r="AU307" s="27"/>
      <c r="AV307" s="27"/>
      <c r="AW307" s="27">
        <f t="shared" si="47"/>
        <v>2918045.6666666665</v>
      </c>
      <c r="AX307" s="79">
        <f t="shared" si="48"/>
        <v>85894081.967741922</v>
      </c>
      <c r="AY307" s="79">
        <f t="shared" si="49"/>
        <v>54172110.032258064</v>
      </c>
      <c r="AZ307" s="25">
        <v>1</v>
      </c>
      <c r="BA307" s="62" t="s">
        <v>97</v>
      </c>
      <c r="BB307" s="66">
        <v>1</v>
      </c>
      <c r="BC307" s="66"/>
      <c r="BD307" s="66"/>
      <c r="BE307" s="67">
        <f t="shared" si="53"/>
        <v>1459022.8333333333</v>
      </c>
      <c r="BF307" s="67">
        <f t="shared" si="46"/>
        <v>0</v>
      </c>
      <c r="BG307" s="67">
        <f t="shared" si="45"/>
        <v>0</v>
      </c>
      <c r="BH307" s="66"/>
      <c r="BI307" s="68" t="s">
        <v>830</v>
      </c>
      <c r="BJ307" s="68" t="s">
        <v>85</v>
      </c>
      <c r="BK307" s="68" t="s">
        <v>85</v>
      </c>
      <c r="BL307" s="29"/>
      <c r="BO307" s="35" t="s">
        <v>1800</v>
      </c>
      <c r="BP307" s="1" t="s">
        <v>1816</v>
      </c>
      <c r="BQ307" s="1" t="e">
        <v>#N/A</v>
      </c>
    </row>
    <row r="308" spans="1:69" ht="15" hidden="1" customHeight="1">
      <c r="A308" s="1" t="s">
        <v>43</v>
      </c>
      <c r="C308" s="1" t="str">
        <f t="shared" si="50"/>
        <v>2901</v>
      </c>
      <c r="D308" s="1" t="str">
        <f t="shared" si="51"/>
        <v>2101</v>
      </c>
      <c r="E308" s="19" t="s">
        <v>48</v>
      </c>
      <c r="F308" s="62" t="s">
        <v>49</v>
      </c>
      <c r="G308" s="62">
        <v>2112</v>
      </c>
      <c r="H308" s="62" t="s">
        <v>892</v>
      </c>
      <c r="I308" s="62" t="s">
        <v>776</v>
      </c>
      <c r="J308" s="118">
        <v>1</v>
      </c>
      <c r="K308" s="119" t="s">
        <v>619</v>
      </c>
      <c r="L308" s="62" t="s">
        <v>877</v>
      </c>
      <c r="M308" s="120" t="s">
        <v>878</v>
      </c>
      <c r="N308" s="63">
        <v>44062</v>
      </c>
      <c r="O308" s="131">
        <v>5964.2857142857147</v>
      </c>
      <c r="P308" s="24">
        <v>23300.799999999999</v>
      </c>
      <c r="Q308" s="64">
        <v>138972629</v>
      </c>
      <c r="R308" s="64"/>
      <c r="S308" s="64"/>
      <c r="T308" s="64">
        <v>1093563.3214285714</v>
      </c>
      <c r="U308" s="64" t="s">
        <v>879</v>
      </c>
      <c r="V308" s="121">
        <v>140066192</v>
      </c>
      <c r="W308" s="122">
        <v>0</v>
      </c>
      <c r="X308" s="64">
        <v>140066192</v>
      </c>
      <c r="Y308" s="121"/>
      <c r="Z308" s="121"/>
      <c r="AA308" s="121"/>
      <c r="AB308" s="121"/>
      <c r="AC308" s="64">
        <v>140066192</v>
      </c>
      <c r="AD308" s="65">
        <v>44224</v>
      </c>
      <c r="AE308" s="65">
        <v>47145</v>
      </c>
      <c r="AF308" s="62">
        <v>8</v>
      </c>
      <c r="AG308" s="119">
        <v>96</v>
      </c>
      <c r="AH308" s="25">
        <v>1459022.8333333333</v>
      </c>
      <c r="AI308" s="78">
        <v>51254064.365591399</v>
      </c>
      <c r="AJ308" s="78">
        <v>88812127.634408593</v>
      </c>
      <c r="AK308" s="27">
        <f t="shared" si="52"/>
        <v>1459022.8333333333</v>
      </c>
      <c r="AL308" s="27">
        <f t="shared" si="54"/>
        <v>1459022.8333333333</v>
      </c>
      <c r="AM308" s="27"/>
      <c r="AN308" s="27"/>
      <c r="AO308" s="27"/>
      <c r="AP308" s="27"/>
      <c r="AQ308" s="27"/>
      <c r="AR308" s="27"/>
      <c r="AS308" s="27"/>
      <c r="AT308" s="27"/>
      <c r="AU308" s="27"/>
      <c r="AV308" s="27"/>
      <c r="AW308" s="27">
        <f t="shared" si="47"/>
        <v>2918045.6666666665</v>
      </c>
      <c r="AX308" s="79">
        <f t="shared" si="48"/>
        <v>85894081.967741922</v>
      </c>
      <c r="AY308" s="79">
        <f t="shared" si="49"/>
        <v>54172110.032258064</v>
      </c>
      <c r="AZ308" s="25">
        <v>1</v>
      </c>
      <c r="BA308" s="62" t="s">
        <v>97</v>
      </c>
      <c r="BB308" s="66">
        <v>1</v>
      </c>
      <c r="BC308" s="66"/>
      <c r="BD308" s="66"/>
      <c r="BE308" s="67">
        <f t="shared" si="53"/>
        <v>1459022.8333333333</v>
      </c>
      <c r="BF308" s="67">
        <f t="shared" si="46"/>
        <v>0</v>
      </c>
      <c r="BG308" s="67">
        <f t="shared" si="45"/>
        <v>0</v>
      </c>
      <c r="BH308" s="66"/>
      <c r="BI308" s="68" t="s">
        <v>830</v>
      </c>
      <c r="BJ308" s="68" t="s">
        <v>85</v>
      </c>
      <c r="BK308" s="68" t="s">
        <v>85</v>
      </c>
      <c r="BL308" s="29"/>
      <c r="BO308" s="35" t="s">
        <v>1800</v>
      </c>
      <c r="BP308" s="1" t="s">
        <v>1816</v>
      </c>
      <c r="BQ308" s="1" t="e">
        <v>#N/A</v>
      </c>
    </row>
    <row r="309" spans="1:69" ht="15" hidden="1" customHeight="1">
      <c r="A309" s="1" t="s">
        <v>43</v>
      </c>
      <c r="C309" s="1" t="str">
        <f t="shared" si="50"/>
        <v>2901</v>
      </c>
      <c r="D309" s="1" t="str">
        <f t="shared" si="51"/>
        <v>2101</v>
      </c>
      <c r="E309" s="19" t="s">
        <v>48</v>
      </c>
      <c r="F309" s="62" t="s">
        <v>49</v>
      </c>
      <c r="G309" s="62">
        <v>2112</v>
      </c>
      <c r="H309" s="62" t="s">
        <v>893</v>
      </c>
      <c r="I309" s="62" t="s">
        <v>776</v>
      </c>
      <c r="J309" s="118">
        <v>1</v>
      </c>
      <c r="K309" s="119" t="s">
        <v>619</v>
      </c>
      <c r="L309" s="62" t="s">
        <v>877</v>
      </c>
      <c r="M309" s="120" t="s">
        <v>878</v>
      </c>
      <c r="N309" s="63">
        <v>44062</v>
      </c>
      <c r="O309" s="131">
        <v>5964.2857142857147</v>
      </c>
      <c r="P309" s="24">
        <v>23300.799999999999</v>
      </c>
      <c r="Q309" s="64">
        <v>138972629</v>
      </c>
      <c r="R309" s="64"/>
      <c r="S309" s="64"/>
      <c r="T309" s="64">
        <v>1093563.3214285714</v>
      </c>
      <c r="U309" s="64" t="s">
        <v>879</v>
      </c>
      <c r="V309" s="121">
        <v>140066192</v>
      </c>
      <c r="W309" s="122">
        <v>0</v>
      </c>
      <c r="X309" s="64">
        <v>140066192</v>
      </c>
      <c r="Y309" s="121"/>
      <c r="Z309" s="121"/>
      <c r="AA309" s="121"/>
      <c r="AB309" s="121"/>
      <c r="AC309" s="64">
        <v>140066192</v>
      </c>
      <c r="AD309" s="65">
        <v>44224</v>
      </c>
      <c r="AE309" s="65">
        <v>47145</v>
      </c>
      <c r="AF309" s="62">
        <v>8</v>
      </c>
      <c r="AG309" s="119">
        <v>96</v>
      </c>
      <c r="AH309" s="25">
        <v>1459022.8333333333</v>
      </c>
      <c r="AI309" s="78">
        <v>51254064.365591399</v>
      </c>
      <c r="AJ309" s="78">
        <v>88812127.634408593</v>
      </c>
      <c r="AK309" s="27">
        <f t="shared" si="52"/>
        <v>1459022.8333333333</v>
      </c>
      <c r="AL309" s="27">
        <f t="shared" si="54"/>
        <v>1459022.8333333333</v>
      </c>
      <c r="AM309" s="27"/>
      <c r="AN309" s="27"/>
      <c r="AO309" s="27"/>
      <c r="AP309" s="27"/>
      <c r="AQ309" s="27"/>
      <c r="AR309" s="27"/>
      <c r="AS309" s="27"/>
      <c r="AT309" s="27"/>
      <c r="AU309" s="27"/>
      <c r="AV309" s="27"/>
      <c r="AW309" s="27">
        <f t="shared" si="47"/>
        <v>2918045.6666666665</v>
      </c>
      <c r="AX309" s="79">
        <f t="shared" si="48"/>
        <v>85894081.967741922</v>
      </c>
      <c r="AY309" s="79">
        <f t="shared" si="49"/>
        <v>54172110.032258064</v>
      </c>
      <c r="AZ309" s="25">
        <v>1</v>
      </c>
      <c r="BA309" s="62" t="s">
        <v>97</v>
      </c>
      <c r="BB309" s="66">
        <v>1</v>
      </c>
      <c r="BC309" s="66"/>
      <c r="BD309" s="66"/>
      <c r="BE309" s="67">
        <f t="shared" si="53"/>
        <v>1459022.8333333333</v>
      </c>
      <c r="BF309" s="67">
        <f t="shared" si="46"/>
        <v>0</v>
      </c>
      <c r="BG309" s="67">
        <f t="shared" si="45"/>
        <v>0</v>
      </c>
      <c r="BH309" s="66"/>
      <c r="BI309" s="68" t="s">
        <v>894</v>
      </c>
      <c r="BJ309" s="68" t="s">
        <v>85</v>
      </c>
      <c r="BK309" s="68" t="s">
        <v>85</v>
      </c>
      <c r="BL309" s="29"/>
      <c r="BO309" s="35" t="s">
        <v>1800</v>
      </c>
      <c r="BP309" s="1" t="s">
        <v>1810</v>
      </c>
      <c r="BQ309" s="1" t="e">
        <v>#N/A</v>
      </c>
    </row>
    <row r="310" spans="1:69" ht="15" hidden="1" customHeight="1">
      <c r="A310" s="1" t="s">
        <v>43</v>
      </c>
      <c r="C310" s="1" t="str">
        <f t="shared" si="50"/>
        <v>2901</v>
      </c>
      <c r="D310" s="1" t="str">
        <f t="shared" si="51"/>
        <v>2101</v>
      </c>
      <c r="E310" s="19" t="s">
        <v>48</v>
      </c>
      <c r="F310" s="62" t="s">
        <v>49</v>
      </c>
      <c r="G310" s="62">
        <v>2112</v>
      </c>
      <c r="H310" s="62" t="s">
        <v>895</v>
      </c>
      <c r="I310" s="62" t="s">
        <v>776</v>
      </c>
      <c r="J310" s="118">
        <v>1</v>
      </c>
      <c r="K310" s="119" t="s">
        <v>619</v>
      </c>
      <c r="L310" s="62" t="s">
        <v>877</v>
      </c>
      <c r="M310" s="120" t="s">
        <v>878</v>
      </c>
      <c r="N310" s="63">
        <v>44062</v>
      </c>
      <c r="O310" s="131">
        <v>5964.2857142857147</v>
      </c>
      <c r="P310" s="24">
        <v>23300.799999999999</v>
      </c>
      <c r="Q310" s="64">
        <v>138972629</v>
      </c>
      <c r="R310" s="64"/>
      <c r="S310" s="64"/>
      <c r="T310" s="64">
        <v>1093563.3214285714</v>
      </c>
      <c r="U310" s="64" t="s">
        <v>879</v>
      </c>
      <c r="V310" s="121">
        <v>140066192</v>
      </c>
      <c r="W310" s="122">
        <v>0</v>
      </c>
      <c r="X310" s="64">
        <v>140066192</v>
      </c>
      <c r="Y310" s="121"/>
      <c r="Z310" s="121"/>
      <c r="AA310" s="121"/>
      <c r="AB310" s="121"/>
      <c r="AC310" s="64">
        <v>140066192</v>
      </c>
      <c r="AD310" s="65">
        <v>44224</v>
      </c>
      <c r="AE310" s="65">
        <v>47145</v>
      </c>
      <c r="AF310" s="62">
        <v>8</v>
      </c>
      <c r="AG310" s="119">
        <v>96</v>
      </c>
      <c r="AH310" s="25">
        <v>1459022.8333333333</v>
      </c>
      <c r="AI310" s="78">
        <v>51254064.365591399</v>
      </c>
      <c r="AJ310" s="78">
        <v>88812127.634408593</v>
      </c>
      <c r="AK310" s="27">
        <f t="shared" si="52"/>
        <v>1459022.8333333333</v>
      </c>
      <c r="AL310" s="27">
        <f t="shared" si="54"/>
        <v>1459022.8333333333</v>
      </c>
      <c r="AM310" s="27"/>
      <c r="AN310" s="27"/>
      <c r="AO310" s="27"/>
      <c r="AP310" s="27"/>
      <c r="AQ310" s="27"/>
      <c r="AR310" s="27"/>
      <c r="AS310" s="27"/>
      <c r="AT310" s="27"/>
      <c r="AU310" s="27"/>
      <c r="AV310" s="27"/>
      <c r="AW310" s="27">
        <f t="shared" si="47"/>
        <v>2918045.6666666665</v>
      </c>
      <c r="AX310" s="79">
        <f t="shared" si="48"/>
        <v>85894081.967741922</v>
      </c>
      <c r="AY310" s="79">
        <f t="shared" si="49"/>
        <v>54172110.032258064</v>
      </c>
      <c r="AZ310" s="25">
        <v>1</v>
      </c>
      <c r="BA310" s="62" t="s">
        <v>97</v>
      </c>
      <c r="BB310" s="66">
        <v>1</v>
      </c>
      <c r="BC310" s="66"/>
      <c r="BD310" s="66"/>
      <c r="BE310" s="67">
        <f t="shared" si="53"/>
        <v>1459022.8333333333</v>
      </c>
      <c r="BF310" s="67">
        <f t="shared" si="46"/>
        <v>0</v>
      </c>
      <c r="BG310" s="67">
        <f t="shared" si="45"/>
        <v>0</v>
      </c>
      <c r="BH310" s="66"/>
      <c r="BI310" s="68" t="s">
        <v>894</v>
      </c>
      <c r="BJ310" s="68" t="s">
        <v>85</v>
      </c>
      <c r="BK310" s="68" t="s">
        <v>85</v>
      </c>
      <c r="BL310" s="29"/>
      <c r="BO310" s="35" t="s">
        <v>1800</v>
      </c>
      <c r="BP310" s="1" t="s">
        <v>1810</v>
      </c>
      <c r="BQ310" s="1" t="e">
        <v>#N/A</v>
      </c>
    </row>
    <row r="311" spans="1:69" ht="15" hidden="1" customHeight="1">
      <c r="A311" s="1" t="s">
        <v>43</v>
      </c>
      <c r="C311" s="1" t="str">
        <f t="shared" si="50"/>
        <v>2901</v>
      </c>
      <c r="D311" s="1" t="str">
        <f t="shared" si="51"/>
        <v>2101</v>
      </c>
      <c r="E311" s="19" t="s">
        <v>48</v>
      </c>
      <c r="F311" s="62" t="s">
        <v>49</v>
      </c>
      <c r="G311" s="62">
        <v>2112</v>
      </c>
      <c r="H311" s="62" t="s">
        <v>896</v>
      </c>
      <c r="I311" s="62" t="s">
        <v>776</v>
      </c>
      <c r="J311" s="118">
        <v>1</v>
      </c>
      <c r="K311" s="119" t="s">
        <v>619</v>
      </c>
      <c r="L311" s="62" t="s">
        <v>877</v>
      </c>
      <c r="M311" s="120" t="s">
        <v>878</v>
      </c>
      <c r="N311" s="63">
        <v>44062</v>
      </c>
      <c r="O311" s="131">
        <v>5964.2857142857147</v>
      </c>
      <c r="P311" s="24">
        <v>23300.799999999999</v>
      </c>
      <c r="Q311" s="64">
        <v>138972629</v>
      </c>
      <c r="R311" s="64"/>
      <c r="S311" s="64"/>
      <c r="T311" s="64">
        <v>1093563.3214285714</v>
      </c>
      <c r="U311" s="64" t="s">
        <v>879</v>
      </c>
      <c r="V311" s="121">
        <v>140066192</v>
      </c>
      <c r="W311" s="122">
        <v>0</v>
      </c>
      <c r="X311" s="64">
        <v>140066192</v>
      </c>
      <c r="Y311" s="121"/>
      <c r="Z311" s="121"/>
      <c r="AA311" s="121"/>
      <c r="AB311" s="121"/>
      <c r="AC311" s="64">
        <v>140066192</v>
      </c>
      <c r="AD311" s="65">
        <v>44224</v>
      </c>
      <c r="AE311" s="65">
        <v>47145</v>
      </c>
      <c r="AF311" s="62">
        <v>8</v>
      </c>
      <c r="AG311" s="119">
        <v>96</v>
      </c>
      <c r="AH311" s="25">
        <v>1459022.8333333333</v>
      </c>
      <c r="AI311" s="78">
        <v>51254064.365591399</v>
      </c>
      <c r="AJ311" s="78">
        <v>88812127.634408593</v>
      </c>
      <c r="AK311" s="27">
        <f t="shared" si="52"/>
        <v>1459022.8333333333</v>
      </c>
      <c r="AL311" s="27">
        <f t="shared" si="54"/>
        <v>1459022.8333333333</v>
      </c>
      <c r="AM311" s="27"/>
      <c r="AN311" s="27"/>
      <c r="AO311" s="27"/>
      <c r="AP311" s="27"/>
      <c r="AQ311" s="27"/>
      <c r="AR311" s="27"/>
      <c r="AS311" s="27"/>
      <c r="AT311" s="27"/>
      <c r="AU311" s="27"/>
      <c r="AV311" s="27"/>
      <c r="AW311" s="27">
        <f t="shared" si="47"/>
        <v>2918045.6666666665</v>
      </c>
      <c r="AX311" s="79">
        <f t="shared" si="48"/>
        <v>85894081.967741922</v>
      </c>
      <c r="AY311" s="79">
        <f t="shared" si="49"/>
        <v>54172110.032258064</v>
      </c>
      <c r="AZ311" s="25">
        <v>1</v>
      </c>
      <c r="BA311" s="62" t="s">
        <v>97</v>
      </c>
      <c r="BB311" s="66">
        <v>1</v>
      </c>
      <c r="BC311" s="66"/>
      <c r="BD311" s="66"/>
      <c r="BE311" s="67">
        <f t="shared" si="53"/>
        <v>1459022.8333333333</v>
      </c>
      <c r="BF311" s="67">
        <f t="shared" si="46"/>
        <v>0</v>
      </c>
      <c r="BG311" s="67">
        <f t="shared" si="45"/>
        <v>0</v>
      </c>
      <c r="BH311" s="66"/>
      <c r="BI311" s="68" t="s">
        <v>894</v>
      </c>
      <c r="BJ311" s="68" t="s">
        <v>85</v>
      </c>
      <c r="BK311" s="68" t="s">
        <v>85</v>
      </c>
      <c r="BL311" s="29"/>
      <c r="BO311" s="35" t="s">
        <v>1800</v>
      </c>
      <c r="BP311" s="1" t="s">
        <v>1810</v>
      </c>
      <c r="BQ311" s="1" t="e">
        <v>#N/A</v>
      </c>
    </row>
    <row r="312" spans="1:69" ht="15" hidden="1" customHeight="1">
      <c r="A312" s="1" t="s">
        <v>43</v>
      </c>
      <c r="C312" s="1" t="str">
        <f t="shared" si="50"/>
        <v>2901</v>
      </c>
      <c r="D312" s="1" t="str">
        <f t="shared" si="51"/>
        <v>2101</v>
      </c>
      <c r="E312" s="19" t="s">
        <v>48</v>
      </c>
      <c r="F312" s="62" t="s">
        <v>49</v>
      </c>
      <c r="G312" s="62">
        <v>2112</v>
      </c>
      <c r="H312" s="62" t="s">
        <v>897</v>
      </c>
      <c r="I312" s="62" t="s">
        <v>776</v>
      </c>
      <c r="J312" s="118">
        <v>1</v>
      </c>
      <c r="K312" s="119" t="s">
        <v>619</v>
      </c>
      <c r="L312" s="62" t="s">
        <v>877</v>
      </c>
      <c r="M312" s="120" t="s">
        <v>878</v>
      </c>
      <c r="N312" s="63">
        <v>44062</v>
      </c>
      <c r="O312" s="131">
        <v>5964.2857142857147</v>
      </c>
      <c r="P312" s="24">
        <v>23300.799999999999</v>
      </c>
      <c r="Q312" s="64">
        <v>138972629</v>
      </c>
      <c r="R312" s="64"/>
      <c r="S312" s="64"/>
      <c r="T312" s="64">
        <v>1093563.3214285714</v>
      </c>
      <c r="U312" s="64" t="s">
        <v>879</v>
      </c>
      <c r="V312" s="121">
        <v>140066192</v>
      </c>
      <c r="W312" s="122">
        <v>0</v>
      </c>
      <c r="X312" s="64">
        <v>140066192</v>
      </c>
      <c r="Y312" s="121"/>
      <c r="Z312" s="121"/>
      <c r="AA312" s="121"/>
      <c r="AB312" s="121"/>
      <c r="AC312" s="64">
        <v>140066192</v>
      </c>
      <c r="AD312" s="65">
        <v>44224</v>
      </c>
      <c r="AE312" s="65">
        <v>47145</v>
      </c>
      <c r="AF312" s="62">
        <v>8</v>
      </c>
      <c r="AG312" s="119">
        <v>96</v>
      </c>
      <c r="AH312" s="25">
        <v>1459022.8333333333</v>
      </c>
      <c r="AI312" s="78">
        <v>51254064.365591399</v>
      </c>
      <c r="AJ312" s="78">
        <v>88812127.634408593</v>
      </c>
      <c r="AK312" s="27">
        <f t="shared" si="52"/>
        <v>1459022.8333333333</v>
      </c>
      <c r="AL312" s="27">
        <f t="shared" si="54"/>
        <v>1459022.8333333333</v>
      </c>
      <c r="AM312" s="27"/>
      <c r="AN312" s="27"/>
      <c r="AO312" s="27"/>
      <c r="AP312" s="27"/>
      <c r="AQ312" s="27"/>
      <c r="AR312" s="27"/>
      <c r="AS312" s="27"/>
      <c r="AT312" s="27"/>
      <c r="AU312" s="27"/>
      <c r="AV312" s="27"/>
      <c r="AW312" s="27">
        <f t="shared" si="47"/>
        <v>2918045.6666666665</v>
      </c>
      <c r="AX312" s="79">
        <f t="shared" si="48"/>
        <v>85894081.967741922</v>
      </c>
      <c r="AY312" s="79">
        <f t="shared" si="49"/>
        <v>54172110.032258064</v>
      </c>
      <c r="AZ312" s="25">
        <v>1</v>
      </c>
      <c r="BA312" s="62" t="s">
        <v>97</v>
      </c>
      <c r="BB312" s="66">
        <v>1</v>
      </c>
      <c r="BC312" s="66"/>
      <c r="BD312" s="66"/>
      <c r="BE312" s="67">
        <f t="shared" si="53"/>
        <v>1459022.8333333333</v>
      </c>
      <c r="BF312" s="67">
        <f t="shared" si="46"/>
        <v>0</v>
      </c>
      <c r="BG312" s="67">
        <f t="shared" si="45"/>
        <v>0</v>
      </c>
      <c r="BH312" s="66"/>
      <c r="BI312" s="68" t="s">
        <v>632</v>
      </c>
      <c r="BJ312" s="68" t="s">
        <v>85</v>
      </c>
      <c r="BK312" s="68" t="s">
        <v>85</v>
      </c>
      <c r="BL312" s="29"/>
      <c r="BO312" s="35" t="s">
        <v>1800</v>
      </c>
      <c r="BP312" s="1" t="s">
        <v>1823</v>
      </c>
      <c r="BQ312" s="1" t="e">
        <v>#N/A</v>
      </c>
    </row>
    <row r="313" spans="1:69" ht="15" hidden="1" customHeight="1">
      <c r="A313" s="1" t="s">
        <v>43</v>
      </c>
      <c r="C313" s="1" t="str">
        <f t="shared" si="50"/>
        <v>2901</v>
      </c>
      <c r="D313" s="1" t="str">
        <f t="shared" si="51"/>
        <v>2101</v>
      </c>
      <c r="E313" s="19" t="s">
        <v>48</v>
      </c>
      <c r="F313" s="62" t="s">
        <v>49</v>
      </c>
      <c r="G313" s="62">
        <v>2112</v>
      </c>
      <c r="H313" s="62" t="s">
        <v>898</v>
      </c>
      <c r="I313" s="62" t="s">
        <v>776</v>
      </c>
      <c r="J313" s="118">
        <v>1</v>
      </c>
      <c r="K313" s="119" t="s">
        <v>619</v>
      </c>
      <c r="L313" s="62" t="s">
        <v>877</v>
      </c>
      <c r="M313" s="120" t="s">
        <v>878</v>
      </c>
      <c r="N313" s="63">
        <v>44062</v>
      </c>
      <c r="O313" s="131">
        <v>5964.2857142857147</v>
      </c>
      <c r="P313" s="24">
        <v>23300.799999999999</v>
      </c>
      <c r="Q313" s="64">
        <v>138972629</v>
      </c>
      <c r="R313" s="64"/>
      <c r="S313" s="64"/>
      <c r="T313" s="64">
        <v>1093563.3214285714</v>
      </c>
      <c r="U313" s="64" t="s">
        <v>879</v>
      </c>
      <c r="V313" s="121">
        <v>140066192</v>
      </c>
      <c r="W313" s="122">
        <v>0</v>
      </c>
      <c r="X313" s="64">
        <v>140066192</v>
      </c>
      <c r="Y313" s="121"/>
      <c r="Z313" s="121"/>
      <c r="AA313" s="121"/>
      <c r="AB313" s="121"/>
      <c r="AC313" s="64">
        <v>140066192</v>
      </c>
      <c r="AD313" s="65">
        <v>44224</v>
      </c>
      <c r="AE313" s="65">
        <v>47145</v>
      </c>
      <c r="AF313" s="62">
        <v>8</v>
      </c>
      <c r="AG313" s="119">
        <v>96</v>
      </c>
      <c r="AH313" s="25">
        <v>1459022.8333333333</v>
      </c>
      <c r="AI313" s="78">
        <v>51254064.365591399</v>
      </c>
      <c r="AJ313" s="78">
        <v>88812127.634408593</v>
      </c>
      <c r="AK313" s="27">
        <f t="shared" si="52"/>
        <v>1459022.8333333333</v>
      </c>
      <c r="AL313" s="27">
        <f t="shared" si="54"/>
        <v>1459022.8333333333</v>
      </c>
      <c r="AM313" s="27"/>
      <c r="AN313" s="27"/>
      <c r="AO313" s="27"/>
      <c r="AP313" s="27"/>
      <c r="AQ313" s="27"/>
      <c r="AR313" s="27"/>
      <c r="AS313" s="27"/>
      <c r="AT313" s="27"/>
      <c r="AU313" s="27"/>
      <c r="AV313" s="27"/>
      <c r="AW313" s="27">
        <f t="shared" si="47"/>
        <v>2918045.6666666665</v>
      </c>
      <c r="AX313" s="79">
        <f t="shared" si="48"/>
        <v>85894081.967741922</v>
      </c>
      <c r="AY313" s="79">
        <f t="shared" si="49"/>
        <v>54172110.032258064</v>
      </c>
      <c r="AZ313" s="25">
        <v>1</v>
      </c>
      <c r="BA313" s="62" t="s">
        <v>97</v>
      </c>
      <c r="BB313" s="66">
        <v>1</v>
      </c>
      <c r="BC313" s="66"/>
      <c r="BD313" s="66"/>
      <c r="BE313" s="67">
        <f t="shared" si="53"/>
        <v>1459022.8333333333</v>
      </c>
      <c r="BF313" s="67">
        <f t="shared" si="46"/>
        <v>0</v>
      </c>
      <c r="BG313" s="67">
        <f t="shared" si="45"/>
        <v>0</v>
      </c>
      <c r="BH313" s="66"/>
      <c r="BI313" s="68" t="s">
        <v>632</v>
      </c>
      <c r="BJ313" s="68" t="s">
        <v>85</v>
      </c>
      <c r="BK313" s="68" t="s">
        <v>85</v>
      </c>
      <c r="BL313" s="29"/>
      <c r="BO313" s="35" t="s">
        <v>1800</v>
      </c>
      <c r="BP313" s="1" t="s">
        <v>1823</v>
      </c>
      <c r="BQ313" s="1" t="e">
        <v>#N/A</v>
      </c>
    </row>
    <row r="314" spans="1:69" ht="15" hidden="1" customHeight="1">
      <c r="A314" s="1" t="s">
        <v>43</v>
      </c>
      <c r="C314" s="1" t="str">
        <f t="shared" si="50"/>
        <v>2901</v>
      </c>
      <c r="D314" s="1" t="str">
        <f t="shared" si="51"/>
        <v>2101</v>
      </c>
      <c r="E314" s="19" t="s">
        <v>48</v>
      </c>
      <c r="F314" s="62" t="s">
        <v>49</v>
      </c>
      <c r="G314" s="62">
        <v>2112</v>
      </c>
      <c r="H314" s="62" t="s">
        <v>899</v>
      </c>
      <c r="I314" s="62" t="s">
        <v>776</v>
      </c>
      <c r="J314" s="118">
        <v>1</v>
      </c>
      <c r="K314" s="119" t="s">
        <v>619</v>
      </c>
      <c r="L314" s="62" t="s">
        <v>877</v>
      </c>
      <c r="M314" s="120" t="s">
        <v>878</v>
      </c>
      <c r="N314" s="63">
        <v>44062</v>
      </c>
      <c r="O314" s="131">
        <v>5964.2857142857147</v>
      </c>
      <c r="P314" s="24">
        <v>23300.799999999999</v>
      </c>
      <c r="Q314" s="64">
        <v>138972629</v>
      </c>
      <c r="R314" s="64"/>
      <c r="S314" s="64"/>
      <c r="T314" s="64">
        <v>1093563.3214285714</v>
      </c>
      <c r="U314" s="64" t="s">
        <v>879</v>
      </c>
      <c r="V314" s="121">
        <v>140066192</v>
      </c>
      <c r="W314" s="122">
        <v>0</v>
      </c>
      <c r="X314" s="64">
        <v>140066192</v>
      </c>
      <c r="Y314" s="121"/>
      <c r="Z314" s="121"/>
      <c r="AA314" s="121"/>
      <c r="AB314" s="121"/>
      <c r="AC314" s="64">
        <v>140066192</v>
      </c>
      <c r="AD314" s="65">
        <v>44224</v>
      </c>
      <c r="AE314" s="65">
        <v>47145</v>
      </c>
      <c r="AF314" s="62">
        <v>8</v>
      </c>
      <c r="AG314" s="119">
        <v>96</v>
      </c>
      <c r="AH314" s="25">
        <v>1459022.8333333333</v>
      </c>
      <c r="AI314" s="78">
        <v>51254064.365591399</v>
      </c>
      <c r="AJ314" s="78">
        <v>88812127.634408593</v>
      </c>
      <c r="AK314" s="27">
        <f t="shared" si="52"/>
        <v>1459022.8333333333</v>
      </c>
      <c r="AL314" s="27">
        <f t="shared" si="54"/>
        <v>1459022.8333333333</v>
      </c>
      <c r="AM314" s="27"/>
      <c r="AN314" s="27"/>
      <c r="AO314" s="27"/>
      <c r="AP314" s="27"/>
      <c r="AQ314" s="27"/>
      <c r="AR314" s="27"/>
      <c r="AS314" s="27"/>
      <c r="AT314" s="27"/>
      <c r="AU314" s="27"/>
      <c r="AV314" s="27"/>
      <c r="AW314" s="27">
        <f t="shared" si="47"/>
        <v>2918045.6666666665</v>
      </c>
      <c r="AX314" s="79">
        <f t="shared" si="48"/>
        <v>85894081.967741922</v>
      </c>
      <c r="AY314" s="79">
        <f t="shared" si="49"/>
        <v>54172110.032258064</v>
      </c>
      <c r="AZ314" s="25">
        <v>1</v>
      </c>
      <c r="BA314" s="62" t="s">
        <v>97</v>
      </c>
      <c r="BB314" s="66">
        <v>1</v>
      </c>
      <c r="BC314" s="66"/>
      <c r="BD314" s="66"/>
      <c r="BE314" s="67">
        <f t="shared" si="53"/>
        <v>1459022.8333333333</v>
      </c>
      <c r="BF314" s="67">
        <f t="shared" si="46"/>
        <v>0</v>
      </c>
      <c r="BG314" s="67">
        <f t="shared" si="45"/>
        <v>0</v>
      </c>
      <c r="BH314" s="66"/>
      <c r="BI314" s="68" t="s">
        <v>632</v>
      </c>
      <c r="BJ314" s="68" t="s">
        <v>85</v>
      </c>
      <c r="BK314" s="68" t="s">
        <v>85</v>
      </c>
      <c r="BL314" s="29"/>
      <c r="BO314" s="35" t="s">
        <v>1800</v>
      </c>
      <c r="BP314" s="1" t="s">
        <v>1823</v>
      </c>
      <c r="BQ314" s="1" t="e">
        <v>#N/A</v>
      </c>
    </row>
    <row r="315" spans="1:69" ht="15" hidden="1" customHeight="1">
      <c r="A315" s="1" t="s">
        <v>43</v>
      </c>
      <c r="C315" s="1" t="str">
        <f t="shared" si="50"/>
        <v>2901</v>
      </c>
      <c r="D315" s="1" t="str">
        <f t="shared" si="51"/>
        <v>2101</v>
      </c>
      <c r="E315" s="19" t="s">
        <v>48</v>
      </c>
      <c r="F315" s="62" t="s">
        <v>49</v>
      </c>
      <c r="G315" s="62">
        <v>2112</v>
      </c>
      <c r="H315" s="62" t="s">
        <v>900</v>
      </c>
      <c r="I315" s="62" t="s">
        <v>776</v>
      </c>
      <c r="J315" s="118">
        <v>1</v>
      </c>
      <c r="K315" s="119" t="s">
        <v>619</v>
      </c>
      <c r="L315" s="62" t="s">
        <v>877</v>
      </c>
      <c r="M315" s="120" t="s">
        <v>878</v>
      </c>
      <c r="N315" s="63">
        <v>44062</v>
      </c>
      <c r="O315" s="131">
        <v>5964.2857142857147</v>
      </c>
      <c r="P315" s="24">
        <v>23300.799999999999</v>
      </c>
      <c r="Q315" s="64">
        <v>138972629</v>
      </c>
      <c r="R315" s="64"/>
      <c r="S315" s="64"/>
      <c r="T315" s="64">
        <v>1093563.3214285714</v>
      </c>
      <c r="U315" s="64" t="s">
        <v>879</v>
      </c>
      <c r="V315" s="121">
        <v>140066192</v>
      </c>
      <c r="W315" s="122">
        <v>0</v>
      </c>
      <c r="X315" s="64">
        <v>140066192</v>
      </c>
      <c r="Y315" s="121"/>
      <c r="Z315" s="121"/>
      <c r="AA315" s="121"/>
      <c r="AB315" s="121"/>
      <c r="AC315" s="64">
        <v>140066192</v>
      </c>
      <c r="AD315" s="65">
        <v>44224</v>
      </c>
      <c r="AE315" s="65">
        <v>47145</v>
      </c>
      <c r="AF315" s="62">
        <v>8</v>
      </c>
      <c r="AG315" s="119">
        <v>96</v>
      </c>
      <c r="AH315" s="25">
        <v>1459022.8333333333</v>
      </c>
      <c r="AI315" s="78">
        <v>51254064.365591399</v>
      </c>
      <c r="AJ315" s="78">
        <v>88812127.634408593</v>
      </c>
      <c r="AK315" s="27">
        <f t="shared" si="52"/>
        <v>1459022.8333333333</v>
      </c>
      <c r="AL315" s="27">
        <f t="shared" si="54"/>
        <v>1459022.8333333333</v>
      </c>
      <c r="AM315" s="27"/>
      <c r="AN315" s="27"/>
      <c r="AO315" s="27"/>
      <c r="AP315" s="27"/>
      <c r="AQ315" s="27"/>
      <c r="AR315" s="27"/>
      <c r="AS315" s="27"/>
      <c r="AT315" s="27"/>
      <c r="AU315" s="27"/>
      <c r="AV315" s="27"/>
      <c r="AW315" s="27">
        <f t="shared" si="47"/>
        <v>2918045.6666666665</v>
      </c>
      <c r="AX315" s="79">
        <f t="shared" si="48"/>
        <v>85894081.967741922</v>
      </c>
      <c r="AY315" s="79">
        <f t="shared" si="49"/>
        <v>54172110.032258064</v>
      </c>
      <c r="AZ315" s="25">
        <v>1</v>
      </c>
      <c r="BA315" s="62" t="s">
        <v>97</v>
      </c>
      <c r="BB315" s="66">
        <v>1</v>
      </c>
      <c r="BC315" s="66"/>
      <c r="BD315" s="66"/>
      <c r="BE315" s="67">
        <f t="shared" si="53"/>
        <v>1459022.8333333333</v>
      </c>
      <c r="BF315" s="67">
        <f t="shared" si="46"/>
        <v>0</v>
      </c>
      <c r="BG315" s="67">
        <f t="shared" si="45"/>
        <v>0</v>
      </c>
      <c r="BH315" s="66"/>
      <c r="BI315" s="68" t="s">
        <v>632</v>
      </c>
      <c r="BJ315" s="68" t="s">
        <v>85</v>
      </c>
      <c r="BK315" s="68" t="s">
        <v>85</v>
      </c>
      <c r="BL315" s="29"/>
      <c r="BO315" s="35" t="s">
        <v>1800</v>
      </c>
      <c r="BP315" s="1" t="s">
        <v>1823</v>
      </c>
      <c r="BQ315" s="1" t="e">
        <v>#N/A</v>
      </c>
    </row>
    <row r="316" spans="1:69" ht="15" hidden="1" customHeight="1">
      <c r="A316" s="1" t="s">
        <v>43</v>
      </c>
      <c r="C316" s="1" t="str">
        <f t="shared" si="50"/>
        <v>2901</v>
      </c>
      <c r="D316" s="1" t="str">
        <f t="shared" si="51"/>
        <v>2101</v>
      </c>
      <c r="E316" s="19" t="s">
        <v>48</v>
      </c>
      <c r="F316" s="62" t="s">
        <v>49</v>
      </c>
      <c r="G316" s="62">
        <v>2112</v>
      </c>
      <c r="H316" s="62" t="s">
        <v>901</v>
      </c>
      <c r="I316" s="62" t="s">
        <v>776</v>
      </c>
      <c r="J316" s="118">
        <v>1</v>
      </c>
      <c r="K316" s="119" t="s">
        <v>619</v>
      </c>
      <c r="L316" s="62" t="s">
        <v>877</v>
      </c>
      <c r="M316" s="120" t="s">
        <v>878</v>
      </c>
      <c r="N316" s="63">
        <v>44062</v>
      </c>
      <c r="O316" s="131">
        <v>5964.2857142857147</v>
      </c>
      <c r="P316" s="24">
        <v>23300.799999999999</v>
      </c>
      <c r="Q316" s="64">
        <v>138972629</v>
      </c>
      <c r="R316" s="64"/>
      <c r="S316" s="64"/>
      <c r="T316" s="64">
        <v>1093563.3214285714</v>
      </c>
      <c r="U316" s="64" t="s">
        <v>879</v>
      </c>
      <c r="V316" s="121">
        <v>140066192</v>
      </c>
      <c r="W316" s="122">
        <v>0</v>
      </c>
      <c r="X316" s="64">
        <v>140066192</v>
      </c>
      <c r="Y316" s="121"/>
      <c r="Z316" s="121"/>
      <c r="AA316" s="121"/>
      <c r="AB316" s="121"/>
      <c r="AC316" s="64">
        <v>140066192</v>
      </c>
      <c r="AD316" s="65">
        <v>44224</v>
      </c>
      <c r="AE316" s="65">
        <v>47145</v>
      </c>
      <c r="AF316" s="62">
        <v>8</v>
      </c>
      <c r="AG316" s="119">
        <v>96</v>
      </c>
      <c r="AH316" s="25">
        <v>1459022.8333333333</v>
      </c>
      <c r="AI316" s="78">
        <v>51254064.365591399</v>
      </c>
      <c r="AJ316" s="78">
        <v>88812127.634408593</v>
      </c>
      <c r="AK316" s="27">
        <f t="shared" si="52"/>
        <v>1459022.8333333333</v>
      </c>
      <c r="AL316" s="27">
        <f t="shared" si="54"/>
        <v>1459022.8333333333</v>
      </c>
      <c r="AM316" s="27"/>
      <c r="AN316" s="27"/>
      <c r="AO316" s="27"/>
      <c r="AP316" s="27"/>
      <c r="AQ316" s="27"/>
      <c r="AR316" s="27"/>
      <c r="AS316" s="27"/>
      <c r="AT316" s="27"/>
      <c r="AU316" s="27"/>
      <c r="AV316" s="27"/>
      <c r="AW316" s="27">
        <f t="shared" si="47"/>
        <v>2918045.6666666665</v>
      </c>
      <c r="AX316" s="79">
        <f t="shared" si="48"/>
        <v>85894081.967741922</v>
      </c>
      <c r="AY316" s="79">
        <f t="shared" si="49"/>
        <v>54172110.032258064</v>
      </c>
      <c r="AZ316" s="25">
        <v>1</v>
      </c>
      <c r="BA316" s="62" t="s">
        <v>97</v>
      </c>
      <c r="BB316" s="66">
        <v>1</v>
      </c>
      <c r="BC316" s="66"/>
      <c r="BD316" s="66"/>
      <c r="BE316" s="67">
        <f t="shared" si="53"/>
        <v>1459022.8333333333</v>
      </c>
      <c r="BF316" s="67">
        <f t="shared" si="46"/>
        <v>0</v>
      </c>
      <c r="BG316" s="67">
        <f t="shared" si="45"/>
        <v>0</v>
      </c>
      <c r="BH316" s="66"/>
      <c r="BI316" s="68" t="s">
        <v>819</v>
      </c>
      <c r="BJ316" s="68" t="s">
        <v>85</v>
      </c>
      <c r="BK316" s="68" t="s">
        <v>85</v>
      </c>
      <c r="BL316" s="29"/>
      <c r="BO316" s="35" t="s">
        <v>1800</v>
      </c>
      <c r="BP316" s="1" t="s">
        <v>1821</v>
      </c>
      <c r="BQ316" s="1" t="e">
        <v>#N/A</v>
      </c>
    </row>
    <row r="317" spans="1:69" ht="15" hidden="1" customHeight="1">
      <c r="A317" s="1" t="s">
        <v>43</v>
      </c>
      <c r="C317" s="1" t="str">
        <f t="shared" si="50"/>
        <v>2901</v>
      </c>
      <c r="D317" s="1" t="str">
        <f t="shared" si="51"/>
        <v>2101</v>
      </c>
      <c r="E317" s="19" t="s">
        <v>48</v>
      </c>
      <c r="F317" s="62" t="s">
        <v>49</v>
      </c>
      <c r="G317" s="62">
        <v>2112</v>
      </c>
      <c r="H317" s="62" t="s">
        <v>902</v>
      </c>
      <c r="I317" s="62" t="s">
        <v>776</v>
      </c>
      <c r="J317" s="118">
        <v>1</v>
      </c>
      <c r="K317" s="119" t="s">
        <v>619</v>
      </c>
      <c r="L317" s="62" t="s">
        <v>877</v>
      </c>
      <c r="M317" s="120" t="s">
        <v>878</v>
      </c>
      <c r="N317" s="63">
        <v>44062</v>
      </c>
      <c r="O317" s="131">
        <v>5964.2857142857147</v>
      </c>
      <c r="P317" s="24">
        <v>23300.799999999999</v>
      </c>
      <c r="Q317" s="64">
        <v>138972629</v>
      </c>
      <c r="R317" s="64"/>
      <c r="S317" s="64"/>
      <c r="T317" s="64">
        <v>1093563.3214285714</v>
      </c>
      <c r="U317" s="64" t="s">
        <v>879</v>
      </c>
      <c r="V317" s="121">
        <v>140066192</v>
      </c>
      <c r="W317" s="122">
        <v>0</v>
      </c>
      <c r="X317" s="64">
        <v>140066192</v>
      </c>
      <c r="Y317" s="121"/>
      <c r="Z317" s="121"/>
      <c r="AA317" s="121"/>
      <c r="AB317" s="121"/>
      <c r="AC317" s="64">
        <v>140066192</v>
      </c>
      <c r="AD317" s="65">
        <v>44224</v>
      </c>
      <c r="AE317" s="65">
        <v>47145</v>
      </c>
      <c r="AF317" s="62">
        <v>8</v>
      </c>
      <c r="AG317" s="119">
        <v>96</v>
      </c>
      <c r="AH317" s="25">
        <v>1459022.8333333333</v>
      </c>
      <c r="AI317" s="78">
        <v>51254064.365591399</v>
      </c>
      <c r="AJ317" s="78">
        <v>88812127.634408593</v>
      </c>
      <c r="AK317" s="27">
        <f t="shared" si="52"/>
        <v>1459022.8333333333</v>
      </c>
      <c r="AL317" s="27">
        <f t="shared" si="54"/>
        <v>1459022.8333333333</v>
      </c>
      <c r="AM317" s="27"/>
      <c r="AN317" s="27"/>
      <c r="AO317" s="27"/>
      <c r="AP317" s="27"/>
      <c r="AQ317" s="27"/>
      <c r="AR317" s="27"/>
      <c r="AS317" s="27"/>
      <c r="AT317" s="27"/>
      <c r="AU317" s="27"/>
      <c r="AV317" s="27"/>
      <c r="AW317" s="27">
        <f t="shared" si="47"/>
        <v>2918045.6666666665</v>
      </c>
      <c r="AX317" s="79">
        <f t="shared" si="48"/>
        <v>85894081.967741922</v>
      </c>
      <c r="AY317" s="79">
        <f t="shared" si="49"/>
        <v>54172110.032258064</v>
      </c>
      <c r="AZ317" s="25">
        <v>1</v>
      </c>
      <c r="BA317" s="62" t="s">
        <v>97</v>
      </c>
      <c r="BB317" s="66">
        <v>1</v>
      </c>
      <c r="BC317" s="66"/>
      <c r="BD317" s="66"/>
      <c r="BE317" s="67">
        <f t="shared" si="53"/>
        <v>1459022.8333333333</v>
      </c>
      <c r="BF317" s="67">
        <f t="shared" si="46"/>
        <v>0</v>
      </c>
      <c r="BG317" s="67">
        <f t="shared" si="45"/>
        <v>0</v>
      </c>
      <c r="BH317" s="66"/>
      <c r="BI317" s="68" t="s">
        <v>819</v>
      </c>
      <c r="BJ317" s="68" t="s">
        <v>85</v>
      </c>
      <c r="BK317" s="68" t="s">
        <v>85</v>
      </c>
      <c r="BL317" s="29"/>
      <c r="BO317" s="35" t="s">
        <v>1800</v>
      </c>
      <c r="BP317" s="1" t="s">
        <v>1821</v>
      </c>
      <c r="BQ317" s="1" t="e">
        <v>#N/A</v>
      </c>
    </row>
    <row r="318" spans="1:69" ht="15" hidden="1" customHeight="1">
      <c r="A318" s="1" t="s">
        <v>43</v>
      </c>
      <c r="C318" s="1" t="str">
        <f t="shared" si="50"/>
        <v>2901</v>
      </c>
      <c r="D318" s="1" t="str">
        <f t="shared" si="51"/>
        <v>2101</v>
      </c>
      <c r="E318" s="19" t="s">
        <v>48</v>
      </c>
      <c r="F318" s="62" t="s">
        <v>49</v>
      </c>
      <c r="G318" s="62">
        <v>2112</v>
      </c>
      <c r="H318" s="62" t="s">
        <v>903</v>
      </c>
      <c r="I318" s="62" t="s">
        <v>776</v>
      </c>
      <c r="J318" s="118">
        <v>1</v>
      </c>
      <c r="K318" s="119" t="s">
        <v>619</v>
      </c>
      <c r="L318" s="62" t="s">
        <v>877</v>
      </c>
      <c r="M318" s="120" t="s">
        <v>878</v>
      </c>
      <c r="N318" s="63">
        <v>44062</v>
      </c>
      <c r="O318" s="131">
        <v>5964.2857142857147</v>
      </c>
      <c r="P318" s="24">
        <v>23300.799999999999</v>
      </c>
      <c r="Q318" s="64">
        <v>138972629</v>
      </c>
      <c r="R318" s="64"/>
      <c r="S318" s="64"/>
      <c r="T318" s="64">
        <v>1093563.3214285714</v>
      </c>
      <c r="U318" s="64" t="s">
        <v>879</v>
      </c>
      <c r="V318" s="121">
        <v>140066192</v>
      </c>
      <c r="W318" s="122">
        <v>0</v>
      </c>
      <c r="X318" s="64">
        <v>140066192</v>
      </c>
      <c r="Y318" s="121"/>
      <c r="Z318" s="121"/>
      <c r="AA318" s="121"/>
      <c r="AB318" s="121"/>
      <c r="AC318" s="64">
        <v>140066192</v>
      </c>
      <c r="AD318" s="65">
        <v>44224</v>
      </c>
      <c r="AE318" s="65">
        <v>47145</v>
      </c>
      <c r="AF318" s="62">
        <v>8</v>
      </c>
      <c r="AG318" s="119">
        <v>96</v>
      </c>
      <c r="AH318" s="25">
        <v>1459022.8333333333</v>
      </c>
      <c r="AI318" s="78">
        <v>51254064.365591399</v>
      </c>
      <c r="AJ318" s="78">
        <v>88812127.634408593</v>
      </c>
      <c r="AK318" s="27">
        <f t="shared" si="52"/>
        <v>1459022.8333333333</v>
      </c>
      <c r="AL318" s="27">
        <f t="shared" si="54"/>
        <v>1459022.8333333333</v>
      </c>
      <c r="AM318" s="27"/>
      <c r="AN318" s="27"/>
      <c r="AO318" s="27"/>
      <c r="AP318" s="27"/>
      <c r="AQ318" s="27"/>
      <c r="AR318" s="27"/>
      <c r="AS318" s="27"/>
      <c r="AT318" s="27"/>
      <c r="AU318" s="27"/>
      <c r="AV318" s="27"/>
      <c r="AW318" s="27">
        <f t="shared" si="47"/>
        <v>2918045.6666666665</v>
      </c>
      <c r="AX318" s="79">
        <f t="shared" si="48"/>
        <v>85894081.967741922</v>
      </c>
      <c r="AY318" s="79">
        <f t="shared" si="49"/>
        <v>54172110.032258064</v>
      </c>
      <c r="AZ318" s="25">
        <v>1</v>
      </c>
      <c r="BA318" s="62" t="s">
        <v>97</v>
      </c>
      <c r="BB318" s="66">
        <v>1</v>
      </c>
      <c r="BC318" s="66"/>
      <c r="BD318" s="66"/>
      <c r="BE318" s="67">
        <f t="shared" si="53"/>
        <v>1459022.8333333333</v>
      </c>
      <c r="BF318" s="67">
        <f t="shared" si="46"/>
        <v>0</v>
      </c>
      <c r="BG318" s="67">
        <f t="shared" si="45"/>
        <v>0</v>
      </c>
      <c r="BH318" s="66"/>
      <c r="BI318" s="68" t="s">
        <v>819</v>
      </c>
      <c r="BJ318" s="68" t="s">
        <v>85</v>
      </c>
      <c r="BK318" s="68" t="s">
        <v>85</v>
      </c>
      <c r="BL318" s="29"/>
      <c r="BO318" s="35" t="s">
        <v>1800</v>
      </c>
      <c r="BP318" s="1" t="s">
        <v>1821</v>
      </c>
      <c r="BQ318" s="1" t="e">
        <v>#N/A</v>
      </c>
    </row>
    <row r="319" spans="1:69" ht="15" hidden="1" customHeight="1">
      <c r="A319" s="1" t="s">
        <v>43</v>
      </c>
      <c r="C319" s="1" t="str">
        <f t="shared" si="50"/>
        <v>2901</v>
      </c>
      <c r="D319" s="1" t="str">
        <f t="shared" si="51"/>
        <v>2101</v>
      </c>
      <c r="E319" s="19" t="s">
        <v>48</v>
      </c>
      <c r="F319" s="62" t="s">
        <v>49</v>
      </c>
      <c r="G319" s="62">
        <v>2112</v>
      </c>
      <c r="H319" s="62" t="s">
        <v>904</v>
      </c>
      <c r="I319" s="62" t="s">
        <v>776</v>
      </c>
      <c r="J319" s="118">
        <v>1</v>
      </c>
      <c r="K319" s="119" t="s">
        <v>619</v>
      </c>
      <c r="L319" s="62" t="s">
        <v>877</v>
      </c>
      <c r="M319" s="120" t="s">
        <v>878</v>
      </c>
      <c r="N319" s="63">
        <v>44062</v>
      </c>
      <c r="O319" s="131">
        <v>5964.2857142857147</v>
      </c>
      <c r="P319" s="24">
        <v>23300.799999999999</v>
      </c>
      <c r="Q319" s="64">
        <v>138972629</v>
      </c>
      <c r="R319" s="64"/>
      <c r="S319" s="64"/>
      <c r="T319" s="64">
        <v>1093563.3214285714</v>
      </c>
      <c r="U319" s="64" t="s">
        <v>879</v>
      </c>
      <c r="V319" s="121">
        <v>140066192</v>
      </c>
      <c r="W319" s="122">
        <v>0</v>
      </c>
      <c r="X319" s="64">
        <v>140066192</v>
      </c>
      <c r="Y319" s="121"/>
      <c r="Z319" s="121"/>
      <c r="AA319" s="121"/>
      <c r="AB319" s="121"/>
      <c r="AC319" s="64">
        <v>140066192</v>
      </c>
      <c r="AD319" s="65">
        <v>44224</v>
      </c>
      <c r="AE319" s="65">
        <v>47145</v>
      </c>
      <c r="AF319" s="62">
        <v>8</v>
      </c>
      <c r="AG319" s="119">
        <v>96</v>
      </c>
      <c r="AH319" s="25">
        <v>1459022.8333333333</v>
      </c>
      <c r="AI319" s="78">
        <v>51254064.365591399</v>
      </c>
      <c r="AJ319" s="78">
        <v>88812127.634408593</v>
      </c>
      <c r="AK319" s="27">
        <f t="shared" si="52"/>
        <v>1459022.8333333333</v>
      </c>
      <c r="AL319" s="27">
        <f t="shared" si="54"/>
        <v>1459022.8333333333</v>
      </c>
      <c r="AM319" s="27"/>
      <c r="AN319" s="27"/>
      <c r="AO319" s="27"/>
      <c r="AP319" s="27"/>
      <c r="AQ319" s="27"/>
      <c r="AR319" s="27"/>
      <c r="AS319" s="27"/>
      <c r="AT319" s="27"/>
      <c r="AU319" s="27"/>
      <c r="AV319" s="27"/>
      <c r="AW319" s="27">
        <f t="shared" si="47"/>
        <v>2918045.6666666665</v>
      </c>
      <c r="AX319" s="79">
        <f t="shared" si="48"/>
        <v>85894081.967741922</v>
      </c>
      <c r="AY319" s="79">
        <f t="shared" si="49"/>
        <v>54172110.032258064</v>
      </c>
      <c r="AZ319" s="25">
        <v>1</v>
      </c>
      <c r="BA319" s="62" t="s">
        <v>97</v>
      </c>
      <c r="BB319" s="66">
        <v>1</v>
      </c>
      <c r="BC319" s="66"/>
      <c r="BD319" s="66"/>
      <c r="BE319" s="67">
        <f t="shared" si="53"/>
        <v>1459022.8333333333</v>
      </c>
      <c r="BF319" s="67">
        <f t="shared" si="46"/>
        <v>0</v>
      </c>
      <c r="BG319" s="67">
        <f t="shared" si="45"/>
        <v>0</v>
      </c>
      <c r="BH319" s="66"/>
      <c r="BI319" s="68" t="s">
        <v>905</v>
      </c>
      <c r="BJ319" s="68" t="s">
        <v>85</v>
      </c>
      <c r="BK319" s="68" t="s">
        <v>85</v>
      </c>
      <c r="BL319" s="29"/>
      <c r="BO319" s="35" t="s">
        <v>1801</v>
      </c>
      <c r="BP319" s="1" t="s">
        <v>1820</v>
      </c>
      <c r="BQ319" s="1" t="e">
        <v>#N/A</v>
      </c>
    </row>
    <row r="320" spans="1:69" ht="15" hidden="1" customHeight="1">
      <c r="A320" s="1" t="s">
        <v>43</v>
      </c>
      <c r="C320" s="1" t="str">
        <f t="shared" si="50"/>
        <v>2901</v>
      </c>
      <c r="D320" s="1" t="str">
        <f t="shared" si="51"/>
        <v>2101</v>
      </c>
      <c r="E320" s="19" t="s">
        <v>48</v>
      </c>
      <c r="F320" s="62" t="s">
        <v>49</v>
      </c>
      <c r="G320" s="62">
        <v>2112</v>
      </c>
      <c r="H320" s="62" t="s">
        <v>906</v>
      </c>
      <c r="I320" s="62" t="s">
        <v>776</v>
      </c>
      <c r="J320" s="118">
        <v>1</v>
      </c>
      <c r="K320" s="119" t="s">
        <v>619</v>
      </c>
      <c r="L320" s="62" t="s">
        <v>877</v>
      </c>
      <c r="M320" s="120" t="s">
        <v>878</v>
      </c>
      <c r="N320" s="63">
        <v>44062</v>
      </c>
      <c r="O320" s="131">
        <v>5964.2857142857147</v>
      </c>
      <c r="P320" s="24">
        <v>23300.799999999999</v>
      </c>
      <c r="Q320" s="64">
        <v>138972629</v>
      </c>
      <c r="R320" s="64"/>
      <c r="S320" s="64"/>
      <c r="T320" s="64">
        <v>1093563.3214285714</v>
      </c>
      <c r="U320" s="64" t="s">
        <v>879</v>
      </c>
      <c r="V320" s="121">
        <v>140066192</v>
      </c>
      <c r="W320" s="122">
        <v>0</v>
      </c>
      <c r="X320" s="64">
        <v>140066192</v>
      </c>
      <c r="Y320" s="121"/>
      <c r="Z320" s="121"/>
      <c r="AA320" s="121"/>
      <c r="AB320" s="121"/>
      <c r="AC320" s="64">
        <v>140066192</v>
      </c>
      <c r="AD320" s="65">
        <v>44224</v>
      </c>
      <c r="AE320" s="65">
        <v>47145</v>
      </c>
      <c r="AF320" s="62">
        <v>8</v>
      </c>
      <c r="AG320" s="119">
        <v>96</v>
      </c>
      <c r="AH320" s="25">
        <v>1459022.8333333333</v>
      </c>
      <c r="AI320" s="78">
        <v>51254064.365591399</v>
      </c>
      <c r="AJ320" s="78">
        <v>88812127.634408593</v>
      </c>
      <c r="AK320" s="27">
        <f t="shared" si="52"/>
        <v>1459022.8333333333</v>
      </c>
      <c r="AL320" s="27">
        <f t="shared" si="54"/>
        <v>1459022.8333333333</v>
      </c>
      <c r="AM320" s="27"/>
      <c r="AN320" s="27"/>
      <c r="AO320" s="27"/>
      <c r="AP320" s="27"/>
      <c r="AQ320" s="27"/>
      <c r="AR320" s="27"/>
      <c r="AS320" s="27"/>
      <c r="AT320" s="27"/>
      <c r="AU320" s="27"/>
      <c r="AV320" s="27"/>
      <c r="AW320" s="27">
        <f t="shared" si="47"/>
        <v>2918045.6666666665</v>
      </c>
      <c r="AX320" s="79">
        <f t="shared" si="48"/>
        <v>85894081.967741922</v>
      </c>
      <c r="AY320" s="79">
        <f t="shared" si="49"/>
        <v>54172110.032258064</v>
      </c>
      <c r="AZ320" s="25">
        <v>1</v>
      </c>
      <c r="BA320" s="62" t="s">
        <v>97</v>
      </c>
      <c r="BB320" s="66">
        <v>1</v>
      </c>
      <c r="BC320" s="66"/>
      <c r="BD320" s="66"/>
      <c r="BE320" s="67">
        <f t="shared" si="53"/>
        <v>1459022.8333333333</v>
      </c>
      <c r="BF320" s="67">
        <f t="shared" si="46"/>
        <v>0</v>
      </c>
      <c r="BG320" s="67">
        <f t="shared" si="45"/>
        <v>0</v>
      </c>
      <c r="BH320" s="66"/>
      <c r="BI320" s="68" t="s">
        <v>905</v>
      </c>
      <c r="BJ320" s="68" t="s">
        <v>85</v>
      </c>
      <c r="BK320" s="68" t="s">
        <v>85</v>
      </c>
      <c r="BL320" s="29"/>
      <c r="BO320" s="35" t="s">
        <v>1801</v>
      </c>
      <c r="BP320" s="1" t="s">
        <v>1820</v>
      </c>
      <c r="BQ320" s="1" t="e">
        <v>#N/A</v>
      </c>
    </row>
    <row r="321" spans="1:69" ht="15" hidden="1" customHeight="1">
      <c r="A321" s="1" t="s">
        <v>43</v>
      </c>
      <c r="C321" s="1" t="str">
        <f t="shared" si="50"/>
        <v>2901</v>
      </c>
      <c r="D321" s="1" t="str">
        <f t="shared" si="51"/>
        <v>2101</v>
      </c>
      <c r="E321" s="19" t="s">
        <v>48</v>
      </c>
      <c r="F321" s="62" t="s">
        <v>49</v>
      </c>
      <c r="G321" s="62">
        <v>2112</v>
      </c>
      <c r="H321" s="62" t="s">
        <v>907</v>
      </c>
      <c r="I321" s="62" t="s">
        <v>776</v>
      </c>
      <c r="J321" s="118">
        <v>1</v>
      </c>
      <c r="K321" s="119" t="s">
        <v>619</v>
      </c>
      <c r="L321" s="62" t="s">
        <v>877</v>
      </c>
      <c r="M321" s="120" t="s">
        <v>878</v>
      </c>
      <c r="N321" s="63">
        <v>44062</v>
      </c>
      <c r="O321" s="131">
        <v>5964.2857142857147</v>
      </c>
      <c r="P321" s="24">
        <v>23300.799999999999</v>
      </c>
      <c r="Q321" s="64">
        <v>138972629</v>
      </c>
      <c r="R321" s="64"/>
      <c r="S321" s="64"/>
      <c r="T321" s="64">
        <v>1093563.3214285714</v>
      </c>
      <c r="U321" s="64" t="s">
        <v>879</v>
      </c>
      <c r="V321" s="121">
        <v>140066192</v>
      </c>
      <c r="W321" s="122">
        <v>0</v>
      </c>
      <c r="X321" s="64">
        <v>140066192</v>
      </c>
      <c r="Y321" s="121"/>
      <c r="Z321" s="121"/>
      <c r="AA321" s="121"/>
      <c r="AB321" s="121"/>
      <c r="AC321" s="64">
        <v>140066192</v>
      </c>
      <c r="AD321" s="65">
        <v>44224</v>
      </c>
      <c r="AE321" s="65">
        <v>47145</v>
      </c>
      <c r="AF321" s="62">
        <v>8</v>
      </c>
      <c r="AG321" s="119">
        <v>96</v>
      </c>
      <c r="AH321" s="25">
        <v>1459022.8333333333</v>
      </c>
      <c r="AI321" s="78">
        <v>51254064.365591399</v>
      </c>
      <c r="AJ321" s="78">
        <v>88812127.634408593</v>
      </c>
      <c r="AK321" s="27">
        <f t="shared" si="52"/>
        <v>1459022.8333333333</v>
      </c>
      <c r="AL321" s="27">
        <f t="shared" si="54"/>
        <v>1459022.8333333333</v>
      </c>
      <c r="AM321" s="27"/>
      <c r="AN321" s="27"/>
      <c r="AO321" s="27"/>
      <c r="AP321" s="27"/>
      <c r="AQ321" s="27"/>
      <c r="AR321" s="27"/>
      <c r="AS321" s="27"/>
      <c r="AT321" s="27"/>
      <c r="AU321" s="27"/>
      <c r="AV321" s="27"/>
      <c r="AW321" s="27">
        <f t="shared" si="47"/>
        <v>2918045.6666666665</v>
      </c>
      <c r="AX321" s="79">
        <f t="shared" si="48"/>
        <v>85894081.967741922</v>
      </c>
      <c r="AY321" s="79">
        <f t="shared" si="49"/>
        <v>54172110.032258064</v>
      </c>
      <c r="AZ321" s="25">
        <v>1</v>
      </c>
      <c r="BA321" s="62" t="s">
        <v>97</v>
      </c>
      <c r="BB321" s="66">
        <v>1</v>
      </c>
      <c r="BC321" s="66"/>
      <c r="BD321" s="66"/>
      <c r="BE321" s="67">
        <f t="shared" si="53"/>
        <v>1459022.8333333333</v>
      </c>
      <c r="BF321" s="67">
        <f t="shared" si="46"/>
        <v>0</v>
      </c>
      <c r="BG321" s="67">
        <f t="shared" si="45"/>
        <v>0</v>
      </c>
      <c r="BH321" s="66"/>
      <c r="BI321" s="68" t="s">
        <v>905</v>
      </c>
      <c r="BJ321" s="68" t="s">
        <v>85</v>
      </c>
      <c r="BK321" s="68" t="s">
        <v>85</v>
      </c>
      <c r="BL321" s="29"/>
      <c r="BO321" s="35" t="s">
        <v>1801</v>
      </c>
      <c r="BP321" s="1" t="s">
        <v>1820</v>
      </c>
      <c r="BQ321" s="1" t="e">
        <v>#N/A</v>
      </c>
    </row>
    <row r="322" spans="1:69" ht="15" hidden="1" customHeight="1">
      <c r="A322" s="1" t="s">
        <v>43</v>
      </c>
      <c r="C322" s="1" t="str">
        <f t="shared" si="50"/>
        <v>2901</v>
      </c>
      <c r="D322" s="1" t="str">
        <f t="shared" si="51"/>
        <v>2101</v>
      </c>
      <c r="E322" s="19" t="s">
        <v>48</v>
      </c>
      <c r="F322" s="62" t="s">
        <v>49</v>
      </c>
      <c r="G322" s="62">
        <v>2112</v>
      </c>
      <c r="H322" s="62" t="s">
        <v>908</v>
      </c>
      <c r="I322" s="62" t="s">
        <v>776</v>
      </c>
      <c r="J322" s="118">
        <v>1</v>
      </c>
      <c r="K322" s="119" t="s">
        <v>619</v>
      </c>
      <c r="L322" s="62" t="s">
        <v>877</v>
      </c>
      <c r="M322" s="120" t="s">
        <v>878</v>
      </c>
      <c r="N322" s="63">
        <v>44062</v>
      </c>
      <c r="O322" s="131">
        <v>5964.2857142857147</v>
      </c>
      <c r="P322" s="24">
        <v>23300.799999999999</v>
      </c>
      <c r="Q322" s="64">
        <v>138972629</v>
      </c>
      <c r="R322" s="64"/>
      <c r="S322" s="64"/>
      <c r="T322" s="64">
        <v>1093563.3214285714</v>
      </c>
      <c r="U322" s="64" t="s">
        <v>879</v>
      </c>
      <c r="V322" s="121">
        <v>140066192</v>
      </c>
      <c r="W322" s="122">
        <v>0</v>
      </c>
      <c r="X322" s="64">
        <v>140066192</v>
      </c>
      <c r="Y322" s="121"/>
      <c r="Z322" s="121"/>
      <c r="AA322" s="121"/>
      <c r="AB322" s="121"/>
      <c r="AC322" s="64">
        <v>140066192</v>
      </c>
      <c r="AD322" s="65">
        <v>44224</v>
      </c>
      <c r="AE322" s="65">
        <v>47145</v>
      </c>
      <c r="AF322" s="62">
        <v>8</v>
      </c>
      <c r="AG322" s="119">
        <v>96</v>
      </c>
      <c r="AH322" s="25">
        <v>1459022.8333333333</v>
      </c>
      <c r="AI322" s="78">
        <v>51254064.365591399</v>
      </c>
      <c r="AJ322" s="78">
        <v>88812127.634408593</v>
      </c>
      <c r="AK322" s="27">
        <f t="shared" si="52"/>
        <v>1459022.8333333333</v>
      </c>
      <c r="AL322" s="27">
        <f t="shared" si="54"/>
        <v>1459022.8333333333</v>
      </c>
      <c r="AM322" s="27"/>
      <c r="AN322" s="27"/>
      <c r="AO322" s="27"/>
      <c r="AP322" s="27"/>
      <c r="AQ322" s="27"/>
      <c r="AR322" s="27"/>
      <c r="AS322" s="27"/>
      <c r="AT322" s="27"/>
      <c r="AU322" s="27"/>
      <c r="AV322" s="27"/>
      <c r="AW322" s="27">
        <f t="shared" si="47"/>
        <v>2918045.6666666665</v>
      </c>
      <c r="AX322" s="79">
        <f t="shared" si="48"/>
        <v>85894081.967741922</v>
      </c>
      <c r="AY322" s="79">
        <f t="shared" si="49"/>
        <v>54172110.032258064</v>
      </c>
      <c r="AZ322" s="25">
        <v>1</v>
      </c>
      <c r="BA322" s="62" t="s">
        <v>97</v>
      </c>
      <c r="BB322" s="66">
        <v>1</v>
      </c>
      <c r="BC322" s="66"/>
      <c r="BD322" s="66"/>
      <c r="BE322" s="67">
        <f t="shared" si="53"/>
        <v>1459022.8333333333</v>
      </c>
      <c r="BF322" s="67">
        <f t="shared" si="46"/>
        <v>0</v>
      </c>
      <c r="BG322" s="67">
        <f t="shared" si="45"/>
        <v>0</v>
      </c>
      <c r="BH322" s="66"/>
      <c r="BI322" s="68" t="s">
        <v>905</v>
      </c>
      <c r="BJ322" s="68" t="s">
        <v>85</v>
      </c>
      <c r="BK322" s="68" t="s">
        <v>85</v>
      </c>
      <c r="BL322" s="29"/>
      <c r="BO322" s="35" t="s">
        <v>1801</v>
      </c>
      <c r="BP322" s="1" t="s">
        <v>1820</v>
      </c>
      <c r="BQ322" s="1" t="e">
        <v>#N/A</v>
      </c>
    </row>
    <row r="323" spans="1:69" ht="15" hidden="1" customHeight="1">
      <c r="A323" s="1" t="s">
        <v>43</v>
      </c>
      <c r="C323" s="1" t="str">
        <f t="shared" si="50"/>
        <v>2509</v>
      </c>
      <c r="D323" s="1" t="str">
        <f t="shared" si="51"/>
        <v>2009</v>
      </c>
      <c r="E323" s="19" t="s">
        <v>48</v>
      </c>
      <c r="F323" s="62" t="s">
        <v>515</v>
      </c>
      <c r="G323" s="62">
        <v>2112</v>
      </c>
      <c r="H323" s="62" t="s">
        <v>909</v>
      </c>
      <c r="I323" s="62" t="s">
        <v>910</v>
      </c>
      <c r="J323" s="118">
        <v>1</v>
      </c>
      <c r="K323" s="119" t="s">
        <v>619</v>
      </c>
      <c r="L323" s="62" t="s">
        <v>911</v>
      </c>
      <c r="M323" s="120" t="s">
        <v>912</v>
      </c>
      <c r="N323" s="63">
        <v>44093</v>
      </c>
      <c r="O323" s="24"/>
      <c r="P323" s="24"/>
      <c r="Q323" s="64">
        <v>91500000</v>
      </c>
      <c r="R323" s="64"/>
      <c r="S323" s="64"/>
      <c r="T323" s="64"/>
      <c r="U323" s="64"/>
      <c r="V323" s="121">
        <v>91500000</v>
      </c>
      <c r="W323" s="122">
        <v>0</v>
      </c>
      <c r="X323" s="64">
        <v>91500000</v>
      </c>
      <c r="Y323" s="121"/>
      <c r="Z323" s="121"/>
      <c r="AA323" s="127"/>
      <c r="AB323" s="121"/>
      <c r="AC323" s="64">
        <v>91500000</v>
      </c>
      <c r="AD323" s="63">
        <v>44093</v>
      </c>
      <c r="AE323" s="65">
        <v>45918</v>
      </c>
      <c r="AF323" s="62">
        <v>5</v>
      </c>
      <c r="AG323" s="119">
        <v>60</v>
      </c>
      <c r="AH323" s="25">
        <v>1525000</v>
      </c>
      <c r="AI323" s="78">
        <v>60085000</v>
      </c>
      <c r="AJ323" s="78">
        <v>31415000</v>
      </c>
      <c r="AK323" s="27">
        <f t="shared" si="52"/>
        <v>1525000</v>
      </c>
      <c r="AL323" s="27">
        <f t="shared" si="54"/>
        <v>1525000</v>
      </c>
      <c r="AM323" s="27"/>
      <c r="AN323" s="27"/>
      <c r="AO323" s="27"/>
      <c r="AP323" s="27"/>
      <c r="AQ323" s="27"/>
      <c r="AR323" s="27"/>
      <c r="AS323" s="27"/>
      <c r="AT323" s="27"/>
      <c r="AU323" s="27"/>
      <c r="AV323" s="27"/>
      <c r="AW323" s="27">
        <f t="shared" si="47"/>
        <v>3050000</v>
      </c>
      <c r="AX323" s="79">
        <f t="shared" si="48"/>
        <v>28365000</v>
      </c>
      <c r="AY323" s="79">
        <f t="shared" si="49"/>
        <v>63135000</v>
      </c>
      <c r="AZ323" s="25">
        <v>1</v>
      </c>
      <c r="BA323" s="62" t="s">
        <v>97</v>
      </c>
      <c r="BB323" s="66">
        <v>1</v>
      </c>
      <c r="BC323" s="66"/>
      <c r="BD323" s="66"/>
      <c r="BE323" s="67">
        <f t="shared" si="53"/>
        <v>1525000</v>
      </c>
      <c r="BF323" s="67">
        <f t="shared" si="46"/>
        <v>0</v>
      </c>
      <c r="BG323" s="67">
        <f t="shared" si="45"/>
        <v>0</v>
      </c>
      <c r="BH323" s="66"/>
      <c r="BI323" s="68" t="s">
        <v>913</v>
      </c>
      <c r="BJ323" s="68" t="s">
        <v>644</v>
      </c>
      <c r="BK323" s="68" t="s">
        <v>644</v>
      </c>
      <c r="BL323" s="29"/>
      <c r="BO323" s="35" t="s">
        <v>1802</v>
      </c>
      <c r="BQ323" s="1" t="e">
        <v>#N/A</v>
      </c>
    </row>
    <row r="324" spans="1:69" ht="15" hidden="1" customHeight="1">
      <c r="A324" s="1" t="s">
        <v>43</v>
      </c>
      <c r="C324" s="1" t="str">
        <f t="shared" si="50"/>
        <v>2509</v>
      </c>
      <c r="D324" s="1" t="str">
        <f t="shared" si="51"/>
        <v>2009</v>
      </c>
      <c r="E324" s="19" t="s">
        <v>48</v>
      </c>
      <c r="F324" s="62" t="s">
        <v>515</v>
      </c>
      <c r="G324" s="62">
        <v>2113</v>
      </c>
      <c r="H324" s="62" t="s">
        <v>914</v>
      </c>
      <c r="I324" s="62" t="s">
        <v>915</v>
      </c>
      <c r="J324" s="118">
        <v>1</v>
      </c>
      <c r="K324" s="119" t="s">
        <v>271</v>
      </c>
      <c r="L324" s="62" t="s">
        <v>773</v>
      </c>
      <c r="M324" s="120" t="s">
        <v>916</v>
      </c>
      <c r="N324" s="63">
        <v>44104</v>
      </c>
      <c r="O324" s="24"/>
      <c r="P324" s="24"/>
      <c r="Q324" s="64">
        <v>78500000</v>
      </c>
      <c r="R324" s="64"/>
      <c r="S324" s="64"/>
      <c r="T324" s="64"/>
      <c r="U324" s="64"/>
      <c r="V324" s="121">
        <v>78500000</v>
      </c>
      <c r="W324" s="122">
        <v>0</v>
      </c>
      <c r="X324" s="64">
        <v>78500000</v>
      </c>
      <c r="Y324" s="121"/>
      <c r="Z324" s="121"/>
      <c r="AA324" s="121"/>
      <c r="AB324" s="121"/>
      <c r="AC324" s="64">
        <v>78500000</v>
      </c>
      <c r="AD324" s="63">
        <v>44104</v>
      </c>
      <c r="AE324" s="65">
        <v>45929</v>
      </c>
      <c r="AF324" s="62">
        <v>5</v>
      </c>
      <c r="AG324" s="119">
        <v>60</v>
      </c>
      <c r="AH324" s="25">
        <v>1308333.3333333333</v>
      </c>
      <c r="AI324" s="78">
        <v>51068601.333333336</v>
      </c>
      <c r="AJ324" s="78">
        <v>27431398.666666664</v>
      </c>
      <c r="AK324" s="27">
        <f t="shared" si="52"/>
        <v>1308333.3333333333</v>
      </c>
      <c r="AL324" s="27">
        <f t="shared" si="54"/>
        <v>1308333.3333333333</v>
      </c>
      <c r="AM324" s="27"/>
      <c r="AN324" s="27"/>
      <c r="AO324" s="27"/>
      <c r="AP324" s="27"/>
      <c r="AQ324" s="27"/>
      <c r="AR324" s="27"/>
      <c r="AS324" s="27"/>
      <c r="AT324" s="27"/>
      <c r="AU324" s="27"/>
      <c r="AV324" s="27"/>
      <c r="AW324" s="27">
        <f t="shared" si="47"/>
        <v>2616666.6666666665</v>
      </c>
      <c r="AX324" s="79">
        <f t="shared" si="48"/>
        <v>24814731.999999996</v>
      </c>
      <c r="AY324" s="79">
        <f t="shared" si="49"/>
        <v>53685268</v>
      </c>
      <c r="AZ324" s="25">
        <v>1</v>
      </c>
      <c r="BA324" s="62" t="s">
        <v>275</v>
      </c>
      <c r="BB324" s="66">
        <v>1</v>
      </c>
      <c r="BC324" s="66"/>
      <c r="BD324" s="66"/>
      <c r="BE324" s="67">
        <f t="shared" si="53"/>
        <v>1308333.3333333333</v>
      </c>
      <c r="BF324" s="67">
        <f t="shared" si="46"/>
        <v>0</v>
      </c>
      <c r="BG324" s="67">
        <f t="shared" si="45"/>
        <v>0</v>
      </c>
      <c r="BH324" s="66"/>
      <c r="BI324" s="68" t="s">
        <v>713</v>
      </c>
      <c r="BJ324" s="68" t="s">
        <v>644</v>
      </c>
      <c r="BK324" s="68" t="s">
        <v>644</v>
      </c>
      <c r="BL324" s="29"/>
      <c r="BO324" s="35" t="s">
        <v>1802</v>
      </c>
      <c r="BQ324" s="1" t="e">
        <v>#N/A</v>
      </c>
    </row>
    <row r="325" spans="1:69" ht="15" hidden="1" customHeight="1">
      <c r="A325" s="1" t="s">
        <v>43</v>
      </c>
      <c r="C325" s="1" t="str">
        <f t="shared" si="50"/>
        <v>3011</v>
      </c>
      <c r="D325" s="1" t="str">
        <f t="shared" si="51"/>
        <v>2011</v>
      </c>
      <c r="E325" s="19" t="s">
        <v>48</v>
      </c>
      <c r="F325" s="62" t="s">
        <v>515</v>
      </c>
      <c r="G325" s="62">
        <v>2112</v>
      </c>
      <c r="H325" s="62" t="s">
        <v>917</v>
      </c>
      <c r="I325" s="62" t="s">
        <v>918</v>
      </c>
      <c r="J325" s="118">
        <v>1</v>
      </c>
      <c r="K325" s="119" t="s">
        <v>271</v>
      </c>
      <c r="L325" s="62" t="s">
        <v>919</v>
      </c>
      <c r="M325" s="120" t="s">
        <v>920</v>
      </c>
      <c r="N325" s="63">
        <v>44091</v>
      </c>
      <c r="O325" s="24">
        <v>173000</v>
      </c>
      <c r="P325" s="24">
        <v>23308.5</v>
      </c>
      <c r="Q325" s="64">
        <v>4032370500</v>
      </c>
      <c r="R325" s="64"/>
      <c r="S325" s="64"/>
      <c r="T325" s="64">
        <v>83697800</v>
      </c>
      <c r="U325" s="64" t="s">
        <v>921</v>
      </c>
      <c r="V325" s="121">
        <v>4116068300</v>
      </c>
      <c r="W325" s="122">
        <v>0</v>
      </c>
      <c r="X325" s="64">
        <v>4116068300</v>
      </c>
      <c r="Y325" s="121"/>
      <c r="Z325" s="121"/>
      <c r="AA325" s="121"/>
      <c r="AB325" s="121"/>
      <c r="AC325" s="64">
        <v>4116068300</v>
      </c>
      <c r="AD325" s="65">
        <v>44155</v>
      </c>
      <c r="AE325" s="65">
        <v>47805</v>
      </c>
      <c r="AF325" s="62">
        <v>10</v>
      </c>
      <c r="AG325" s="119">
        <v>120</v>
      </c>
      <c r="AH325" s="25">
        <v>34300569.166666664</v>
      </c>
      <c r="AI325" s="78">
        <v>1281697929.6666667</v>
      </c>
      <c r="AJ325" s="78">
        <v>2834370370.3333335</v>
      </c>
      <c r="AK325" s="27">
        <f t="shared" si="52"/>
        <v>34300569.166666664</v>
      </c>
      <c r="AL325" s="27">
        <f t="shared" si="54"/>
        <v>34300569.166666664</v>
      </c>
      <c r="AM325" s="27"/>
      <c r="AN325" s="27"/>
      <c r="AO325" s="27"/>
      <c r="AP325" s="27"/>
      <c r="AQ325" s="27"/>
      <c r="AR325" s="27"/>
      <c r="AS325" s="27"/>
      <c r="AT325" s="27"/>
      <c r="AU325" s="27"/>
      <c r="AV325" s="27"/>
      <c r="AW325" s="27">
        <f t="shared" si="47"/>
        <v>68601138.333333328</v>
      </c>
      <c r="AX325" s="79">
        <f t="shared" si="48"/>
        <v>2765769231.9999995</v>
      </c>
      <c r="AY325" s="79">
        <f t="shared" si="49"/>
        <v>1350299068</v>
      </c>
      <c r="AZ325" s="25">
        <v>1</v>
      </c>
      <c r="BA325" s="62" t="s">
        <v>97</v>
      </c>
      <c r="BB325" s="66">
        <v>1</v>
      </c>
      <c r="BC325" s="66"/>
      <c r="BD325" s="66"/>
      <c r="BE325" s="67">
        <f t="shared" si="53"/>
        <v>34300569.166666664</v>
      </c>
      <c r="BF325" s="67">
        <f t="shared" si="46"/>
        <v>0</v>
      </c>
      <c r="BG325" s="67">
        <f t="shared" si="45"/>
        <v>0</v>
      </c>
      <c r="BH325" s="66"/>
      <c r="BI325" s="68" t="s">
        <v>713</v>
      </c>
      <c r="BJ325" s="68" t="s">
        <v>644</v>
      </c>
      <c r="BK325" s="68" t="s">
        <v>644</v>
      </c>
      <c r="BL325" s="29"/>
      <c r="BO325" s="35" t="s">
        <v>1802</v>
      </c>
      <c r="BQ325" s="1" t="e">
        <v>#N/A</v>
      </c>
    </row>
    <row r="326" spans="1:69" ht="15" hidden="1" customHeight="1">
      <c r="A326" s="1" t="s">
        <v>43</v>
      </c>
      <c r="C326" s="1" t="str">
        <f t="shared" si="50"/>
        <v>2711</v>
      </c>
      <c r="D326" s="1" t="str">
        <f t="shared" si="51"/>
        <v>2011</v>
      </c>
      <c r="E326" s="19" t="s">
        <v>48</v>
      </c>
      <c r="F326" s="62" t="s">
        <v>49</v>
      </c>
      <c r="G326" s="62">
        <v>2112</v>
      </c>
      <c r="H326" s="62" t="s">
        <v>922</v>
      </c>
      <c r="I326" s="62" t="s">
        <v>923</v>
      </c>
      <c r="J326" s="118">
        <v>1</v>
      </c>
      <c r="K326" s="119" t="s">
        <v>619</v>
      </c>
      <c r="L326" s="62" t="s">
        <v>924</v>
      </c>
      <c r="M326" s="120" t="s">
        <v>925</v>
      </c>
      <c r="N326" s="65">
        <v>44125</v>
      </c>
      <c r="O326" s="24">
        <v>35250</v>
      </c>
      <c r="P326" s="24">
        <v>23272.02</v>
      </c>
      <c r="Q326" s="64">
        <v>820338705</v>
      </c>
      <c r="R326" s="64"/>
      <c r="S326" s="64"/>
      <c r="T326" s="64">
        <v>916443.31333333335</v>
      </c>
      <c r="U326" s="64" t="s">
        <v>926</v>
      </c>
      <c r="V326" s="121">
        <v>821255148</v>
      </c>
      <c r="W326" s="122">
        <v>0</v>
      </c>
      <c r="X326" s="64">
        <v>821255148</v>
      </c>
      <c r="Y326" s="121"/>
      <c r="Z326" s="121"/>
      <c r="AA326" s="121"/>
      <c r="AB326" s="121"/>
      <c r="AC326" s="64">
        <v>821255148</v>
      </c>
      <c r="AD326" s="65">
        <v>44155</v>
      </c>
      <c r="AE326" s="65">
        <v>46710</v>
      </c>
      <c r="AF326" s="62">
        <v>7</v>
      </c>
      <c r="AG326" s="119">
        <v>84</v>
      </c>
      <c r="AH326" s="25">
        <v>9776847</v>
      </c>
      <c r="AI326" s="78">
        <v>365328183</v>
      </c>
      <c r="AJ326" s="78">
        <v>455926965</v>
      </c>
      <c r="AK326" s="27">
        <f t="shared" si="52"/>
        <v>9776847</v>
      </c>
      <c r="AL326" s="27">
        <f t="shared" si="54"/>
        <v>9776847</v>
      </c>
      <c r="AM326" s="27"/>
      <c r="AN326" s="27"/>
      <c r="AO326" s="27"/>
      <c r="AP326" s="27"/>
      <c r="AQ326" s="27"/>
      <c r="AR326" s="27"/>
      <c r="AS326" s="27"/>
      <c r="AT326" s="27"/>
      <c r="AU326" s="27"/>
      <c r="AV326" s="27"/>
      <c r="AW326" s="27">
        <f t="shared" si="47"/>
        <v>19553694</v>
      </c>
      <c r="AX326" s="79">
        <f t="shared" si="48"/>
        <v>436373271</v>
      </c>
      <c r="AY326" s="79">
        <f t="shared" si="49"/>
        <v>384881877</v>
      </c>
      <c r="AZ326" s="25">
        <v>1</v>
      </c>
      <c r="BA326" s="62" t="s">
        <v>97</v>
      </c>
      <c r="BB326" s="66">
        <v>1</v>
      </c>
      <c r="BC326" s="66"/>
      <c r="BD326" s="66"/>
      <c r="BE326" s="67">
        <f t="shared" si="53"/>
        <v>9776847</v>
      </c>
      <c r="BF326" s="67">
        <f t="shared" si="46"/>
        <v>0</v>
      </c>
      <c r="BG326" s="67">
        <f t="shared" si="45"/>
        <v>0</v>
      </c>
      <c r="BH326" s="66"/>
      <c r="BI326" s="68" t="s">
        <v>828</v>
      </c>
      <c r="BJ326" s="68" t="s">
        <v>121</v>
      </c>
      <c r="BK326" s="68" t="s">
        <v>121</v>
      </c>
      <c r="BL326" s="29"/>
      <c r="BO326" s="35" t="s">
        <v>1800</v>
      </c>
      <c r="BP326" s="1" t="s">
        <v>1822</v>
      </c>
      <c r="BQ326" s="1" t="e">
        <v>#N/A</v>
      </c>
    </row>
    <row r="327" spans="1:69" ht="15" hidden="1" customHeight="1">
      <c r="A327" s="1" t="s">
        <v>43</v>
      </c>
      <c r="C327" s="1" t="str">
        <f t="shared" si="50"/>
        <v>2711</v>
      </c>
      <c r="D327" s="1" t="str">
        <f t="shared" si="51"/>
        <v>2011</v>
      </c>
      <c r="E327" s="19" t="s">
        <v>48</v>
      </c>
      <c r="F327" s="62" t="s">
        <v>49</v>
      </c>
      <c r="G327" s="62">
        <v>2112</v>
      </c>
      <c r="H327" s="62" t="s">
        <v>927</v>
      </c>
      <c r="I327" s="62" t="s">
        <v>923</v>
      </c>
      <c r="J327" s="118">
        <v>1</v>
      </c>
      <c r="K327" s="119" t="s">
        <v>619</v>
      </c>
      <c r="L327" s="62" t="s">
        <v>924</v>
      </c>
      <c r="M327" s="120" t="s">
        <v>925</v>
      </c>
      <c r="N327" s="65">
        <v>44125</v>
      </c>
      <c r="O327" s="24">
        <v>35250</v>
      </c>
      <c r="P327" s="24">
        <v>23272.02</v>
      </c>
      <c r="Q327" s="64">
        <v>820338705</v>
      </c>
      <c r="R327" s="64"/>
      <c r="S327" s="64"/>
      <c r="T327" s="64">
        <v>916443.31333333335</v>
      </c>
      <c r="U327" s="64" t="s">
        <v>926</v>
      </c>
      <c r="V327" s="121">
        <v>821255148</v>
      </c>
      <c r="W327" s="122">
        <v>0</v>
      </c>
      <c r="X327" s="64">
        <v>821255148</v>
      </c>
      <c r="Y327" s="121"/>
      <c r="Z327" s="121"/>
      <c r="AA327" s="121"/>
      <c r="AB327" s="121"/>
      <c r="AC327" s="64">
        <v>821255148</v>
      </c>
      <c r="AD327" s="65">
        <v>44155</v>
      </c>
      <c r="AE327" s="65">
        <v>46710</v>
      </c>
      <c r="AF327" s="62">
        <v>7</v>
      </c>
      <c r="AG327" s="119">
        <v>84</v>
      </c>
      <c r="AH327" s="25">
        <v>9776847</v>
      </c>
      <c r="AI327" s="78">
        <v>365328183</v>
      </c>
      <c r="AJ327" s="78">
        <v>455926965</v>
      </c>
      <c r="AK327" s="27">
        <f t="shared" si="52"/>
        <v>9776847</v>
      </c>
      <c r="AL327" s="27">
        <f t="shared" si="54"/>
        <v>9776847</v>
      </c>
      <c r="AM327" s="27"/>
      <c r="AN327" s="27"/>
      <c r="AO327" s="27"/>
      <c r="AP327" s="27"/>
      <c r="AQ327" s="27"/>
      <c r="AR327" s="27"/>
      <c r="AS327" s="27"/>
      <c r="AT327" s="27"/>
      <c r="AU327" s="27"/>
      <c r="AV327" s="27"/>
      <c r="AW327" s="27">
        <f t="shared" si="47"/>
        <v>19553694</v>
      </c>
      <c r="AX327" s="79">
        <f t="shared" si="48"/>
        <v>436373271</v>
      </c>
      <c r="AY327" s="79">
        <f t="shared" si="49"/>
        <v>384881877</v>
      </c>
      <c r="AZ327" s="25">
        <v>1</v>
      </c>
      <c r="BA327" s="62" t="s">
        <v>97</v>
      </c>
      <c r="BB327" s="66">
        <v>1</v>
      </c>
      <c r="BC327" s="66"/>
      <c r="BD327" s="66"/>
      <c r="BE327" s="67">
        <f t="shared" si="53"/>
        <v>9776847</v>
      </c>
      <c r="BF327" s="67">
        <f t="shared" si="46"/>
        <v>0</v>
      </c>
      <c r="BG327" s="67">
        <f t="shared" si="45"/>
        <v>0</v>
      </c>
      <c r="BH327" s="66"/>
      <c r="BI327" s="68" t="s">
        <v>830</v>
      </c>
      <c r="BJ327" s="68" t="s">
        <v>121</v>
      </c>
      <c r="BK327" s="68" t="s">
        <v>121</v>
      </c>
      <c r="BL327" s="29"/>
      <c r="BO327" s="35" t="s">
        <v>1800</v>
      </c>
      <c r="BP327" s="1" t="s">
        <v>1816</v>
      </c>
      <c r="BQ327" s="1" t="e">
        <v>#N/A</v>
      </c>
    </row>
    <row r="328" spans="1:69" ht="15" hidden="1" customHeight="1">
      <c r="A328" s="1" t="s">
        <v>43</v>
      </c>
      <c r="C328" s="1" t="str">
        <f t="shared" si="50"/>
        <v>2711</v>
      </c>
      <c r="D328" s="1" t="str">
        <f t="shared" si="51"/>
        <v>2011</v>
      </c>
      <c r="E328" s="19" t="s">
        <v>48</v>
      </c>
      <c r="F328" s="62" t="s">
        <v>49</v>
      </c>
      <c r="G328" s="62">
        <v>2112</v>
      </c>
      <c r="H328" s="62" t="s">
        <v>928</v>
      </c>
      <c r="I328" s="62" t="s">
        <v>923</v>
      </c>
      <c r="J328" s="118">
        <v>1</v>
      </c>
      <c r="K328" s="119" t="s">
        <v>619</v>
      </c>
      <c r="L328" s="62" t="s">
        <v>924</v>
      </c>
      <c r="M328" s="120" t="s">
        <v>925</v>
      </c>
      <c r="N328" s="65">
        <v>44125</v>
      </c>
      <c r="O328" s="24">
        <v>35250</v>
      </c>
      <c r="P328" s="24">
        <v>23272.02</v>
      </c>
      <c r="Q328" s="64">
        <v>820338705</v>
      </c>
      <c r="R328" s="64"/>
      <c r="S328" s="64"/>
      <c r="T328" s="64">
        <v>916443.31333333335</v>
      </c>
      <c r="U328" s="64" t="s">
        <v>926</v>
      </c>
      <c r="V328" s="121">
        <v>821255148</v>
      </c>
      <c r="W328" s="122">
        <v>0</v>
      </c>
      <c r="X328" s="64">
        <v>821255148</v>
      </c>
      <c r="Y328" s="121">
        <v>-821255148</v>
      </c>
      <c r="Z328" s="121">
        <v>1</v>
      </c>
      <c r="AA328" s="128">
        <v>44455</v>
      </c>
      <c r="AB328" s="121" t="s">
        <v>419</v>
      </c>
      <c r="AC328" s="64">
        <v>0</v>
      </c>
      <c r="AD328" s="65">
        <v>44155</v>
      </c>
      <c r="AE328" s="65">
        <v>46710</v>
      </c>
      <c r="AF328" s="62">
        <v>7</v>
      </c>
      <c r="AG328" s="119">
        <v>84</v>
      </c>
      <c r="AH328" s="25">
        <v>0</v>
      </c>
      <c r="AI328" s="78">
        <v>-2.384185793236071E-8</v>
      </c>
      <c r="AJ328" s="78">
        <v>2.384185793236071E-8</v>
      </c>
      <c r="AK328" s="27">
        <f t="shared" si="52"/>
        <v>0</v>
      </c>
      <c r="AL328" s="27">
        <f t="shared" si="54"/>
        <v>0</v>
      </c>
      <c r="AM328" s="27"/>
      <c r="AN328" s="27"/>
      <c r="AO328" s="27"/>
      <c r="AP328" s="27"/>
      <c r="AQ328" s="27"/>
      <c r="AR328" s="27"/>
      <c r="AS328" s="27"/>
      <c r="AT328" s="27"/>
      <c r="AU328" s="27"/>
      <c r="AV328" s="27"/>
      <c r="AW328" s="27">
        <f t="shared" si="47"/>
        <v>0</v>
      </c>
      <c r="AX328" s="79">
        <f t="shared" si="48"/>
        <v>2.384185793236071E-8</v>
      </c>
      <c r="AY328" s="79">
        <f t="shared" si="49"/>
        <v>-2.384185793236071E-8</v>
      </c>
      <c r="AZ328" s="25">
        <v>0</v>
      </c>
      <c r="BA328" s="62" t="s">
        <v>97</v>
      </c>
      <c r="BB328" s="66">
        <v>1</v>
      </c>
      <c r="BC328" s="66"/>
      <c r="BD328" s="66"/>
      <c r="BE328" s="67">
        <f t="shared" si="53"/>
        <v>0</v>
      </c>
      <c r="BF328" s="67">
        <f t="shared" si="46"/>
        <v>0</v>
      </c>
      <c r="BG328" s="67">
        <f t="shared" si="45"/>
        <v>0</v>
      </c>
      <c r="BH328" s="66"/>
      <c r="BI328" s="68" t="s">
        <v>894</v>
      </c>
      <c r="BJ328" s="68" t="s">
        <v>121</v>
      </c>
      <c r="BK328" s="68" t="s">
        <v>121</v>
      </c>
      <c r="BL328" s="31">
        <v>724464363</v>
      </c>
      <c r="BQ328" s="1" t="e">
        <v>#N/A</v>
      </c>
    </row>
    <row r="329" spans="1:69" ht="15" hidden="1" customHeight="1">
      <c r="A329" s="1" t="s">
        <v>43</v>
      </c>
      <c r="C329" s="1" t="str">
        <f t="shared" si="50"/>
        <v>2711</v>
      </c>
      <c r="D329" s="1" t="str">
        <f t="shared" si="51"/>
        <v>2011</v>
      </c>
      <c r="E329" s="19" t="s">
        <v>48</v>
      </c>
      <c r="F329" s="62" t="s">
        <v>49</v>
      </c>
      <c r="G329" s="62">
        <v>2112</v>
      </c>
      <c r="H329" s="62" t="s">
        <v>929</v>
      </c>
      <c r="I329" s="62" t="s">
        <v>923</v>
      </c>
      <c r="J329" s="118">
        <v>1</v>
      </c>
      <c r="K329" s="119" t="s">
        <v>619</v>
      </c>
      <c r="L329" s="62" t="s">
        <v>924</v>
      </c>
      <c r="M329" s="120" t="s">
        <v>925</v>
      </c>
      <c r="N329" s="65">
        <v>44125</v>
      </c>
      <c r="O329" s="24">
        <v>35250</v>
      </c>
      <c r="P329" s="24">
        <v>23272.02</v>
      </c>
      <c r="Q329" s="64">
        <v>820338705</v>
      </c>
      <c r="R329" s="64"/>
      <c r="S329" s="64"/>
      <c r="T329" s="64">
        <v>916443.31333333335</v>
      </c>
      <c r="U329" s="64" t="s">
        <v>926</v>
      </c>
      <c r="V329" s="121">
        <v>821255148</v>
      </c>
      <c r="W329" s="122">
        <v>0</v>
      </c>
      <c r="X329" s="64">
        <v>821255148</v>
      </c>
      <c r="Y329" s="121">
        <v>-821255148</v>
      </c>
      <c r="Z329" s="121">
        <v>1</v>
      </c>
      <c r="AA329" s="128">
        <v>44455</v>
      </c>
      <c r="AB329" s="121" t="s">
        <v>419</v>
      </c>
      <c r="AC329" s="64">
        <v>0</v>
      </c>
      <c r="AD329" s="65">
        <v>44155</v>
      </c>
      <c r="AE329" s="65">
        <v>46710</v>
      </c>
      <c r="AF329" s="62">
        <v>7</v>
      </c>
      <c r="AG329" s="119">
        <v>84</v>
      </c>
      <c r="AH329" s="25">
        <v>0</v>
      </c>
      <c r="AI329" s="78">
        <v>-2.384185793236071E-8</v>
      </c>
      <c r="AJ329" s="78">
        <v>2.384185793236071E-8</v>
      </c>
      <c r="AK329" s="27">
        <f t="shared" si="52"/>
        <v>0</v>
      </c>
      <c r="AL329" s="27">
        <f t="shared" si="54"/>
        <v>0</v>
      </c>
      <c r="AM329" s="27"/>
      <c r="AN329" s="27"/>
      <c r="AO329" s="27"/>
      <c r="AP329" s="27"/>
      <c r="AQ329" s="27"/>
      <c r="AR329" s="27"/>
      <c r="AS329" s="27"/>
      <c r="AT329" s="27"/>
      <c r="AU329" s="27"/>
      <c r="AV329" s="27"/>
      <c r="AW329" s="27">
        <f t="shared" si="47"/>
        <v>0</v>
      </c>
      <c r="AX329" s="79">
        <f t="shared" si="48"/>
        <v>2.384185793236071E-8</v>
      </c>
      <c r="AY329" s="79">
        <f t="shared" si="49"/>
        <v>-2.384185793236071E-8</v>
      </c>
      <c r="AZ329" s="25">
        <v>0</v>
      </c>
      <c r="BA329" s="62" t="s">
        <v>97</v>
      </c>
      <c r="BB329" s="66">
        <v>1</v>
      </c>
      <c r="BC329" s="66"/>
      <c r="BD329" s="66"/>
      <c r="BE329" s="67">
        <f t="shared" si="53"/>
        <v>0</v>
      </c>
      <c r="BF329" s="67">
        <f t="shared" si="46"/>
        <v>0</v>
      </c>
      <c r="BG329" s="67">
        <f t="shared" si="45"/>
        <v>0</v>
      </c>
      <c r="BH329" s="66"/>
      <c r="BI329" s="68" t="s">
        <v>632</v>
      </c>
      <c r="BJ329" s="68" t="s">
        <v>121</v>
      </c>
      <c r="BK329" s="68" t="s">
        <v>121</v>
      </c>
      <c r="BL329" s="31">
        <v>724464363</v>
      </c>
      <c r="BQ329" s="1" t="e">
        <v>#N/A</v>
      </c>
    </row>
    <row r="330" spans="1:69" ht="15" hidden="1" customHeight="1">
      <c r="A330" s="1" t="s">
        <v>43</v>
      </c>
      <c r="C330" s="1" t="str">
        <f t="shared" si="50"/>
        <v>2711</v>
      </c>
      <c r="D330" s="1" t="str">
        <f t="shared" si="51"/>
        <v>2011</v>
      </c>
      <c r="E330" s="19" t="s">
        <v>48</v>
      </c>
      <c r="F330" s="62" t="s">
        <v>49</v>
      </c>
      <c r="G330" s="62">
        <v>2112</v>
      </c>
      <c r="H330" s="62" t="s">
        <v>930</v>
      </c>
      <c r="I330" s="62" t="s">
        <v>923</v>
      </c>
      <c r="J330" s="118">
        <v>1</v>
      </c>
      <c r="K330" s="119" t="s">
        <v>619</v>
      </c>
      <c r="L330" s="62" t="s">
        <v>924</v>
      </c>
      <c r="M330" s="120" t="s">
        <v>925</v>
      </c>
      <c r="N330" s="65">
        <v>44125</v>
      </c>
      <c r="O330" s="24">
        <v>35250</v>
      </c>
      <c r="P330" s="24">
        <v>23272.02</v>
      </c>
      <c r="Q330" s="64">
        <v>820338705</v>
      </c>
      <c r="R330" s="64"/>
      <c r="S330" s="64"/>
      <c r="T330" s="64">
        <v>916443.31333333335</v>
      </c>
      <c r="U330" s="64" t="s">
        <v>926</v>
      </c>
      <c r="V330" s="121">
        <v>821255148</v>
      </c>
      <c r="W330" s="122">
        <v>0</v>
      </c>
      <c r="X330" s="64">
        <v>821255148</v>
      </c>
      <c r="Y330" s="121"/>
      <c r="Z330" s="121"/>
      <c r="AA330" s="121"/>
      <c r="AB330" s="121"/>
      <c r="AC330" s="64">
        <v>821255148</v>
      </c>
      <c r="AD330" s="65">
        <v>44155</v>
      </c>
      <c r="AE330" s="65">
        <v>46710</v>
      </c>
      <c r="AF330" s="62">
        <v>7</v>
      </c>
      <c r="AG330" s="119">
        <v>84</v>
      </c>
      <c r="AH330" s="25">
        <v>9776847</v>
      </c>
      <c r="AI330" s="78">
        <v>365328183</v>
      </c>
      <c r="AJ330" s="78">
        <v>455926965</v>
      </c>
      <c r="AK330" s="27">
        <f t="shared" si="52"/>
        <v>9776847</v>
      </c>
      <c r="AL330" s="27">
        <f t="shared" si="54"/>
        <v>9776847</v>
      </c>
      <c r="AM330" s="27"/>
      <c r="AN330" s="27"/>
      <c r="AO330" s="27"/>
      <c r="AP330" s="27"/>
      <c r="AQ330" s="27"/>
      <c r="AR330" s="27"/>
      <c r="AS330" s="27"/>
      <c r="AT330" s="27"/>
      <c r="AU330" s="27"/>
      <c r="AV330" s="27"/>
      <c r="AW330" s="27">
        <f t="shared" si="47"/>
        <v>19553694</v>
      </c>
      <c r="AX330" s="79">
        <f t="shared" si="48"/>
        <v>436373271</v>
      </c>
      <c r="AY330" s="79">
        <f t="shared" si="49"/>
        <v>384881877</v>
      </c>
      <c r="AZ330" s="25">
        <v>1</v>
      </c>
      <c r="BA330" s="62" t="s">
        <v>97</v>
      </c>
      <c r="BB330" s="66">
        <v>1</v>
      </c>
      <c r="BC330" s="66"/>
      <c r="BD330" s="66"/>
      <c r="BE330" s="67">
        <f t="shared" si="53"/>
        <v>9776847</v>
      </c>
      <c r="BF330" s="67">
        <f t="shared" si="46"/>
        <v>0</v>
      </c>
      <c r="BG330" s="67">
        <f t="shared" ref="BG330:BG393" si="55">+$AL330*BD330</f>
        <v>0</v>
      </c>
      <c r="BH330" s="66"/>
      <c r="BI330" s="68" t="s">
        <v>905</v>
      </c>
      <c r="BJ330" s="68" t="s">
        <v>121</v>
      </c>
      <c r="BK330" s="68" t="s">
        <v>121</v>
      </c>
      <c r="BL330" s="29"/>
      <c r="BO330" s="35" t="s">
        <v>1801</v>
      </c>
      <c r="BP330" s="1" t="s">
        <v>1820</v>
      </c>
      <c r="BQ330" s="1" t="s">
        <v>1979</v>
      </c>
    </row>
    <row r="331" spans="1:69" ht="15" hidden="1" customHeight="1">
      <c r="A331" s="1" t="s">
        <v>43</v>
      </c>
      <c r="C331" s="1" t="str">
        <f t="shared" si="50"/>
        <v>2711</v>
      </c>
      <c r="D331" s="1" t="str">
        <f t="shared" si="51"/>
        <v>2011</v>
      </c>
      <c r="E331" s="19" t="s">
        <v>48</v>
      </c>
      <c r="F331" s="62" t="s">
        <v>49</v>
      </c>
      <c r="G331" s="62">
        <v>2112</v>
      </c>
      <c r="H331" s="62" t="s">
        <v>931</v>
      </c>
      <c r="I331" s="62" t="s">
        <v>923</v>
      </c>
      <c r="J331" s="118">
        <v>1</v>
      </c>
      <c r="K331" s="119" t="s">
        <v>619</v>
      </c>
      <c r="L331" s="62" t="s">
        <v>924</v>
      </c>
      <c r="M331" s="120" t="s">
        <v>925</v>
      </c>
      <c r="N331" s="65">
        <v>44125</v>
      </c>
      <c r="O331" s="24">
        <v>35250</v>
      </c>
      <c r="P331" s="24">
        <v>23272.02</v>
      </c>
      <c r="Q331" s="64">
        <v>820338705</v>
      </c>
      <c r="R331" s="64"/>
      <c r="S331" s="64"/>
      <c r="T331" s="64">
        <v>916443.31333333335</v>
      </c>
      <c r="U331" s="64" t="s">
        <v>926</v>
      </c>
      <c r="V331" s="121">
        <v>821255148</v>
      </c>
      <c r="W331" s="122">
        <v>0</v>
      </c>
      <c r="X331" s="64">
        <v>821255148</v>
      </c>
      <c r="Y331" s="121"/>
      <c r="Z331" s="121"/>
      <c r="AA331" s="121"/>
      <c r="AB331" s="121"/>
      <c r="AC331" s="64">
        <v>821255148</v>
      </c>
      <c r="AD331" s="65">
        <v>44155</v>
      </c>
      <c r="AE331" s="65">
        <v>46710</v>
      </c>
      <c r="AF331" s="62">
        <v>7</v>
      </c>
      <c r="AG331" s="119">
        <v>84</v>
      </c>
      <c r="AH331" s="25">
        <v>9776847</v>
      </c>
      <c r="AI331" s="78">
        <v>365328183</v>
      </c>
      <c r="AJ331" s="78">
        <v>455926965</v>
      </c>
      <c r="AK331" s="27">
        <f t="shared" si="52"/>
        <v>9776847</v>
      </c>
      <c r="AL331" s="27">
        <f t="shared" si="54"/>
        <v>9776847</v>
      </c>
      <c r="AM331" s="27"/>
      <c r="AN331" s="27"/>
      <c r="AO331" s="27"/>
      <c r="AP331" s="27"/>
      <c r="AQ331" s="27"/>
      <c r="AR331" s="27"/>
      <c r="AS331" s="27"/>
      <c r="AT331" s="27"/>
      <c r="AU331" s="27"/>
      <c r="AV331" s="27"/>
      <c r="AW331" s="27">
        <f t="shared" si="47"/>
        <v>19553694</v>
      </c>
      <c r="AX331" s="79">
        <f t="shared" si="48"/>
        <v>436373271</v>
      </c>
      <c r="AY331" s="79">
        <f t="shared" si="49"/>
        <v>384881877</v>
      </c>
      <c r="AZ331" s="25">
        <v>1</v>
      </c>
      <c r="BA331" s="62" t="s">
        <v>97</v>
      </c>
      <c r="BB331" s="66">
        <v>1</v>
      </c>
      <c r="BC331" s="66"/>
      <c r="BD331" s="66"/>
      <c r="BE331" s="67">
        <f t="shared" si="53"/>
        <v>9776847</v>
      </c>
      <c r="BF331" s="67">
        <f t="shared" ref="BF331:BF394" si="56">+$AL331*BC331</f>
        <v>0</v>
      </c>
      <c r="BG331" s="67">
        <f t="shared" si="55"/>
        <v>0</v>
      </c>
      <c r="BH331" s="66"/>
      <c r="BI331" s="68" t="s">
        <v>932</v>
      </c>
      <c r="BJ331" s="68" t="s">
        <v>121</v>
      </c>
      <c r="BK331" s="68" t="s">
        <v>121</v>
      </c>
      <c r="BL331" s="29"/>
      <c r="BO331" s="35" t="s">
        <v>1800</v>
      </c>
      <c r="BP331" s="1" t="s">
        <v>1823</v>
      </c>
      <c r="BQ331" s="1" t="e">
        <v>#N/A</v>
      </c>
    </row>
    <row r="332" spans="1:69" ht="15" hidden="1" customHeight="1">
      <c r="A332" s="1" t="s">
        <v>43</v>
      </c>
      <c r="C332" s="1" t="str">
        <f t="shared" si="50"/>
        <v>2612</v>
      </c>
      <c r="D332" s="1" t="str">
        <f t="shared" si="51"/>
        <v>2012</v>
      </c>
      <c r="E332" s="19" t="s">
        <v>48</v>
      </c>
      <c r="F332" s="62" t="s">
        <v>49</v>
      </c>
      <c r="G332" s="62">
        <v>2112</v>
      </c>
      <c r="H332" s="62" t="s">
        <v>933</v>
      </c>
      <c r="I332" s="62" t="s">
        <v>934</v>
      </c>
      <c r="J332" s="118">
        <v>1</v>
      </c>
      <c r="K332" s="119" t="s">
        <v>619</v>
      </c>
      <c r="L332" s="62" t="s">
        <v>935</v>
      </c>
      <c r="M332" s="120" t="s">
        <v>936</v>
      </c>
      <c r="N332" s="65">
        <v>44131</v>
      </c>
      <c r="O332" s="24">
        <v>19285</v>
      </c>
      <c r="P332" s="24">
        <v>23272.2</v>
      </c>
      <c r="Q332" s="64">
        <v>448804377</v>
      </c>
      <c r="R332" s="64"/>
      <c r="S332" s="64"/>
      <c r="T332" s="64">
        <v>5006500</v>
      </c>
      <c r="U332" s="64" t="s">
        <v>937</v>
      </c>
      <c r="V332" s="121">
        <v>453810877</v>
      </c>
      <c r="W332" s="122">
        <v>0</v>
      </c>
      <c r="X332" s="64">
        <v>453810877</v>
      </c>
      <c r="Y332" s="121">
        <v>-453810877</v>
      </c>
      <c r="Z332" s="121">
        <v>1</v>
      </c>
      <c r="AA332" s="128">
        <v>44455</v>
      </c>
      <c r="AB332" s="121" t="s">
        <v>419</v>
      </c>
      <c r="AC332" s="64">
        <v>0</v>
      </c>
      <c r="AD332" s="65">
        <v>44180</v>
      </c>
      <c r="AE332" s="65">
        <v>46370</v>
      </c>
      <c r="AF332" s="62">
        <v>6</v>
      </c>
      <c r="AG332" s="119">
        <v>72</v>
      </c>
      <c r="AH332" s="25">
        <v>0</v>
      </c>
      <c r="AI332" s="78">
        <v>3.3333253860473588E-3</v>
      </c>
      <c r="AJ332" s="78">
        <v>-3.3333253860473588E-3</v>
      </c>
      <c r="AK332" s="27">
        <f t="shared" si="52"/>
        <v>0</v>
      </c>
      <c r="AL332" s="27">
        <f t="shared" si="54"/>
        <v>0</v>
      </c>
      <c r="AM332" s="27"/>
      <c r="AN332" s="27"/>
      <c r="AO332" s="27"/>
      <c r="AP332" s="27"/>
      <c r="AQ332" s="27"/>
      <c r="AR332" s="27"/>
      <c r="AS332" s="27"/>
      <c r="AT332" s="27"/>
      <c r="AU332" s="27"/>
      <c r="AV332" s="27"/>
      <c r="AW332" s="27">
        <f t="shared" si="47"/>
        <v>0</v>
      </c>
      <c r="AX332" s="79">
        <f t="shared" si="48"/>
        <v>-3.3333253860473588E-3</v>
      </c>
      <c r="AY332" s="79">
        <f t="shared" si="49"/>
        <v>3.3333253860473588E-3</v>
      </c>
      <c r="AZ332" s="25">
        <v>0</v>
      </c>
      <c r="BA332" s="62" t="s">
        <v>97</v>
      </c>
      <c r="BB332" s="66">
        <v>1</v>
      </c>
      <c r="BC332" s="66"/>
      <c r="BD332" s="66"/>
      <c r="BE332" s="67">
        <f t="shared" si="53"/>
        <v>0</v>
      </c>
      <c r="BF332" s="67">
        <f t="shared" si="56"/>
        <v>0</v>
      </c>
      <c r="BG332" s="67">
        <f t="shared" si="55"/>
        <v>0</v>
      </c>
      <c r="BH332" s="66"/>
      <c r="BI332" s="68" t="s">
        <v>894</v>
      </c>
      <c r="BJ332" s="68" t="s">
        <v>81</v>
      </c>
      <c r="BK332" s="68" t="s">
        <v>81</v>
      </c>
      <c r="BL332" s="31">
        <v>396569438</v>
      </c>
      <c r="BQ332" s="1" t="e">
        <v>#N/A</v>
      </c>
    </row>
    <row r="333" spans="1:69" ht="15" hidden="1" customHeight="1">
      <c r="A333" s="1" t="s">
        <v>43</v>
      </c>
      <c r="C333" s="1" t="str">
        <f t="shared" si="50"/>
        <v>2612</v>
      </c>
      <c r="D333" s="1" t="str">
        <f t="shared" si="51"/>
        <v>2012</v>
      </c>
      <c r="E333" s="19" t="s">
        <v>48</v>
      </c>
      <c r="F333" s="62" t="s">
        <v>49</v>
      </c>
      <c r="G333" s="62">
        <v>2112</v>
      </c>
      <c r="H333" s="62" t="s">
        <v>938</v>
      </c>
      <c r="I333" s="62" t="s">
        <v>934</v>
      </c>
      <c r="J333" s="118">
        <v>1</v>
      </c>
      <c r="K333" s="119" t="s">
        <v>619</v>
      </c>
      <c r="L333" s="62" t="s">
        <v>935</v>
      </c>
      <c r="M333" s="120" t="s">
        <v>936</v>
      </c>
      <c r="N333" s="65">
        <v>44131</v>
      </c>
      <c r="O333" s="24">
        <v>19285</v>
      </c>
      <c r="P333" s="24">
        <v>23272.2</v>
      </c>
      <c r="Q333" s="64">
        <v>448804377</v>
      </c>
      <c r="R333" s="64"/>
      <c r="S333" s="64"/>
      <c r="T333" s="64">
        <v>5006500</v>
      </c>
      <c r="U333" s="64" t="s">
        <v>937</v>
      </c>
      <c r="V333" s="121">
        <v>453810877</v>
      </c>
      <c r="W333" s="122">
        <v>0</v>
      </c>
      <c r="X333" s="64">
        <v>453810877</v>
      </c>
      <c r="Y333" s="121">
        <v>-453810877</v>
      </c>
      <c r="Z333" s="121">
        <v>1</v>
      </c>
      <c r="AA333" s="128">
        <v>44455</v>
      </c>
      <c r="AB333" s="121" t="s">
        <v>419</v>
      </c>
      <c r="AC333" s="64">
        <v>0</v>
      </c>
      <c r="AD333" s="65">
        <v>44180</v>
      </c>
      <c r="AE333" s="65">
        <v>46370</v>
      </c>
      <c r="AF333" s="62">
        <v>6</v>
      </c>
      <c r="AG333" s="119">
        <v>72</v>
      </c>
      <c r="AH333" s="25">
        <v>0</v>
      </c>
      <c r="AI333" s="78">
        <v>3.3333253860473588E-3</v>
      </c>
      <c r="AJ333" s="78">
        <v>-3.3333253860473588E-3</v>
      </c>
      <c r="AK333" s="27">
        <f t="shared" si="52"/>
        <v>0</v>
      </c>
      <c r="AL333" s="27">
        <f t="shared" si="54"/>
        <v>0</v>
      </c>
      <c r="AM333" s="27"/>
      <c r="AN333" s="27"/>
      <c r="AO333" s="27"/>
      <c r="AP333" s="27"/>
      <c r="AQ333" s="27"/>
      <c r="AR333" s="27"/>
      <c r="AS333" s="27"/>
      <c r="AT333" s="27"/>
      <c r="AU333" s="27"/>
      <c r="AV333" s="27"/>
      <c r="AW333" s="27">
        <f t="shared" si="47"/>
        <v>0</v>
      </c>
      <c r="AX333" s="79">
        <f t="shared" si="48"/>
        <v>-3.3333253860473588E-3</v>
      </c>
      <c r="AY333" s="79">
        <f t="shared" si="49"/>
        <v>3.3333253860473588E-3</v>
      </c>
      <c r="AZ333" s="25">
        <v>0</v>
      </c>
      <c r="BA333" s="62" t="s">
        <v>97</v>
      </c>
      <c r="BB333" s="66">
        <v>1</v>
      </c>
      <c r="BC333" s="66"/>
      <c r="BD333" s="66"/>
      <c r="BE333" s="67">
        <f t="shared" si="53"/>
        <v>0</v>
      </c>
      <c r="BF333" s="67">
        <f t="shared" si="56"/>
        <v>0</v>
      </c>
      <c r="BG333" s="67">
        <f t="shared" si="55"/>
        <v>0</v>
      </c>
      <c r="BH333" s="66"/>
      <c r="BI333" s="68" t="s">
        <v>632</v>
      </c>
      <c r="BJ333" s="68" t="s">
        <v>81</v>
      </c>
      <c r="BK333" s="68" t="s">
        <v>81</v>
      </c>
      <c r="BL333" s="31">
        <v>396569438</v>
      </c>
      <c r="BQ333" s="1" t="e">
        <v>#N/A</v>
      </c>
    </row>
    <row r="334" spans="1:69" ht="15" hidden="1" customHeight="1">
      <c r="A334" s="1" t="s">
        <v>43</v>
      </c>
      <c r="C334" s="1" t="str">
        <f t="shared" si="50"/>
        <v>2612</v>
      </c>
      <c r="D334" s="1" t="str">
        <f t="shared" si="51"/>
        <v>2012</v>
      </c>
      <c r="E334" s="19" t="s">
        <v>48</v>
      </c>
      <c r="F334" s="62" t="s">
        <v>49</v>
      </c>
      <c r="G334" s="62">
        <v>2112</v>
      </c>
      <c r="H334" s="62" t="s">
        <v>939</v>
      </c>
      <c r="I334" s="62" t="s">
        <v>934</v>
      </c>
      <c r="J334" s="118">
        <v>1</v>
      </c>
      <c r="K334" s="119" t="s">
        <v>619</v>
      </c>
      <c r="L334" s="62" t="s">
        <v>935</v>
      </c>
      <c r="M334" s="120" t="s">
        <v>936</v>
      </c>
      <c r="N334" s="65">
        <v>44131</v>
      </c>
      <c r="O334" s="24">
        <v>19285</v>
      </c>
      <c r="P334" s="24">
        <v>23272.2</v>
      </c>
      <c r="Q334" s="64">
        <v>448804377</v>
      </c>
      <c r="R334" s="64"/>
      <c r="S334" s="64"/>
      <c r="T334" s="64">
        <v>5006500</v>
      </c>
      <c r="U334" s="64" t="s">
        <v>937</v>
      </c>
      <c r="V334" s="121">
        <v>453810877</v>
      </c>
      <c r="W334" s="122">
        <v>0</v>
      </c>
      <c r="X334" s="64">
        <v>453810877</v>
      </c>
      <c r="Y334" s="121"/>
      <c r="Z334" s="121"/>
      <c r="AA334" s="121"/>
      <c r="AB334" s="121"/>
      <c r="AC334" s="64">
        <v>453810877</v>
      </c>
      <c r="AD334" s="65">
        <v>44180</v>
      </c>
      <c r="AE334" s="65">
        <v>46370</v>
      </c>
      <c r="AF334" s="62">
        <v>6</v>
      </c>
      <c r="AG334" s="119">
        <v>72</v>
      </c>
      <c r="AH334" s="25">
        <v>6302928.847222222</v>
      </c>
      <c r="AI334" s="78">
        <v>230361887.47222224</v>
      </c>
      <c r="AJ334" s="78">
        <v>223448989.52777776</v>
      </c>
      <c r="AK334" s="27">
        <f t="shared" si="52"/>
        <v>6302928.847222222</v>
      </c>
      <c r="AL334" s="27">
        <f t="shared" si="54"/>
        <v>6302928.847222222</v>
      </c>
      <c r="AM334" s="27"/>
      <c r="AN334" s="27"/>
      <c r="AO334" s="27"/>
      <c r="AP334" s="27"/>
      <c r="AQ334" s="27"/>
      <c r="AR334" s="27"/>
      <c r="AS334" s="27"/>
      <c r="AT334" s="27"/>
      <c r="AU334" s="27"/>
      <c r="AV334" s="27"/>
      <c r="AW334" s="27">
        <f t="shared" si="47"/>
        <v>12605857.694444444</v>
      </c>
      <c r="AX334" s="79">
        <f t="shared" si="48"/>
        <v>210843131.83333331</v>
      </c>
      <c r="AY334" s="79">
        <f t="shared" si="49"/>
        <v>242967745.16666669</v>
      </c>
      <c r="AZ334" s="25">
        <v>1</v>
      </c>
      <c r="BA334" s="62" t="s">
        <v>97</v>
      </c>
      <c r="BB334" s="66">
        <v>1</v>
      </c>
      <c r="BC334" s="66"/>
      <c r="BD334" s="66"/>
      <c r="BE334" s="67">
        <f t="shared" si="53"/>
        <v>6302928.847222222</v>
      </c>
      <c r="BF334" s="67">
        <f t="shared" si="56"/>
        <v>0</v>
      </c>
      <c r="BG334" s="67">
        <f t="shared" si="55"/>
        <v>0</v>
      </c>
      <c r="BH334" s="66"/>
      <c r="BI334" s="68" t="s">
        <v>819</v>
      </c>
      <c r="BJ334" s="68" t="s">
        <v>81</v>
      </c>
      <c r="BK334" s="68" t="s">
        <v>81</v>
      </c>
      <c r="BL334" s="29"/>
      <c r="BO334" s="35" t="s">
        <v>1800</v>
      </c>
      <c r="BP334" s="1" t="s">
        <v>1821</v>
      </c>
      <c r="BQ334" s="1" t="e">
        <v>#N/A</v>
      </c>
    </row>
    <row r="335" spans="1:69" ht="15" hidden="1" customHeight="1">
      <c r="A335" s="1" t="s">
        <v>43</v>
      </c>
      <c r="C335" s="1" t="str">
        <f t="shared" si="50"/>
        <v>2612</v>
      </c>
      <c r="D335" s="1" t="str">
        <f t="shared" si="51"/>
        <v>2012</v>
      </c>
      <c r="E335" s="19" t="s">
        <v>48</v>
      </c>
      <c r="F335" s="62" t="s">
        <v>49</v>
      </c>
      <c r="G335" s="62">
        <v>2112</v>
      </c>
      <c r="H335" s="62" t="s">
        <v>940</v>
      </c>
      <c r="I335" s="62" t="s">
        <v>934</v>
      </c>
      <c r="J335" s="118">
        <v>1</v>
      </c>
      <c r="K335" s="119" t="s">
        <v>619</v>
      </c>
      <c r="L335" s="62" t="s">
        <v>935</v>
      </c>
      <c r="M335" s="120" t="s">
        <v>936</v>
      </c>
      <c r="N335" s="65">
        <v>44131</v>
      </c>
      <c r="O335" s="24">
        <v>19285</v>
      </c>
      <c r="P335" s="24">
        <v>23272.2</v>
      </c>
      <c r="Q335" s="64">
        <v>448804377</v>
      </c>
      <c r="R335" s="64"/>
      <c r="S335" s="64"/>
      <c r="T335" s="64">
        <v>5006500</v>
      </c>
      <c r="U335" s="64" t="s">
        <v>937</v>
      </c>
      <c r="V335" s="121">
        <v>453810877</v>
      </c>
      <c r="W335" s="122">
        <v>0</v>
      </c>
      <c r="X335" s="64">
        <v>453810877</v>
      </c>
      <c r="Y335" s="121"/>
      <c r="Z335" s="121"/>
      <c r="AA335" s="121"/>
      <c r="AB335" s="121"/>
      <c r="AC335" s="64">
        <v>453810877</v>
      </c>
      <c r="AD335" s="65">
        <v>44180</v>
      </c>
      <c r="AE335" s="65">
        <v>46370</v>
      </c>
      <c r="AF335" s="62">
        <v>6</v>
      </c>
      <c r="AG335" s="119">
        <v>72</v>
      </c>
      <c r="AH335" s="25">
        <v>6302928.847222222</v>
      </c>
      <c r="AI335" s="78">
        <v>230361887.47222224</v>
      </c>
      <c r="AJ335" s="78">
        <v>223448989.52777776</v>
      </c>
      <c r="AK335" s="27">
        <f t="shared" si="52"/>
        <v>6302928.847222222</v>
      </c>
      <c r="AL335" s="27">
        <f t="shared" si="54"/>
        <v>6302928.847222222</v>
      </c>
      <c r="AM335" s="27"/>
      <c r="AN335" s="27"/>
      <c r="AO335" s="27"/>
      <c r="AP335" s="27"/>
      <c r="AQ335" s="27"/>
      <c r="AR335" s="27"/>
      <c r="AS335" s="27"/>
      <c r="AT335" s="27"/>
      <c r="AU335" s="27"/>
      <c r="AV335" s="27"/>
      <c r="AW335" s="27">
        <f t="shared" si="47"/>
        <v>12605857.694444444</v>
      </c>
      <c r="AX335" s="79">
        <f t="shared" si="48"/>
        <v>210843131.83333331</v>
      </c>
      <c r="AY335" s="79">
        <f t="shared" si="49"/>
        <v>242967745.16666669</v>
      </c>
      <c r="AZ335" s="25">
        <v>1</v>
      </c>
      <c r="BA335" s="62" t="s">
        <v>97</v>
      </c>
      <c r="BB335" s="66">
        <v>1</v>
      </c>
      <c r="BC335" s="66"/>
      <c r="BD335" s="66"/>
      <c r="BE335" s="67">
        <f t="shared" si="53"/>
        <v>6302928.847222222</v>
      </c>
      <c r="BF335" s="67">
        <f t="shared" si="56"/>
        <v>0</v>
      </c>
      <c r="BG335" s="67">
        <f t="shared" si="55"/>
        <v>0</v>
      </c>
      <c r="BH335" s="66"/>
      <c r="BI335" s="68" t="s">
        <v>905</v>
      </c>
      <c r="BJ335" s="68" t="s">
        <v>81</v>
      </c>
      <c r="BK335" s="68" t="s">
        <v>81</v>
      </c>
      <c r="BL335" s="29"/>
      <c r="BO335" s="35" t="s">
        <v>1801</v>
      </c>
      <c r="BP335" s="1" t="s">
        <v>1820</v>
      </c>
      <c r="BQ335" s="1" t="s">
        <v>1930</v>
      </c>
    </row>
    <row r="336" spans="1:69" ht="15" hidden="1" customHeight="1">
      <c r="A336" s="1" t="s">
        <v>43</v>
      </c>
      <c r="C336" s="1" t="str">
        <f t="shared" si="50"/>
        <v>2612</v>
      </c>
      <c r="D336" s="1" t="str">
        <f t="shared" si="51"/>
        <v>2012</v>
      </c>
      <c r="E336" s="19" t="s">
        <v>48</v>
      </c>
      <c r="F336" s="62" t="s">
        <v>49</v>
      </c>
      <c r="G336" s="62">
        <v>2112</v>
      </c>
      <c r="H336" s="62" t="s">
        <v>941</v>
      </c>
      <c r="I336" s="62" t="s">
        <v>934</v>
      </c>
      <c r="J336" s="118">
        <v>1</v>
      </c>
      <c r="K336" s="119" t="s">
        <v>619</v>
      </c>
      <c r="L336" s="62" t="s">
        <v>935</v>
      </c>
      <c r="M336" s="120" t="s">
        <v>936</v>
      </c>
      <c r="N336" s="65">
        <v>44131</v>
      </c>
      <c r="O336" s="24">
        <v>19285</v>
      </c>
      <c r="P336" s="24">
        <v>23272.2</v>
      </c>
      <c r="Q336" s="64">
        <v>448804377</v>
      </c>
      <c r="R336" s="64"/>
      <c r="S336" s="64"/>
      <c r="T336" s="64">
        <v>5006500</v>
      </c>
      <c r="U336" s="64" t="s">
        <v>937</v>
      </c>
      <c r="V336" s="121">
        <v>453810877</v>
      </c>
      <c r="W336" s="122">
        <v>0</v>
      </c>
      <c r="X336" s="64">
        <v>453810877</v>
      </c>
      <c r="Y336" s="121"/>
      <c r="Z336" s="121"/>
      <c r="AA336" s="121"/>
      <c r="AB336" s="121"/>
      <c r="AC336" s="64">
        <v>453810877</v>
      </c>
      <c r="AD336" s="65">
        <v>44180</v>
      </c>
      <c r="AE336" s="65">
        <v>46370</v>
      </c>
      <c r="AF336" s="62">
        <v>6</v>
      </c>
      <c r="AG336" s="119">
        <v>72</v>
      </c>
      <c r="AH336" s="25">
        <v>6302928.847222222</v>
      </c>
      <c r="AI336" s="78">
        <v>230361887.47222224</v>
      </c>
      <c r="AJ336" s="78">
        <v>223448989.52777776</v>
      </c>
      <c r="AK336" s="27">
        <f t="shared" si="52"/>
        <v>6302928.847222222</v>
      </c>
      <c r="AL336" s="27">
        <f t="shared" si="54"/>
        <v>6302928.847222222</v>
      </c>
      <c r="AM336" s="27"/>
      <c r="AN336" s="27"/>
      <c r="AO336" s="27"/>
      <c r="AP336" s="27"/>
      <c r="AQ336" s="27"/>
      <c r="AR336" s="27"/>
      <c r="AS336" s="27"/>
      <c r="AT336" s="27"/>
      <c r="AU336" s="27"/>
      <c r="AV336" s="27"/>
      <c r="AW336" s="27">
        <f t="shared" si="47"/>
        <v>12605857.694444444</v>
      </c>
      <c r="AX336" s="79">
        <f t="shared" si="48"/>
        <v>210843131.83333331</v>
      </c>
      <c r="AY336" s="79">
        <f t="shared" si="49"/>
        <v>242967745.16666669</v>
      </c>
      <c r="AZ336" s="25">
        <v>1</v>
      </c>
      <c r="BA336" s="62" t="s">
        <v>97</v>
      </c>
      <c r="BB336" s="66">
        <v>1</v>
      </c>
      <c r="BC336" s="66"/>
      <c r="BD336" s="66"/>
      <c r="BE336" s="67">
        <f t="shared" si="53"/>
        <v>6302928.847222222</v>
      </c>
      <c r="BF336" s="67">
        <f t="shared" si="56"/>
        <v>0</v>
      </c>
      <c r="BG336" s="67">
        <f t="shared" si="55"/>
        <v>0</v>
      </c>
      <c r="BH336" s="66"/>
      <c r="BI336" s="68" t="s">
        <v>932</v>
      </c>
      <c r="BJ336" s="68" t="s">
        <v>81</v>
      </c>
      <c r="BK336" s="68" t="s">
        <v>81</v>
      </c>
      <c r="BL336" s="29"/>
      <c r="BO336" s="35" t="s">
        <v>1800</v>
      </c>
      <c r="BP336" s="1" t="s">
        <v>1823</v>
      </c>
      <c r="BQ336" s="1" t="e">
        <v>#N/A</v>
      </c>
    </row>
    <row r="337" spans="1:69" ht="15" hidden="1" customHeight="1">
      <c r="A337" s="1" t="s">
        <v>43</v>
      </c>
      <c r="C337" s="1" t="str">
        <f t="shared" si="50"/>
        <v>2612</v>
      </c>
      <c r="D337" s="1" t="str">
        <f t="shared" si="51"/>
        <v>2012</v>
      </c>
      <c r="E337" s="19" t="s">
        <v>48</v>
      </c>
      <c r="F337" s="62" t="s">
        <v>49</v>
      </c>
      <c r="G337" s="62">
        <v>2112</v>
      </c>
      <c r="H337" s="62" t="s">
        <v>942</v>
      </c>
      <c r="I337" s="62" t="s">
        <v>934</v>
      </c>
      <c r="J337" s="118">
        <v>1</v>
      </c>
      <c r="K337" s="119" t="s">
        <v>619</v>
      </c>
      <c r="L337" s="62" t="s">
        <v>935</v>
      </c>
      <c r="M337" s="120" t="s">
        <v>936</v>
      </c>
      <c r="N337" s="65">
        <v>44131</v>
      </c>
      <c r="O337" s="24">
        <v>19285</v>
      </c>
      <c r="P337" s="24">
        <v>23272.2</v>
      </c>
      <c r="Q337" s="64">
        <v>448804377</v>
      </c>
      <c r="R337" s="64"/>
      <c r="S337" s="64"/>
      <c r="T337" s="64">
        <v>5006500</v>
      </c>
      <c r="U337" s="64" t="s">
        <v>937</v>
      </c>
      <c r="V337" s="121">
        <v>453810877</v>
      </c>
      <c r="W337" s="122">
        <v>0</v>
      </c>
      <c r="X337" s="64">
        <v>453810877</v>
      </c>
      <c r="Y337" s="121"/>
      <c r="Z337" s="121"/>
      <c r="AA337" s="121"/>
      <c r="AB337" s="121"/>
      <c r="AC337" s="64">
        <v>453810877</v>
      </c>
      <c r="AD337" s="65">
        <v>44180</v>
      </c>
      <c r="AE337" s="65">
        <v>46370</v>
      </c>
      <c r="AF337" s="62">
        <v>6</v>
      </c>
      <c r="AG337" s="119">
        <v>72</v>
      </c>
      <c r="AH337" s="25">
        <v>6302928.847222222</v>
      </c>
      <c r="AI337" s="78">
        <v>230361887.47222224</v>
      </c>
      <c r="AJ337" s="78">
        <v>223448989.52777776</v>
      </c>
      <c r="AK337" s="27">
        <f t="shared" si="52"/>
        <v>6302928.847222222</v>
      </c>
      <c r="AL337" s="27">
        <f t="shared" si="54"/>
        <v>6302928.847222222</v>
      </c>
      <c r="AM337" s="27"/>
      <c r="AN337" s="27"/>
      <c r="AO337" s="27"/>
      <c r="AP337" s="27"/>
      <c r="AQ337" s="27"/>
      <c r="AR337" s="27"/>
      <c r="AS337" s="27"/>
      <c r="AT337" s="27"/>
      <c r="AU337" s="27"/>
      <c r="AV337" s="27"/>
      <c r="AW337" s="27">
        <f t="shared" ref="AW337:AW400" si="57">+SUM(AK337:AV337)</f>
        <v>12605857.694444444</v>
      </c>
      <c r="AX337" s="79">
        <f t="shared" ref="AX337:AX400" si="58">AC337-AI337-AW337</f>
        <v>210843131.83333331</v>
      </c>
      <c r="AY337" s="79">
        <f t="shared" ref="AY337:AY400" si="59">AW337+AI337</f>
        <v>242967745.16666669</v>
      </c>
      <c r="AZ337" s="25">
        <v>1</v>
      </c>
      <c r="BA337" s="62" t="s">
        <v>97</v>
      </c>
      <c r="BB337" s="66">
        <v>1</v>
      </c>
      <c r="BC337" s="66"/>
      <c r="BD337" s="66"/>
      <c r="BE337" s="67">
        <f t="shared" si="53"/>
        <v>6302928.847222222</v>
      </c>
      <c r="BF337" s="67">
        <f t="shared" si="56"/>
        <v>0</v>
      </c>
      <c r="BG337" s="67">
        <f t="shared" si="55"/>
        <v>0</v>
      </c>
      <c r="BH337" s="66"/>
      <c r="BI337" s="68" t="s">
        <v>80</v>
      </c>
      <c r="BJ337" s="68" t="s">
        <v>81</v>
      </c>
      <c r="BK337" s="68" t="s">
        <v>81</v>
      </c>
      <c r="BL337" s="29"/>
      <c r="BO337" s="35" t="s">
        <v>1800</v>
      </c>
      <c r="BP337" s="1" t="s">
        <v>1823</v>
      </c>
      <c r="BQ337" s="1" t="e">
        <v>#N/A</v>
      </c>
    </row>
    <row r="338" spans="1:69" ht="15" hidden="1" customHeight="1">
      <c r="A338" s="1" t="s">
        <v>43</v>
      </c>
      <c r="C338" s="1" t="str">
        <f t="shared" ref="C338:C401" si="60">+RIGHT(YEAR(AE338),2)&amp;IF(LEN(MONTH(AE338))=2,MONTH(AE338),"0"&amp;MONTH(AE338))</f>
        <v>2811</v>
      </c>
      <c r="D338" s="1" t="str">
        <f t="shared" ref="D338:D401" si="61">+RIGHT(YEAR(AD338),2)&amp;IF(LEN(MONTH(AD338))=2,MONTH(AD338),"0"&amp;MONTH(AD338))</f>
        <v>2012</v>
      </c>
      <c r="E338" s="19" t="s">
        <v>48</v>
      </c>
      <c r="F338" s="62" t="s">
        <v>49</v>
      </c>
      <c r="G338" s="62">
        <v>2114</v>
      </c>
      <c r="H338" s="62" t="s">
        <v>943</v>
      </c>
      <c r="I338" s="62" t="s">
        <v>944</v>
      </c>
      <c r="J338" s="118">
        <v>1</v>
      </c>
      <c r="K338" s="119" t="s">
        <v>619</v>
      </c>
      <c r="L338" s="62" t="s">
        <v>945</v>
      </c>
      <c r="M338" s="120" t="s">
        <v>946</v>
      </c>
      <c r="N338" s="65">
        <v>44113</v>
      </c>
      <c r="O338" s="24">
        <v>47939.360000000001</v>
      </c>
      <c r="P338" s="24">
        <v>23270</v>
      </c>
      <c r="Q338" s="64">
        <v>1115548907</v>
      </c>
      <c r="R338" s="64"/>
      <c r="S338" s="64"/>
      <c r="T338" s="64">
        <v>21481179.270000003</v>
      </c>
      <c r="U338" s="64" t="s">
        <v>947</v>
      </c>
      <c r="V338" s="121">
        <v>1137030086</v>
      </c>
      <c r="W338" s="122">
        <v>0</v>
      </c>
      <c r="X338" s="64">
        <v>1137030086</v>
      </c>
      <c r="Y338" s="121"/>
      <c r="Z338" s="121"/>
      <c r="AA338" s="121"/>
      <c r="AB338" s="121"/>
      <c r="AC338" s="64">
        <v>1137030086</v>
      </c>
      <c r="AD338" s="65">
        <v>44166</v>
      </c>
      <c r="AE338" s="65">
        <v>47086</v>
      </c>
      <c r="AF338" s="62">
        <v>8</v>
      </c>
      <c r="AG338" s="119">
        <v>96</v>
      </c>
      <c r="AH338" s="25">
        <v>11844063.395833334</v>
      </c>
      <c r="AI338" s="78">
        <v>438230334.95833331</v>
      </c>
      <c r="AJ338" s="78">
        <v>698799751.04166675</v>
      </c>
      <c r="AK338" s="27">
        <f t="shared" ref="AK338:AK401" si="62">+IF(AND(AK$3&gt;=$D338,AK$3&lt;$C338),$AH338,$AJ338)</f>
        <v>11844063.395833334</v>
      </c>
      <c r="AL338" s="27">
        <f t="shared" si="54"/>
        <v>11844063.395833334</v>
      </c>
      <c r="AM338" s="27"/>
      <c r="AN338" s="27"/>
      <c r="AO338" s="27"/>
      <c r="AP338" s="27"/>
      <c r="AQ338" s="27"/>
      <c r="AR338" s="27"/>
      <c r="AS338" s="27"/>
      <c r="AT338" s="27"/>
      <c r="AU338" s="27"/>
      <c r="AV338" s="27"/>
      <c r="AW338" s="27">
        <f t="shared" si="57"/>
        <v>23688126.791666668</v>
      </c>
      <c r="AX338" s="79">
        <f t="shared" si="58"/>
        <v>675111624.25000012</v>
      </c>
      <c r="AY338" s="79">
        <f t="shared" si="59"/>
        <v>461918461.75</v>
      </c>
      <c r="AZ338" s="25">
        <v>1</v>
      </c>
      <c r="BA338" s="62" t="s">
        <v>79</v>
      </c>
      <c r="BB338" s="66">
        <v>1</v>
      </c>
      <c r="BC338" s="66"/>
      <c r="BD338" s="66"/>
      <c r="BE338" s="67">
        <f t="shared" si="53"/>
        <v>11844063.395833334</v>
      </c>
      <c r="BF338" s="67">
        <f t="shared" si="56"/>
        <v>0</v>
      </c>
      <c r="BG338" s="67">
        <f t="shared" si="55"/>
        <v>0</v>
      </c>
      <c r="BH338" s="66"/>
      <c r="BI338" s="68" t="s">
        <v>135</v>
      </c>
      <c r="BJ338" s="68" t="s">
        <v>58</v>
      </c>
      <c r="BK338" s="68" t="s">
        <v>59</v>
      </c>
      <c r="BL338" s="29"/>
      <c r="BO338" s="35" t="s">
        <v>1804</v>
      </c>
      <c r="BQ338" s="1" t="e">
        <v>#N/A</v>
      </c>
    </row>
    <row r="339" spans="1:69" ht="15" hidden="1" customHeight="1">
      <c r="A339" s="1" t="s">
        <v>43</v>
      </c>
      <c r="C339" s="1" t="str">
        <f t="shared" si="60"/>
        <v>2511</v>
      </c>
      <c r="D339" s="1" t="str">
        <f t="shared" si="61"/>
        <v>2012</v>
      </c>
      <c r="E339" s="19" t="s">
        <v>48</v>
      </c>
      <c r="F339" s="62" t="s">
        <v>49</v>
      </c>
      <c r="G339" s="62">
        <v>2114</v>
      </c>
      <c r="H339" s="62" t="s">
        <v>948</v>
      </c>
      <c r="I339" s="62" t="s">
        <v>949</v>
      </c>
      <c r="J339" s="118">
        <v>1</v>
      </c>
      <c r="K339" s="119" t="s">
        <v>619</v>
      </c>
      <c r="L339" s="62" t="s">
        <v>945</v>
      </c>
      <c r="M339" s="120" t="s">
        <v>950</v>
      </c>
      <c r="N339" s="65">
        <v>44117</v>
      </c>
      <c r="O339" s="24">
        <v>4567.3500000000004</v>
      </c>
      <c r="P339" s="24">
        <v>23285</v>
      </c>
      <c r="Q339" s="64">
        <v>106350745</v>
      </c>
      <c r="R339" s="64">
        <v>10550579</v>
      </c>
      <c r="S339" s="64">
        <v>1148396</v>
      </c>
      <c r="T339" s="64">
        <v>766244.53</v>
      </c>
      <c r="U339" s="64" t="s">
        <v>951</v>
      </c>
      <c r="V339" s="121">
        <v>118815965</v>
      </c>
      <c r="W339" s="122">
        <v>0</v>
      </c>
      <c r="X339" s="64">
        <v>118815965</v>
      </c>
      <c r="Y339" s="121"/>
      <c r="Z339" s="121"/>
      <c r="AA339" s="121"/>
      <c r="AB339" s="121"/>
      <c r="AC339" s="64">
        <v>118815965</v>
      </c>
      <c r="AD339" s="65">
        <v>44166</v>
      </c>
      <c r="AE339" s="65">
        <v>45991</v>
      </c>
      <c r="AF339" s="62">
        <v>5</v>
      </c>
      <c r="AG339" s="119">
        <v>60</v>
      </c>
      <c r="AH339" s="25">
        <v>1980266.0833333333</v>
      </c>
      <c r="AI339" s="78">
        <v>73269842.833333328</v>
      </c>
      <c r="AJ339" s="78">
        <v>45546122.166666672</v>
      </c>
      <c r="AK339" s="27">
        <f t="shared" si="62"/>
        <v>1980266.0833333333</v>
      </c>
      <c r="AL339" s="27">
        <f t="shared" si="54"/>
        <v>1980266.0833333333</v>
      </c>
      <c r="AM339" s="27"/>
      <c r="AN339" s="27"/>
      <c r="AO339" s="27"/>
      <c r="AP339" s="27"/>
      <c r="AQ339" s="27"/>
      <c r="AR339" s="27"/>
      <c r="AS339" s="27"/>
      <c r="AT339" s="27"/>
      <c r="AU339" s="27"/>
      <c r="AV339" s="27"/>
      <c r="AW339" s="27">
        <f t="shared" si="57"/>
        <v>3960532.1666666665</v>
      </c>
      <c r="AX339" s="79">
        <f t="shared" si="58"/>
        <v>41585590.000000007</v>
      </c>
      <c r="AY339" s="79">
        <f t="shared" si="59"/>
        <v>77230375</v>
      </c>
      <c r="AZ339" s="25">
        <v>1</v>
      </c>
      <c r="BA339" s="62" t="s">
        <v>79</v>
      </c>
      <c r="BB339" s="66">
        <v>1</v>
      </c>
      <c r="BC339" s="66"/>
      <c r="BD339" s="66"/>
      <c r="BE339" s="67">
        <f t="shared" si="53"/>
        <v>1980266.0833333333</v>
      </c>
      <c r="BF339" s="67">
        <f t="shared" si="56"/>
        <v>0</v>
      </c>
      <c r="BG339" s="67">
        <f t="shared" si="55"/>
        <v>0</v>
      </c>
      <c r="BH339" s="66"/>
      <c r="BI339" s="68" t="s">
        <v>135</v>
      </c>
      <c r="BJ339" s="68" t="s">
        <v>58</v>
      </c>
      <c r="BK339" s="68" t="s">
        <v>59</v>
      </c>
      <c r="BL339" s="29"/>
      <c r="BO339" s="35" t="s">
        <v>1804</v>
      </c>
      <c r="BQ339" s="1" t="e">
        <v>#N/A</v>
      </c>
    </row>
    <row r="340" spans="1:69" ht="15" hidden="1" customHeight="1">
      <c r="A340" s="1" t="s">
        <v>43</v>
      </c>
      <c r="C340" s="1" t="str">
        <f t="shared" si="60"/>
        <v>3011</v>
      </c>
      <c r="D340" s="1" t="str">
        <f t="shared" si="61"/>
        <v>2011</v>
      </c>
      <c r="E340" s="19" t="s">
        <v>48</v>
      </c>
      <c r="F340" s="62" t="s">
        <v>49</v>
      </c>
      <c r="G340" s="62">
        <v>2114</v>
      </c>
      <c r="H340" s="62" t="s">
        <v>952</v>
      </c>
      <c r="I340" s="62" t="s">
        <v>953</v>
      </c>
      <c r="J340" s="118">
        <v>1</v>
      </c>
      <c r="K340" s="119" t="s">
        <v>619</v>
      </c>
      <c r="L340" s="62" t="s">
        <v>924</v>
      </c>
      <c r="M340" s="120" t="s">
        <v>925</v>
      </c>
      <c r="N340" s="65">
        <v>44125</v>
      </c>
      <c r="O340" s="24">
        <v>125000</v>
      </c>
      <c r="P340" s="24">
        <v>23272.02</v>
      </c>
      <c r="Q340" s="64">
        <v>2909002500</v>
      </c>
      <c r="R340" s="64"/>
      <c r="S340" s="64"/>
      <c r="T340" s="64">
        <v>3249798.99</v>
      </c>
      <c r="U340" s="64" t="s">
        <v>926</v>
      </c>
      <c r="V340" s="121">
        <v>2912252299</v>
      </c>
      <c r="W340" s="122">
        <v>0</v>
      </c>
      <c r="X340" s="64">
        <v>2912252299</v>
      </c>
      <c r="Y340" s="121"/>
      <c r="Z340" s="121"/>
      <c r="AA340" s="121"/>
      <c r="AB340" s="121"/>
      <c r="AC340" s="64">
        <v>2912252299</v>
      </c>
      <c r="AD340" s="65">
        <v>44160</v>
      </c>
      <c r="AE340" s="65">
        <v>47810</v>
      </c>
      <c r="AF340" s="62">
        <v>10</v>
      </c>
      <c r="AG340" s="119">
        <v>120</v>
      </c>
      <c r="AH340" s="25">
        <v>24268769.158333335</v>
      </c>
      <c r="AI340" s="78">
        <v>902798208.58333325</v>
      </c>
      <c r="AJ340" s="78">
        <v>2009454090.4166667</v>
      </c>
      <c r="AK340" s="27">
        <f t="shared" si="62"/>
        <v>24268769.158333335</v>
      </c>
      <c r="AL340" s="27">
        <f t="shared" si="54"/>
        <v>24268769.158333335</v>
      </c>
      <c r="AM340" s="27"/>
      <c r="AN340" s="27"/>
      <c r="AO340" s="27"/>
      <c r="AP340" s="27"/>
      <c r="AQ340" s="27"/>
      <c r="AR340" s="27"/>
      <c r="AS340" s="27"/>
      <c r="AT340" s="27"/>
      <c r="AU340" s="27"/>
      <c r="AV340" s="27"/>
      <c r="AW340" s="27">
        <f t="shared" si="57"/>
        <v>48537538.31666667</v>
      </c>
      <c r="AX340" s="79">
        <f t="shared" si="58"/>
        <v>1960916552.1000001</v>
      </c>
      <c r="AY340" s="79">
        <f t="shared" si="59"/>
        <v>951335746.89999998</v>
      </c>
      <c r="AZ340" s="25">
        <v>1</v>
      </c>
      <c r="BA340" s="62" t="s">
        <v>79</v>
      </c>
      <c r="BB340" s="66">
        <v>1</v>
      </c>
      <c r="BC340" s="66"/>
      <c r="BD340" s="66"/>
      <c r="BE340" s="67">
        <f t="shared" si="53"/>
        <v>24268769.158333335</v>
      </c>
      <c r="BF340" s="67">
        <f t="shared" si="56"/>
        <v>0</v>
      </c>
      <c r="BG340" s="67">
        <f t="shared" si="55"/>
        <v>0</v>
      </c>
      <c r="BH340" s="66"/>
      <c r="BI340" s="68" t="s">
        <v>80</v>
      </c>
      <c r="BJ340" s="68" t="s">
        <v>121</v>
      </c>
      <c r="BK340" s="68" t="s">
        <v>121</v>
      </c>
      <c r="BL340" s="29"/>
      <c r="BO340" s="35" t="s">
        <v>1801</v>
      </c>
      <c r="BP340" s="1" t="s">
        <v>1824</v>
      </c>
      <c r="BQ340" s="1" t="e">
        <v>#N/A</v>
      </c>
    </row>
    <row r="341" spans="1:69" ht="15" hidden="1" customHeight="1">
      <c r="A341" s="1" t="s">
        <v>43</v>
      </c>
      <c r="C341" s="1" t="str">
        <f t="shared" si="60"/>
        <v>2711</v>
      </c>
      <c r="D341" s="1" t="str">
        <f t="shared" si="61"/>
        <v>2012</v>
      </c>
      <c r="E341" s="19" t="s">
        <v>48</v>
      </c>
      <c r="F341" s="62" t="s">
        <v>49</v>
      </c>
      <c r="G341" s="62">
        <v>2114</v>
      </c>
      <c r="H341" s="62" t="s">
        <v>954</v>
      </c>
      <c r="I341" s="62" t="s">
        <v>955</v>
      </c>
      <c r="J341" s="118">
        <v>1</v>
      </c>
      <c r="K341" s="119" t="s">
        <v>619</v>
      </c>
      <c r="L341" s="62" t="s">
        <v>945</v>
      </c>
      <c r="M341" s="120" t="s">
        <v>946</v>
      </c>
      <c r="N341" s="65">
        <v>44113</v>
      </c>
      <c r="O341" s="24">
        <v>39638.089999999997</v>
      </c>
      <c r="P341" s="24">
        <v>23270</v>
      </c>
      <c r="Q341" s="64">
        <v>922378354</v>
      </c>
      <c r="R341" s="64">
        <v>183127976</v>
      </c>
      <c r="S341" s="64"/>
      <c r="T341" s="64">
        <v>17761457.729999997</v>
      </c>
      <c r="U341" s="64" t="s">
        <v>947</v>
      </c>
      <c r="V341" s="121">
        <v>1123267788</v>
      </c>
      <c r="W341" s="122">
        <v>0</v>
      </c>
      <c r="X341" s="64">
        <v>1123267788</v>
      </c>
      <c r="Y341" s="121"/>
      <c r="Z341" s="121"/>
      <c r="AA341" s="121"/>
      <c r="AB341" s="121"/>
      <c r="AC341" s="64">
        <v>1123267788</v>
      </c>
      <c r="AD341" s="65">
        <v>44166</v>
      </c>
      <c r="AE341" s="65">
        <v>46721</v>
      </c>
      <c r="AF341" s="62">
        <v>7</v>
      </c>
      <c r="AG341" s="119">
        <v>84</v>
      </c>
      <c r="AH341" s="25">
        <v>13372235.571428571</v>
      </c>
      <c r="AI341" s="78">
        <v>494772727.71428567</v>
      </c>
      <c r="AJ341" s="78">
        <v>628495060.28571439</v>
      </c>
      <c r="AK341" s="27">
        <f t="shared" si="62"/>
        <v>13372235.571428571</v>
      </c>
      <c r="AL341" s="27">
        <f t="shared" si="54"/>
        <v>13372235.571428571</v>
      </c>
      <c r="AM341" s="27"/>
      <c r="AN341" s="27"/>
      <c r="AO341" s="27"/>
      <c r="AP341" s="27"/>
      <c r="AQ341" s="27"/>
      <c r="AR341" s="27"/>
      <c r="AS341" s="27"/>
      <c r="AT341" s="27"/>
      <c r="AU341" s="27"/>
      <c r="AV341" s="27"/>
      <c r="AW341" s="27">
        <f t="shared" si="57"/>
        <v>26744471.142857142</v>
      </c>
      <c r="AX341" s="79">
        <f t="shared" si="58"/>
        <v>601750589.14285719</v>
      </c>
      <c r="AY341" s="79">
        <f t="shared" si="59"/>
        <v>521517198.85714281</v>
      </c>
      <c r="AZ341" s="25">
        <v>1</v>
      </c>
      <c r="BA341" s="62" t="s">
        <v>79</v>
      </c>
      <c r="BB341" s="66">
        <v>1</v>
      </c>
      <c r="BC341" s="66"/>
      <c r="BD341" s="66"/>
      <c r="BE341" s="67">
        <f t="shared" ref="BE341:BE404" si="63">+$AL341*BB341</f>
        <v>13372235.571428571</v>
      </c>
      <c r="BF341" s="67">
        <f t="shared" si="56"/>
        <v>0</v>
      </c>
      <c r="BG341" s="67">
        <f t="shared" si="55"/>
        <v>0</v>
      </c>
      <c r="BH341" s="66"/>
      <c r="BI341" s="68" t="s">
        <v>135</v>
      </c>
      <c r="BJ341" s="68" t="s">
        <v>58</v>
      </c>
      <c r="BK341" s="68" t="s">
        <v>59</v>
      </c>
      <c r="BL341" s="29"/>
      <c r="BO341" s="35" t="s">
        <v>1804</v>
      </c>
      <c r="BQ341" s="1" t="e">
        <v>#N/A</v>
      </c>
    </row>
    <row r="342" spans="1:69" ht="15" hidden="1" customHeight="1">
      <c r="A342" s="1" t="s">
        <v>43</v>
      </c>
      <c r="C342" s="1" t="str">
        <f t="shared" si="60"/>
        <v>3011</v>
      </c>
      <c r="D342" s="1" t="str">
        <f t="shared" si="61"/>
        <v>2012</v>
      </c>
      <c r="E342" s="19" t="s">
        <v>48</v>
      </c>
      <c r="F342" s="62" t="s">
        <v>49</v>
      </c>
      <c r="G342" s="62">
        <v>2112</v>
      </c>
      <c r="H342" s="62" t="s">
        <v>956</v>
      </c>
      <c r="I342" s="62" t="s">
        <v>957</v>
      </c>
      <c r="J342" s="118">
        <v>1</v>
      </c>
      <c r="K342" s="119" t="s">
        <v>619</v>
      </c>
      <c r="L342" s="62" t="s">
        <v>945</v>
      </c>
      <c r="M342" s="120" t="s">
        <v>950</v>
      </c>
      <c r="N342" s="65">
        <v>44117</v>
      </c>
      <c r="O342" s="24">
        <v>116979.18</v>
      </c>
      <c r="P342" s="24">
        <v>23285</v>
      </c>
      <c r="Q342" s="64">
        <v>2723860206</v>
      </c>
      <c r="R342" s="64"/>
      <c r="S342" s="64">
        <v>29412764</v>
      </c>
      <c r="T342" s="64">
        <v>19625090.650000002</v>
      </c>
      <c r="U342" s="64" t="s">
        <v>951</v>
      </c>
      <c r="V342" s="121">
        <v>2772898061</v>
      </c>
      <c r="W342" s="122">
        <v>0</v>
      </c>
      <c r="X342" s="64">
        <v>2772898061</v>
      </c>
      <c r="Y342" s="121"/>
      <c r="Z342" s="121"/>
      <c r="AA342" s="121"/>
      <c r="AB342" s="121"/>
      <c r="AC342" s="64">
        <v>2772898061</v>
      </c>
      <c r="AD342" s="65">
        <v>44166</v>
      </c>
      <c r="AE342" s="65">
        <v>47816</v>
      </c>
      <c r="AF342" s="62">
        <v>10</v>
      </c>
      <c r="AG342" s="119">
        <v>120</v>
      </c>
      <c r="AH342" s="25">
        <v>23107483.841666665</v>
      </c>
      <c r="AI342" s="78">
        <v>854976906.41666675</v>
      </c>
      <c r="AJ342" s="78">
        <v>1917921154.5833333</v>
      </c>
      <c r="AK342" s="27">
        <f t="shared" si="62"/>
        <v>23107483.841666665</v>
      </c>
      <c r="AL342" s="27">
        <f t="shared" si="54"/>
        <v>23107483.841666665</v>
      </c>
      <c r="AM342" s="27"/>
      <c r="AN342" s="27"/>
      <c r="AO342" s="27"/>
      <c r="AP342" s="27"/>
      <c r="AQ342" s="27"/>
      <c r="AR342" s="27"/>
      <c r="AS342" s="27"/>
      <c r="AT342" s="27"/>
      <c r="AU342" s="27"/>
      <c r="AV342" s="27"/>
      <c r="AW342" s="27">
        <f t="shared" si="57"/>
        <v>46214967.68333333</v>
      </c>
      <c r="AX342" s="79">
        <f t="shared" si="58"/>
        <v>1871706186.8999999</v>
      </c>
      <c r="AY342" s="79">
        <f t="shared" si="59"/>
        <v>901191874.10000002</v>
      </c>
      <c r="AZ342" s="25">
        <v>1</v>
      </c>
      <c r="BA342" s="62" t="s">
        <v>97</v>
      </c>
      <c r="BB342" s="66">
        <v>1</v>
      </c>
      <c r="BC342" s="66"/>
      <c r="BD342" s="66"/>
      <c r="BE342" s="67">
        <f t="shared" si="63"/>
        <v>23107483.841666665</v>
      </c>
      <c r="BF342" s="67">
        <f t="shared" si="56"/>
        <v>0</v>
      </c>
      <c r="BG342" s="67">
        <f t="shared" si="55"/>
        <v>0</v>
      </c>
      <c r="BH342" s="66"/>
      <c r="BI342" s="68" t="s">
        <v>135</v>
      </c>
      <c r="BJ342" s="68" t="s">
        <v>58</v>
      </c>
      <c r="BK342" s="68" t="s">
        <v>59</v>
      </c>
      <c r="BL342" s="29"/>
      <c r="BO342" s="35" t="s">
        <v>1804</v>
      </c>
      <c r="BQ342" s="1" t="e">
        <v>#N/A</v>
      </c>
    </row>
    <row r="343" spans="1:69" ht="15" hidden="1" customHeight="1">
      <c r="A343" s="1" t="s">
        <v>43</v>
      </c>
      <c r="C343" s="1" t="str">
        <f t="shared" si="60"/>
        <v>2511</v>
      </c>
      <c r="D343" s="1" t="str">
        <f t="shared" si="61"/>
        <v>2012</v>
      </c>
      <c r="E343" s="19" t="s">
        <v>48</v>
      </c>
      <c r="F343" s="62" t="s">
        <v>49</v>
      </c>
      <c r="G343" s="62">
        <v>2112</v>
      </c>
      <c r="H343" s="62" t="s">
        <v>958</v>
      </c>
      <c r="I343" s="62" t="s">
        <v>959</v>
      </c>
      <c r="J343" s="118">
        <v>1</v>
      </c>
      <c r="K343" s="119" t="s">
        <v>619</v>
      </c>
      <c r="L343" s="62" t="s">
        <v>945</v>
      </c>
      <c r="M343" s="120" t="s">
        <v>950</v>
      </c>
      <c r="N343" s="65">
        <v>44117</v>
      </c>
      <c r="O343" s="24">
        <v>8076.72</v>
      </c>
      <c r="P343" s="24">
        <v>23285</v>
      </c>
      <c r="Q343" s="64">
        <v>188066425</v>
      </c>
      <c r="R343" s="64"/>
      <c r="S343" s="64">
        <v>2030840</v>
      </c>
      <c r="T343" s="64">
        <v>1354996.35</v>
      </c>
      <c r="U343" s="64" t="s">
        <v>951</v>
      </c>
      <c r="V343" s="121">
        <v>191452261</v>
      </c>
      <c r="W343" s="122">
        <v>0</v>
      </c>
      <c r="X343" s="64">
        <v>191452261</v>
      </c>
      <c r="Y343" s="121"/>
      <c r="Z343" s="121"/>
      <c r="AA343" s="121"/>
      <c r="AB343" s="121"/>
      <c r="AC343" s="64">
        <v>191452261</v>
      </c>
      <c r="AD343" s="65">
        <v>44166</v>
      </c>
      <c r="AE343" s="65">
        <v>45991</v>
      </c>
      <c r="AF343" s="62">
        <v>5</v>
      </c>
      <c r="AG343" s="119">
        <v>60</v>
      </c>
      <c r="AH343" s="25">
        <v>3190871.0166666666</v>
      </c>
      <c r="AI343" s="78">
        <v>118062227.16666666</v>
      </c>
      <c r="AJ343" s="78">
        <v>73390033.833333343</v>
      </c>
      <c r="AK343" s="27">
        <f t="shared" si="62"/>
        <v>3190871.0166666666</v>
      </c>
      <c r="AL343" s="27">
        <f t="shared" si="54"/>
        <v>3190871.0166666666</v>
      </c>
      <c r="AM343" s="27"/>
      <c r="AN343" s="27"/>
      <c r="AO343" s="27"/>
      <c r="AP343" s="27"/>
      <c r="AQ343" s="27"/>
      <c r="AR343" s="27"/>
      <c r="AS343" s="27"/>
      <c r="AT343" s="27"/>
      <c r="AU343" s="27"/>
      <c r="AV343" s="27"/>
      <c r="AW343" s="27">
        <f t="shared" si="57"/>
        <v>6381742.0333333332</v>
      </c>
      <c r="AX343" s="79">
        <f t="shared" si="58"/>
        <v>67008291.800000012</v>
      </c>
      <c r="AY343" s="79">
        <f t="shared" si="59"/>
        <v>124443969.19999999</v>
      </c>
      <c r="AZ343" s="25">
        <v>1</v>
      </c>
      <c r="BA343" s="62" t="s">
        <v>97</v>
      </c>
      <c r="BB343" s="66">
        <v>1</v>
      </c>
      <c r="BC343" s="66"/>
      <c r="BD343" s="66"/>
      <c r="BE343" s="67">
        <f t="shared" si="63"/>
        <v>3190871.0166666666</v>
      </c>
      <c r="BF343" s="67">
        <f t="shared" si="56"/>
        <v>0</v>
      </c>
      <c r="BG343" s="67">
        <f t="shared" si="55"/>
        <v>0</v>
      </c>
      <c r="BH343" s="66"/>
      <c r="BI343" s="68" t="s">
        <v>135</v>
      </c>
      <c r="BJ343" s="68" t="s">
        <v>58</v>
      </c>
      <c r="BK343" s="68" t="s">
        <v>59</v>
      </c>
      <c r="BL343" s="29"/>
      <c r="BO343" s="35" t="s">
        <v>1804</v>
      </c>
      <c r="BQ343" s="1" t="e">
        <v>#N/A</v>
      </c>
    </row>
    <row r="344" spans="1:69" ht="15" hidden="1" customHeight="1">
      <c r="A344" s="1" t="s">
        <v>43</v>
      </c>
      <c r="C344" s="1" t="str">
        <f t="shared" si="60"/>
        <v>2711</v>
      </c>
      <c r="D344" s="1" t="str">
        <f t="shared" si="61"/>
        <v>2011</v>
      </c>
      <c r="E344" s="19" t="s">
        <v>48</v>
      </c>
      <c r="F344" s="62" t="s">
        <v>49</v>
      </c>
      <c r="G344" s="62">
        <v>2112</v>
      </c>
      <c r="H344" s="62" t="s">
        <v>960</v>
      </c>
      <c r="I344" s="62" t="s">
        <v>923</v>
      </c>
      <c r="J344" s="118">
        <v>1</v>
      </c>
      <c r="K344" s="119" t="s">
        <v>619</v>
      </c>
      <c r="L344" s="62" t="s">
        <v>924</v>
      </c>
      <c r="M344" s="120" t="s">
        <v>925</v>
      </c>
      <c r="N344" s="65">
        <v>44125</v>
      </c>
      <c r="O344" s="24">
        <v>36600</v>
      </c>
      <c r="P344" s="24">
        <v>23272.02</v>
      </c>
      <c r="Q344" s="64">
        <v>851755932</v>
      </c>
      <c r="R344" s="64"/>
      <c r="S344" s="64"/>
      <c r="T344" s="64">
        <v>951541.14</v>
      </c>
      <c r="U344" s="64" t="s">
        <v>926</v>
      </c>
      <c r="V344" s="121">
        <v>852707473</v>
      </c>
      <c r="W344" s="122">
        <v>0</v>
      </c>
      <c r="X344" s="64">
        <v>852707473</v>
      </c>
      <c r="Y344" s="121"/>
      <c r="Z344" s="121"/>
      <c r="AA344" s="121"/>
      <c r="AB344" s="121"/>
      <c r="AC344" s="64">
        <v>852707473</v>
      </c>
      <c r="AD344" s="65">
        <v>44160</v>
      </c>
      <c r="AE344" s="65">
        <v>46715</v>
      </c>
      <c r="AF344" s="62">
        <v>7</v>
      </c>
      <c r="AG344" s="119">
        <v>84</v>
      </c>
      <c r="AH344" s="25">
        <v>10151279.44047619</v>
      </c>
      <c r="AI344" s="78">
        <v>377627583.40476191</v>
      </c>
      <c r="AJ344" s="78">
        <v>475079889.59523809</v>
      </c>
      <c r="AK344" s="27">
        <f t="shared" si="62"/>
        <v>10151279.44047619</v>
      </c>
      <c r="AL344" s="27">
        <f t="shared" ref="AL344:AL407" si="64">+IF(AND(AL$3&gt;=$D344,AL$3&lt;$C344),$AH344,$AJ344-SUM(AJ344:AK344))</f>
        <v>10151279.44047619</v>
      </c>
      <c r="AM344" s="27"/>
      <c r="AN344" s="27"/>
      <c r="AO344" s="27"/>
      <c r="AP344" s="27"/>
      <c r="AQ344" s="27"/>
      <c r="AR344" s="27"/>
      <c r="AS344" s="27"/>
      <c r="AT344" s="27"/>
      <c r="AU344" s="27"/>
      <c r="AV344" s="27"/>
      <c r="AW344" s="27">
        <f t="shared" si="57"/>
        <v>20302558.880952381</v>
      </c>
      <c r="AX344" s="79">
        <f t="shared" si="58"/>
        <v>454777330.71428573</v>
      </c>
      <c r="AY344" s="79">
        <f t="shared" si="59"/>
        <v>397930142.28571427</v>
      </c>
      <c r="AZ344" s="25">
        <v>1</v>
      </c>
      <c r="BA344" s="62" t="s">
        <v>97</v>
      </c>
      <c r="BB344" s="66">
        <v>1</v>
      </c>
      <c r="BC344" s="66"/>
      <c r="BD344" s="66"/>
      <c r="BE344" s="67">
        <f t="shared" si="63"/>
        <v>10151279.44047619</v>
      </c>
      <c r="BF344" s="67">
        <f t="shared" si="56"/>
        <v>0</v>
      </c>
      <c r="BG344" s="67">
        <f t="shared" si="55"/>
        <v>0</v>
      </c>
      <c r="BH344" s="66"/>
      <c r="BI344" s="68" t="s">
        <v>695</v>
      </c>
      <c r="BJ344" s="68" t="s">
        <v>121</v>
      </c>
      <c r="BK344" s="68" t="s">
        <v>121</v>
      </c>
      <c r="BL344" s="29"/>
      <c r="BO344" s="35" t="s">
        <v>1800</v>
      </c>
      <c r="BP344" s="1" t="s">
        <v>1810</v>
      </c>
      <c r="BQ344" s="1" t="e">
        <v>#N/A</v>
      </c>
    </row>
    <row r="345" spans="1:69" ht="15" hidden="1" customHeight="1">
      <c r="A345" s="1" t="s">
        <v>43</v>
      </c>
      <c r="C345" s="1" t="str">
        <f t="shared" si="60"/>
        <v>2809</v>
      </c>
      <c r="D345" s="1" t="str">
        <f t="shared" si="61"/>
        <v>2010</v>
      </c>
      <c r="E345" s="19" t="s">
        <v>48</v>
      </c>
      <c r="F345" s="62" t="s">
        <v>515</v>
      </c>
      <c r="G345" s="62">
        <v>2112</v>
      </c>
      <c r="H345" s="62" t="s">
        <v>961</v>
      </c>
      <c r="I345" s="62" t="s">
        <v>962</v>
      </c>
      <c r="J345" s="118">
        <v>1</v>
      </c>
      <c r="K345" s="119" t="s">
        <v>619</v>
      </c>
      <c r="L345" s="62" t="s">
        <v>911</v>
      </c>
      <c r="M345" s="120" t="s">
        <v>963</v>
      </c>
      <c r="N345" s="65">
        <v>44105</v>
      </c>
      <c r="O345" s="24"/>
      <c r="P345" s="24"/>
      <c r="Q345" s="64">
        <v>92440000</v>
      </c>
      <c r="R345" s="64"/>
      <c r="S345" s="64"/>
      <c r="T345" s="64"/>
      <c r="U345" s="64"/>
      <c r="V345" s="121">
        <v>92440000</v>
      </c>
      <c r="W345" s="122">
        <v>0</v>
      </c>
      <c r="X345" s="64">
        <v>92440000</v>
      </c>
      <c r="Y345" s="121"/>
      <c r="Z345" s="121"/>
      <c r="AA345" s="121"/>
      <c r="AB345" s="121"/>
      <c r="AC345" s="64">
        <v>92440000</v>
      </c>
      <c r="AD345" s="65">
        <v>44105</v>
      </c>
      <c r="AE345" s="65">
        <v>47025</v>
      </c>
      <c r="AF345" s="62">
        <v>8</v>
      </c>
      <c r="AG345" s="119">
        <v>96</v>
      </c>
      <c r="AH345" s="25">
        <v>962916.66666666663</v>
      </c>
      <c r="AI345" s="78">
        <v>37553759.666666664</v>
      </c>
      <c r="AJ345" s="78">
        <v>54886240.333333336</v>
      </c>
      <c r="AK345" s="27">
        <f t="shared" si="62"/>
        <v>962916.66666666663</v>
      </c>
      <c r="AL345" s="27">
        <f t="shared" si="64"/>
        <v>962916.66666666663</v>
      </c>
      <c r="AM345" s="27"/>
      <c r="AN345" s="27"/>
      <c r="AO345" s="27"/>
      <c r="AP345" s="27"/>
      <c r="AQ345" s="27"/>
      <c r="AR345" s="27"/>
      <c r="AS345" s="27"/>
      <c r="AT345" s="27"/>
      <c r="AU345" s="27"/>
      <c r="AV345" s="27"/>
      <c r="AW345" s="27">
        <f t="shared" si="57"/>
        <v>1925833.3333333333</v>
      </c>
      <c r="AX345" s="79">
        <f t="shared" si="58"/>
        <v>52960407</v>
      </c>
      <c r="AY345" s="79">
        <f t="shared" si="59"/>
        <v>39479593</v>
      </c>
      <c r="AZ345" s="25">
        <v>1</v>
      </c>
      <c r="BA345" s="62" t="s">
        <v>97</v>
      </c>
      <c r="BB345" s="66">
        <v>1</v>
      </c>
      <c r="BC345" s="66"/>
      <c r="BD345" s="66"/>
      <c r="BE345" s="67">
        <f t="shared" si="63"/>
        <v>962916.66666666663</v>
      </c>
      <c r="BF345" s="67">
        <f t="shared" si="56"/>
        <v>0</v>
      </c>
      <c r="BG345" s="67">
        <f t="shared" si="55"/>
        <v>0</v>
      </c>
      <c r="BH345" s="66"/>
      <c r="BI345" s="68" t="s">
        <v>964</v>
      </c>
      <c r="BJ345" s="68" t="s">
        <v>644</v>
      </c>
      <c r="BK345" s="68" t="s">
        <v>644</v>
      </c>
      <c r="BL345" s="29"/>
      <c r="BO345" s="35" t="s">
        <v>1802</v>
      </c>
      <c r="BQ345" s="1" t="e">
        <v>#N/A</v>
      </c>
    </row>
    <row r="346" spans="1:69" ht="15" hidden="1" customHeight="1">
      <c r="A346" s="1" t="s">
        <v>43</v>
      </c>
      <c r="C346" s="1" t="str">
        <f t="shared" si="60"/>
        <v>2810</v>
      </c>
      <c r="D346" s="1" t="str">
        <f t="shared" si="61"/>
        <v>2010</v>
      </c>
      <c r="E346" s="19" t="s">
        <v>48</v>
      </c>
      <c r="F346" s="62" t="s">
        <v>49</v>
      </c>
      <c r="G346" s="62">
        <v>2114</v>
      </c>
      <c r="H346" s="62" t="s">
        <v>965</v>
      </c>
      <c r="I346" s="62" t="s">
        <v>966</v>
      </c>
      <c r="J346" s="118">
        <v>1</v>
      </c>
      <c r="K346" s="119" t="s">
        <v>271</v>
      </c>
      <c r="L346" s="62" t="s">
        <v>967</v>
      </c>
      <c r="M346" s="120" t="s">
        <v>968</v>
      </c>
      <c r="N346" s="63">
        <v>44124</v>
      </c>
      <c r="O346" s="24"/>
      <c r="P346" s="24"/>
      <c r="Q346" s="64">
        <v>65800000</v>
      </c>
      <c r="R346" s="64"/>
      <c r="S346" s="64"/>
      <c r="T346" s="64"/>
      <c r="U346" s="64"/>
      <c r="V346" s="121">
        <v>65800000</v>
      </c>
      <c r="W346" s="122">
        <v>0</v>
      </c>
      <c r="X346" s="64">
        <v>65800000</v>
      </c>
      <c r="Y346" s="121"/>
      <c r="Z346" s="121"/>
      <c r="AA346" s="121"/>
      <c r="AB346" s="121"/>
      <c r="AC346" s="64">
        <v>65800000</v>
      </c>
      <c r="AD346" s="65">
        <v>44124</v>
      </c>
      <c r="AE346" s="65">
        <v>47044</v>
      </c>
      <c r="AF346" s="62">
        <v>8</v>
      </c>
      <c r="AG346" s="119">
        <v>96</v>
      </c>
      <c r="AH346" s="25">
        <v>685416.66666666663</v>
      </c>
      <c r="AI346" s="78">
        <v>26311165.666666668</v>
      </c>
      <c r="AJ346" s="78">
        <v>39488834.333333328</v>
      </c>
      <c r="AK346" s="27">
        <f t="shared" si="62"/>
        <v>685416.66666666663</v>
      </c>
      <c r="AL346" s="27">
        <f t="shared" si="64"/>
        <v>685416.66666666663</v>
      </c>
      <c r="AM346" s="27"/>
      <c r="AN346" s="27"/>
      <c r="AO346" s="27"/>
      <c r="AP346" s="27"/>
      <c r="AQ346" s="27"/>
      <c r="AR346" s="27"/>
      <c r="AS346" s="27"/>
      <c r="AT346" s="27"/>
      <c r="AU346" s="27"/>
      <c r="AV346" s="27"/>
      <c r="AW346" s="27">
        <f t="shared" si="57"/>
        <v>1370833.3333333333</v>
      </c>
      <c r="AX346" s="79">
        <f t="shared" si="58"/>
        <v>38118000.999999993</v>
      </c>
      <c r="AY346" s="79">
        <f t="shared" si="59"/>
        <v>27681999</v>
      </c>
      <c r="AZ346" s="25">
        <v>1</v>
      </c>
      <c r="BA346" s="62" t="s">
        <v>79</v>
      </c>
      <c r="BB346" s="66">
        <v>1</v>
      </c>
      <c r="BC346" s="66"/>
      <c r="BD346" s="66"/>
      <c r="BE346" s="67">
        <f t="shared" si="63"/>
        <v>685416.66666666663</v>
      </c>
      <c r="BF346" s="67">
        <f t="shared" si="56"/>
        <v>0</v>
      </c>
      <c r="BG346" s="67">
        <f t="shared" si="55"/>
        <v>0</v>
      </c>
      <c r="BH346" s="66"/>
      <c r="BI346" s="68" t="s">
        <v>135</v>
      </c>
      <c r="BJ346" s="68" t="s">
        <v>58</v>
      </c>
      <c r="BK346" s="68" t="s">
        <v>59</v>
      </c>
      <c r="BL346" s="29"/>
      <c r="BO346" s="35" t="s">
        <v>1804</v>
      </c>
      <c r="BQ346" s="1" t="e">
        <v>#N/A</v>
      </c>
    </row>
    <row r="347" spans="1:69" ht="15" hidden="1" customHeight="1">
      <c r="A347" s="1" t="s">
        <v>43</v>
      </c>
      <c r="C347" s="1" t="str">
        <f t="shared" si="60"/>
        <v>2510</v>
      </c>
      <c r="D347" s="1" t="str">
        <f t="shared" si="61"/>
        <v>2010</v>
      </c>
      <c r="E347" s="19" t="s">
        <v>48</v>
      </c>
      <c r="F347" s="62" t="s">
        <v>49</v>
      </c>
      <c r="G347" s="62">
        <v>2114</v>
      </c>
      <c r="H347" s="62" t="s">
        <v>969</v>
      </c>
      <c r="I347" s="62" t="s">
        <v>970</v>
      </c>
      <c r="J347" s="118">
        <v>1</v>
      </c>
      <c r="K347" s="119" t="s">
        <v>271</v>
      </c>
      <c r="L347" s="62" t="s">
        <v>971</v>
      </c>
      <c r="M347" s="120" t="s">
        <v>972</v>
      </c>
      <c r="N347" s="63">
        <v>44135</v>
      </c>
      <c r="O347" s="24"/>
      <c r="P347" s="24"/>
      <c r="Q347" s="64">
        <v>33500000</v>
      </c>
      <c r="R347" s="64"/>
      <c r="S347" s="64"/>
      <c r="T347" s="64"/>
      <c r="U347" s="64"/>
      <c r="V347" s="121">
        <v>33500000</v>
      </c>
      <c r="W347" s="122">
        <v>0</v>
      </c>
      <c r="X347" s="64">
        <v>33500000</v>
      </c>
      <c r="Y347" s="121"/>
      <c r="Z347" s="121"/>
      <c r="AA347" s="121"/>
      <c r="AB347" s="121"/>
      <c r="AC347" s="64">
        <v>33500000</v>
      </c>
      <c r="AD347" s="65">
        <v>44135</v>
      </c>
      <c r="AE347" s="65">
        <v>45960</v>
      </c>
      <c r="AF347" s="62">
        <v>5</v>
      </c>
      <c r="AG347" s="119">
        <v>60</v>
      </c>
      <c r="AH347" s="25">
        <v>558333.33333333337</v>
      </c>
      <c r="AI347" s="78">
        <v>21234668.333333332</v>
      </c>
      <c r="AJ347" s="78">
        <v>12265331.666666668</v>
      </c>
      <c r="AK347" s="27">
        <f t="shared" si="62"/>
        <v>558333.33333333337</v>
      </c>
      <c r="AL347" s="27">
        <f t="shared" si="64"/>
        <v>558333.33333333337</v>
      </c>
      <c r="AM347" s="27"/>
      <c r="AN347" s="27"/>
      <c r="AO347" s="27"/>
      <c r="AP347" s="27"/>
      <c r="AQ347" s="27"/>
      <c r="AR347" s="27"/>
      <c r="AS347" s="27"/>
      <c r="AT347" s="27"/>
      <c r="AU347" s="27"/>
      <c r="AV347" s="27"/>
      <c r="AW347" s="27">
        <f t="shared" si="57"/>
        <v>1116666.6666666667</v>
      </c>
      <c r="AX347" s="79">
        <f t="shared" si="58"/>
        <v>11148665.000000002</v>
      </c>
      <c r="AY347" s="79">
        <f t="shared" si="59"/>
        <v>22351335</v>
      </c>
      <c r="AZ347" s="25">
        <v>1</v>
      </c>
      <c r="BA347" s="62" t="s">
        <v>79</v>
      </c>
      <c r="BB347" s="66">
        <v>1</v>
      </c>
      <c r="BC347" s="66"/>
      <c r="BD347" s="66"/>
      <c r="BE347" s="67">
        <f t="shared" si="63"/>
        <v>558333.33333333337</v>
      </c>
      <c r="BF347" s="67">
        <f t="shared" si="56"/>
        <v>0</v>
      </c>
      <c r="BG347" s="67">
        <f t="shared" si="55"/>
        <v>0</v>
      </c>
      <c r="BH347" s="66"/>
      <c r="BI347" s="68" t="s">
        <v>57</v>
      </c>
      <c r="BJ347" s="68" t="s">
        <v>58</v>
      </c>
      <c r="BK347" s="68" t="s">
        <v>59</v>
      </c>
      <c r="BL347" s="29"/>
      <c r="BO347" s="35" t="s">
        <v>1799</v>
      </c>
      <c r="BQ347" s="1" t="e">
        <v>#N/A</v>
      </c>
    </row>
    <row r="348" spans="1:69" ht="15" hidden="1" customHeight="1">
      <c r="A348" s="1" t="s">
        <v>43</v>
      </c>
      <c r="C348" s="1" t="str">
        <f t="shared" si="60"/>
        <v>2810</v>
      </c>
      <c r="D348" s="1" t="str">
        <f t="shared" si="61"/>
        <v>2011</v>
      </c>
      <c r="E348" s="19" t="s">
        <v>48</v>
      </c>
      <c r="F348" s="62" t="s">
        <v>49</v>
      </c>
      <c r="G348" s="62">
        <v>2114</v>
      </c>
      <c r="H348" s="62" t="s">
        <v>973</v>
      </c>
      <c r="I348" s="62" t="s">
        <v>974</v>
      </c>
      <c r="J348" s="118">
        <v>1</v>
      </c>
      <c r="K348" s="119" t="s">
        <v>271</v>
      </c>
      <c r="L348" s="62" t="s">
        <v>975</v>
      </c>
      <c r="M348" s="120" t="s">
        <v>976</v>
      </c>
      <c r="N348" s="63">
        <v>44136</v>
      </c>
      <c r="O348" s="24"/>
      <c r="P348" s="24"/>
      <c r="Q348" s="64">
        <v>72993000</v>
      </c>
      <c r="R348" s="64"/>
      <c r="S348" s="64"/>
      <c r="T348" s="64"/>
      <c r="U348" s="64"/>
      <c r="V348" s="121">
        <v>72993000</v>
      </c>
      <c r="W348" s="122">
        <v>0</v>
      </c>
      <c r="X348" s="64">
        <v>72993000</v>
      </c>
      <c r="Y348" s="121"/>
      <c r="Z348" s="121"/>
      <c r="AA348" s="121"/>
      <c r="AB348" s="121"/>
      <c r="AC348" s="64">
        <v>72993000</v>
      </c>
      <c r="AD348" s="65">
        <v>44136</v>
      </c>
      <c r="AE348" s="65">
        <v>47056</v>
      </c>
      <c r="AF348" s="62">
        <v>8</v>
      </c>
      <c r="AG348" s="119">
        <v>96</v>
      </c>
      <c r="AH348" s="25">
        <v>760343.75</v>
      </c>
      <c r="AI348" s="78">
        <v>28893069.5</v>
      </c>
      <c r="AJ348" s="78">
        <v>44099930.5</v>
      </c>
      <c r="AK348" s="27">
        <f t="shared" si="62"/>
        <v>760343.75</v>
      </c>
      <c r="AL348" s="27">
        <f t="shared" si="64"/>
        <v>760343.75</v>
      </c>
      <c r="AM348" s="27"/>
      <c r="AN348" s="27"/>
      <c r="AO348" s="27"/>
      <c r="AP348" s="27"/>
      <c r="AQ348" s="27"/>
      <c r="AR348" s="27"/>
      <c r="AS348" s="27"/>
      <c r="AT348" s="27"/>
      <c r="AU348" s="27"/>
      <c r="AV348" s="27"/>
      <c r="AW348" s="27">
        <f t="shared" si="57"/>
        <v>1520687.5</v>
      </c>
      <c r="AX348" s="79">
        <f t="shared" si="58"/>
        <v>42579243</v>
      </c>
      <c r="AY348" s="79">
        <f t="shared" si="59"/>
        <v>30413757</v>
      </c>
      <c r="AZ348" s="25">
        <v>1</v>
      </c>
      <c r="BA348" s="62" t="s">
        <v>79</v>
      </c>
      <c r="BB348" s="66"/>
      <c r="BC348" s="66">
        <v>1</v>
      </c>
      <c r="BD348" s="66"/>
      <c r="BE348" s="67">
        <f t="shared" si="63"/>
        <v>0</v>
      </c>
      <c r="BF348" s="67">
        <f t="shared" si="56"/>
        <v>760343.75</v>
      </c>
      <c r="BG348" s="67">
        <f t="shared" si="55"/>
        <v>0</v>
      </c>
      <c r="BH348" s="66"/>
      <c r="BI348" s="68" t="s">
        <v>977</v>
      </c>
      <c r="BJ348" s="68" t="s">
        <v>58</v>
      </c>
      <c r="BK348" s="68" t="s">
        <v>59</v>
      </c>
      <c r="BL348" s="29"/>
      <c r="BO348" s="35" t="s">
        <v>1799</v>
      </c>
      <c r="BQ348" s="1" t="e">
        <v>#N/A</v>
      </c>
    </row>
    <row r="349" spans="1:69" ht="15" hidden="1" customHeight="1">
      <c r="A349" s="1" t="s">
        <v>43</v>
      </c>
      <c r="C349" s="1" t="str">
        <f t="shared" si="60"/>
        <v>3101</v>
      </c>
      <c r="D349" s="1" t="str">
        <f t="shared" si="61"/>
        <v>2101</v>
      </c>
      <c r="E349" s="19" t="s">
        <v>48</v>
      </c>
      <c r="F349" s="62" t="s">
        <v>49</v>
      </c>
      <c r="G349" s="62">
        <v>2112</v>
      </c>
      <c r="H349" s="62" t="s">
        <v>978</v>
      </c>
      <c r="I349" s="62" t="s">
        <v>979</v>
      </c>
      <c r="J349" s="118">
        <v>1</v>
      </c>
      <c r="K349" s="119" t="s">
        <v>271</v>
      </c>
      <c r="L349" s="62" t="s">
        <v>980</v>
      </c>
      <c r="M349" s="120" t="s">
        <v>981</v>
      </c>
      <c r="N349" s="63">
        <v>44137</v>
      </c>
      <c r="O349" s="24">
        <v>63000</v>
      </c>
      <c r="P349" s="24">
        <v>23318.237837837838</v>
      </c>
      <c r="Q349" s="64">
        <v>1469048983.7837839</v>
      </c>
      <c r="R349" s="64"/>
      <c r="S349" s="64">
        <v>19837215.333333332</v>
      </c>
      <c r="T349" s="64">
        <v>4068361.75</v>
      </c>
      <c r="U349" s="64" t="s">
        <v>982</v>
      </c>
      <c r="V349" s="121">
        <v>1492954561</v>
      </c>
      <c r="W349" s="122">
        <v>0</v>
      </c>
      <c r="X349" s="64">
        <v>1492954561</v>
      </c>
      <c r="Y349" s="121"/>
      <c r="Z349" s="121"/>
      <c r="AA349" s="121"/>
      <c r="AB349" s="121"/>
      <c r="AC349" s="64">
        <v>1492954561</v>
      </c>
      <c r="AD349" s="65">
        <v>44224</v>
      </c>
      <c r="AE349" s="65">
        <v>47874</v>
      </c>
      <c r="AF349" s="62">
        <v>10</v>
      </c>
      <c r="AG349" s="119">
        <v>120</v>
      </c>
      <c r="AH349" s="25">
        <v>12441288.008333333</v>
      </c>
      <c r="AI349" s="78">
        <v>437050407.56720424</v>
      </c>
      <c r="AJ349" s="78">
        <v>1055904153.4327958</v>
      </c>
      <c r="AK349" s="27">
        <f t="shared" si="62"/>
        <v>12441288.008333333</v>
      </c>
      <c r="AL349" s="27">
        <f t="shared" si="64"/>
        <v>12441288.008333333</v>
      </c>
      <c r="AM349" s="27"/>
      <c r="AN349" s="27"/>
      <c r="AO349" s="27"/>
      <c r="AP349" s="27"/>
      <c r="AQ349" s="27"/>
      <c r="AR349" s="27"/>
      <c r="AS349" s="27"/>
      <c r="AT349" s="27"/>
      <c r="AU349" s="27"/>
      <c r="AV349" s="27"/>
      <c r="AW349" s="27">
        <f t="shared" si="57"/>
        <v>24882576.016666666</v>
      </c>
      <c r="AX349" s="79">
        <f t="shared" si="58"/>
        <v>1031021577.4161291</v>
      </c>
      <c r="AY349" s="79">
        <f t="shared" si="59"/>
        <v>461932983.58387089</v>
      </c>
      <c r="AZ349" s="25">
        <v>1</v>
      </c>
      <c r="BA349" s="62" t="s">
        <v>97</v>
      </c>
      <c r="BB349" s="66">
        <v>1</v>
      </c>
      <c r="BC349" s="66"/>
      <c r="BD349" s="66"/>
      <c r="BE349" s="67">
        <f t="shared" si="63"/>
        <v>12441288.008333333</v>
      </c>
      <c r="BF349" s="67">
        <f t="shared" si="56"/>
        <v>0</v>
      </c>
      <c r="BG349" s="67">
        <f t="shared" si="55"/>
        <v>0</v>
      </c>
      <c r="BH349" s="66"/>
      <c r="BI349" s="68" t="s">
        <v>830</v>
      </c>
      <c r="BJ349" s="68" t="s">
        <v>81</v>
      </c>
      <c r="BK349" s="68" t="s">
        <v>81</v>
      </c>
      <c r="BL349" s="29"/>
      <c r="BO349" s="35" t="s">
        <v>1800</v>
      </c>
      <c r="BP349" s="1" t="s">
        <v>1816</v>
      </c>
      <c r="BQ349" s="1" t="e">
        <v>#N/A</v>
      </c>
    </row>
    <row r="350" spans="1:69" ht="15" hidden="1" customHeight="1">
      <c r="A350" s="1" t="s">
        <v>43</v>
      </c>
      <c r="C350" s="1" t="str">
        <f t="shared" si="60"/>
        <v>3101</v>
      </c>
      <c r="D350" s="1" t="str">
        <f t="shared" si="61"/>
        <v>2101</v>
      </c>
      <c r="E350" s="19" t="s">
        <v>48</v>
      </c>
      <c r="F350" s="62" t="s">
        <v>49</v>
      </c>
      <c r="G350" s="62">
        <v>2112</v>
      </c>
      <c r="H350" s="62" t="s">
        <v>983</v>
      </c>
      <c r="I350" s="62" t="s">
        <v>979</v>
      </c>
      <c r="J350" s="118">
        <v>1</v>
      </c>
      <c r="K350" s="119" t="s">
        <v>271</v>
      </c>
      <c r="L350" s="62" t="s">
        <v>980</v>
      </c>
      <c r="M350" s="120" t="s">
        <v>981</v>
      </c>
      <c r="N350" s="63">
        <v>44137</v>
      </c>
      <c r="O350" s="24">
        <v>63000</v>
      </c>
      <c r="P350" s="24">
        <v>23318.237837837838</v>
      </c>
      <c r="Q350" s="64">
        <v>1469048983.7837839</v>
      </c>
      <c r="R350" s="64"/>
      <c r="S350" s="64">
        <v>19837215.333333332</v>
      </c>
      <c r="T350" s="64">
        <v>4068361.75</v>
      </c>
      <c r="U350" s="64" t="s">
        <v>982</v>
      </c>
      <c r="V350" s="121">
        <v>1492954561</v>
      </c>
      <c r="W350" s="122">
        <v>0</v>
      </c>
      <c r="X350" s="64">
        <v>1492954561</v>
      </c>
      <c r="Y350" s="121">
        <v>-1492954561</v>
      </c>
      <c r="Z350" s="121">
        <v>1</v>
      </c>
      <c r="AA350" s="128">
        <v>44455</v>
      </c>
      <c r="AB350" s="121" t="s">
        <v>419</v>
      </c>
      <c r="AC350" s="64">
        <v>0</v>
      </c>
      <c r="AD350" s="65">
        <v>44224</v>
      </c>
      <c r="AE350" s="65">
        <v>47874</v>
      </c>
      <c r="AF350" s="62">
        <v>10</v>
      </c>
      <c r="AG350" s="119">
        <v>120</v>
      </c>
      <c r="AH350" s="25">
        <v>0</v>
      </c>
      <c r="AI350" s="78">
        <v>3.8708877563476546E-3</v>
      </c>
      <c r="AJ350" s="78">
        <v>-3.8708877563476546E-3</v>
      </c>
      <c r="AK350" s="27">
        <f t="shared" si="62"/>
        <v>0</v>
      </c>
      <c r="AL350" s="27">
        <f t="shared" si="64"/>
        <v>0</v>
      </c>
      <c r="AM350" s="27"/>
      <c r="AN350" s="27"/>
      <c r="AO350" s="27"/>
      <c r="AP350" s="27"/>
      <c r="AQ350" s="27"/>
      <c r="AR350" s="27"/>
      <c r="AS350" s="27"/>
      <c r="AT350" s="27"/>
      <c r="AU350" s="27"/>
      <c r="AV350" s="27"/>
      <c r="AW350" s="27">
        <f t="shared" si="57"/>
        <v>0</v>
      </c>
      <c r="AX350" s="79">
        <f t="shared" si="58"/>
        <v>-3.8708877563476546E-3</v>
      </c>
      <c r="AY350" s="79">
        <f t="shared" si="59"/>
        <v>3.8708877563476546E-3</v>
      </c>
      <c r="AZ350" s="25">
        <v>0</v>
      </c>
      <c r="BA350" s="62" t="s">
        <v>97</v>
      </c>
      <c r="BB350" s="66">
        <v>1</v>
      </c>
      <c r="BC350" s="66"/>
      <c r="BD350" s="66"/>
      <c r="BE350" s="67">
        <f t="shared" si="63"/>
        <v>0</v>
      </c>
      <c r="BF350" s="67">
        <f t="shared" si="56"/>
        <v>0</v>
      </c>
      <c r="BG350" s="67">
        <f t="shared" si="55"/>
        <v>0</v>
      </c>
      <c r="BH350" s="66"/>
      <c r="BI350" s="68" t="s">
        <v>894</v>
      </c>
      <c r="BJ350" s="68" t="s">
        <v>81</v>
      </c>
      <c r="BK350" s="68" t="s">
        <v>81</v>
      </c>
      <c r="BL350" s="31">
        <v>1397624864</v>
      </c>
      <c r="BQ350" s="1" t="e">
        <v>#N/A</v>
      </c>
    </row>
    <row r="351" spans="1:69" ht="15" hidden="1" customHeight="1">
      <c r="A351" s="1" t="s">
        <v>43</v>
      </c>
      <c r="C351" s="1" t="str">
        <f t="shared" si="60"/>
        <v>3101</v>
      </c>
      <c r="D351" s="1" t="str">
        <f t="shared" si="61"/>
        <v>2101</v>
      </c>
      <c r="E351" s="19" t="s">
        <v>48</v>
      </c>
      <c r="F351" s="62" t="s">
        <v>49</v>
      </c>
      <c r="G351" s="62">
        <v>2112</v>
      </c>
      <c r="H351" s="62" t="s">
        <v>984</v>
      </c>
      <c r="I351" s="62" t="s">
        <v>979</v>
      </c>
      <c r="J351" s="118">
        <v>1</v>
      </c>
      <c r="K351" s="119" t="s">
        <v>271</v>
      </c>
      <c r="L351" s="62" t="s">
        <v>980</v>
      </c>
      <c r="M351" s="120" t="s">
        <v>981</v>
      </c>
      <c r="N351" s="63">
        <v>44137</v>
      </c>
      <c r="O351" s="24">
        <v>63000</v>
      </c>
      <c r="P351" s="24">
        <v>23318.237837837838</v>
      </c>
      <c r="Q351" s="64">
        <v>1469048983.7837839</v>
      </c>
      <c r="R351" s="64"/>
      <c r="S351" s="64">
        <v>19837215.333333332</v>
      </c>
      <c r="T351" s="64">
        <v>4068361.75</v>
      </c>
      <c r="U351" s="64" t="s">
        <v>982</v>
      </c>
      <c r="V351" s="121">
        <v>1492954561</v>
      </c>
      <c r="W351" s="122">
        <v>0</v>
      </c>
      <c r="X351" s="64">
        <v>1492954561</v>
      </c>
      <c r="Y351" s="121">
        <v>-1492954561</v>
      </c>
      <c r="Z351" s="121">
        <v>1</v>
      </c>
      <c r="AA351" s="128">
        <v>44455</v>
      </c>
      <c r="AB351" s="121" t="s">
        <v>419</v>
      </c>
      <c r="AC351" s="64">
        <v>0</v>
      </c>
      <c r="AD351" s="65">
        <v>44224</v>
      </c>
      <c r="AE351" s="65">
        <v>47874</v>
      </c>
      <c r="AF351" s="62">
        <v>10</v>
      </c>
      <c r="AG351" s="119">
        <v>120</v>
      </c>
      <c r="AH351" s="25">
        <v>0</v>
      </c>
      <c r="AI351" s="78">
        <v>3.8708877563476546E-3</v>
      </c>
      <c r="AJ351" s="78">
        <v>-3.8708877563476546E-3</v>
      </c>
      <c r="AK351" s="27">
        <f t="shared" si="62"/>
        <v>0</v>
      </c>
      <c r="AL351" s="27">
        <f t="shared" si="64"/>
        <v>0</v>
      </c>
      <c r="AM351" s="27"/>
      <c r="AN351" s="27"/>
      <c r="AO351" s="27"/>
      <c r="AP351" s="27"/>
      <c r="AQ351" s="27"/>
      <c r="AR351" s="27"/>
      <c r="AS351" s="27"/>
      <c r="AT351" s="27"/>
      <c r="AU351" s="27"/>
      <c r="AV351" s="27"/>
      <c r="AW351" s="27">
        <f t="shared" si="57"/>
        <v>0</v>
      </c>
      <c r="AX351" s="79">
        <f t="shared" si="58"/>
        <v>-3.8708877563476546E-3</v>
      </c>
      <c r="AY351" s="79">
        <f t="shared" si="59"/>
        <v>3.8708877563476546E-3</v>
      </c>
      <c r="AZ351" s="25">
        <v>0</v>
      </c>
      <c r="BA351" s="62" t="s">
        <v>97</v>
      </c>
      <c r="BB351" s="66">
        <v>1</v>
      </c>
      <c r="BC351" s="66"/>
      <c r="BD351" s="66"/>
      <c r="BE351" s="67">
        <f t="shared" si="63"/>
        <v>0</v>
      </c>
      <c r="BF351" s="67">
        <f t="shared" si="56"/>
        <v>0</v>
      </c>
      <c r="BG351" s="67">
        <f t="shared" si="55"/>
        <v>0</v>
      </c>
      <c r="BH351" s="66"/>
      <c r="BI351" s="68" t="s">
        <v>632</v>
      </c>
      <c r="BJ351" s="68" t="s">
        <v>81</v>
      </c>
      <c r="BK351" s="68" t="s">
        <v>81</v>
      </c>
      <c r="BL351" s="31">
        <v>1397624864</v>
      </c>
      <c r="BQ351" s="1" t="e">
        <v>#N/A</v>
      </c>
    </row>
    <row r="352" spans="1:69" ht="15" hidden="1" customHeight="1">
      <c r="A352" s="1" t="s">
        <v>43</v>
      </c>
      <c r="C352" s="1" t="str">
        <f t="shared" si="60"/>
        <v>3101</v>
      </c>
      <c r="D352" s="1" t="str">
        <f t="shared" si="61"/>
        <v>2101</v>
      </c>
      <c r="E352" s="19" t="s">
        <v>48</v>
      </c>
      <c r="F352" s="62" t="s">
        <v>49</v>
      </c>
      <c r="G352" s="62">
        <v>2112</v>
      </c>
      <c r="H352" s="62" t="s">
        <v>985</v>
      </c>
      <c r="I352" s="62" t="s">
        <v>979</v>
      </c>
      <c r="J352" s="118">
        <v>1</v>
      </c>
      <c r="K352" s="119" t="s">
        <v>271</v>
      </c>
      <c r="L352" s="62" t="s">
        <v>980</v>
      </c>
      <c r="M352" s="120" t="s">
        <v>981</v>
      </c>
      <c r="N352" s="63">
        <v>44137</v>
      </c>
      <c r="O352" s="24">
        <v>63000</v>
      </c>
      <c r="P352" s="24">
        <v>23318.237837837838</v>
      </c>
      <c r="Q352" s="64">
        <v>1469048983.7837839</v>
      </c>
      <c r="R352" s="64"/>
      <c r="S352" s="64">
        <v>19837215.333333332</v>
      </c>
      <c r="T352" s="64">
        <v>4068361.75</v>
      </c>
      <c r="U352" s="64" t="s">
        <v>982</v>
      </c>
      <c r="V352" s="121">
        <v>1492954561</v>
      </c>
      <c r="W352" s="122">
        <v>0</v>
      </c>
      <c r="X352" s="64">
        <v>1492954561</v>
      </c>
      <c r="Y352" s="121"/>
      <c r="Z352" s="121"/>
      <c r="AA352" s="121"/>
      <c r="AB352" s="121"/>
      <c r="AC352" s="64">
        <v>1492954561</v>
      </c>
      <c r="AD352" s="65">
        <v>44224</v>
      </c>
      <c r="AE352" s="65">
        <v>47874</v>
      </c>
      <c r="AF352" s="62">
        <v>10</v>
      </c>
      <c r="AG352" s="119">
        <v>120</v>
      </c>
      <c r="AH352" s="25">
        <v>12441288.008333333</v>
      </c>
      <c r="AI352" s="78">
        <v>437050407.56720424</v>
      </c>
      <c r="AJ352" s="78">
        <v>1055904153.4327958</v>
      </c>
      <c r="AK352" s="27">
        <f t="shared" si="62"/>
        <v>12441288.008333333</v>
      </c>
      <c r="AL352" s="27">
        <f t="shared" si="64"/>
        <v>12441288.008333333</v>
      </c>
      <c r="AM352" s="27"/>
      <c r="AN352" s="27"/>
      <c r="AO352" s="27"/>
      <c r="AP352" s="27"/>
      <c r="AQ352" s="27"/>
      <c r="AR352" s="27"/>
      <c r="AS352" s="27"/>
      <c r="AT352" s="27"/>
      <c r="AU352" s="27"/>
      <c r="AV352" s="27"/>
      <c r="AW352" s="27">
        <f t="shared" si="57"/>
        <v>24882576.016666666</v>
      </c>
      <c r="AX352" s="79">
        <f t="shared" si="58"/>
        <v>1031021577.4161291</v>
      </c>
      <c r="AY352" s="79">
        <f t="shared" si="59"/>
        <v>461932983.58387089</v>
      </c>
      <c r="AZ352" s="25">
        <v>1</v>
      </c>
      <c r="BA352" s="62" t="s">
        <v>97</v>
      </c>
      <c r="BB352" s="66">
        <v>1</v>
      </c>
      <c r="BC352" s="66"/>
      <c r="BD352" s="66"/>
      <c r="BE352" s="67">
        <f t="shared" si="63"/>
        <v>12441288.008333333</v>
      </c>
      <c r="BF352" s="67">
        <f t="shared" si="56"/>
        <v>0</v>
      </c>
      <c r="BG352" s="67">
        <f t="shared" si="55"/>
        <v>0</v>
      </c>
      <c r="BH352" s="66"/>
      <c r="BI352" s="68" t="s">
        <v>146</v>
      </c>
      <c r="BJ352" s="68" t="s">
        <v>81</v>
      </c>
      <c r="BK352" s="68" t="s">
        <v>81</v>
      </c>
      <c r="BL352" s="29"/>
      <c r="BO352" s="35" t="s">
        <v>1800</v>
      </c>
      <c r="BP352" s="1" t="s">
        <v>1822</v>
      </c>
      <c r="BQ352" s="1" t="e">
        <v>#N/A</v>
      </c>
    </row>
    <row r="353" spans="1:69" ht="15" hidden="1" customHeight="1">
      <c r="A353" s="1" t="s">
        <v>43</v>
      </c>
      <c r="C353" s="1" t="str">
        <f t="shared" si="60"/>
        <v>3102</v>
      </c>
      <c r="D353" s="1" t="str">
        <f t="shared" si="61"/>
        <v>2103</v>
      </c>
      <c r="E353" s="19" t="s">
        <v>48</v>
      </c>
      <c r="F353" s="62" t="s">
        <v>49</v>
      </c>
      <c r="G353" s="62">
        <v>2112</v>
      </c>
      <c r="H353" s="62" t="s">
        <v>986</v>
      </c>
      <c r="I353" s="62" t="s">
        <v>987</v>
      </c>
      <c r="J353" s="118">
        <v>1</v>
      </c>
      <c r="K353" s="119" t="s">
        <v>271</v>
      </c>
      <c r="L353" s="62" t="s">
        <v>980</v>
      </c>
      <c r="M353" s="120" t="s">
        <v>981</v>
      </c>
      <c r="N353" s="63">
        <v>44137</v>
      </c>
      <c r="O353" s="24">
        <v>63000</v>
      </c>
      <c r="P353" s="24">
        <v>23318.237837837838</v>
      </c>
      <c r="Q353" s="64">
        <v>1469048983.7837839</v>
      </c>
      <c r="R353" s="64"/>
      <c r="S353" s="64">
        <v>19837215.333333332</v>
      </c>
      <c r="T353" s="64">
        <v>4068361.5</v>
      </c>
      <c r="U353" s="64" t="s">
        <v>982</v>
      </c>
      <c r="V353" s="121">
        <v>1492954561</v>
      </c>
      <c r="W353" s="122">
        <v>0</v>
      </c>
      <c r="X353" s="64">
        <v>1492954561</v>
      </c>
      <c r="Y353" s="121"/>
      <c r="Z353" s="121"/>
      <c r="AA353" s="121"/>
      <c r="AB353" s="121"/>
      <c r="AC353" s="64">
        <v>1492954561</v>
      </c>
      <c r="AD353" s="65">
        <v>44256</v>
      </c>
      <c r="AE353" s="65">
        <v>47906</v>
      </c>
      <c r="AF353" s="62">
        <v>10</v>
      </c>
      <c r="AG353" s="119">
        <v>120</v>
      </c>
      <c r="AH353" s="25">
        <v>12441288.008333333</v>
      </c>
      <c r="AI353" s="78">
        <v>423003792.08333325</v>
      </c>
      <c r="AJ353" s="78">
        <v>1069950768.9166667</v>
      </c>
      <c r="AK353" s="27">
        <f t="shared" si="62"/>
        <v>12441288.008333333</v>
      </c>
      <c r="AL353" s="27">
        <f t="shared" si="64"/>
        <v>12441288.008333333</v>
      </c>
      <c r="AM353" s="27"/>
      <c r="AN353" s="27"/>
      <c r="AO353" s="27"/>
      <c r="AP353" s="27"/>
      <c r="AQ353" s="27"/>
      <c r="AR353" s="27"/>
      <c r="AS353" s="27"/>
      <c r="AT353" s="27"/>
      <c r="AU353" s="27"/>
      <c r="AV353" s="27"/>
      <c r="AW353" s="27">
        <f t="shared" si="57"/>
        <v>24882576.016666666</v>
      </c>
      <c r="AX353" s="79">
        <f t="shared" si="58"/>
        <v>1045068192.9000001</v>
      </c>
      <c r="AY353" s="79">
        <f t="shared" si="59"/>
        <v>447886368.0999999</v>
      </c>
      <c r="AZ353" s="25">
        <v>1</v>
      </c>
      <c r="BA353" s="62" t="s">
        <v>97</v>
      </c>
      <c r="BB353" s="66">
        <v>1</v>
      </c>
      <c r="BC353" s="66"/>
      <c r="BD353" s="66"/>
      <c r="BE353" s="67">
        <f t="shared" si="63"/>
        <v>12441288.008333333</v>
      </c>
      <c r="BF353" s="67">
        <f t="shared" si="56"/>
        <v>0</v>
      </c>
      <c r="BG353" s="67">
        <f t="shared" si="55"/>
        <v>0</v>
      </c>
      <c r="BH353" s="66"/>
      <c r="BI353" s="68" t="s">
        <v>819</v>
      </c>
      <c r="BJ353" s="68" t="s">
        <v>81</v>
      </c>
      <c r="BK353" s="68" t="s">
        <v>81</v>
      </c>
      <c r="BL353" s="29"/>
      <c r="BO353" s="35" t="s">
        <v>1800</v>
      </c>
      <c r="BP353" s="1" t="s">
        <v>1821</v>
      </c>
      <c r="BQ353" s="1" t="e">
        <v>#N/A</v>
      </c>
    </row>
    <row r="354" spans="1:69" ht="15" hidden="1" customHeight="1">
      <c r="A354" s="1" t="s">
        <v>43</v>
      </c>
      <c r="C354" s="1" t="str">
        <f t="shared" si="60"/>
        <v>3102</v>
      </c>
      <c r="D354" s="1" t="str">
        <f t="shared" si="61"/>
        <v>2103</v>
      </c>
      <c r="E354" s="19" t="s">
        <v>48</v>
      </c>
      <c r="F354" s="62" t="s">
        <v>49</v>
      </c>
      <c r="G354" s="62">
        <v>2112</v>
      </c>
      <c r="H354" s="62" t="s">
        <v>988</v>
      </c>
      <c r="I354" s="62" t="s">
        <v>987</v>
      </c>
      <c r="J354" s="118">
        <v>1</v>
      </c>
      <c r="K354" s="119" t="s">
        <v>271</v>
      </c>
      <c r="L354" s="62" t="s">
        <v>980</v>
      </c>
      <c r="M354" s="120" t="s">
        <v>981</v>
      </c>
      <c r="N354" s="63">
        <v>44137</v>
      </c>
      <c r="O354" s="24">
        <v>63000</v>
      </c>
      <c r="P354" s="24">
        <v>23318.237837837838</v>
      </c>
      <c r="Q354" s="64">
        <v>1469048983.7837839</v>
      </c>
      <c r="R354" s="64"/>
      <c r="S354" s="64">
        <v>19837215.333333332</v>
      </c>
      <c r="T354" s="64">
        <v>4068361.5</v>
      </c>
      <c r="U354" s="64" t="s">
        <v>982</v>
      </c>
      <c r="V354" s="121">
        <v>1492954561</v>
      </c>
      <c r="W354" s="122">
        <v>0</v>
      </c>
      <c r="X354" s="64">
        <v>1492954561</v>
      </c>
      <c r="Y354" s="121"/>
      <c r="Z354" s="121"/>
      <c r="AA354" s="121"/>
      <c r="AB354" s="121"/>
      <c r="AC354" s="64">
        <v>1492954561</v>
      </c>
      <c r="AD354" s="65">
        <v>44256</v>
      </c>
      <c r="AE354" s="65">
        <v>47906</v>
      </c>
      <c r="AF354" s="62">
        <v>10</v>
      </c>
      <c r="AG354" s="119">
        <v>120</v>
      </c>
      <c r="AH354" s="25">
        <v>12441288.008333333</v>
      </c>
      <c r="AI354" s="78">
        <v>423003792.08333325</v>
      </c>
      <c r="AJ354" s="78">
        <v>1069950768.9166667</v>
      </c>
      <c r="AK354" s="27">
        <f t="shared" si="62"/>
        <v>12441288.008333333</v>
      </c>
      <c r="AL354" s="27">
        <f t="shared" si="64"/>
        <v>12441288.008333333</v>
      </c>
      <c r="AM354" s="27"/>
      <c r="AN354" s="27"/>
      <c r="AO354" s="27"/>
      <c r="AP354" s="27"/>
      <c r="AQ354" s="27"/>
      <c r="AR354" s="27"/>
      <c r="AS354" s="27"/>
      <c r="AT354" s="27"/>
      <c r="AU354" s="27"/>
      <c r="AV354" s="27"/>
      <c r="AW354" s="27">
        <f t="shared" si="57"/>
        <v>24882576.016666666</v>
      </c>
      <c r="AX354" s="79">
        <f t="shared" si="58"/>
        <v>1045068192.9000001</v>
      </c>
      <c r="AY354" s="79">
        <f t="shared" si="59"/>
        <v>447886368.0999999</v>
      </c>
      <c r="AZ354" s="25">
        <v>1</v>
      </c>
      <c r="BA354" s="62" t="s">
        <v>97</v>
      </c>
      <c r="BB354" s="66">
        <v>1</v>
      </c>
      <c r="BC354" s="66"/>
      <c r="BD354" s="66"/>
      <c r="BE354" s="67">
        <f t="shared" si="63"/>
        <v>12441288.008333333</v>
      </c>
      <c r="BF354" s="67">
        <f t="shared" si="56"/>
        <v>0</v>
      </c>
      <c r="BG354" s="67">
        <f t="shared" si="55"/>
        <v>0</v>
      </c>
      <c r="BH354" s="66"/>
      <c r="BI354" s="68" t="s">
        <v>905</v>
      </c>
      <c r="BJ354" s="68" t="s">
        <v>81</v>
      </c>
      <c r="BK354" s="68" t="s">
        <v>81</v>
      </c>
      <c r="BL354" s="29"/>
      <c r="BO354" s="35" t="s">
        <v>1800</v>
      </c>
      <c r="BP354" s="1" t="s">
        <v>1810</v>
      </c>
      <c r="BQ354" s="1" t="e">
        <v>#N/A</v>
      </c>
    </row>
    <row r="355" spans="1:69" ht="15" hidden="1" customHeight="1">
      <c r="A355" s="1" t="s">
        <v>43</v>
      </c>
      <c r="C355" s="1" t="str">
        <f t="shared" si="60"/>
        <v>3012</v>
      </c>
      <c r="D355" s="1" t="str">
        <f t="shared" si="61"/>
        <v>2012</v>
      </c>
      <c r="E355" s="19" t="s">
        <v>48</v>
      </c>
      <c r="F355" s="62" t="s">
        <v>49</v>
      </c>
      <c r="G355" s="62">
        <v>2112</v>
      </c>
      <c r="H355" s="62" t="s">
        <v>989</v>
      </c>
      <c r="I355" s="62" t="s">
        <v>990</v>
      </c>
      <c r="J355" s="118">
        <v>1</v>
      </c>
      <c r="K355" s="119" t="s">
        <v>271</v>
      </c>
      <c r="L355" s="62" t="s">
        <v>980</v>
      </c>
      <c r="M355" s="120" t="s">
        <v>981</v>
      </c>
      <c r="N355" s="63">
        <v>44137</v>
      </c>
      <c r="O355" s="24">
        <v>199500</v>
      </c>
      <c r="P355" s="24">
        <v>23318.237837837838</v>
      </c>
      <c r="Q355" s="64">
        <v>4651988448.6486483</v>
      </c>
      <c r="R355" s="64"/>
      <c r="S355" s="64"/>
      <c r="T355" s="64">
        <v>12883145</v>
      </c>
      <c r="U355" s="64" t="s">
        <v>982</v>
      </c>
      <c r="V355" s="121">
        <v>4664871594</v>
      </c>
      <c r="W355" s="122">
        <v>0</v>
      </c>
      <c r="X355" s="64">
        <v>4664871594</v>
      </c>
      <c r="Y355" s="121"/>
      <c r="Z355" s="121"/>
      <c r="AA355" s="121"/>
      <c r="AB355" s="121"/>
      <c r="AC355" s="64">
        <v>4664871594</v>
      </c>
      <c r="AD355" s="65">
        <v>44180</v>
      </c>
      <c r="AE355" s="65">
        <v>47830</v>
      </c>
      <c r="AF355" s="62">
        <v>10</v>
      </c>
      <c r="AG355" s="119">
        <v>120</v>
      </c>
      <c r="AH355" s="25">
        <v>38873929.950000003</v>
      </c>
      <c r="AI355" s="78">
        <v>1420779441.5</v>
      </c>
      <c r="AJ355" s="78">
        <v>3244092152.5</v>
      </c>
      <c r="AK355" s="27">
        <f t="shared" si="62"/>
        <v>38873929.950000003</v>
      </c>
      <c r="AL355" s="27">
        <f t="shared" si="64"/>
        <v>38873929.950000003</v>
      </c>
      <c r="AM355" s="27"/>
      <c r="AN355" s="27"/>
      <c r="AO355" s="27"/>
      <c r="AP355" s="27"/>
      <c r="AQ355" s="27"/>
      <c r="AR355" s="27"/>
      <c r="AS355" s="27"/>
      <c r="AT355" s="27"/>
      <c r="AU355" s="27"/>
      <c r="AV355" s="27"/>
      <c r="AW355" s="27">
        <f t="shared" si="57"/>
        <v>77747859.900000006</v>
      </c>
      <c r="AX355" s="79">
        <f t="shared" si="58"/>
        <v>3166344292.5999999</v>
      </c>
      <c r="AY355" s="79">
        <f t="shared" si="59"/>
        <v>1498527301.4000001</v>
      </c>
      <c r="AZ355" s="25">
        <v>1</v>
      </c>
      <c r="BA355" s="62" t="s">
        <v>97</v>
      </c>
      <c r="BB355" s="66">
        <v>1</v>
      </c>
      <c r="BC355" s="66"/>
      <c r="BD355" s="66"/>
      <c r="BE355" s="67">
        <f t="shared" si="63"/>
        <v>38873929.950000003</v>
      </c>
      <c r="BF355" s="67">
        <f t="shared" si="56"/>
        <v>0</v>
      </c>
      <c r="BG355" s="67">
        <f t="shared" si="55"/>
        <v>0</v>
      </c>
      <c r="BH355" s="66"/>
      <c r="BI355" s="68" t="s">
        <v>819</v>
      </c>
      <c r="BJ355" s="68" t="s">
        <v>85</v>
      </c>
      <c r="BK355" s="68" t="s">
        <v>85</v>
      </c>
      <c r="BL355" s="29"/>
      <c r="BO355" s="35" t="s">
        <v>1800</v>
      </c>
      <c r="BP355" s="1" t="s">
        <v>1821</v>
      </c>
      <c r="BQ355" s="1" t="e">
        <v>#N/A</v>
      </c>
    </row>
    <row r="356" spans="1:69" ht="15" hidden="1" customHeight="1">
      <c r="A356" s="1" t="s">
        <v>43</v>
      </c>
      <c r="C356" s="1" t="str">
        <f t="shared" si="60"/>
        <v>3012</v>
      </c>
      <c r="D356" s="1" t="str">
        <f t="shared" si="61"/>
        <v>2012</v>
      </c>
      <c r="E356" s="19" t="s">
        <v>48</v>
      </c>
      <c r="F356" s="62" t="s">
        <v>49</v>
      </c>
      <c r="G356" s="62">
        <v>2112</v>
      </c>
      <c r="H356" s="62" t="s">
        <v>991</v>
      </c>
      <c r="I356" s="62" t="s">
        <v>990</v>
      </c>
      <c r="J356" s="118">
        <v>1</v>
      </c>
      <c r="K356" s="119" t="s">
        <v>271</v>
      </c>
      <c r="L356" s="62" t="s">
        <v>980</v>
      </c>
      <c r="M356" s="120" t="s">
        <v>981</v>
      </c>
      <c r="N356" s="63">
        <v>44137</v>
      </c>
      <c r="O356" s="24">
        <v>199500</v>
      </c>
      <c r="P356" s="24">
        <v>23318.237837837838</v>
      </c>
      <c r="Q356" s="64">
        <v>4651988448.6486483</v>
      </c>
      <c r="R356" s="64"/>
      <c r="S356" s="64"/>
      <c r="T356" s="64">
        <v>12883145</v>
      </c>
      <c r="U356" s="64" t="s">
        <v>982</v>
      </c>
      <c r="V356" s="121">
        <v>4664871594</v>
      </c>
      <c r="W356" s="122">
        <v>0</v>
      </c>
      <c r="X356" s="64">
        <v>4664871594</v>
      </c>
      <c r="Y356" s="121"/>
      <c r="Z356" s="121"/>
      <c r="AA356" s="121"/>
      <c r="AB356" s="121"/>
      <c r="AC356" s="64">
        <v>4664871594</v>
      </c>
      <c r="AD356" s="65">
        <v>44180</v>
      </c>
      <c r="AE356" s="65">
        <v>47830</v>
      </c>
      <c r="AF356" s="62">
        <v>10</v>
      </c>
      <c r="AG356" s="119">
        <v>120</v>
      </c>
      <c r="AH356" s="25">
        <v>38873929.950000003</v>
      </c>
      <c r="AI356" s="78">
        <v>1420779441.5</v>
      </c>
      <c r="AJ356" s="78">
        <v>3244092152.5</v>
      </c>
      <c r="AK356" s="27">
        <f t="shared" si="62"/>
        <v>38873929.950000003</v>
      </c>
      <c r="AL356" s="27">
        <f t="shared" si="64"/>
        <v>38873929.950000003</v>
      </c>
      <c r="AM356" s="27"/>
      <c r="AN356" s="27"/>
      <c r="AO356" s="27"/>
      <c r="AP356" s="27"/>
      <c r="AQ356" s="27"/>
      <c r="AR356" s="27"/>
      <c r="AS356" s="27"/>
      <c r="AT356" s="27"/>
      <c r="AU356" s="27"/>
      <c r="AV356" s="27"/>
      <c r="AW356" s="27">
        <f t="shared" si="57"/>
        <v>77747859.900000006</v>
      </c>
      <c r="AX356" s="79">
        <f t="shared" si="58"/>
        <v>3166344292.5999999</v>
      </c>
      <c r="AY356" s="79">
        <f t="shared" si="59"/>
        <v>1498527301.4000001</v>
      </c>
      <c r="AZ356" s="25">
        <v>1</v>
      </c>
      <c r="BA356" s="62" t="s">
        <v>97</v>
      </c>
      <c r="BB356" s="66">
        <v>1</v>
      </c>
      <c r="BC356" s="66"/>
      <c r="BD356" s="66"/>
      <c r="BE356" s="67">
        <f t="shared" si="63"/>
        <v>38873929.950000003</v>
      </c>
      <c r="BF356" s="67">
        <f t="shared" si="56"/>
        <v>0</v>
      </c>
      <c r="BG356" s="67">
        <f t="shared" si="55"/>
        <v>0</v>
      </c>
      <c r="BH356" s="66"/>
      <c r="BI356" s="68" t="s">
        <v>992</v>
      </c>
      <c r="BJ356" s="68" t="s">
        <v>85</v>
      </c>
      <c r="BK356" s="68" t="s">
        <v>85</v>
      </c>
      <c r="BL356" s="29"/>
      <c r="BO356" s="35" t="s">
        <v>1800</v>
      </c>
      <c r="BP356" s="1" t="s">
        <v>1810</v>
      </c>
      <c r="BQ356" s="1" t="e">
        <v>#N/A</v>
      </c>
    </row>
    <row r="357" spans="1:69" ht="15" hidden="1" customHeight="1">
      <c r="A357" s="1" t="s">
        <v>43</v>
      </c>
      <c r="C357" s="1" t="str">
        <f t="shared" si="60"/>
        <v>3101</v>
      </c>
      <c r="D357" s="1" t="str">
        <f t="shared" si="61"/>
        <v>2101</v>
      </c>
      <c r="E357" s="19" t="s">
        <v>48</v>
      </c>
      <c r="F357" s="62" t="s">
        <v>49</v>
      </c>
      <c r="G357" s="62">
        <v>2112</v>
      </c>
      <c r="H357" s="62" t="s">
        <v>993</v>
      </c>
      <c r="I357" s="62" t="s">
        <v>994</v>
      </c>
      <c r="J357" s="118">
        <v>1</v>
      </c>
      <c r="K357" s="119" t="s">
        <v>271</v>
      </c>
      <c r="L357" s="62" t="s">
        <v>742</v>
      </c>
      <c r="M357" s="120" t="s">
        <v>995</v>
      </c>
      <c r="N357" s="63">
        <v>44160</v>
      </c>
      <c r="O357" s="24">
        <v>163130</v>
      </c>
      <c r="P357" s="24">
        <v>23291.1</v>
      </c>
      <c r="Q357" s="64">
        <v>3799477143</v>
      </c>
      <c r="R357" s="64"/>
      <c r="S357" s="64"/>
      <c r="T357" s="64">
        <v>17300890</v>
      </c>
      <c r="U357" s="64" t="s">
        <v>996</v>
      </c>
      <c r="V357" s="121">
        <v>3816778033</v>
      </c>
      <c r="W357" s="122">
        <v>0</v>
      </c>
      <c r="X357" s="64">
        <v>3816778033</v>
      </c>
      <c r="Y357" s="121"/>
      <c r="Z357" s="121"/>
      <c r="AA357" s="121"/>
      <c r="AB357" s="121"/>
      <c r="AC357" s="64">
        <v>3816778033</v>
      </c>
      <c r="AD357" s="65">
        <v>44218</v>
      </c>
      <c r="AE357" s="65">
        <v>47868</v>
      </c>
      <c r="AF357" s="62">
        <v>10</v>
      </c>
      <c r="AG357" s="119">
        <v>120</v>
      </c>
      <c r="AH357" s="25">
        <v>31806483.608333334</v>
      </c>
      <c r="AI357" s="78">
        <v>1123487092.2123656</v>
      </c>
      <c r="AJ357" s="78">
        <v>2693290940.7876344</v>
      </c>
      <c r="AK357" s="27">
        <f t="shared" si="62"/>
        <v>31806483.608333334</v>
      </c>
      <c r="AL357" s="27">
        <f t="shared" si="64"/>
        <v>31806483.608333334</v>
      </c>
      <c r="AM357" s="27"/>
      <c r="AN357" s="27"/>
      <c r="AO357" s="27"/>
      <c r="AP357" s="27"/>
      <c r="AQ357" s="27"/>
      <c r="AR357" s="27"/>
      <c r="AS357" s="27"/>
      <c r="AT357" s="27"/>
      <c r="AU357" s="27"/>
      <c r="AV357" s="27"/>
      <c r="AW357" s="27">
        <f t="shared" si="57"/>
        <v>63612967.216666669</v>
      </c>
      <c r="AX357" s="79">
        <f t="shared" si="58"/>
        <v>2629677973.5709677</v>
      </c>
      <c r="AY357" s="79">
        <f t="shared" si="59"/>
        <v>1187100059.4290323</v>
      </c>
      <c r="AZ357" s="25">
        <v>1</v>
      </c>
      <c r="BA357" s="62" t="s">
        <v>97</v>
      </c>
      <c r="BB357" s="66">
        <v>1</v>
      </c>
      <c r="BC357" s="66"/>
      <c r="BD357" s="66"/>
      <c r="BE357" s="67">
        <f t="shared" si="63"/>
        <v>31806483.608333334</v>
      </c>
      <c r="BF357" s="67">
        <f t="shared" si="56"/>
        <v>0</v>
      </c>
      <c r="BG357" s="67">
        <f t="shared" si="55"/>
        <v>0</v>
      </c>
      <c r="BH357" s="66"/>
      <c r="BI357" s="68" t="s">
        <v>695</v>
      </c>
      <c r="BJ357" s="68" t="s">
        <v>85</v>
      </c>
      <c r="BK357" s="68" t="s">
        <v>85</v>
      </c>
      <c r="BL357" s="29"/>
      <c r="BO357" s="35" t="s">
        <v>1801</v>
      </c>
      <c r="BP357" s="1" t="s">
        <v>1820</v>
      </c>
      <c r="BQ357" s="1" t="e">
        <v>#N/A</v>
      </c>
    </row>
    <row r="358" spans="1:69" ht="15" hidden="1" customHeight="1">
      <c r="A358" s="1" t="s">
        <v>43</v>
      </c>
      <c r="C358" s="1" t="str">
        <f t="shared" si="60"/>
        <v>3101</v>
      </c>
      <c r="D358" s="1" t="str">
        <f t="shared" si="61"/>
        <v>2101</v>
      </c>
      <c r="E358" s="19" t="s">
        <v>48</v>
      </c>
      <c r="F358" s="62" t="s">
        <v>49</v>
      </c>
      <c r="G358" s="62">
        <v>2112</v>
      </c>
      <c r="H358" s="62" t="s">
        <v>997</v>
      </c>
      <c r="I358" s="62" t="s">
        <v>998</v>
      </c>
      <c r="J358" s="118">
        <v>1</v>
      </c>
      <c r="K358" s="119" t="s">
        <v>271</v>
      </c>
      <c r="L358" s="62" t="s">
        <v>742</v>
      </c>
      <c r="M358" s="120" t="s">
        <v>995</v>
      </c>
      <c r="N358" s="63">
        <v>44160</v>
      </c>
      <c r="O358" s="24">
        <v>132802</v>
      </c>
      <c r="P358" s="24">
        <v>23282.399961973464</v>
      </c>
      <c r="Q358" s="64">
        <v>3091949279.75</v>
      </c>
      <c r="R358" s="64"/>
      <c r="S358" s="64"/>
      <c r="T358" s="64">
        <v>14079189</v>
      </c>
      <c r="U358" s="64" t="s">
        <v>996</v>
      </c>
      <c r="V358" s="121">
        <v>3106028469</v>
      </c>
      <c r="W358" s="122">
        <v>0</v>
      </c>
      <c r="X358" s="64">
        <v>3106028469</v>
      </c>
      <c r="Y358" s="121"/>
      <c r="Z358" s="121"/>
      <c r="AA358" s="121"/>
      <c r="AB358" s="121"/>
      <c r="AC358" s="64">
        <v>3106028469</v>
      </c>
      <c r="AD358" s="65">
        <v>44221</v>
      </c>
      <c r="AE358" s="65">
        <v>47871</v>
      </c>
      <c r="AF358" s="62">
        <v>10</v>
      </c>
      <c r="AG358" s="119">
        <v>120</v>
      </c>
      <c r="AH358" s="25">
        <v>25883570.574999999</v>
      </c>
      <c r="AI358" s="78">
        <v>911769658.07258081</v>
      </c>
      <c r="AJ358" s="78">
        <v>2194258810.9274192</v>
      </c>
      <c r="AK358" s="27">
        <f t="shared" si="62"/>
        <v>25883570.574999999</v>
      </c>
      <c r="AL358" s="27">
        <f t="shared" si="64"/>
        <v>25883570.574999999</v>
      </c>
      <c r="AM358" s="27"/>
      <c r="AN358" s="27"/>
      <c r="AO358" s="27"/>
      <c r="AP358" s="27"/>
      <c r="AQ358" s="27"/>
      <c r="AR358" s="27"/>
      <c r="AS358" s="27"/>
      <c r="AT358" s="27"/>
      <c r="AU358" s="27"/>
      <c r="AV358" s="27"/>
      <c r="AW358" s="27">
        <f t="shared" si="57"/>
        <v>51767141.149999999</v>
      </c>
      <c r="AX358" s="79">
        <f t="shared" si="58"/>
        <v>2142491669.7774191</v>
      </c>
      <c r="AY358" s="79">
        <f t="shared" si="59"/>
        <v>963536799.22258079</v>
      </c>
      <c r="AZ358" s="25">
        <v>1</v>
      </c>
      <c r="BA358" s="62" t="s">
        <v>97</v>
      </c>
      <c r="BB358" s="66">
        <v>1</v>
      </c>
      <c r="BC358" s="66"/>
      <c r="BD358" s="66"/>
      <c r="BE358" s="67">
        <f t="shared" si="63"/>
        <v>25883570.574999999</v>
      </c>
      <c r="BF358" s="67">
        <f t="shared" si="56"/>
        <v>0</v>
      </c>
      <c r="BG358" s="67">
        <f t="shared" si="55"/>
        <v>0</v>
      </c>
      <c r="BH358" s="66"/>
      <c r="BI358" s="68" t="s">
        <v>828</v>
      </c>
      <c r="BJ358" s="68" t="s">
        <v>85</v>
      </c>
      <c r="BK358" s="68" t="s">
        <v>85</v>
      </c>
      <c r="BL358" s="29"/>
      <c r="BO358" s="35" t="s">
        <v>1800</v>
      </c>
      <c r="BP358" s="1" t="s">
        <v>1822</v>
      </c>
      <c r="BQ358" s="1" t="e">
        <v>#N/A</v>
      </c>
    </row>
    <row r="359" spans="1:69" ht="15" hidden="1" customHeight="1">
      <c r="A359" s="1" t="s">
        <v>43</v>
      </c>
      <c r="C359" s="1" t="str">
        <f t="shared" si="60"/>
        <v>3102</v>
      </c>
      <c r="D359" s="1" t="str">
        <f t="shared" si="61"/>
        <v>2102</v>
      </c>
      <c r="E359" s="19" t="s">
        <v>48</v>
      </c>
      <c r="F359" s="62" t="s">
        <v>49</v>
      </c>
      <c r="G359" s="62">
        <v>2112</v>
      </c>
      <c r="H359" s="62" t="s">
        <v>999</v>
      </c>
      <c r="I359" s="62" t="s">
        <v>998</v>
      </c>
      <c r="J359" s="118">
        <v>1</v>
      </c>
      <c r="K359" s="119" t="s">
        <v>271</v>
      </c>
      <c r="L359" s="62" t="s">
        <v>742</v>
      </c>
      <c r="M359" s="120" t="s">
        <v>995</v>
      </c>
      <c r="N359" s="63">
        <v>44160</v>
      </c>
      <c r="O359" s="24">
        <v>132802</v>
      </c>
      <c r="P359" s="24">
        <v>23282.399961973464</v>
      </c>
      <c r="Q359" s="64">
        <v>3091949279.75</v>
      </c>
      <c r="R359" s="64"/>
      <c r="S359" s="64"/>
      <c r="T359" s="64">
        <v>14079189</v>
      </c>
      <c r="U359" s="64" t="s">
        <v>996</v>
      </c>
      <c r="V359" s="121">
        <v>3106028469</v>
      </c>
      <c r="W359" s="122">
        <v>0</v>
      </c>
      <c r="X359" s="64">
        <v>3106028469</v>
      </c>
      <c r="Y359" s="121">
        <v>-3106028469</v>
      </c>
      <c r="Z359" s="121">
        <v>1</v>
      </c>
      <c r="AA359" s="128">
        <v>44455</v>
      </c>
      <c r="AB359" s="121" t="s">
        <v>419</v>
      </c>
      <c r="AC359" s="64">
        <v>0</v>
      </c>
      <c r="AD359" s="65">
        <v>44252</v>
      </c>
      <c r="AE359" s="65">
        <v>47902</v>
      </c>
      <c r="AF359" s="62">
        <v>10</v>
      </c>
      <c r="AG359" s="119">
        <v>120</v>
      </c>
      <c r="AH359" s="25">
        <v>0</v>
      </c>
      <c r="AI359" s="78">
        <v>-1.9073486329235223E-7</v>
      </c>
      <c r="AJ359" s="78">
        <v>1.9073486329235223E-7</v>
      </c>
      <c r="AK359" s="27">
        <f t="shared" si="62"/>
        <v>0</v>
      </c>
      <c r="AL359" s="27">
        <f t="shared" si="64"/>
        <v>0</v>
      </c>
      <c r="AM359" s="27"/>
      <c r="AN359" s="27"/>
      <c r="AO359" s="27"/>
      <c r="AP359" s="27"/>
      <c r="AQ359" s="27"/>
      <c r="AR359" s="27"/>
      <c r="AS359" s="27"/>
      <c r="AT359" s="27"/>
      <c r="AU359" s="27"/>
      <c r="AV359" s="27"/>
      <c r="AW359" s="27">
        <f t="shared" si="57"/>
        <v>0</v>
      </c>
      <c r="AX359" s="79">
        <f t="shared" si="58"/>
        <v>1.9073486329235223E-7</v>
      </c>
      <c r="AY359" s="79">
        <f t="shared" si="59"/>
        <v>-1.9073486329235223E-7</v>
      </c>
      <c r="AZ359" s="25">
        <v>0</v>
      </c>
      <c r="BA359" s="62" t="s">
        <v>97</v>
      </c>
      <c r="BB359" s="66">
        <v>1</v>
      </c>
      <c r="BC359" s="66"/>
      <c r="BD359" s="66"/>
      <c r="BE359" s="67">
        <f t="shared" si="63"/>
        <v>0</v>
      </c>
      <c r="BF359" s="67">
        <f t="shared" si="56"/>
        <v>0</v>
      </c>
      <c r="BG359" s="67">
        <f t="shared" si="55"/>
        <v>0</v>
      </c>
      <c r="BH359" s="66"/>
      <c r="BI359" s="68" t="s">
        <v>894</v>
      </c>
      <c r="BJ359" s="68" t="s">
        <v>85</v>
      </c>
      <c r="BK359" s="68" t="s">
        <v>85</v>
      </c>
      <c r="BL359" s="31">
        <v>2933224819</v>
      </c>
      <c r="BQ359" s="1" t="e">
        <v>#N/A</v>
      </c>
    </row>
    <row r="360" spans="1:69" ht="15" hidden="1" customHeight="1">
      <c r="A360" s="1" t="s">
        <v>43</v>
      </c>
      <c r="C360" s="1" t="str">
        <f t="shared" si="60"/>
        <v>3102</v>
      </c>
      <c r="D360" s="1" t="str">
        <f t="shared" si="61"/>
        <v>2103</v>
      </c>
      <c r="E360" s="19" t="s">
        <v>48</v>
      </c>
      <c r="F360" s="62" t="s">
        <v>49</v>
      </c>
      <c r="G360" s="62">
        <v>2112</v>
      </c>
      <c r="H360" s="62" t="s">
        <v>1000</v>
      </c>
      <c r="I360" s="62" t="s">
        <v>998</v>
      </c>
      <c r="J360" s="118">
        <v>1</v>
      </c>
      <c r="K360" s="119" t="s">
        <v>271</v>
      </c>
      <c r="L360" s="62" t="s">
        <v>742</v>
      </c>
      <c r="M360" s="120" t="s">
        <v>995</v>
      </c>
      <c r="N360" s="63">
        <v>44160</v>
      </c>
      <c r="O360" s="24">
        <v>132802</v>
      </c>
      <c r="P360" s="24">
        <v>23282.399961973464</v>
      </c>
      <c r="Q360" s="64">
        <v>3091949279.75</v>
      </c>
      <c r="R360" s="64"/>
      <c r="S360" s="64"/>
      <c r="T360" s="64">
        <v>14079189</v>
      </c>
      <c r="U360" s="64" t="s">
        <v>996</v>
      </c>
      <c r="V360" s="121">
        <v>3106028469</v>
      </c>
      <c r="W360" s="122">
        <v>0</v>
      </c>
      <c r="X360" s="64">
        <v>3106028469</v>
      </c>
      <c r="Y360" s="121">
        <v>-3106028469</v>
      </c>
      <c r="Z360" s="121">
        <v>1</v>
      </c>
      <c r="AA360" s="128">
        <v>44455</v>
      </c>
      <c r="AB360" s="121" t="s">
        <v>419</v>
      </c>
      <c r="AC360" s="64">
        <v>0</v>
      </c>
      <c r="AD360" s="65">
        <v>44256</v>
      </c>
      <c r="AE360" s="65">
        <v>47906</v>
      </c>
      <c r="AF360" s="62">
        <v>10</v>
      </c>
      <c r="AG360" s="119">
        <v>120</v>
      </c>
      <c r="AH360" s="25">
        <v>0</v>
      </c>
      <c r="AI360" s="78">
        <v>-1.9073486329235223E-7</v>
      </c>
      <c r="AJ360" s="78">
        <v>1.9073486329235223E-7</v>
      </c>
      <c r="AK360" s="27">
        <f t="shared" si="62"/>
        <v>0</v>
      </c>
      <c r="AL360" s="27">
        <f t="shared" si="64"/>
        <v>0</v>
      </c>
      <c r="AM360" s="27"/>
      <c r="AN360" s="27"/>
      <c r="AO360" s="27"/>
      <c r="AP360" s="27"/>
      <c r="AQ360" s="27"/>
      <c r="AR360" s="27"/>
      <c r="AS360" s="27"/>
      <c r="AT360" s="27"/>
      <c r="AU360" s="27"/>
      <c r="AV360" s="27"/>
      <c r="AW360" s="27">
        <f t="shared" si="57"/>
        <v>0</v>
      </c>
      <c r="AX360" s="79">
        <f t="shared" si="58"/>
        <v>1.9073486329235223E-7</v>
      </c>
      <c r="AY360" s="79">
        <f t="shared" si="59"/>
        <v>-1.9073486329235223E-7</v>
      </c>
      <c r="AZ360" s="25">
        <v>0</v>
      </c>
      <c r="BA360" s="62" t="s">
        <v>97</v>
      </c>
      <c r="BB360" s="66">
        <v>1</v>
      </c>
      <c r="BC360" s="66"/>
      <c r="BD360" s="66"/>
      <c r="BE360" s="67">
        <f t="shared" si="63"/>
        <v>0</v>
      </c>
      <c r="BF360" s="67">
        <f t="shared" si="56"/>
        <v>0</v>
      </c>
      <c r="BG360" s="67">
        <f t="shared" si="55"/>
        <v>0</v>
      </c>
      <c r="BH360" s="66"/>
      <c r="BI360" s="68" t="s">
        <v>632</v>
      </c>
      <c r="BJ360" s="68" t="s">
        <v>85</v>
      </c>
      <c r="BK360" s="68" t="s">
        <v>85</v>
      </c>
      <c r="BL360" s="31">
        <v>2936922472</v>
      </c>
      <c r="BQ360" s="1" t="e">
        <v>#N/A</v>
      </c>
    </row>
    <row r="361" spans="1:69" ht="15" hidden="1" customHeight="1">
      <c r="A361" s="1" t="s">
        <v>43</v>
      </c>
      <c r="C361" s="1" t="str">
        <f t="shared" si="60"/>
        <v>3102</v>
      </c>
      <c r="D361" s="1" t="str">
        <f t="shared" si="61"/>
        <v>2103</v>
      </c>
      <c r="E361" s="19" t="s">
        <v>48</v>
      </c>
      <c r="F361" s="62" t="s">
        <v>49</v>
      </c>
      <c r="G361" s="62">
        <v>2112</v>
      </c>
      <c r="H361" s="62" t="s">
        <v>1001</v>
      </c>
      <c r="I361" s="62" t="s">
        <v>998</v>
      </c>
      <c r="J361" s="118">
        <v>1</v>
      </c>
      <c r="K361" s="119" t="s">
        <v>271</v>
      </c>
      <c r="L361" s="62" t="s">
        <v>742</v>
      </c>
      <c r="M361" s="120" t="s">
        <v>995</v>
      </c>
      <c r="N361" s="63">
        <v>44160</v>
      </c>
      <c r="O361" s="24">
        <v>132802</v>
      </c>
      <c r="P361" s="24">
        <v>23282.399961973464</v>
      </c>
      <c r="Q361" s="64">
        <v>3091949279.75</v>
      </c>
      <c r="R361" s="64"/>
      <c r="S361" s="64"/>
      <c r="T361" s="64">
        <v>14079189</v>
      </c>
      <c r="U361" s="64" t="s">
        <v>996</v>
      </c>
      <c r="V361" s="121">
        <v>3106028469</v>
      </c>
      <c r="W361" s="122">
        <v>0</v>
      </c>
      <c r="X361" s="64">
        <v>3106028469</v>
      </c>
      <c r="Y361" s="121"/>
      <c r="Z361" s="121"/>
      <c r="AA361" s="128"/>
      <c r="AB361" s="121"/>
      <c r="AC361" s="64">
        <v>3106028469</v>
      </c>
      <c r="AD361" s="65">
        <v>44256</v>
      </c>
      <c r="AE361" s="65">
        <v>47906</v>
      </c>
      <c r="AF361" s="62">
        <v>10</v>
      </c>
      <c r="AG361" s="119">
        <v>120</v>
      </c>
      <c r="AH361" s="25">
        <v>25883570.574999999</v>
      </c>
      <c r="AI361" s="78">
        <v>880041409.75</v>
      </c>
      <c r="AJ361" s="78">
        <v>2225987059.25</v>
      </c>
      <c r="AK361" s="27">
        <f t="shared" si="62"/>
        <v>25883570.574999999</v>
      </c>
      <c r="AL361" s="27">
        <f t="shared" si="64"/>
        <v>25883570.574999999</v>
      </c>
      <c r="AM361" s="27"/>
      <c r="AN361" s="27"/>
      <c r="AO361" s="27"/>
      <c r="AP361" s="27"/>
      <c r="AQ361" s="27"/>
      <c r="AR361" s="27"/>
      <c r="AS361" s="27"/>
      <c r="AT361" s="27"/>
      <c r="AU361" s="27"/>
      <c r="AV361" s="27"/>
      <c r="AW361" s="27">
        <f t="shared" si="57"/>
        <v>51767141.149999999</v>
      </c>
      <c r="AX361" s="79">
        <f t="shared" si="58"/>
        <v>2174219918.0999999</v>
      </c>
      <c r="AY361" s="79">
        <f t="shared" si="59"/>
        <v>931808550.89999998</v>
      </c>
      <c r="AZ361" s="25">
        <v>1</v>
      </c>
      <c r="BA361" s="62" t="s">
        <v>97</v>
      </c>
      <c r="BB361" s="66">
        <v>1</v>
      </c>
      <c r="BC361" s="66"/>
      <c r="BD361" s="66"/>
      <c r="BE361" s="67">
        <f t="shared" si="63"/>
        <v>25883570.574999999</v>
      </c>
      <c r="BF361" s="67">
        <f t="shared" si="56"/>
        <v>0</v>
      </c>
      <c r="BG361" s="67">
        <f t="shared" si="55"/>
        <v>0</v>
      </c>
      <c r="BH361" s="66"/>
      <c r="BI361" s="68" t="s">
        <v>830</v>
      </c>
      <c r="BJ361" s="68" t="s">
        <v>85</v>
      </c>
      <c r="BK361" s="68" t="s">
        <v>85</v>
      </c>
      <c r="BL361" s="29"/>
      <c r="BO361" s="35" t="s">
        <v>1800</v>
      </c>
      <c r="BP361" s="1" t="s">
        <v>1816</v>
      </c>
      <c r="BQ361" s="1" t="e">
        <v>#N/A</v>
      </c>
    </row>
    <row r="362" spans="1:69" ht="15" hidden="1" customHeight="1">
      <c r="A362" s="1" t="s">
        <v>43</v>
      </c>
      <c r="C362" s="1" t="str">
        <f t="shared" si="60"/>
        <v>2812</v>
      </c>
      <c r="D362" s="1" t="str">
        <f t="shared" si="61"/>
        <v>2012</v>
      </c>
      <c r="E362" s="19" t="s">
        <v>48</v>
      </c>
      <c r="F362" s="62" t="s">
        <v>49</v>
      </c>
      <c r="G362" s="62">
        <v>2112</v>
      </c>
      <c r="H362" s="62" t="s">
        <v>1002</v>
      </c>
      <c r="I362" s="62" t="s">
        <v>1003</v>
      </c>
      <c r="J362" s="118">
        <v>1</v>
      </c>
      <c r="K362" s="119" t="s">
        <v>271</v>
      </c>
      <c r="L362" s="62" t="s">
        <v>77</v>
      </c>
      <c r="M362" s="120" t="s">
        <v>1004</v>
      </c>
      <c r="N362" s="63">
        <v>44161</v>
      </c>
      <c r="O362" s="24">
        <v>157500</v>
      </c>
      <c r="P362" s="24">
        <v>23265</v>
      </c>
      <c r="Q362" s="64">
        <v>3664237500</v>
      </c>
      <c r="R362" s="64"/>
      <c r="S362" s="64"/>
      <c r="T362" s="64">
        <v>21154024</v>
      </c>
      <c r="U362" s="64" t="s">
        <v>1005</v>
      </c>
      <c r="V362" s="121">
        <v>3685391524</v>
      </c>
      <c r="W362" s="122">
        <v>0</v>
      </c>
      <c r="X362" s="64">
        <v>3685391524</v>
      </c>
      <c r="Y362" s="121"/>
      <c r="Z362" s="121"/>
      <c r="AA362" s="128"/>
      <c r="AB362" s="121"/>
      <c r="AC362" s="64">
        <v>3685391524</v>
      </c>
      <c r="AD362" s="65">
        <v>44180</v>
      </c>
      <c r="AE362" s="65">
        <v>47100</v>
      </c>
      <c r="AF362" s="62">
        <v>8</v>
      </c>
      <c r="AG362" s="119">
        <v>96</v>
      </c>
      <c r="AH362" s="25">
        <v>38389495.041666664</v>
      </c>
      <c r="AI362" s="78">
        <v>1403074124.4166667</v>
      </c>
      <c r="AJ362" s="78">
        <v>2282317399.583333</v>
      </c>
      <c r="AK362" s="27">
        <f t="shared" si="62"/>
        <v>38389495.041666664</v>
      </c>
      <c r="AL362" s="27">
        <f t="shared" si="64"/>
        <v>38389495.041666664</v>
      </c>
      <c r="AM362" s="27"/>
      <c r="AN362" s="27"/>
      <c r="AO362" s="27"/>
      <c r="AP362" s="27"/>
      <c r="AQ362" s="27"/>
      <c r="AR362" s="27"/>
      <c r="AS362" s="27"/>
      <c r="AT362" s="27"/>
      <c r="AU362" s="27"/>
      <c r="AV362" s="27"/>
      <c r="AW362" s="27">
        <f t="shared" si="57"/>
        <v>76778990.083333328</v>
      </c>
      <c r="AX362" s="79">
        <f t="shared" si="58"/>
        <v>2205538409.4999995</v>
      </c>
      <c r="AY362" s="79">
        <f t="shared" si="59"/>
        <v>1479853114.5</v>
      </c>
      <c r="AZ362" s="25">
        <v>1</v>
      </c>
      <c r="BA362" s="62" t="s">
        <v>97</v>
      </c>
      <c r="BB362" s="66">
        <v>1</v>
      </c>
      <c r="BC362" s="66"/>
      <c r="BD362" s="66"/>
      <c r="BE362" s="67">
        <f t="shared" si="63"/>
        <v>38389495.041666664</v>
      </c>
      <c r="BF362" s="67">
        <f t="shared" si="56"/>
        <v>0</v>
      </c>
      <c r="BG362" s="67">
        <f t="shared" si="55"/>
        <v>0</v>
      </c>
      <c r="BH362" s="66"/>
      <c r="BI362" s="68" t="s">
        <v>905</v>
      </c>
      <c r="BJ362" s="68" t="s">
        <v>85</v>
      </c>
      <c r="BK362" s="68" t="s">
        <v>85</v>
      </c>
      <c r="BL362" s="29"/>
      <c r="BO362" s="35" t="s">
        <v>1800</v>
      </c>
      <c r="BP362" s="1" t="s">
        <v>1823</v>
      </c>
      <c r="BQ362" s="1" t="e">
        <v>#N/A</v>
      </c>
    </row>
    <row r="363" spans="1:69" ht="15" hidden="1" customHeight="1">
      <c r="A363" s="1" t="s">
        <v>43</v>
      </c>
      <c r="C363" s="1" t="str">
        <f t="shared" si="60"/>
        <v>2902</v>
      </c>
      <c r="D363" s="1" t="str">
        <f t="shared" si="61"/>
        <v>2102</v>
      </c>
      <c r="E363" s="19" t="s">
        <v>48</v>
      </c>
      <c r="F363" s="62" t="s">
        <v>49</v>
      </c>
      <c r="G363" s="62">
        <v>2112</v>
      </c>
      <c r="H363" s="62" t="s">
        <v>1006</v>
      </c>
      <c r="I363" s="62" t="s">
        <v>1007</v>
      </c>
      <c r="J363" s="118">
        <v>1</v>
      </c>
      <c r="K363" s="119" t="s">
        <v>271</v>
      </c>
      <c r="L363" s="62" t="s">
        <v>77</v>
      </c>
      <c r="M363" s="120" t="s">
        <v>1004</v>
      </c>
      <c r="N363" s="63">
        <v>44161</v>
      </c>
      <c r="O363" s="24">
        <v>30000</v>
      </c>
      <c r="P363" s="24">
        <v>23265</v>
      </c>
      <c r="Q363" s="64">
        <v>697950000</v>
      </c>
      <c r="R363" s="64"/>
      <c r="S363" s="64"/>
      <c r="T363" s="64">
        <v>4029338</v>
      </c>
      <c r="U363" s="64" t="s">
        <v>1005</v>
      </c>
      <c r="V363" s="121">
        <v>701979338</v>
      </c>
      <c r="W363" s="122">
        <v>0</v>
      </c>
      <c r="X363" s="64">
        <v>701979338</v>
      </c>
      <c r="Y363" s="121"/>
      <c r="Z363" s="121"/>
      <c r="AA363" s="128"/>
      <c r="AB363" s="121"/>
      <c r="AC363" s="64">
        <v>701979338</v>
      </c>
      <c r="AD363" s="65">
        <v>44252</v>
      </c>
      <c r="AE363" s="65">
        <v>47172</v>
      </c>
      <c r="AF363" s="62">
        <v>8</v>
      </c>
      <c r="AG363" s="119">
        <v>96</v>
      </c>
      <c r="AH363" s="25">
        <v>7312284.770833333</v>
      </c>
      <c r="AI363" s="78">
        <v>249662299.85119039</v>
      </c>
      <c r="AJ363" s="78">
        <v>452317038.14880961</v>
      </c>
      <c r="AK363" s="27">
        <f t="shared" si="62"/>
        <v>7312284.770833333</v>
      </c>
      <c r="AL363" s="27">
        <f t="shared" si="64"/>
        <v>7312284.770833333</v>
      </c>
      <c r="AM363" s="27"/>
      <c r="AN363" s="27"/>
      <c r="AO363" s="27"/>
      <c r="AP363" s="27"/>
      <c r="AQ363" s="27"/>
      <c r="AR363" s="27"/>
      <c r="AS363" s="27"/>
      <c r="AT363" s="27"/>
      <c r="AU363" s="27"/>
      <c r="AV363" s="27"/>
      <c r="AW363" s="27">
        <f t="shared" si="57"/>
        <v>14624569.541666666</v>
      </c>
      <c r="AX363" s="79">
        <f t="shared" si="58"/>
        <v>437692468.60714293</v>
      </c>
      <c r="AY363" s="79">
        <f t="shared" si="59"/>
        <v>264286869.39285704</v>
      </c>
      <c r="AZ363" s="25">
        <v>1</v>
      </c>
      <c r="BA363" s="62" t="s">
        <v>97</v>
      </c>
      <c r="BB363" s="66">
        <v>1</v>
      </c>
      <c r="BC363" s="66"/>
      <c r="BD363" s="66"/>
      <c r="BE363" s="67">
        <f t="shared" si="63"/>
        <v>7312284.770833333</v>
      </c>
      <c r="BF363" s="67">
        <f t="shared" si="56"/>
        <v>0</v>
      </c>
      <c r="BG363" s="67">
        <f t="shared" si="55"/>
        <v>0</v>
      </c>
      <c r="BH363" s="66"/>
      <c r="BI363" s="68" t="s">
        <v>146</v>
      </c>
      <c r="BJ363" s="68" t="s">
        <v>81</v>
      </c>
      <c r="BK363" s="68" t="s">
        <v>81</v>
      </c>
      <c r="BL363" s="29"/>
      <c r="BO363" s="35" t="s">
        <v>1800</v>
      </c>
      <c r="BP363" s="1" t="s">
        <v>1806</v>
      </c>
      <c r="BQ363" s="1" t="e">
        <v>#N/A</v>
      </c>
    </row>
    <row r="364" spans="1:69" ht="15" hidden="1" customHeight="1">
      <c r="A364" s="1" t="s">
        <v>43</v>
      </c>
      <c r="C364" s="1" t="str">
        <f t="shared" si="60"/>
        <v>2902</v>
      </c>
      <c r="D364" s="1" t="str">
        <f t="shared" si="61"/>
        <v>2102</v>
      </c>
      <c r="E364" s="19" t="s">
        <v>48</v>
      </c>
      <c r="F364" s="62" t="s">
        <v>49</v>
      </c>
      <c r="G364" s="62">
        <v>2112</v>
      </c>
      <c r="H364" s="62" t="s">
        <v>1008</v>
      </c>
      <c r="I364" s="62" t="s">
        <v>1009</v>
      </c>
      <c r="J364" s="118">
        <v>1</v>
      </c>
      <c r="K364" s="119" t="s">
        <v>271</v>
      </c>
      <c r="L364" s="62" t="s">
        <v>77</v>
      </c>
      <c r="M364" s="120" t="s">
        <v>1004</v>
      </c>
      <c r="N364" s="63">
        <v>44161</v>
      </c>
      <c r="O364" s="24">
        <v>34500</v>
      </c>
      <c r="P364" s="24">
        <v>23265</v>
      </c>
      <c r="Q364" s="64">
        <v>802642500</v>
      </c>
      <c r="R364" s="64"/>
      <c r="S364" s="64"/>
      <c r="T364" s="64">
        <v>4633738</v>
      </c>
      <c r="U364" s="64" t="s">
        <v>1005</v>
      </c>
      <c r="V364" s="121">
        <v>807276238</v>
      </c>
      <c r="W364" s="122">
        <v>0</v>
      </c>
      <c r="X364" s="64">
        <v>807276238</v>
      </c>
      <c r="Y364" s="121"/>
      <c r="Z364" s="121"/>
      <c r="AA364" s="128"/>
      <c r="AB364" s="121"/>
      <c r="AC364" s="64">
        <v>807276238</v>
      </c>
      <c r="AD364" s="65">
        <v>44252</v>
      </c>
      <c r="AE364" s="65">
        <v>47172</v>
      </c>
      <c r="AF364" s="62">
        <v>8</v>
      </c>
      <c r="AG364" s="119">
        <v>96</v>
      </c>
      <c r="AH364" s="25">
        <v>8409127.479166666</v>
      </c>
      <c r="AI364" s="78">
        <v>287111626.64880961</v>
      </c>
      <c r="AJ364" s="78">
        <v>520164611.35119039</v>
      </c>
      <c r="AK364" s="27">
        <f t="shared" si="62"/>
        <v>8409127.479166666</v>
      </c>
      <c r="AL364" s="27">
        <f t="shared" si="64"/>
        <v>8409127.479166666</v>
      </c>
      <c r="AM364" s="27"/>
      <c r="AN364" s="27"/>
      <c r="AO364" s="27"/>
      <c r="AP364" s="27"/>
      <c r="AQ364" s="27"/>
      <c r="AR364" s="27"/>
      <c r="AS364" s="27"/>
      <c r="AT364" s="27"/>
      <c r="AU364" s="27"/>
      <c r="AV364" s="27"/>
      <c r="AW364" s="27">
        <f t="shared" si="57"/>
        <v>16818254.958333332</v>
      </c>
      <c r="AX364" s="79">
        <f t="shared" si="58"/>
        <v>503346356.39285707</v>
      </c>
      <c r="AY364" s="79">
        <f t="shared" si="59"/>
        <v>303929881.60714293</v>
      </c>
      <c r="AZ364" s="25">
        <v>1</v>
      </c>
      <c r="BA364" s="62" t="s">
        <v>97</v>
      </c>
      <c r="BB364" s="66">
        <v>1</v>
      </c>
      <c r="BC364" s="66"/>
      <c r="BD364" s="66"/>
      <c r="BE364" s="67">
        <f t="shared" si="63"/>
        <v>8409127.479166666</v>
      </c>
      <c r="BF364" s="67">
        <f t="shared" si="56"/>
        <v>0</v>
      </c>
      <c r="BG364" s="67">
        <f t="shared" si="55"/>
        <v>0</v>
      </c>
      <c r="BH364" s="66"/>
      <c r="BI364" s="68" t="s">
        <v>146</v>
      </c>
      <c r="BJ364" s="68" t="s">
        <v>98</v>
      </c>
      <c r="BK364" s="68" t="s">
        <v>98</v>
      </c>
      <c r="BL364" s="29"/>
      <c r="BO364" s="35" t="s">
        <v>1800</v>
      </c>
      <c r="BP364" s="1" t="s">
        <v>1815</v>
      </c>
      <c r="BQ364" s="1" t="s">
        <v>1982</v>
      </c>
    </row>
    <row r="365" spans="1:69" ht="15" hidden="1" customHeight="1">
      <c r="A365" s="1" t="s">
        <v>43</v>
      </c>
      <c r="C365" s="1" t="str">
        <f t="shared" si="60"/>
        <v>2901</v>
      </c>
      <c r="D365" s="1" t="str">
        <f t="shared" si="61"/>
        <v>2101</v>
      </c>
      <c r="E365" s="19" t="s">
        <v>48</v>
      </c>
      <c r="F365" s="62" t="s">
        <v>49</v>
      </c>
      <c r="G365" s="62">
        <v>2114</v>
      </c>
      <c r="H365" s="62" t="s">
        <v>1010</v>
      </c>
      <c r="I365" s="62" t="s">
        <v>823</v>
      </c>
      <c r="J365" s="118">
        <v>1</v>
      </c>
      <c r="K365" s="119" t="s">
        <v>271</v>
      </c>
      <c r="L365" s="62" t="s">
        <v>601</v>
      </c>
      <c r="M365" s="120" t="s">
        <v>1011</v>
      </c>
      <c r="N365" s="63">
        <v>44161</v>
      </c>
      <c r="O365" s="24">
        <v>2050</v>
      </c>
      <c r="P365" s="24">
        <v>23270</v>
      </c>
      <c r="Q365" s="64">
        <v>47703500</v>
      </c>
      <c r="R365" s="64"/>
      <c r="S365" s="64"/>
      <c r="T365" s="64">
        <v>1045897.25</v>
      </c>
      <c r="U365" s="64" t="s">
        <v>1012</v>
      </c>
      <c r="V365" s="121">
        <v>48749397</v>
      </c>
      <c r="W365" s="122">
        <v>0</v>
      </c>
      <c r="X365" s="64">
        <v>48749397</v>
      </c>
      <c r="Y365" s="121"/>
      <c r="Z365" s="121"/>
      <c r="AA365" s="128"/>
      <c r="AB365" s="121"/>
      <c r="AC365" s="64">
        <v>48749397</v>
      </c>
      <c r="AD365" s="65">
        <v>44210</v>
      </c>
      <c r="AE365" s="65">
        <v>47130</v>
      </c>
      <c r="AF365" s="62">
        <v>8</v>
      </c>
      <c r="AG365" s="119">
        <v>96</v>
      </c>
      <c r="AH365" s="25">
        <v>507806.21875</v>
      </c>
      <c r="AI365" s="78">
        <v>18068067.284274191</v>
      </c>
      <c r="AJ365" s="78">
        <v>30681329.715725809</v>
      </c>
      <c r="AK365" s="27">
        <f t="shared" si="62"/>
        <v>507806.21875</v>
      </c>
      <c r="AL365" s="27">
        <f t="shared" si="64"/>
        <v>507806.21875</v>
      </c>
      <c r="AM365" s="27"/>
      <c r="AN365" s="27"/>
      <c r="AO365" s="27"/>
      <c r="AP365" s="27"/>
      <c r="AQ365" s="27"/>
      <c r="AR365" s="27"/>
      <c r="AS365" s="27"/>
      <c r="AT365" s="27"/>
      <c r="AU365" s="27"/>
      <c r="AV365" s="27"/>
      <c r="AW365" s="27">
        <f t="shared" si="57"/>
        <v>1015612.4375</v>
      </c>
      <c r="AX365" s="79">
        <f t="shared" si="58"/>
        <v>29665717.278225809</v>
      </c>
      <c r="AY365" s="79">
        <f t="shared" si="59"/>
        <v>19083679.721774191</v>
      </c>
      <c r="AZ365" s="25">
        <v>1</v>
      </c>
      <c r="BA365" s="62" t="s">
        <v>79</v>
      </c>
      <c r="BB365" s="66">
        <v>1</v>
      </c>
      <c r="BC365" s="66"/>
      <c r="BD365" s="66"/>
      <c r="BE365" s="67">
        <f t="shared" si="63"/>
        <v>507806.21875</v>
      </c>
      <c r="BF365" s="67">
        <f t="shared" si="56"/>
        <v>0</v>
      </c>
      <c r="BG365" s="67">
        <f t="shared" si="55"/>
        <v>0</v>
      </c>
      <c r="BH365" s="66"/>
      <c r="BI365" s="68" t="s">
        <v>80</v>
      </c>
      <c r="BJ365" s="68" t="s">
        <v>58</v>
      </c>
      <c r="BK365" s="68" t="s">
        <v>59</v>
      </c>
      <c r="BL365" s="29"/>
      <c r="BO365" s="35" t="s">
        <v>1801</v>
      </c>
      <c r="BP365" s="1" t="s">
        <v>1820</v>
      </c>
      <c r="BQ365" s="1" t="s">
        <v>1989</v>
      </c>
    </row>
    <row r="366" spans="1:69" ht="15" hidden="1" customHeight="1">
      <c r="A366" s="1" t="s">
        <v>43</v>
      </c>
      <c r="C366" s="1" t="str">
        <f t="shared" si="60"/>
        <v>2901</v>
      </c>
      <c r="D366" s="1" t="str">
        <f t="shared" si="61"/>
        <v>2101</v>
      </c>
      <c r="E366" s="19" t="s">
        <v>48</v>
      </c>
      <c r="F366" s="62" t="s">
        <v>49</v>
      </c>
      <c r="G366" s="62">
        <v>2114</v>
      </c>
      <c r="H366" s="62" t="s">
        <v>1013</v>
      </c>
      <c r="I366" s="62" t="s">
        <v>823</v>
      </c>
      <c r="J366" s="118">
        <v>1</v>
      </c>
      <c r="K366" s="119" t="s">
        <v>271</v>
      </c>
      <c r="L366" s="62" t="s">
        <v>601</v>
      </c>
      <c r="M366" s="120" t="s">
        <v>1011</v>
      </c>
      <c r="N366" s="63">
        <v>44161</v>
      </c>
      <c r="O366" s="24">
        <v>2050</v>
      </c>
      <c r="P366" s="24">
        <v>23270</v>
      </c>
      <c r="Q366" s="64">
        <v>47703500</v>
      </c>
      <c r="R366" s="64"/>
      <c r="S366" s="64"/>
      <c r="T366" s="64">
        <v>1045897.25</v>
      </c>
      <c r="U366" s="64" t="s">
        <v>1012</v>
      </c>
      <c r="V366" s="121">
        <v>48749397</v>
      </c>
      <c r="W366" s="122">
        <v>0</v>
      </c>
      <c r="X366" s="64">
        <v>48749397</v>
      </c>
      <c r="Y366" s="121"/>
      <c r="Z366" s="121"/>
      <c r="AA366" s="128"/>
      <c r="AB366" s="121"/>
      <c r="AC366" s="64">
        <v>48749397</v>
      </c>
      <c r="AD366" s="65">
        <v>44210</v>
      </c>
      <c r="AE366" s="65">
        <v>47130</v>
      </c>
      <c r="AF366" s="62">
        <v>8</v>
      </c>
      <c r="AG366" s="119">
        <v>96</v>
      </c>
      <c r="AH366" s="25">
        <v>507806.21875</v>
      </c>
      <c r="AI366" s="78">
        <v>18068067.284274191</v>
      </c>
      <c r="AJ366" s="78">
        <v>30681329.715725809</v>
      </c>
      <c r="AK366" s="27">
        <f t="shared" si="62"/>
        <v>507806.21875</v>
      </c>
      <c r="AL366" s="27">
        <f t="shared" si="64"/>
        <v>507806.21875</v>
      </c>
      <c r="AM366" s="27"/>
      <c r="AN366" s="27"/>
      <c r="AO366" s="27"/>
      <c r="AP366" s="27"/>
      <c r="AQ366" s="27"/>
      <c r="AR366" s="27"/>
      <c r="AS366" s="27"/>
      <c r="AT366" s="27"/>
      <c r="AU366" s="27"/>
      <c r="AV366" s="27"/>
      <c r="AW366" s="27">
        <f t="shared" si="57"/>
        <v>1015612.4375</v>
      </c>
      <c r="AX366" s="79">
        <f t="shared" si="58"/>
        <v>29665717.278225809</v>
      </c>
      <c r="AY366" s="79">
        <f t="shared" si="59"/>
        <v>19083679.721774191</v>
      </c>
      <c r="AZ366" s="25">
        <v>1</v>
      </c>
      <c r="BA366" s="62" t="s">
        <v>79</v>
      </c>
      <c r="BB366" s="66">
        <v>1</v>
      </c>
      <c r="BC366" s="66"/>
      <c r="BD366" s="66"/>
      <c r="BE366" s="67">
        <f t="shared" si="63"/>
        <v>507806.21875</v>
      </c>
      <c r="BF366" s="67">
        <f t="shared" si="56"/>
        <v>0</v>
      </c>
      <c r="BG366" s="67">
        <f t="shared" si="55"/>
        <v>0</v>
      </c>
      <c r="BH366" s="66"/>
      <c r="BI366" s="68" t="s">
        <v>427</v>
      </c>
      <c r="BJ366" s="68" t="s">
        <v>58</v>
      </c>
      <c r="BK366" s="68" t="s">
        <v>59</v>
      </c>
      <c r="BL366" s="29"/>
      <c r="BM366" s="1" t="s">
        <v>1887</v>
      </c>
      <c r="BO366" s="35" t="s">
        <v>1807</v>
      </c>
      <c r="BQ366" s="1" t="e">
        <v>#N/A</v>
      </c>
    </row>
    <row r="367" spans="1:69" ht="15" hidden="1" customHeight="1">
      <c r="A367" s="1" t="s">
        <v>43</v>
      </c>
      <c r="C367" s="1" t="str">
        <f t="shared" si="60"/>
        <v>2902</v>
      </c>
      <c r="D367" s="1" t="str">
        <f t="shared" si="61"/>
        <v>2102</v>
      </c>
      <c r="E367" s="19" t="s">
        <v>48</v>
      </c>
      <c r="F367" s="62" t="s">
        <v>49</v>
      </c>
      <c r="G367" s="62">
        <v>2114</v>
      </c>
      <c r="H367" s="62" t="s">
        <v>1014</v>
      </c>
      <c r="I367" s="62" t="s">
        <v>823</v>
      </c>
      <c r="J367" s="118">
        <v>1</v>
      </c>
      <c r="K367" s="119" t="s">
        <v>271</v>
      </c>
      <c r="L367" s="62" t="s">
        <v>601</v>
      </c>
      <c r="M367" s="120" t="s">
        <v>1011</v>
      </c>
      <c r="N367" s="63">
        <v>44161</v>
      </c>
      <c r="O367" s="24">
        <v>2050</v>
      </c>
      <c r="P367" s="24">
        <v>23270</v>
      </c>
      <c r="Q367" s="64">
        <v>47703500</v>
      </c>
      <c r="R367" s="64"/>
      <c r="S367" s="64"/>
      <c r="T367" s="64">
        <v>1045897.25</v>
      </c>
      <c r="U367" s="64" t="s">
        <v>1012</v>
      </c>
      <c r="V367" s="121">
        <v>48749397</v>
      </c>
      <c r="W367" s="122">
        <v>0</v>
      </c>
      <c r="X367" s="64">
        <v>48749397</v>
      </c>
      <c r="Y367" s="121"/>
      <c r="Z367" s="121"/>
      <c r="AA367" s="128"/>
      <c r="AB367" s="121"/>
      <c r="AC367" s="64">
        <v>48749397</v>
      </c>
      <c r="AD367" s="65">
        <v>44242</v>
      </c>
      <c r="AE367" s="65">
        <v>47162</v>
      </c>
      <c r="AF367" s="62">
        <v>8</v>
      </c>
      <c r="AG367" s="119">
        <v>96</v>
      </c>
      <c r="AH367" s="25">
        <v>507806.21875</v>
      </c>
      <c r="AI367" s="78">
        <v>17519309.1875</v>
      </c>
      <c r="AJ367" s="78">
        <v>31230087.8125</v>
      </c>
      <c r="AK367" s="27">
        <f t="shared" si="62"/>
        <v>507806.21875</v>
      </c>
      <c r="AL367" s="27">
        <f t="shared" si="64"/>
        <v>507806.21875</v>
      </c>
      <c r="AM367" s="27"/>
      <c r="AN367" s="27"/>
      <c r="AO367" s="27"/>
      <c r="AP367" s="27"/>
      <c r="AQ367" s="27"/>
      <c r="AR367" s="27"/>
      <c r="AS367" s="27"/>
      <c r="AT367" s="27"/>
      <c r="AU367" s="27"/>
      <c r="AV367" s="27"/>
      <c r="AW367" s="27">
        <f t="shared" si="57"/>
        <v>1015612.4375</v>
      </c>
      <c r="AX367" s="79">
        <f t="shared" si="58"/>
        <v>30214475.375</v>
      </c>
      <c r="AY367" s="79">
        <f t="shared" si="59"/>
        <v>18534921.625</v>
      </c>
      <c r="AZ367" s="25">
        <v>1</v>
      </c>
      <c r="BA367" s="62" t="s">
        <v>79</v>
      </c>
      <c r="BB367" s="66">
        <v>1</v>
      </c>
      <c r="BC367" s="66"/>
      <c r="BD367" s="66"/>
      <c r="BE367" s="67">
        <f t="shared" si="63"/>
        <v>507806.21875</v>
      </c>
      <c r="BF367" s="67">
        <f t="shared" si="56"/>
        <v>0</v>
      </c>
      <c r="BG367" s="67">
        <f t="shared" si="55"/>
        <v>0</v>
      </c>
      <c r="BH367" s="66"/>
      <c r="BI367" s="68" t="s">
        <v>695</v>
      </c>
      <c r="BJ367" s="68" t="s">
        <v>58</v>
      </c>
      <c r="BK367" s="68" t="s">
        <v>59</v>
      </c>
      <c r="BL367" s="29"/>
      <c r="BO367" s="35" t="s">
        <v>1801</v>
      </c>
      <c r="BP367" s="1" t="s">
        <v>1825</v>
      </c>
      <c r="BQ367" s="1" t="s">
        <v>1989</v>
      </c>
    </row>
    <row r="368" spans="1:69" ht="15" hidden="1" customHeight="1">
      <c r="A368" s="1" t="s">
        <v>43</v>
      </c>
      <c r="C368" s="1" t="str">
        <f t="shared" si="60"/>
        <v>2902</v>
      </c>
      <c r="D368" s="1" t="str">
        <f t="shared" si="61"/>
        <v>2102</v>
      </c>
      <c r="E368" s="19" t="s">
        <v>48</v>
      </c>
      <c r="F368" s="62" t="s">
        <v>49</v>
      </c>
      <c r="G368" s="62">
        <v>2114</v>
      </c>
      <c r="H368" s="62" t="s">
        <v>1015</v>
      </c>
      <c r="I368" s="62" t="s">
        <v>823</v>
      </c>
      <c r="J368" s="118">
        <v>1</v>
      </c>
      <c r="K368" s="119" t="s">
        <v>271</v>
      </c>
      <c r="L368" s="62" t="s">
        <v>601</v>
      </c>
      <c r="M368" s="120" t="s">
        <v>1011</v>
      </c>
      <c r="N368" s="63">
        <v>44161</v>
      </c>
      <c r="O368" s="24">
        <v>2050</v>
      </c>
      <c r="P368" s="24">
        <v>23270</v>
      </c>
      <c r="Q368" s="64">
        <v>47703500</v>
      </c>
      <c r="R368" s="64"/>
      <c r="S368" s="64"/>
      <c r="T368" s="64">
        <v>1045897.25</v>
      </c>
      <c r="U368" s="64" t="s">
        <v>1012</v>
      </c>
      <c r="V368" s="121">
        <v>48749397</v>
      </c>
      <c r="W368" s="122">
        <v>0</v>
      </c>
      <c r="X368" s="64">
        <v>48749397</v>
      </c>
      <c r="Y368" s="121"/>
      <c r="Z368" s="121"/>
      <c r="AA368" s="128"/>
      <c r="AB368" s="121"/>
      <c r="AC368" s="64">
        <v>48749397</v>
      </c>
      <c r="AD368" s="65">
        <v>44242</v>
      </c>
      <c r="AE368" s="65">
        <v>47162</v>
      </c>
      <c r="AF368" s="62">
        <v>8</v>
      </c>
      <c r="AG368" s="119">
        <v>96</v>
      </c>
      <c r="AH368" s="25">
        <v>507806.21875</v>
      </c>
      <c r="AI368" s="78">
        <v>17519309.1875</v>
      </c>
      <c r="AJ368" s="78">
        <v>31230087.8125</v>
      </c>
      <c r="AK368" s="27">
        <f t="shared" si="62"/>
        <v>507806.21875</v>
      </c>
      <c r="AL368" s="27">
        <f t="shared" si="64"/>
        <v>507806.21875</v>
      </c>
      <c r="AM368" s="27"/>
      <c r="AN368" s="27"/>
      <c r="AO368" s="27"/>
      <c r="AP368" s="27"/>
      <c r="AQ368" s="27"/>
      <c r="AR368" s="27"/>
      <c r="AS368" s="27"/>
      <c r="AT368" s="27"/>
      <c r="AU368" s="27"/>
      <c r="AV368" s="27"/>
      <c r="AW368" s="27">
        <f t="shared" si="57"/>
        <v>1015612.4375</v>
      </c>
      <c r="AX368" s="79">
        <f t="shared" si="58"/>
        <v>30214475.375</v>
      </c>
      <c r="AY368" s="79">
        <f t="shared" si="59"/>
        <v>18534921.625</v>
      </c>
      <c r="AZ368" s="25">
        <v>1</v>
      </c>
      <c r="BA368" s="62" t="s">
        <v>79</v>
      </c>
      <c r="BB368" s="66">
        <v>1</v>
      </c>
      <c r="BC368" s="66"/>
      <c r="BD368" s="66"/>
      <c r="BE368" s="67">
        <f t="shared" si="63"/>
        <v>507806.21875</v>
      </c>
      <c r="BF368" s="67">
        <f t="shared" si="56"/>
        <v>0</v>
      </c>
      <c r="BG368" s="67">
        <f t="shared" si="55"/>
        <v>0</v>
      </c>
      <c r="BH368" s="66"/>
      <c r="BI368" s="68" t="s">
        <v>932</v>
      </c>
      <c r="BJ368" s="68" t="s">
        <v>58</v>
      </c>
      <c r="BK368" s="68" t="s">
        <v>59</v>
      </c>
      <c r="BL368" s="29"/>
      <c r="BO368" s="35" t="s">
        <v>1801</v>
      </c>
      <c r="BP368" s="1" t="s">
        <v>1824</v>
      </c>
      <c r="BQ368" s="1" t="s">
        <v>1989</v>
      </c>
    </row>
    <row r="369" spans="1:69" ht="15" hidden="1" customHeight="1">
      <c r="A369" s="1" t="s">
        <v>43</v>
      </c>
      <c r="C369" s="1" t="str">
        <f t="shared" si="60"/>
        <v>2902</v>
      </c>
      <c r="D369" s="1" t="str">
        <f t="shared" si="61"/>
        <v>2102</v>
      </c>
      <c r="E369" s="19" t="s">
        <v>48</v>
      </c>
      <c r="F369" s="62" t="s">
        <v>49</v>
      </c>
      <c r="G369" s="62">
        <v>2114</v>
      </c>
      <c r="H369" s="62" t="s">
        <v>1016</v>
      </c>
      <c r="I369" s="62" t="s">
        <v>823</v>
      </c>
      <c r="J369" s="118">
        <v>1</v>
      </c>
      <c r="K369" s="119" t="s">
        <v>271</v>
      </c>
      <c r="L369" s="62" t="s">
        <v>601</v>
      </c>
      <c r="M369" s="120" t="s">
        <v>1011</v>
      </c>
      <c r="N369" s="63">
        <v>44161</v>
      </c>
      <c r="O369" s="24">
        <v>2050</v>
      </c>
      <c r="P369" s="24">
        <v>23270</v>
      </c>
      <c r="Q369" s="64">
        <v>47703500</v>
      </c>
      <c r="R369" s="64"/>
      <c r="S369" s="64"/>
      <c r="T369" s="64">
        <v>1045897.25</v>
      </c>
      <c r="U369" s="64" t="s">
        <v>1012</v>
      </c>
      <c r="V369" s="121">
        <v>48749397</v>
      </c>
      <c r="W369" s="122">
        <v>0</v>
      </c>
      <c r="X369" s="64">
        <v>48749397</v>
      </c>
      <c r="Y369" s="121"/>
      <c r="Z369" s="121"/>
      <c r="AA369" s="128"/>
      <c r="AB369" s="121"/>
      <c r="AC369" s="64">
        <v>48749397</v>
      </c>
      <c r="AD369" s="65">
        <v>44242</v>
      </c>
      <c r="AE369" s="65">
        <v>47162</v>
      </c>
      <c r="AF369" s="62">
        <v>8</v>
      </c>
      <c r="AG369" s="119">
        <v>96</v>
      </c>
      <c r="AH369" s="25">
        <v>507806.21875</v>
      </c>
      <c r="AI369" s="78">
        <v>17519309.1875</v>
      </c>
      <c r="AJ369" s="78">
        <v>31230087.8125</v>
      </c>
      <c r="AK369" s="27">
        <f t="shared" si="62"/>
        <v>507806.21875</v>
      </c>
      <c r="AL369" s="27">
        <f t="shared" si="64"/>
        <v>507806.21875</v>
      </c>
      <c r="AM369" s="27"/>
      <c r="AN369" s="27"/>
      <c r="AO369" s="27"/>
      <c r="AP369" s="27"/>
      <c r="AQ369" s="27"/>
      <c r="AR369" s="27"/>
      <c r="AS369" s="27"/>
      <c r="AT369" s="27"/>
      <c r="AU369" s="27"/>
      <c r="AV369" s="27"/>
      <c r="AW369" s="27">
        <f t="shared" si="57"/>
        <v>1015612.4375</v>
      </c>
      <c r="AX369" s="79">
        <f t="shared" si="58"/>
        <v>30214475.375</v>
      </c>
      <c r="AY369" s="79">
        <f t="shared" si="59"/>
        <v>18534921.625</v>
      </c>
      <c r="AZ369" s="25">
        <v>1</v>
      </c>
      <c r="BA369" s="62" t="s">
        <v>79</v>
      </c>
      <c r="BB369" s="66">
        <v>1</v>
      </c>
      <c r="BC369" s="66"/>
      <c r="BD369" s="66"/>
      <c r="BE369" s="67">
        <f t="shared" si="63"/>
        <v>507806.21875</v>
      </c>
      <c r="BF369" s="67">
        <f t="shared" si="56"/>
        <v>0</v>
      </c>
      <c r="BG369" s="67">
        <f t="shared" si="55"/>
        <v>0</v>
      </c>
      <c r="BH369" s="66"/>
      <c r="BI369" s="68" t="s">
        <v>905</v>
      </c>
      <c r="BJ369" s="68" t="s">
        <v>58</v>
      </c>
      <c r="BK369" s="68" t="s">
        <v>59</v>
      </c>
      <c r="BL369" s="29"/>
      <c r="BO369" s="35" t="s">
        <v>1801</v>
      </c>
      <c r="BQ369" s="1" t="e">
        <v>#N/A</v>
      </c>
    </row>
    <row r="370" spans="1:69" ht="15" hidden="1" customHeight="1">
      <c r="A370" s="1" t="s">
        <v>43</v>
      </c>
      <c r="C370" s="1" t="str">
        <f t="shared" si="60"/>
        <v>2902</v>
      </c>
      <c r="D370" s="1" t="str">
        <f t="shared" si="61"/>
        <v>2102</v>
      </c>
      <c r="E370" s="19" t="s">
        <v>48</v>
      </c>
      <c r="F370" s="62" t="s">
        <v>49</v>
      </c>
      <c r="G370" s="62">
        <v>2114</v>
      </c>
      <c r="H370" s="62" t="s">
        <v>1017</v>
      </c>
      <c r="I370" s="62" t="s">
        <v>823</v>
      </c>
      <c r="J370" s="118">
        <v>1</v>
      </c>
      <c r="K370" s="119" t="s">
        <v>271</v>
      </c>
      <c r="L370" s="62" t="s">
        <v>601</v>
      </c>
      <c r="M370" s="120" t="s">
        <v>1011</v>
      </c>
      <c r="N370" s="63">
        <v>44161</v>
      </c>
      <c r="O370" s="24">
        <v>2050</v>
      </c>
      <c r="P370" s="24">
        <v>23270</v>
      </c>
      <c r="Q370" s="64">
        <v>47703500</v>
      </c>
      <c r="R370" s="64"/>
      <c r="S370" s="64"/>
      <c r="T370" s="64">
        <v>1045897.25</v>
      </c>
      <c r="U370" s="64" t="s">
        <v>1012</v>
      </c>
      <c r="V370" s="121">
        <v>48749397</v>
      </c>
      <c r="W370" s="122">
        <v>0</v>
      </c>
      <c r="X370" s="64">
        <v>48749397</v>
      </c>
      <c r="Y370" s="121"/>
      <c r="Z370" s="121"/>
      <c r="AA370" s="128"/>
      <c r="AB370" s="121"/>
      <c r="AC370" s="64">
        <v>48749397</v>
      </c>
      <c r="AD370" s="65">
        <v>44242</v>
      </c>
      <c r="AE370" s="65">
        <v>47162</v>
      </c>
      <c r="AF370" s="62">
        <v>8</v>
      </c>
      <c r="AG370" s="119">
        <v>96</v>
      </c>
      <c r="AH370" s="25">
        <v>507806.21875</v>
      </c>
      <c r="AI370" s="78">
        <v>17519309.1875</v>
      </c>
      <c r="AJ370" s="78">
        <v>31230087.8125</v>
      </c>
      <c r="AK370" s="27">
        <f t="shared" si="62"/>
        <v>507806.21875</v>
      </c>
      <c r="AL370" s="27">
        <f t="shared" si="64"/>
        <v>507806.21875</v>
      </c>
      <c r="AM370" s="27"/>
      <c r="AN370" s="27"/>
      <c r="AO370" s="27"/>
      <c r="AP370" s="27"/>
      <c r="AQ370" s="27"/>
      <c r="AR370" s="27"/>
      <c r="AS370" s="27"/>
      <c r="AT370" s="27"/>
      <c r="AU370" s="27"/>
      <c r="AV370" s="27"/>
      <c r="AW370" s="27">
        <f t="shared" si="57"/>
        <v>1015612.4375</v>
      </c>
      <c r="AX370" s="79">
        <f t="shared" si="58"/>
        <v>30214475.375</v>
      </c>
      <c r="AY370" s="79">
        <f t="shared" si="59"/>
        <v>18534921.625</v>
      </c>
      <c r="AZ370" s="25">
        <v>1</v>
      </c>
      <c r="BA370" s="62" t="s">
        <v>79</v>
      </c>
      <c r="BB370" s="66">
        <v>1</v>
      </c>
      <c r="BC370" s="66"/>
      <c r="BD370" s="66"/>
      <c r="BE370" s="67">
        <f t="shared" si="63"/>
        <v>507806.21875</v>
      </c>
      <c r="BF370" s="67">
        <f t="shared" si="56"/>
        <v>0</v>
      </c>
      <c r="BG370" s="67">
        <f t="shared" si="55"/>
        <v>0</v>
      </c>
      <c r="BH370" s="66"/>
      <c r="BI370" s="68" t="s">
        <v>819</v>
      </c>
      <c r="BJ370" s="68" t="s">
        <v>58</v>
      </c>
      <c r="BK370" s="68" t="s">
        <v>59</v>
      </c>
      <c r="BL370" s="29"/>
      <c r="BO370" s="35" t="s">
        <v>1805</v>
      </c>
      <c r="BQ370" s="1" t="s">
        <v>1989</v>
      </c>
    </row>
    <row r="371" spans="1:69" ht="15" hidden="1" customHeight="1">
      <c r="A371" s="1" t="s">
        <v>43</v>
      </c>
      <c r="C371" s="1" t="str">
        <f t="shared" si="60"/>
        <v>2902</v>
      </c>
      <c r="D371" s="1" t="str">
        <f t="shared" si="61"/>
        <v>2103</v>
      </c>
      <c r="E371" s="19" t="s">
        <v>48</v>
      </c>
      <c r="F371" s="62" t="s">
        <v>49</v>
      </c>
      <c r="G371" s="62">
        <v>2114</v>
      </c>
      <c r="H371" s="62" t="s">
        <v>1018</v>
      </c>
      <c r="I371" s="62" t="s">
        <v>823</v>
      </c>
      <c r="J371" s="118">
        <v>1</v>
      </c>
      <c r="K371" s="119" t="s">
        <v>271</v>
      </c>
      <c r="L371" s="62" t="s">
        <v>601</v>
      </c>
      <c r="M371" s="120" t="s">
        <v>1011</v>
      </c>
      <c r="N371" s="63">
        <v>44161</v>
      </c>
      <c r="O371" s="24">
        <v>2050</v>
      </c>
      <c r="P371" s="24">
        <v>23270</v>
      </c>
      <c r="Q371" s="64">
        <v>47703500</v>
      </c>
      <c r="R371" s="64"/>
      <c r="S371" s="64"/>
      <c r="T371" s="64">
        <v>1045897.25</v>
      </c>
      <c r="U371" s="64" t="s">
        <v>1012</v>
      </c>
      <c r="V371" s="121">
        <v>48749397</v>
      </c>
      <c r="W371" s="122">
        <v>0</v>
      </c>
      <c r="X371" s="64">
        <v>48749397</v>
      </c>
      <c r="Y371" s="121"/>
      <c r="Z371" s="121"/>
      <c r="AA371" s="128"/>
      <c r="AB371" s="121"/>
      <c r="AC371" s="64">
        <v>48749397</v>
      </c>
      <c r="AD371" s="65">
        <v>44256</v>
      </c>
      <c r="AE371" s="65">
        <v>47176</v>
      </c>
      <c r="AF371" s="62">
        <v>8</v>
      </c>
      <c r="AG371" s="119">
        <v>96</v>
      </c>
      <c r="AH371" s="25">
        <v>507806.21875</v>
      </c>
      <c r="AI371" s="78">
        <v>17265406.1875</v>
      </c>
      <c r="AJ371" s="78">
        <v>31483990.8125</v>
      </c>
      <c r="AK371" s="27">
        <f t="shared" si="62"/>
        <v>507806.21875</v>
      </c>
      <c r="AL371" s="27">
        <f t="shared" si="64"/>
        <v>507806.21875</v>
      </c>
      <c r="AM371" s="27"/>
      <c r="AN371" s="27"/>
      <c r="AO371" s="27"/>
      <c r="AP371" s="27"/>
      <c r="AQ371" s="27"/>
      <c r="AR371" s="27"/>
      <c r="AS371" s="27"/>
      <c r="AT371" s="27"/>
      <c r="AU371" s="27"/>
      <c r="AV371" s="27"/>
      <c r="AW371" s="27">
        <f t="shared" si="57"/>
        <v>1015612.4375</v>
      </c>
      <c r="AX371" s="79">
        <f t="shared" si="58"/>
        <v>30468378.375</v>
      </c>
      <c r="AY371" s="79">
        <f t="shared" si="59"/>
        <v>18281018.625</v>
      </c>
      <c r="AZ371" s="25">
        <v>1</v>
      </c>
      <c r="BA371" s="62" t="s">
        <v>79</v>
      </c>
      <c r="BB371" s="66">
        <v>1</v>
      </c>
      <c r="BC371" s="66"/>
      <c r="BD371" s="66"/>
      <c r="BE371" s="67">
        <f t="shared" si="63"/>
        <v>507806.21875</v>
      </c>
      <c r="BF371" s="67">
        <f t="shared" si="56"/>
        <v>0</v>
      </c>
      <c r="BG371" s="67">
        <f t="shared" si="55"/>
        <v>0</v>
      </c>
      <c r="BH371" s="66"/>
      <c r="BI371" s="68" t="s">
        <v>894</v>
      </c>
      <c r="BJ371" s="68" t="s">
        <v>58</v>
      </c>
      <c r="BK371" s="68" t="s">
        <v>59</v>
      </c>
      <c r="BL371" s="29"/>
      <c r="BO371" s="35" t="s">
        <v>1802</v>
      </c>
      <c r="BQ371" s="1" t="e">
        <v>#N/A</v>
      </c>
    </row>
    <row r="372" spans="1:69" ht="15" hidden="1" customHeight="1">
      <c r="A372" s="1" t="s">
        <v>43</v>
      </c>
      <c r="C372" s="1" t="str">
        <f t="shared" si="60"/>
        <v>2902</v>
      </c>
      <c r="D372" s="1" t="str">
        <f t="shared" si="61"/>
        <v>2103</v>
      </c>
      <c r="E372" s="19" t="s">
        <v>48</v>
      </c>
      <c r="F372" s="62" t="s">
        <v>49</v>
      </c>
      <c r="G372" s="62">
        <v>2114</v>
      </c>
      <c r="H372" s="62" t="s">
        <v>1019</v>
      </c>
      <c r="I372" s="62" t="s">
        <v>823</v>
      </c>
      <c r="J372" s="118">
        <v>1</v>
      </c>
      <c r="K372" s="119" t="s">
        <v>271</v>
      </c>
      <c r="L372" s="62" t="s">
        <v>601</v>
      </c>
      <c r="M372" s="120" t="s">
        <v>1011</v>
      </c>
      <c r="N372" s="63">
        <v>44161</v>
      </c>
      <c r="O372" s="24">
        <v>2050</v>
      </c>
      <c r="P372" s="24">
        <v>23270</v>
      </c>
      <c r="Q372" s="64">
        <v>47703500</v>
      </c>
      <c r="R372" s="64"/>
      <c r="S372" s="64"/>
      <c r="T372" s="64">
        <v>1045897.25</v>
      </c>
      <c r="U372" s="64" t="s">
        <v>1012</v>
      </c>
      <c r="V372" s="121">
        <v>48749397</v>
      </c>
      <c r="W372" s="122">
        <v>0</v>
      </c>
      <c r="X372" s="64">
        <v>48749397</v>
      </c>
      <c r="Y372" s="121"/>
      <c r="Z372" s="121"/>
      <c r="AA372" s="128"/>
      <c r="AB372" s="121"/>
      <c r="AC372" s="64">
        <v>48749397</v>
      </c>
      <c r="AD372" s="65">
        <v>44256</v>
      </c>
      <c r="AE372" s="65">
        <v>47176</v>
      </c>
      <c r="AF372" s="62">
        <v>8</v>
      </c>
      <c r="AG372" s="119">
        <v>96</v>
      </c>
      <c r="AH372" s="25">
        <v>507806.21875</v>
      </c>
      <c r="AI372" s="78">
        <v>17265406.1875</v>
      </c>
      <c r="AJ372" s="78">
        <v>31483990.8125</v>
      </c>
      <c r="AK372" s="27">
        <f t="shared" si="62"/>
        <v>507806.21875</v>
      </c>
      <c r="AL372" s="27">
        <f t="shared" si="64"/>
        <v>507806.21875</v>
      </c>
      <c r="AM372" s="27"/>
      <c r="AN372" s="27"/>
      <c r="AO372" s="27"/>
      <c r="AP372" s="27"/>
      <c r="AQ372" s="27"/>
      <c r="AR372" s="27"/>
      <c r="AS372" s="27"/>
      <c r="AT372" s="27"/>
      <c r="AU372" s="27"/>
      <c r="AV372" s="27"/>
      <c r="AW372" s="27">
        <f t="shared" si="57"/>
        <v>1015612.4375</v>
      </c>
      <c r="AX372" s="79">
        <f t="shared" si="58"/>
        <v>30468378.375</v>
      </c>
      <c r="AY372" s="79">
        <f t="shared" si="59"/>
        <v>18281018.625</v>
      </c>
      <c r="AZ372" s="25">
        <v>1</v>
      </c>
      <c r="BA372" s="62" t="s">
        <v>79</v>
      </c>
      <c r="BB372" s="66">
        <v>1</v>
      </c>
      <c r="BC372" s="66"/>
      <c r="BD372" s="66"/>
      <c r="BE372" s="67">
        <f t="shared" si="63"/>
        <v>507806.21875</v>
      </c>
      <c r="BF372" s="67">
        <f t="shared" si="56"/>
        <v>0</v>
      </c>
      <c r="BG372" s="67">
        <f t="shared" si="55"/>
        <v>0</v>
      </c>
      <c r="BH372" s="66"/>
      <c r="BI372" s="68" t="s">
        <v>242</v>
      </c>
      <c r="BJ372" s="68" t="s">
        <v>58</v>
      </c>
      <c r="BK372" s="68" t="s">
        <v>59</v>
      </c>
      <c r="BL372" s="29"/>
      <c r="BO372" s="35" t="s">
        <v>1800</v>
      </c>
      <c r="BQ372" s="1" t="e">
        <v>#N/A</v>
      </c>
    </row>
    <row r="373" spans="1:69" ht="15" hidden="1" customHeight="1">
      <c r="A373" s="1" t="s">
        <v>43</v>
      </c>
      <c r="C373" s="1" t="str">
        <f t="shared" si="60"/>
        <v>2711</v>
      </c>
      <c r="D373" s="1" t="str">
        <f t="shared" si="61"/>
        <v>2011</v>
      </c>
      <c r="E373" s="19" t="s">
        <v>48</v>
      </c>
      <c r="F373" s="62" t="s">
        <v>49</v>
      </c>
      <c r="G373" s="62">
        <v>2111</v>
      </c>
      <c r="H373" s="62" t="s">
        <v>1020</v>
      </c>
      <c r="I373" s="62" t="s">
        <v>1021</v>
      </c>
      <c r="J373" s="118">
        <v>1</v>
      </c>
      <c r="K373" s="119" t="s">
        <v>271</v>
      </c>
      <c r="L373" s="62" t="s">
        <v>1022</v>
      </c>
      <c r="M373" s="120" t="s">
        <v>1023</v>
      </c>
      <c r="N373" s="63">
        <v>44152</v>
      </c>
      <c r="O373" s="24"/>
      <c r="P373" s="24"/>
      <c r="Q373" s="64">
        <v>204361094</v>
      </c>
      <c r="R373" s="64"/>
      <c r="S373" s="64"/>
      <c r="T373" s="64"/>
      <c r="U373" s="64"/>
      <c r="V373" s="121">
        <v>204361094</v>
      </c>
      <c r="W373" s="122">
        <v>0</v>
      </c>
      <c r="X373" s="64">
        <v>204361094</v>
      </c>
      <c r="Y373" s="121"/>
      <c r="Z373" s="121"/>
      <c r="AA373" s="128"/>
      <c r="AB373" s="121"/>
      <c r="AC373" s="64">
        <v>204361094</v>
      </c>
      <c r="AD373" s="65">
        <v>44152</v>
      </c>
      <c r="AE373" s="65">
        <v>46707</v>
      </c>
      <c r="AF373" s="62">
        <v>7</v>
      </c>
      <c r="AG373" s="119">
        <v>84</v>
      </c>
      <c r="AH373" s="25">
        <v>2432870.1666666665</v>
      </c>
      <c r="AI373" s="78">
        <v>91151530.666666672</v>
      </c>
      <c r="AJ373" s="78">
        <v>113209563.33333333</v>
      </c>
      <c r="AK373" s="27">
        <f t="shared" si="62"/>
        <v>2432870.1666666665</v>
      </c>
      <c r="AL373" s="27">
        <f t="shared" si="64"/>
        <v>2432870.1666666665</v>
      </c>
      <c r="AM373" s="27"/>
      <c r="AN373" s="27"/>
      <c r="AO373" s="27"/>
      <c r="AP373" s="27"/>
      <c r="AQ373" s="27"/>
      <c r="AR373" s="27"/>
      <c r="AS373" s="27"/>
      <c r="AT373" s="27"/>
      <c r="AU373" s="27"/>
      <c r="AV373" s="27"/>
      <c r="AW373" s="27">
        <f t="shared" si="57"/>
        <v>4865740.333333333</v>
      </c>
      <c r="AX373" s="79">
        <f t="shared" si="58"/>
        <v>108343823</v>
      </c>
      <c r="AY373" s="79">
        <f t="shared" si="59"/>
        <v>96017271</v>
      </c>
      <c r="AZ373" s="25">
        <v>1</v>
      </c>
      <c r="BA373" s="62" t="s">
        <v>56</v>
      </c>
      <c r="BB373" s="66">
        <v>1</v>
      </c>
      <c r="BC373" s="66"/>
      <c r="BD373" s="66"/>
      <c r="BE373" s="67">
        <f t="shared" si="63"/>
        <v>2432870.1666666665</v>
      </c>
      <c r="BF373" s="67">
        <f t="shared" si="56"/>
        <v>0</v>
      </c>
      <c r="BG373" s="67">
        <f t="shared" si="55"/>
        <v>0</v>
      </c>
      <c r="BH373" s="66"/>
      <c r="BI373" s="68" t="s">
        <v>57</v>
      </c>
      <c r="BJ373" s="68" t="s">
        <v>58</v>
      </c>
      <c r="BK373" s="68" t="s">
        <v>59</v>
      </c>
      <c r="BL373" s="29"/>
      <c r="BO373" s="35" t="s">
        <v>1802</v>
      </c>
      <c r="BQ373" s="1" t="e">
        <v>#N/A</v>
      </c>
    </row>
    <row r="374" spans="1:69" ht="15" hidden="1" customHeight="1">
      <c r="A374" s="1" t="s">
        <v>43</v>
      </c>
      <c r="C374" s="1" t="str">
        <f t="shared" si="60"/>
        <v>2711</v>
      </c>
      <c r="D374" s="1" t="str">
        <f t="shared" si="61"/>
        <v>2011</v>
      </c>
      <c r="E374" s="19" t="s">
        <v>48</v>
      </c>
      <c r="F374" s="62" t="s">
        <v>515</v>
      </c>
      <c r="G374" s="62">
        <v>2111</v>
      </c>
      <c r="H374" s="62" t="s">
        <v>1024</v>
      </c>
      <c r="I374" s="62" t="s">
        <v>1021</v>
      </c>
      <c r="J374" s="118">
        <v>1</v>
      </c>
      <c r="K374" s="119" t="s">
        <v>271</v>
      </c>
      <c r="L374" s="62" t="s">
        <v>1022</v>
      </c>
      <c r="M374" s="120" t="s">
        <v>1023</v>
      </c>
      <c r="N374" s="63">
        <v>44152</v>
      </c>
      <c r="O374" s="24"/>
      <c r="P374" s="24"/>
      <c r="Q374" s="64">
        <v>590639000</v>
      </c>
      <c r="R374" s="64"/>
      <c r="S374" s="64"/>
      <c r="T374" s="64"/>
      <c r="U374" s="64"/>
      <c r="V374" s="121">
        <v>590639000</v>
      </c>
      <c r="W374" s="122">
        <v>0</v>
      </c>
      <c r="X374" s="64">
        <v>590639000</v>
      </c>
      <c r="Y374" s="121"/>
      <c r="Z374" s="121"/>
      <c r="AA374" s="128"/>
      <c r="AB374" s="121"/>
      <c r="AC374" s="64">
        <v>590639000</v>
      </c>
      <c r="AD374" s="65">
        <v>44152</v>
      </c>
      <c r="AE374" s="65">
        <v>46707</v>
      </c>
      <c r="AF374" s="62">
        <v>7</v>
      </c>
      <c r="AG374" s="119">
        <v>84</v>
      </c>
      <c r="AH374" s="25">
        <v>7031416.666666667</v>
      </c>
      <c r="AI374" s="78">
        <v>263443753.66666669</v>
      </c>
      <c r="AJ374" s="78">
        <v>327195246.33333331</v>
      </c>
      <c r="AK374" s="27">
        <f t="shared" si="62"/>
        <v>7031416.666666667</v>
      </c>
      <c r="AL374" s="27">
        <f t="shared" si="64"/>
        <v>7031416.666666667</v>
      </c>
      <c r="AM374" s="27"/>
      <c r="AN374" s="27"/>
      <c r="AO374" s="27"/>
      <c r="AP374" s="27"/>
      <c r="AQ374" s="27"/>
      <c r="AR374" s="27"/>
      <c r="AS374" s="27"/>
      <c r="AT374" s="27"/>
      <c r="AU374" s="27"/>
      <c r="AV374" s="27"/>
      <c r="AW374" s="27">
        <f t="shared" si="57"/>
        <v>14062833.333333334</v>
      </c>
      <c r="AX374" s="79">
        <f t="shared" si="58"/>
        <v>313132413</v>
      </c>
      <c r="AY374" s="79">
        <f t="shared" si="59"/>
        <v>277506587</v>
      </c>
      <c r="AZ374" s="25">
        <v>1</v>
      </c>
      <c r="BA374" s="62" t="s">
        <v>56</v>
      </c>
      <c r="BB374" s="66">
        <v>1</v>
      </c>
      <c r="BC374" s="66"/>
      <c r="BD374" s="66"/>
      <c r="BE374" s="67">
        <f t="shared" si="63"/>
        <v>7031416.666666667</v>
      </c>
      <c r="BF374" s="67">
        <f t="shared" si="56"/>
        <v>0</v>
      </c>
      <c r="BG374" s="67">
        <f t="shared" si="55"/>
        <v>0</v>
      </c>
      <c r="BH374" s="66"/>
      <c r="BI374" s="68" t="s">
        <v>871</v>
      </c>
      <c r="BJ374" s="68" t="s">
        <v>591</v>
      </c>
      <c r="BK374" s="68" t="s">
        <v>59</v>
      </c>
      <c r="BL374" s="29"/>
      <c r="BO374" s="35" t="s">
        <v>1802</v>
      </c>
      <c r="BQ374" s="1" t="e">
        <v>#N/A</v>
      </c>
    </row>
    <row r="375" spans="1:69" ht="15" hidden="1" customHeight="1">
      <c r="A375" s="1" t="s">
        <v>43</v>
      </c>
      <c r="C375" s="1" t="str">
        <f t="shared" si="60"/>
        <v>2512</v>
      </c>
      <c r="D375" s="1" t="str">
        <f t="shared" si="61"/>
        <v>2012</v>
      </c>
      <c r="E375" s="19" t="s">
        <v>48</v>
      </c>
      <c r="F375" s="62" t="s">
        <v>49</v>
      </c>
      <c r="G375" s="62">
        <v>2112</v>
      </c>
      <c r="H375" s="62" t="s">
        <v>1025</v>
      </c>
      <c r="I375" s="62" t="s">
        <v>1026</v>
      </c>
      <c r="J375" s="118">
        <v>1</v>
      </c>
      <c r="K375" s="119" t="s">
        <v>271</v>
      </c>
      <c r="L375" s="62" t="s">
        <v>1027</v>
      </c>
      <c r="M375" s="120" t="s">
        <v>1028</v>
      </c>
      <c r="N375" s="63">
        <v>44193</v>
      </c>
      <c r="O375" s="24"/>
      <c r="P375" s="24"/>
      <c r="Q375" s="64">
        <v>54617813</v>
      </c>
      <c r="R375" s="64"/>
      <c r="S375" s="64"/>
      <c r="T375" s="64"/>
      <c r="U375" s="64"/>
      <c r="V375" s="121">
        <v>54617813</v>
      </c>
      <c r="W375" s="122">
        <v>0</v>
      </c>
      <c r="X375" s="64">
        <v>54617813</v>
      </c>
      <c r="Y375" s="121"/>
      <c r="Z375" s="121"/>
      <c r="AA375" s="128"/>
      <c r="AB375" s="121"/>
      <c r="AC375" s="64">
        <v>54617813</v>
      </c>
      <c r="AD375" s="63">
        <v>44193</v>
      </c>
      <c r="AE375" s="65">
        <v>46018</v>
      </c>
      <c r="AF375" s="62">
        <v>5</v>
      </c>
      <c r="AG375" s="119">
        <v>60</v>
      </c>
      <c r="AH375" s="25">
        <v>910296.8833333333</v>
      </c>
      <c r="AI375" s="78">
        <v>32888148.833333328</v>
      </c>
      <c r="AJ375" s="78">
        <v>21729664.166666672</v>
      </c>
      <c r="AK375" s="27">
        <f t="shared" si="62"/>
        <v>910296.8833333333</v>
      </c>
      <c r="AL375" s="27">
        <f t="shared" si="64"/>
        <v>910296.8833333333</v>
      </c>
      <c r="AM375" s="27"/>
      <c r="AN375" s="27"/>
      <c r="AO375" s="27"/>
      <c r="AP375" s="27"/>
      <c r="AQ375" s="27"/>
      <c r="AR375" s="27"/>
      <c r="AS375" s="27"/>
      <c r="AT375" s="27"/>
      <c r="AU375" s="27"/>
      <c r="AV375" s="27"/>
      <c r="AW375" s="27">
        <f t="shared" si="57"/>
        <v>1820593.7666666666</v>
      </c>
      <c r="AX375" s="79">
        <f t="shared" si="58"/>
        <v>19909070.400000006</v>
      </c>
      <c r="AY375" s="79">
        <f t="shared" si="59"/>
        <v>34708742.599999994</v>
      </c>
      <c r="AZ375" s="25">
        <v>1</v>
      </c>
      <c r="BA375" s="62" t="s">
        <v>97</v>
      </c>
      <c r="BB375" s="66">
        <v>1</v>
      </c>
      <c r="BC375" s="66"/>
      <c r="BD375" s="66"/>
      <c r="BE375" s="67">
        <f t="shared" si="63"/>
        <v>910296.8833333333</v>
      </c>
      <c r="BF375" s="67">
        <f t="shared" si="56"/>
        <v>0</v>
      </c>
      <c r="BG375" s="67">
        <f t="shared" si="55"/>
        <v>0</v>
      </c>
      <c r="BH375" s="66"/>
      <c r="BI375" s="68" t="s">
        <v>57</v>
      </c>
      <c r="BJ375" s="68" t="s">
        <v>58</v>
      </c>
      <c r="BK375" s="68" t="s">
        <v>59</v>
      </c>
      <c r="BL375" s="29"/>
      <c r="BO375" s="35" t="s">
        <v>1804</v>
      </c>
      <c r="BQ375" s="1" t="e">
        <v>#N/A</v>
      </c>
    </row>
    <row r="376" spans="1:69" ht="15" hidden="1" customHeight="1">
      <c r="A376" s="1" t="s">
        <v>43</v>
      </c>
      <c r="C376" s="1" t="str">
        <f t="shared" si="60"/>
        <v>2812</v>
      </c>
      <c r="D376" s="1" t="str">
        <f t="shared" si="61"/>
        <v>2012</v>
      </c>
      <c r="E376" s="19" t="s">
        <v>48</v>
      </c>
      <c r="F376" s="62" t="s">
        <v>49</v>
      </c>
      <c r="G376" s="62">
        <v>2112</v>
      </c>
      <c r="H376" s="62" t="s">
        <v>1029</v>
      </c>
      <c r="I376" s="62" t="s">
        <v>1030</v>
      </c>
      <c r="J376" s="118">
        <v>1</v>
      </c>
      <c r="K376" s="119" t="s">
        <v>271</v>
      </c>
      <c r="L376" s="62" t="s">
        <v>62</v>
      </c>
      <c r="M376" s="120" t="s">
        <v>1031</v>
      </c>
      <c r="N376" s="63">
        <v>44175</v>
      </c>
      <c r="O376" s="24"/>
      <c r="P376" s="24"/>
      <c r="Q376" s="64">
        <v>1105230000</v>
      </c>
      <c r="R376" s="64"/>
      <c r="S376" s="64"/>
      <c r="T376" s="64"/>
      <c r="U376" s="64"/>
      <c r="V376" s="121">
        <v>1105230000</v>
      </c>
      <c r="W376" s="122">
        <v>0</v>
      </c>
      <c r="X376" s="64">
        <v>1105230000</v>
      </c>
      <c r="Y376" s="121"/>
      <c r="Z376" s="121"/>
      <c r="AA376" s="128"/>
      <c r="AB376" s="121"/>
      <c r="AC376" s="64">
        <v>1105230000</v>
      </c>
      <c r="AD376" s="63">
        <v>44175</v>
      </c>
      <c r="AE376" s="65">
        <v>47095</v>
      </c>
      <c r="AF376" s="62">
        <v>8</v>
      </c>
      <c r="AG376" s="119">
        <v>96</v>
      </c>
      <c r="AH376" s="25">
        <v>11512812.5</v>
      </c>
      <c r="AI376" s="78">
        <v>422631646</v>
      </c>
      <c r="AJ376" s="78">
        <v>682598354</v>
      </c>
      <c r="AK376" s="27">
        <f t="shared" si="62"/>
        <v>11512812.5</v>
      </c>
      <c r="AL376" s="27">
        <f t="shared" si="64"/>
        <v>11512812.5</v>
      </c>
      <c r="AM376" s="27"/>
      <c r="AN376" s="27"/>
      <c r="AO376" s="27"/>
      <c r="AP376" s="27"/>
      <c r="AQ376" s="27"/>
      <c r="AR376" s="27"/>
      <c r="AS376" s="27"/>
      <c r="AT376" s="27"/>
      <c r="AU376" s="27"/>
      <c r="AV376" s="27"/>
      <c r="AW376" s="27">
        <f t="shared" si="57"/>
        <v>23025625</v>
      </c>
      <c r="AX376" s="79">
        <f t="shared" si="58"/>
        <v>659572729</v>
      </c>
      <c r="AY376" s="79">
        <f t="shared" si="59"/>
        <v>445657271</v>
      </c>
      <c r="AZ376" s="25">
        <v>1</v>
      </c>
      <c r="BA376" s="62" t="s">
        <v>97</v>
      </c>
      <c r="BB376" s="66">
        <v>1</v>
      </c>
      <c r="BC376" s="66"/>
      <c r="BD376" s="66"/>
      <c r="BE376" s="67">
        <f t="shared" si="63"/>
        <v>11512812.5</v>
      </c>
      <c r="BF376" s="67">
        <f t="shared" si="56"/>
        <v>0</v>
      </c>
      <c r="BG376" s="67">
        <f t="shared" si="55"/>
        <v>0</v>
      </c>
      <c r="BH376" s="66"/>
      <c r="BI376" s="68" t="s">
        <v>57</v>
      </c>
      <c r="BJ376" s="68" t="s">
        <v>58</v>
      </c>
      <c r="BK376" s="68" t="s">
        <v>59</v>
      </c>
      <c r="BL376" s="29"/>
      <c r="BO376" s="35" t="s">
        <v>1804</v>
      </c>
      <c r="BQ376" s="1" t="e">
        <v>#N/A</v>
      </c>
    </row>
    <row r="377" spans="1:69" ht="15" hidden="1" customHeight="1">
      <c r="A377" s="1" t="s">
        <v>43</v>
      </c>
      <c r="C377" s="1" t="str">
        <f t="shared" si="60"/>
        <v>2711</v>
      </c>
      <c r="D377" s="1" t="str">
        <f t="shared" si="61"/>
        <v>2012</v>
      </c>
      <c r="E377" s="19" t="s">
        <v>48</v>
      </c>
      <c r="F377" s="62" t="s">
        <v>515</v>
      </c>
      <c r="G377" s="62">
        <v>2112</v>
      </c>
      <c r="H377" s="62" t="s">
        <v>1032</v>
      </c>
      <c r="I377" s="62" t="s">
        <v>1033</v>
      </c>
      <c r="J377" s="118">
        <v>1</v>
      </c>
      <c r="K377" s="119" t="s">
        <v>271</v>
      </c>
      <c r="L377" s="62" t="s">
        <v>1027</v>
      </c>
      <c r="M377" s="120" t="s">
        <v>1034</v>
      </c>
      <c r="N377" s="63">
        <v>43802</v>
      </c>
      <c r="O377" s="24"/>
      <c r="P377" s="24"/>
      <c r="Q377" s="64">
        <v>681193976</v>
      </c>
      <c r="R377" s="64"/>
      <c r="S377" s="64"/>
      <c r="T377" s="64"/>
      <c r="U377" s="64"/>
      <c r="V377" s="121">
        <v>681193976</v>
      </c>
      <c r="W377" s="122">
        <v>0</v>
      </c>
      <c r="X377" s="64">
        <v>681193976</v>
      </c>
      <c r="Y377" s="121"/>
      <c r="Z377" s="121"/>
      <c r="AA377" s="128"/>
      <c r="AB377" s="121"/>
      <c r="AC377" s="64">
        <v>681193976</v>
      </c>
      <c r="AD377" s="65">
        <v>44166</v>
      </c>
      <c r="AE377" s="65">
        <v>46721</v>
      </c>
      <c r="AF377" s="62">
        <v>7</v>
      </c>
      <c r="AG377" s="119">
        <v>84</v>
      </c>
      <c r="AH377" s="25">
        <v>8109452.0952380951</v>
      </c>
      <c r="AI377" s="78">
        <v>300049724.95238096</v>
      </c>
      <c r="AJ377" s="78">
        <v>381144251.04761904</v>
      </c>
      <c r="AK377" s="27">
        <f t="shared" si="62"/>
        <v>8109452.0952380951</v>
      </c>
      <c r="AL377" s="27">
        <f t="shared" si="64"/>
        <v>8109452.0952380951</v>
      </c>
      <c r="AM377" s="27"/>
      <c r="AN377" s="27"/>
      <c r="AO377" s="27"/>
      <c r="AP377" s="27"/>
      <c r="AQ377" s="27"/>
      <c r="AR377" s="27"/>
      <c r="AS377" s="27"/>
      <c r="AT377" s="27"/>
      <c r="AU377" s="27"/>
      <c r="AV377" s="27"/>
      <c r="AW377" s="27">
        <f t="shared" si="57"/>
        <v>16218904.19047619</v>
      </c>
      <c r="AX377" s="79">
        <f t="shared" si="58"/>
        <v>364925346.85714287</v>
      </c>
      <c r="AY377" s="79">
        <f t="shared" si="59"/>
        <v>316268629.14285713</v>
      </c>
      <c r="AZ377" s="25">
        <v>1</v>
      </c>
      <c r="BA377" s="62" t="s">
        <v>97</v>
      </c>
      <c r="BB377" s="66">
        <v>1</v>
      </c>
      <c r="BC377" s="66"/>
      <c r="BD377" s="66"/>
      <c r="BE377" s="67">
        <f t="shared" si="63"/>
        <v>8109452.0952380951</v>
      </c>
      <c r="BF377" s="67">
        <f t="shared" si="56"/>
        <v>0</v>
      </c>
      <c r="BG377" s="67">
        <f t="shared" si="55"/>
        <v>0</v>
      </c>
      <c r="BH377" s="66"/>
      <c r="BI377" s="68" t="s">
        <v>871</v>
      </c>
      <c r="BJ377" s="68" t="s">
        <v>591</v>
      </c>
      <c r="BK377" s="68" t="s">
        <v>59</v>
      </c>
      <c r="BL377" s="29"/>
      <c r="BO377" s="35" t="s">
        <v>1799</v>
      </c>
      <c r="BQ377" s="1" t="e">
        <v>#N/A</v>
      </c>
    </row>
    <row r="378" spans="1:69" ht="15" hidden="1" customHeight="1">
      <c r="A378" s="1" t="s">
        <v>43</v>
      </c>
      <c r="C378" s="1" t="str">
        <f t="shared" si="60"/>
        <v>4512</v>
      </c>
      <c r="D378" s="1" t="str">
        <f t="shared" si="61"/>
        <v>2101</v>
      </c>
      <c r="E378" s="19" t="s">
        <v>48</v>
      </c>
      <c r="F378" s="62" t="s">
        <v>515</v>
      </c>
      <c r="G378" s="62">
        <v>2111</v>
      </c>
      <c r="H378" s="62" t="s">
        <v>1035</v>
      </c>
      <c r="I378" s="62" t="s">
        <v>1036</v>
      </c>
      <c r="J378" s="118">
        <v>1</v>
      </c>
      <c r="K378" s="119" t="s">
        <v>271</v>
      </c>
      <c r="L378" s="62" t="s">
        <v>62</v>
      </c>
      <c r="M378" s="120" t="s">
        <v>1037</v>
      </c>
      <c r="N378" s="63">
        <v>44196</v>
      </c>
      <c r="O378" s="24"/>
      <c r="P378" s="24"/>
      <c r="Q378" s="64">
        <v>18971000000</v>
      </c>
      <c r="R378" s="64"/>
      <c r="S378" s="64"/>
      <c r="T378" s="64"/>
      <c r="U378" s="64"/>
      <c r="V378" s="121">
        <v>18971000000</v>
      </c>
      <c r="W378" s="122">
        <v>0</v>
      </c>
      <c r="X378" s="64">
        <v>18971000000</v>
      </c>
      <c r="Y378" s="121"/>
      <c r="Z378" s="121"/>
      <c r="AA378" s="128"/>
      <c r="AB378" s="121"/>
      <c r="AC378" s="64">
        <v>18971000000</v>
      </c>
      <c r="AD378" s="65">
        <v>44197</v>
      </c>
      <c r="AE378" s="65">
        <v>53322</v>
      </c>
      <c r="AF378" s="62">
        <v>25</v>
      </c>
      <c r="AG378" s="119">
        <v>300</v>
      </c>
      <c r="AH378" s="25">
        <v>63236666.666666664</v>
      </c>
      <c r="AI378" s="78">
        <v>2276520008.6666665</v>
      </c>
      <c r="AJ378" s="78">
        <v>16694479991.333334</v>
      </c>
      <c r="AK378" s="27">
        <f t="shared" si="62"/>
        <v>63236666.666666664</v>
      </c>
      <c r="AL378" s="27">
        <f t="shared" si="64"/>
        <v>63236666.666666664</v>
      </c>
      <c r="AM378" s="27"/>
      <c r="AN378" s="27"/>
      <c r="AO378" s="27"/>
      <c r="AP378" s="27"/>
      <c r="AQ378" s="27"/>
      <c r="AR378" s="27"/>
      <c r="AS378" s="27"/>
      <c r="AT378" s="27"/>
      <c r="AU378" s="27"/>
      <c r="AV378" s="27"/>
      <c r="AW378" s="27">
        <f t="shared" si="57"/>
        <v>126473333.33333333</v>
      </c>
      <c r="AX378" s="79">
        <f t="shared" si="58"/>
        <v>16568006658</v>
      </c>
      <c r="AY378" s="79">
        <f t="shared" si="59"/>
        <v>2402993342</v>
      </c>
      <c r="AZ378" s="25">
        <v>1</v>
      </c>
      <c r="BA378" s="62" t="s">
        <v>56</v>
      </c>
      <c r="BB378" s="66">
        <v>1</v>
      </c>
      <c r="BC378" s="66"/>
      <c r="BD378" s="66"/>
      <c r="BE378" s="67">
        <f t="shared" si="63"/>
        <v>63236666.666666664</v>
      </c>
      <c r="BF378" s="67">
        <f t="shared" si="56"/>
        <v>0</v>
      </c>
      <c r="BG378" s="67">
        <f t="shared" si="55"/>
        <v>0</v>
      </c>
      <c r="BH378" s="66"/>
      <c r="BI378" s="68" t="s">
        <v>871</v>
      </c>
      <c r="BJ378" s="68" t="s">
        <v>591</v>
      </c>
      <c r="BK378" s="68" t="s">
        <v>59</v>
      </c>
      <c r="BL378" s="29"/>
      <c r="BO378" s="35" t="s">
        <v>1799</v>
      </c>
      <c r="BQ378" s="1" t="e">
        <v>#N/A</v>
      </c>
    </row>
    <row r="379" spans="1:69" ht="15" hidden="1" customHeight="1">
      <c r="A379" s="1" t="s">
        <v>43</v>
      </c>
      <c r="C379" s="1" t="str">
        <f t="shared" si="60"/>
        <v>4512</v>
      </c>
      <c r="D379" s="1" t="str">
        <f t="shared" si="61"/>
        <v>2101</v>
      </c>
      <c r="E379" s="19" t="s">
        <v>48</v>
      </c>
      <c r="F379" s="62" t="s">
        <v>515</v>
      </c>
      <c r="G379" s="62">
        <v>2111</v>
      </c>
      <c r="H379" s="62" t="s">
        <v>1038</v>
      </c>
      <c r="I379" s="62" t="s">
        <v>1039</v>
      </c>
      <c r="J379" s="118">
        <v>1</v>
      </c>
      <c r="K379" s="119" t="s">
        <v>271</v>
      </c>
      <c r="L379" s="62" t="s">
        <v>62</v>
      </c>
      <c r="M379" s="120" t="s">
        <v>1040</v>
      </c>
      <c r="N379" s="63">
        <v>44196</v>
      </c>
      <c r="O379" s="24"/>
      <c r="P379" s="24"/>
      <c r="Q379" s="64">
        <v>4575000000</v>
      </c>
      <c r="R379" s="64"/>
      <c r="S379" s="64"/>
      <c r="T379" s="64"/>
      <c r="U379" s="64"/>
      <c r="V379" s="121">
        <v>4575000000</v>
      </c>
      <c r="W379" s="122">
        <v>0</v>
      </c>
      <c r="X379" s="64">
        <v>4575000000</v>
      </c>
      <c r="Y379" s="121"/>
      <c r="Z379" s="121"/>
      <c r="AA379" s="128"/>
      <c r="AB379" s="121"/>
      <c r="AC379" s="64">
        <v>4575000000</v>
      </c>
      <c r="AD379" s="65">
        <v>44197</v>
      </c>
      <c r="AE379" s="65">
        <v>53322</v>
      </c>
      <c r="AF379" s="62">
        <v>25</v>
      </c>
      <c r="AG379" s="119">
        <v>300</v>
      </c>
      <c r="AH379" s="25">
        <v>15250000</v>
      </c>
      <c r="AI379" s="78">
        <v>549000000</v>
      </c>
      <c r="AJ379" s="78">
        <v>4026000000</v>
      </c>
      <c r="AK379" s="27">
        <f t="shared" si="62"/>
        <v>15250000</v>
      </c>
      <c r="AL379" s="27">
        <f t="shared" si="64"/>
        <v>15250000</v>
      </c>
      <c r="AM379" s="27"/>
      <c r="AN379" s="27"/>
      <c r="AO379" s="27"/>
      <c r="AP379" s="27"/>
      <c r="AQ379" s="27"/>
      <c r="AR379" s="27"/>
      <c r="AS379" s="27"/>
      <c r="AT379" s="27"/>
      <c r="AU379" s="27"/>
      <c r="AV379" s="27"/>
      <c r="AW379" s="27">
        <f t="shared" si="57"/>
        <v>30500000</v>
      </c>
      <c r="AX379" s="79">
        <f t="shared" si="58"/>
        <v>3995500000</v>
      </c>
      <c r="AY379" s="79">
        <f t="shared" si="59"/>
        <v>579500000</v>
      </c>
      <c r="AZ379" s="25">
        <v>1</v>
      </c>
      <c r="BA379" s="62" t="s">
        <v>56</v>
      </c>
      <c r="BB379" s="66">
        <v>1</v>
      </c>
      <c r="BC379" s="66"/>
      <c r="BD379" s="66"/>
      <c r="BE379" s="67">
        <f t="shared" si="63"/>
        <v>15250000</v>
      </c>
      <c r="BF379" s="67">
        <f t="shared" si="56"/>
        <v>0</v>
      </c>
      <c r="BG379" s="67">
        <f t="shared" si="55"/>
        <v>0</v>
      </c>
      <c r="BH379" s="66"/>
      <c r="BI379" s="68" t="s">
        <v>871</v>
      </c>
      <c r="BJ379" s="68" t="s">
        <v>591</v>
      </c>
      <c r="BK379" s="68" t="s">
        <v>59</v>
      </c>
      <c r="BL379" s="29"/>
      <c r="BO379" s="35" t="s">
        <v>1799</v>
      </c>
      <c r="BQ379" s="1" t="e">
        <v>#N/A</v>
      </c>
    </row>
    <row r="380" spans="1:69" ht="15" hidden="1" customHeight="1">
      <c r="A380" s="1" t="s">
        <v>43</v>
      </c>
      <c r="C380" s="1" t="str">
        <f t="shared" si="60"/>
        <v>3512</v>
      </c>
      <c r="D380" s="1" t="str">
        <f t="shared" si="61"/>
        <v>2101</v>
      </c>
      <c r="E380" s="19" t="s">
        <v>48</v>
      </c>
      <c r="F380" s="62" t="s">
        <v>49</v>
      </c>
      <c r="G380" s="62">
        <v>2111</v>
      </c>
      <c r="H380" s="62" t="s">
        <v>1041</v>
      </c>
      <c r="I380" s="62" t="s">
        <v>1042</v>
      </c>
      <c r="J380" s="118">
        <v>1</v>
      </c>
      <c r="K380" s="119" t="s">
        <v>271</v>
      </c>
      <c r="L380" s="62" t="s">
        <v>62</v>
      </c>
      <c r="M380" s="120" t="s">
        <v>1043</v>
      </c>
      <c r="N380" s="63">
        <v>44196</v>
      </c>
      <c r="O380" s="24"/>
      <c r="P380" s="24"/>
      <c r="Q380" s="64">
        <v>463000000</v>
      </c>
      <c r="R380" s="64"/>
      <c r="S380" s="64"/>
      <c r="T380" s="64"/>
      <c r="U380" s="64"/>
      <c r="V380" s="121">
        <v>463000000</v>
      </c>
      <c r="W380" s="122">
        <v>0</v>
      </c>
      <c r="X380" s="64">
        <v>463000000</v>
      </c>
      <c r="Y380" s="121"/>
      <c r="Z380" s="121"/>
      <c r="AA380" s="128"/>
      <c r="AB380" s="121"/>
      <c r="AC380" s="64">
        <v>463000000</v>
      </c>
      <c r="AD380" s="65">
        <v>44197</v>
      </c>
      <c r="AE380" s="65">
        <v>49672</v>
      </c>
      <c r="AF380" s="62">
        <v>15</v>
      </c>
      <c r="AG380" s="119">
        <v>180</v>
      </c>
      <c r="AH380" s="25">
        <v>2572222.222222222</v>
      </c>
      <c r="AI380" s="78">
        <v>92599994.222222239</v>
      </c>
      <c r="AJ380" s="78">
        <v>370400005.77777779</v>
      </c>
      <c r="AK380" s="27">
        <f t="shared" si="62"/>
        <v>2572222.222222222</v>
      </c>
      <c r="AL380" s="27">
        <f t="shared" si="64"/>
        <v>2572222.222222222</v>
      </c>
      <c r="AM380" s="27"/>
      <c r="AN380" s="27"/>
      <c r="AO380" s="27"/>
      <c r="AP380" s="27"/>
      <c r="AQ380" s="27"/>
      <c r="AR380" s="27"/>
      <c r="AS380" s="27"/>
      <c r="AT380" s="27"/>
      <c r="AU380" s="27"/>
      <c r="AV380" s="27"/>
      <c r="AW380" s="27">
        <f t="shared" si="57"/>
        <v>5144444.444444444</v>
      </c>
      <c r="AX380" s="79">
        <f t="shared" si="58"/>
        <v>365255561.33333337</v>
      </c>
      <c r="AY380" s="79">
        <f t="shared" si="59"/>
        <v>97744438.666666687</v>
      </c>
      <c r="AZ380" s="25">
        <v>1</v>
      </c>
      <c r="BA380" s="62" t="s">
        <v>56</v>
      </c>
      <c r="BB380" s="66">
        <v>1</v>
      </c>
      <c r="BC380" s="66"/>
      <c r="BD380" s="66"/>
      <c r="BE380" s="67">
        <f t="shared" si="63"/>
        <v>2572222.222222222</v>
      </c>
      <c r="BF380" s="67">
        <f t="shared" si="56"/>
        <v>0</v>
      </c>
      <c r="BG380" s="67">
        <f t="shared" si="55"/>
        <v>0</v>
      </c>
      <c r="BH380" s="66"/>
      <c r="BI380" s="68" t="s">
        <v>57</v>
      </c>
      <c r="BJ380" s="68" t="s">
        <v>58</v>
      </c>
      <c r="BK380" s="68" t="s">
        <v>59</v>
      </c>
      <c r="BL380" s="29"/>
      <c r="BO380" s="35" t="s">
        <v>1799</v>
      </c>
      <c r="BQ380" s="1" t="e">
        <v>#N/A</v>
      </c>
    </row>
    <row r="381" spans="1:69" ht="15" hidden="1" customHeight="1">
      <c r="A381" s="1" t="s">
        <v>43</v>
      </c>
      <c r="C381" s="1" t="str">
        <f t="shared" si="60"/>
        <v>4512</v>
      </c>
      <c r="D381" s="1" t="str">
        <f t="shared" si="61"/>
        <v>2101</v>
      </c>
      <c r="E381" s="19" t="s">
        <v>48</v>
      </c>
      <c r="F381" s="62" t="s">
        <v>49</v>
      </c>
      <c r="G381" s="62">
        <v>2111</v>
      </c>
      <c r="H381" s="62" t="s">
        <v>1044</v>
      </c>
      <c r="I381" s="62" t="s">
        <v>1045</v>
      </c>
      <c r="J381" s="118">
        <v>1</v>
      </c>
      <c r="K381" s="119" t="s">
        <v>271</v>
      </c>
      <c r="L381" s="62" t="s">
        <v>62</v>
      </c>
      <c r="M381" s="120" t="s">
        <v>1046</v>
      </c>
      <c r="N381" s="63">
        <v>44196</v>
      </c>
      <c r="O381" s="24"/>
      <c r="P381" s="24"/>
      <c r="Q381" s="64">
        <v>2000000000</v>
      </c>
      <c r="R381" s="64"/>
      <c r="S381" s="64"/>
      <c r="T381" s="64"/>
      <c r="U381" s="64"/>
      <c r="V381" s="121">
        <v>2000000000</v>
      </c>
      <c r="W381" s="122">
        <v>0</v>
      </c>
      <c r="X381" s="64">
        <v>2000000000</v>
      </c>
      <c r="Y381" s="121"/>
      <c r="Z381" s="121"/>
      <c r="AA381" s="128"/>
      <c r="AB381" s="121"/>
      <c r="AC381" s="64">
        <v>2000000000</v>
      </c>
      <c r="AD381" s="65">
        <v>44197</v>
      </c>
      <c r="AE381" s="65">
        <v>53322</v>
      </c>
      <c r="AF381" s="62">
        <v>25</v>
      </c>
      <c r="AG381" s="119">
        <v>300</v>
      </c>
      <c r="AH381" s="25">
        <v>6666666.666666667</v>
      </c>
      <c r="AI381" s="78">
        <v>240000008.66666669</v>
      </c>
      <c r="AJ381" s="78">
        <v>1759999991.3333333</v>
      </c>
      <c r="AK381" s="27">
        <f t="shared" si="62"/>
        <v>6666666.666666667</v>
      </c>
      <c r="AL381" s="27">
        <f t="shared" si="64"/>
        <v>6666666.666666667</v>
      </c>
      <c r="AM381" s="27"/>
      <c r="AN381" s="27"/>
      <c r="AO381" s="27"/>
      <c r="AP381" s="27"/>
      <c r="AQ381" s="27"/>
      <c r="AR381" s="27"/>
      <c r="AS381" s="27"/>
      <c r="AT381" s="27"/>
      <c r="AU381" s="27"/>
      <c r="AV381" s="27"/>
      <c r="AW381" s="27">
        <f t="shared" si="57"/>
        <v>13333333.333333334</v>
      </c>
      <c r="AX381" s="79">
        <f t="shared" si="58"/>
        <v>1746666658</v>
      </c>
      <c r="AY381" s="79">
        <f t="shared" si="59"/>
        <v>253333342.00000003</v>
      </c>
      <c r="AZ381" s="25">
        <v>1</v>
      </c>
      <c r="BA381" s="62" t="s">
        <v>56</v>
      </c>
      <c r="BB381" s="66">
        <v>1</v>
      </c>
      <c r="BC381" s="66"/>
      <c r="BD381" s="66"/>
      <c r="BE381" s="67">
        <f t="shared" si="63"/>
        <v>6666666.666666667</v>
      </c>
      <c r="BF381" s="67">
        <f t="shared" si="56"/>
        <v>0</v>
      </c>
      <c r="BG381" s="67">
        <f t="shared" si="55"/>
        <v>0</v>
      </c>
      <c r="BH381" s="66"/>
      <c r="BI381" s="68" t="s">
        <v>135</v>
      </c>
      <c r="BJ381" s="68" t="s">
        <v>58</v>
      </c>
      <c r="BK381" s="68" t="s">
        <v>59</v>
      </c>
      <c r="BL381" s="29"/>
      <c r="BO381" s="35" t="s">
        <v>1799</v>
      </c>
      <c r="BQ381" s="1" t="e">
        <v>#N/A</v>
      </c>
    </row>
    <row r="382" spans="1:69" ht="15" hidden="1" customHeight="1">
      <c r="A382" s="1" t="s">
        <v>43</v>
      </c>
      <c r="C382" s="1" t="str">
        <f t="shared" si="60"/>
        <v>2512</v>
      </c>
      <c r="D382" s="1" t="str">
        <f t="shared" si="61"/>
        <v>2012</v>
      </c>
      <c r="E382" s="19" t="s">
        <v>48</v>
      </c>
      <c r="F382" s="62" t="s">
        <v>515</v>
      </c>
      <c r="G382" s="62">
        <v>2112</v>
      </c>
      <c r="H382" s="62" t="s">
        <v>1047</v>
      </c>
      <c r="I382" s="62" t="s">
        <v>1048</v>
      </c>
      <c r="J382" s="118">
        <v>1</v>
      </c>
      <c r="K382" s="119" t="s">
        <v>271</v>
      </c>
      <c r="L382" s="62" t="s">
        <v>911</v>
      </c>
      <c r="M382" s="120" t="s">
        <v>1049</v>
      </c>
      <c r="N382" s="63">
        <v>44177</v>
      </c>
      <c r="O382" s="24"/>
      <c r="P382" s="24"/>
      <c r="Q382" s="64">
        <v>58000000</v>
      </c>
      <c r="R382" s="64"/>
      <c r="S382" s="64"/>
      <c r="T382" s="64"/>
      <c r="U382" s="64"/>
      <c r="V382" s="121">
        <v>58000000</v>
      </c>
      <c r="W382" s="122">
        <v>0</v>
      </c>
      <c r="X382" s="64">
        <v>58000000</v>
      </c>
      <c r="Y382" s="121"/>
      <c r="Z382" s="121"/>
      <c r="AA382" s="128"/>
      <c r="AB382" s="121"/>
      <c r="AC382" s="64">
        <v>58000000</v>
      </c>
      <c r="AD382" s="63">
        <v>44177</v>
      </c>
      <c r="AE382" s="65">
        <v>46002</v>
      </c>
      <c r="AF382" s="62">
        <v>5</v>
      </c>
      <c r="AG382" s="119">
        <v>60</v>
      </c>
      <c r="AH382" s="25">
        <v>966666.66666666663</v>
      </c>
      <c r="AI382" s="78">
        <v>35423664.666666664</v>
      </c>
      <c r="AJ382" s="78">
        <v>22576335.333333336</v>
      </c>
      <c r="AK382" s="27">
        <f t="shared" si="62"/>
        <v>966666.66666666663</v>
      </c>
      <c r="AL382" s="27">
        <f t="shared" si="64"/>
        <v>966666.66666666663</v>
      </c>
      <c r="AM382" s="27"/>
      <c r="AN382" s="27"/>
      <c r="AO382" s="27"/>
      <c r="AP382" s="27"/>
      <c r="AQ382" s="27"/>
      <c r="AR382" s="27"/>
      <c r="AS382" s="27"/>
      <c r="AT382" s="27"/>
      <c r="AU382" s="27"/>
      <c r="AV382" s="27"/>
      <c r="AW382" s="27">
        <f t="shared" si="57"/>
        <v>1933333.3333333333</v>
      </c>
      <c r="AX382" s="79">
        <f t="shared" si="58"/>
        <v>20643002.000000004</v>
      </c>
      <c r="AY382" s="79">
        <f t="shared" si="59"/>
        <v>37356998</v>
      </c>
      <c r="AZ382" s="25">
        <v>1</v>
      </c>
      <c r="BA382" s="62" t="s">
        <v>97</v>
      </c>
      <c r="BB382" s="66">
        <v>1</v>
      </c>
      <c r="BC382" s="66"/>
      <c r="BD382" s="66"/>
      <c r="BE382" s="67">
        <f t="shared" si="63"/>
        <v>966666.66666666663</v>
      </c>
      <c r="BF382" s="67">
        <f t="shared" si="56"/>
        <v>0</v>
      </c>
      <c r="BG382" s="67">
        <f t="shared" si="55"/>
        <v>0</v>
      </c>
      <c r="BH382" s="66"/>
      <c r="BI382" s="68" t="s">
        <v>1050</v>
      </c>
      <c r="BJ382" s="68" t="s">
        <v>349</v>
      </c>
      <c r="BK382" s="68" t="s">
        <v>349</v>
      </c>
      <c r="BL382" s="29"/>
      <c r="BO382" s="35" t="s">
        <v>1802</v>
      </c>
      <c r="BQ382" s="1" t="e">
        <v>#N/A</v>
      </c>
    </row>
    <row r="383" spans="1:69" ht="15" hidden="1" customHeight="1">
      <c r="A383" s="1" t="s">
        <v>43</v>
      </c>
      <c r="C383" s="1" t="str">
        <f t="shared" si="60"/>
        <v>2512</v>
      </c>
      <c r="D383" s="1" t="str">
        <f t="shared" si="61"/>
        <v>2012</v>
      </c>
      <c r="E383" s="19" t="s">
        <v>48</v>
      </c>
      <c r="F383" s="62" t="s">
        <v>49</v>
      </c>
      <c r="G383" s="62">
        <v>2114</v>
      </c>
      <c r="H383" s="62" t="s">
        <v>1051</v>
      </c>
      <c r="I383" s="62" t="s">
        <v>1052</v>
      </c>
      <c r="J383" s="118">
        <v>1</v>
      </c>
      <c r="K383" s="119" t="s">
        <v>271</v>
      </c>
      <c r="L383" s="62" t="s">
        <v>1053</v>
      </c>
      <c r="M383" s="120" t="s">
        <v>1054</v>
      </c>
      <c r="N383" s="63">
        <v>44195</v>
      </c>
      <c r="O383" s="24"/>
      <c r="P383" s="24"/>
      <c r="Q383" s="64">
        <v>74428680</v>
      </c>
      <c r="R383" s="64"/>
      <c r="S383" s="64"/>
      <c r="T383" s="64"/>
      <c r="U383" s="64"/>
      <c r="V383" s="121">
        <v>74428680</v>
      </c>
      <c r="W383" s="122">
        <v>0</v>
      </c>
      <c r="X383" s="64">
        <v>74428680</v>
      </c>
      <c r="Y383" s="121"/>
      <c r="Z383" s="121"/>
      <c r="AA383" s="128"/>
      <c r="AB383" s="121"/>
      <c r="AC383" s="64">
        <v>74428680</v>
      </c>
      <c r="AD383" s="63">
        <v>44195</v>
      </c>
      <c r="AE383" s="65">
        <v>46020</v>
      </c>
      <c r="AF383" s="62">
        <v>5</v>
      </c>
      <c r="AG383" s="119">
        <v>60</v>
      </c>
      <c r="AH383" s="25">
        <v>1240478</v>
      </c>
      <c r="AI383" s="78">
        <v>44737239</v>
      </c>
      <c r="AJ383" s="78">
        <v>29691441</v>
      </c>
      <c r="AK383" s="27">
        <f t="shared" si="62"/>
        <v>1240478</v>
      </c>
      <c r="AL383" s="27">
        <f t="shared" si="64"/>
        <v>1240478</v>
      </c>
      <c r="AM383" s="27"/>
      <c r="AN383" s="27"/>
      <c r="AO383" s="27"/>
      <c r="AP383" s="27"/>
      <c r="AQ383" s="27"/>
      <c r="AR383" s="27"/>
      <c r="AS383" s="27"/>
      <c r="AT383" s="27"/>
      <c r="AU383" s="27"/>
      <c r="AV383" s="27"/>
      <c r="AW383" s="27">
        <f t="shared" si="57"/>
        <v>2480956</v>
      </c>
      <c r="AX383" s="79">
        <f t="shared" si="58"/>
        <v>27210485</v>
      </c>
      <c r="AY383" s="79">
        <f t="shared" si="59"/>
        <v>47218195</v>
      </c>
      <c r="AZ383" s="25">
        <v>1</v>
      </c>
      <c r="BA383" s="62" t="s">
        <v>79</v>
      </c>
      <c r="BB383" s="66">
        <v>1</v>
      </c>
      <c r="BC383" s="66"/>
      <c r="BD383" s="66"/>
      <c r="BE383" s="67">
        <f t="shared" si="63"/>
        <v>1240478</v>
      </c>
      <c r="BF383" s="67">
        <f t="shared" si="56"/>
        <v>0</v>
      </c>
      <c r="BG383" s="67">
        <f t="shared" si="55"/>
        <v>0</v>
      </c>
      <c r="BH383" s="66"/>
      <c r="BI383" s="68" t="s">
        <v>57</v>
      </c>
      <c r="BJ383" s="68" t="s">
        <v>58</v>
      </c>
      <c r="BK383" s="68" t="s">
        <v>59</v>
      </c>
      <c r="BL383" s="29"/>
      <c r="BO383" s="35" t="s">
        <v>1804</v>
      </c>
      <c r="BQ383" s="1" t="e">
        <v>#N/A</v>
      </c>
    </row>
    <row r="384" spans="1:69" ht="15" hidden="1" customHeight="1">
      <c r="A384" s="1" t="s">
        <v>43</v>
      </c>
      <c r="C384" s="1" t="str">
        <f t="shared" si="60"/>
        <v>3512</v>
      </c>
      <c r="D384" s="1" t="str">
        <f t="shared" si="61"/>
        <v>2101</v>
      </c>
      <c r="E384" s="19" t="s">
        <v>48</v>
      </c>
      <c r="F384" s="62" t="s">
        <v>49</v>
      </c>
      <c r="G384" s="62">
        <v>2111</v>
      </c>
      <c r="H384" s="62" t="s">
        <v>1055</v>
      </c>
      <c r="I384" s="62" t="s">
        <v>1056</v>
      </c>
      <c r="J384" s="118">
        <v>1</v>
      </c>
      <c r="K384" s="119" t="s">
        <v>271</v>
      </c>
      <c r="L384" s="62" t="s">
        <v>1057</v>
      </c>
      <c r="M384" s="120" t="s">
        <v>1058</v>
      </c>
      <c r="N384" s="63">
        <v>44196</v>
      </c>
      <c r="O384" s="24"/>
      <c r="P384" s="24"/>
      <c r="Q384" s="64">
        <v>2000000000</v>
      </c>
      <c r="R384" s="64"/>
      <c r="S384" s="64"/>
      <c r="T384" s="64"/>
      <c r="U384" s="64"/>
      <c r="V384" s="121">
        <v>2000000000</v>
      </c>
      <c r="W384" s="122">
        <v>0</v>
      </c>
      <c r="X384" s="64">
        <v>2000000000</v>
      </c>
      <c r="Y384" s="121"/>
      <c r="Z384" s="121"/>
      <c r="AA384" s="128"/>
      <c r="AB384" s="121"/>
      <c r="AC384" s="64">
        <v>2000000000</v>
      </c>
      <c r="AD384" s="65">
        <v>44197</v>
      </c>
      <c r="AE384" s="65">
        <v>49672</v>
      </c>
      <c r="AF384" s="62">
        <v>15</v>
      </c>
      <c r="AG384" s="119">
        <v>180</v>
      </c>
      <c r="AH384" s="25">
        <v>11111111.111111112</v>
      </c>
      <c r="AI384" s="78">
        <v>399999997.11111104</v>
      </c>
      <c r="AJ384" s="78">
        <v>1600000002.8888888</v>
      </c>
      <c r="AK384" s="27">
        <f t="shared" si="62"/>
        <v>11111111.111111112</v>
      </c>
      <c r="AL384" s="27">
        <f t="shared" si="64"/>
        <v>11111111.111111112</v>
      </c>
      <c r="AM384" s="27"/>
      <c r="AN384" s="27"/>
      <c r="AO384" s="27"/>
      <c r="AP384" s="27"/>
      <c r="AQ384" s="27"/>
      <c r="AR384" s="27"/>
      <c r="AS384" s="27"/>
      <c r="AT384" s="27"/>
      <c r="AU384" s="27"/>
      <c r="AV384" s="27"/>
      <c r="AW384" s="27">
        <f t="shared" si="57"/>
        <v>22222222.222222224</v>
      </c>
      <c r="AX384" s="79">
        <f t="shared" si="58"/>
        <v>1577777780.6666665</v>
      </c>
      <c r="AY384" s="79">
        <f t="shared" si="59"/>
        <v>422222219.33333325</v>
      </c>
      <c r="AZ384" s="25">
        <v>1</v>
      </c>
      <c r="BA384" s="62" t="s">
        <v>56</v>
      </c>
      <c r="BB384" s="66">
        <v>1</v>
      </c>
      <c r="BC384" s="66"/>
      <c r="BD384" s="66"/>
      <c r="BE384" s="67">
        <f t="shared" si="63"/>
        <v>11111111.111111112</v>
      </c>
      <c r="BF384" s="67">
        <f t="shared" si="56"/>
        <v>0</v>
      </c>
      <c r="BG384" s="67">
        <f t="shared" si="55"/>
        <v>0</v>
      </c>
      <c r="BH384" s="66"/>
      <c r="BI384" s="68" t="s">
        <v>57</v>
      </c>
      <c r="BJ384" s="68" t="s">
        <v>591</v>
      </c>
      <c r="BK384" s="68" t="s">
        <v>59</v>
      </c>
      <c r="BL384" s="29"/>
      <c r="BO384" s="35" t="s">
        <v>1799</v>
      </c>
      <c r="BQ384" s="1" t="e">
        <v>#N/A</v>
      </c>
    </row>
    <row r="385" spans="1:69" ht="15" hidden="1" customHeight="1">
      <c r="A385" s="1" t="s">
        <v>43</v>
      </c>
      <c r="C385" s="1" t="str">
        <f t="shared" si="60"/>
        <v>2903</v>
      </c>
      <c r="D385" s="1" t="str">
        <f t="shared" si="61"/>
        <v>2103</v>
      </c>
      <c r="E385" s="19" t="s">
        <v>48</v>
      </c>
      <c r="F385" s="62" t="s">
        <v>49</v>
      </c>
      <c r="G385" s="62">
        <v>2112</v>
      </c>
      <c r="H385" s="62" t="s">
        <v>1059</v>
      </c>
      <c r="I385" s="62" t="s">
        <v>1060</v>
      </c>
      <c r="J385" s="118">
        <v>1</v>
      </c>
      <c r="K385" s="119" t="s">
        <v>271</v>
      </c>
      <c r="L385" s="62" t="s">
        <v>77</v>
      </c>
      <c r="M385" s="120" t="s">
        <v>1061</v>
      </c>
      <c r="N385" s="63">
        <v>44229</v>
      </c>
      <c r="O385" s="24">
        <v>14000</v>
      </c>
      <c r="P385" s="24">
        <v>23176</v>
      </c>
      <c r="Q385" s="64">
        <v>324464000</v>
      </c>
      <c r="R385" s="64"/>
      <c r="S385" s="64"/>
      <c r="T385" s="64">
        <v>12943357</v>
      </c>
      <c r="U385" s="64" t="s">
        <v>1062</v>
      </c>
      <c r="V385" s="121">
        <v>337407357</v>
      </c>
      <c r="W385" s="122">
        <v>0</v>
      </c>
      <c r="X385" s="64">
        <v>337407357</v>
      </c>
      <c r="Y385" s="121"/>
      <c r="Z385" s="121"/>
      <c r="AA385" s="128"/>
      <c r="AB385" s="121"/>
      <c r="AC385" s="64">
        <v>337407357</v>
      </c>
      <c r="AD385" s="65">
        <v>44280</v>
      </c>
      <c r="AE385" s="65">
        <v>47200</v>
      </c>
      <c r="AF385" s="62">
        <v>8</v>
      </c>
      <c r="AG385" s="119">
        <v>96</v>
      </c>
      <c r="AH385" s="25">
        <v>3514659.96875</v>
      </c>
      <c r="AI385" s="78">
        <v>116777412.59072578</v>
      </c>
      <c r="AJ385" s="78">
        <v>220629944.40927422</v>
      </c>
      <c r="AK385" s="27">
        <f t="shared" si="62"/>
        <v>3514659.96875</v>
      </c>
      <c r="AL385" s="27">
        <f t="shared" si="64"/>
        <v>3514659.96875</v>
      </c>
      <c r="AM385" s="27"/>
      <c r="AN385" s="27"/>
      <c r="AO385" s="27"/>
      <c r="AP385" s="27"/>
      <c r="AQ385" s="27"/>
      <c r="AR385" s="27"/>
      <c r="AS385" s="27"/>
      <c r="AT385" s="27"/>
      <c r="AU385" s="27"/>
      <c r="AV385" s="27"/>
      <c r="AW385" s="27">
        <f t="shared" si="57"/>
        <v>7029319.9375</v>
      </c>
      <c r="AX385" s="79">
        <f t="shared" si="58"/>
        <v>213600624.47177422</v>
      </c>
      <c r="AY385" s="79">
        <f t="shared" si="59"/>
        <v>123806732.52822578</v>
      </c>
      <c r="AZ385" s="25">
        <v>1</v>
      </c>
      <c r="BA385" s="62" t="s">
        <v>97</v>
      </c>
      <c r="BB385" s="66">
        <v>1</v>
      </c>
      <c r="BC385" s="66"/>
      <c r="BD385" s="66"/>
      <c r="BE385" s="67">
        <f t="shared" si="63"/>
        <v>3514659.96875</v>
      </c>
      <c r="BF385" s="67">
        <f t="shared" si="56"/>
        <v>0</v>
      </c>
      <c r="BG385" s="67">
        <f t="shared" si="55"/>
        <v>0</v>
      </c>
      <c r="BH385" s="66"/>
      <c r="BI385" s="68" t="s">
        <v>183</v>
      </c>
      <c r="BJ385" s="68" t="s">
        <v>624</v>
      </c>
      <c r="BK385" s="68" t="s">
        <v>624</v>
      </c>
      <c r="BL385" s="29"/>
      <c r="BO385" s="35" t="s">
        <v>1804</v>
      </c>
      <c r="BQ385" s="1" t="s">
        <v>1989</v>
      </c>
    </row>
    <row r="386" spans="1:69" ht="15" hidden="1" customHeight="1">
      <c r="A386" s="1" t="s">
        <v>43</v>
      </c>
      <c r="C386" s="1" t="str">
        <f t="shared" si="60"/>
        <v>2903</v>
      </c>
      <c r="D386" s="1" t="str">
        <f t="shared" si="61"/>
        <v>2103</v>
      </c>
      <c r="E386" s="19" t="s">
        <v>48</v>
      </c>
      <c r="F386" s="62" t="s">
        <v>49</v>
      </c>
      <c r="G386" s="62">
        <v>2112</v>
      </c>
      <c r="H386" s="62" t="s">
        <v>1063</v>
      </c>
      <c r="I386" s="62" t="s">
        <v>1064</v>
      </c>
      <c r="J386" s="118">
        <v>1</v>
      </c>
      <c r="K386" s="119" t="s">
        <v>271</v>
      </c>
      <c r="L386" s="62" t="s">
        <v>77</v>
      </c>
      <c r="M386" s="120" t="s">
        <v>1061</v>
      </c>
      <c r="N386" s="63">
        <v>44229</v>
      </c>
      <c r="O386" s="24">
        <v>14000</v>
      </c>
      <c r="P386" s="24">
        <v>23176</v>
      </c>
      <c r="Q386" s="64">
        <v>324464000</v>
      </c>
      <c r="R386" s="64"/>
      <c r="S386" s="64"/>
      <c r="T386" s="64">
        <v>12943357</v>
      </c>
      <c r="U386" s="64" t="s">
        <v>1062</v>
      </c>
      <c r="V386" s="121">
        <v>337407357</v>
      </c>
      <c r="W386" s="122">
        <v>0</v>
      </c>
      <c r="X386" s="64">
        <v>337407357</v>
      </c>
      <c r="Y386" s="121"/>
      <c r="Z386" s="121"/>
      <c r="AA386" s="128"/>
      <c r="AB386" s="121"/>
      <c r="AC386" s="64">
        <v>337407357</v>
      </c>
      <c r="AD386" s="65">
        <v>44280</v>
      </c>
      <c r="AE386" s="65">
        <v>47200</v>
      </c>
      <c r="AF386" s="62">
        <v>8</v>
      </c>
      <c r="AG386" s="119">
        <v>96</v>
      </c>
      <c r="AH386" s="25">
        <v>3514659.96875</v>
      </c>
      <c r="AI386" s="78">
        <v>116777412.59072578</v>
      </c>
      <c r="AJ386" s="78">
        <v>220629944.40927422</v>
      </c>
      <c r="AK386" s="27">
        <f t="shared" si="62"/>
        <v>3514659.96875</v>
      </c>
      <c r="AL386" s="27">
        <f t="shared" si="64"/>
        <v>3514659.96875</v>
      </c>
      <c r="AM386" s="27"/>
      <c r="AN386" s="27"/>
      <c r="AO386" s="27"/>
      <c r="AP386" s="27"/>
      <c r="AQ386" s="27"/>
      <c r="AR386" s="27"/>
      <c r="AS386" s="27"/>
      <c r="AT386" s="27"/>
      <c r="AU386" s="27"/>
      <c r="AV386" s="27"/>
      <c r="AW386" s="27">
        <f t="shared" si="57"/>
        <v>7029319.9375</v>
      </c>
      <c r="AX386" s="79">
        <f t="shared" si="58"/>
        <v>213600624.47177422</v>
      </c>
      <c r="AY386" s="79">
        <f t="shared" si="59"/>
        <v>123806732.52822578</v>
      </c>
      <c r="AZ386" s="25">
        <v>1</v>
      </c>
      <c r="BA386" s="62" t="s">
        <v>97</v>
      </c>
      <c r="BB386" s="66">
        <v>1</v>
      </c>
      <c r="BC386" s="66"/>
      <c r="BD386" s="66"/>
      <c r="BE386" s="67">
        <f t="shared" si="63"/>
        <v>3514659.96875</v>
      </c>
      <c r="BF386" s="67">
        <f t="shared" si="56"/>
        <v>0</v>
      </c>
      <c r="BG386" s="67">
        <f t="shared" si="55"/>
        <v>0</v>
      </c>
      <c r="BH386" s="66"/>
      <c r="BI386" s="68" t="s">
        <v>183</v>
      </c>
      <c r="BJ386" s="68" t="s">
        <v>624</v>
      </c>
      <c r="BK386" s="68" t="s">
        <v>624</v>
      </c>
      <c r="BL386" s="29"/>
      <c r="BO386" s="35" t="s">
        <v>1804</v>
      </c>
      <c r="BQ386" s="1" t="s">
        <v>1989</v>
      </c>
    </row>
    <row r="387" spans="1:69" ht="15" hidden="1" customHeight="1">
      <c r="A387" s="1" t="s">
        <v>43</v>
      </c>
      <c r="C387" s="1" t="str">
        <f t="shared" si="60"/>
        <v>2903</v>
      </c>
      <c r="D387" s="1" t="str">
        <f t="shared" si="61"/>
        <v>2103</v>
      </c>
      <c r="E387" s="19" t="s">
        <v>48</v>
      </c>
      <c r="F387" s="62" t="s">
        <v>49</v>
      </c>
      <c r="G387" s="62">
        <v>2112</v>
      </c>
      <c r="H387" s="62" t="s">
        <v>1065</v>
      </c>
      <c r="I387" s="62" t="s">
        <v>1066</v>
      </c>
      <c r="J387" s="118">
        <v>1</v>
      </c>
      <c r="K387" s="119" t="s">
        <v>271</v>
      </c>
      <c r="L387" s="62" t="s">
        <v>77</v>
      </c>
      <c r="M387" s="120" t="s">
        <v>1061</v>
      </c>
      <c r="N387" s="63">
        <v>44229</v>
      </c>
      <c r="O387" s="24">
        <v>13500</v>
      </c>
      <c r="P387" s="24">
        <v>23176</v>
      </c>
      <c r="Q387" s="64">
        <v>312876000</v>
      </c>
      <c r="R387" s="64"/>
      <c r="S387" s="64"/>
      <c r="T387" s="64">
        <v>12481095</v>
      </c>
      <c r="U387" s="64" t="s">
        <v>1062</v>
      </c>
      <c r="V387" s="121">
        <v>325357095</v>
      </c>
      <c r="W387" s="122">
        <v>0</v>
      </c>
      <c r="X387" s="64">
        <v>325357095</v>
      </c>
      <c r="Y387" s="121"/>
      <c r="Z387" s="121"/>
      <c r="AA387" s="128"/>
      <c r="AB387" s="121"/>
      <c r="AC387" s="64">
        <v>325357095</v>
      </c>
      <c r="AD387" s="65">
        <v>44280</v>
      </c>
      <c r="AE387" s="65">
        <v>47200</v>
      </c>
      <c r="AF387" s="62">
        <v>8</v>
      </c>
      <c r="AG387" s="119">
        <v>96</v>
      </c>
      <c r="AH387" s="25">
        <v>3389136.40625</v>
      </c>
      <c r="AI387" s="78">
        <v>112606780.83669353</v>
      </c>
      <c r="AJ387" s="78">
        <v>212750314.16330647</v>
      </c>
      <c r="AK387" s="27">
        <f t="shared" si="62"/>
        <v>3389136.40625</v>
      </c>
      <c r="AL387" s="27">
        <f t="shared" si="64"/>
        <v>3389136.40625</v>
      </c>
      <c r="AM387" s="27"/>
      <c r="AN387" s="27"/>
      <c r="AO387" s="27"/>
      <c r="AP387" s="27"/>
      <c r="AQ387" s="27"/>
      <c r="AR387" s="27"/>
      <c r="AS387" s="27"/>
      <c r="AT387" s="27"/>
      <c r="AU387" s="27"/>
      <c r="AV387" s="27"/>
      <c r="AW387" s="27">
        <f t="shared" si="57"/>
        <v>6778272.8125</v>
      </c>
      <c r="AX387" s="79">
        <f t="shared" si="58"/>
        <v>205972041.35080647</v>
      </c>
      <c r="AY387" s="79">
        <f t="shared" si="59"/>
        <v>119385053.64919353</v>
      </c>
      <c r="AZ387" s="25">
        <v>1</v>
      </c>
      <c r="BA387" s="62" t="s">
        <v>97</v>
      </c>
      <c r="BB387" s="66">
        <v>1</v>
      </c>
      <c r="BC387" s="66"/>
      <c r="BD387" s="66"/>
      <c r="BE387" s="67">
        <f t="shared" si="63"/>
        <v>3389136.40625</v>
      </c>
      <c r="BF387" s="67">
        <f t="shared" si="56"/>
        <v>0</v>
      </c>
      <c r="BG387" s="67">
        <f t="shared" si="55"/>
        <v>0</v>
      </c>
      <c r="BH387" s="66"/>
      <c r="BI387" s="68" t="s">
        <v>183</v>
      </c>
      <c r="BJ387" s="68" t="s">
        <v>624</v>
      </c>
      <c r="BK387" s="68" t="s">
        <v>624</v>
      </c>
      <c r="BL387" s="29"/>
      <c r="BO387" s="35" t="s">
        <v>1804</v>
      </c>
      <c r="BQ387" s="1" t="s">
        <v>1989</v>
      </c>
    </row>
    <row r="388" spans="1:69" ht="15" hidden="1" customHeight="1">
      <c r="A388" s="1" t="s">
        <v>43</v>
      </c>
      <c r="C388" s="1" t="str">
        <f t="shared" si="60"/>
        <v>2903</v>
      </c>
      <c r="D388" s="1" t="str">
        <f t="shared" si="61"/>
        <v>2103</v>
      </c>
      <c r="E388" s="19" t="s">
        <v>48</v>
      </c>
      <c r="F388" s="62" t="s">
        <v>49</v>
      </c>
      <c r="G388" s="62">
        <v>2112</v>
      </c>
      <c r="H388" s="62" t="s">
        <v>1067</v>
      </c>
      <c r="I388" s="62" t="s">
        <v>1066</v>
      </c>
      <c r="J388" s="118">
        <v>1</v>
      </c>
      <c r="K388" s="119" t="s">
        <v>271</v>
      </c>
      <c r="L388" s="62" t="s">
        <v>77</v>
      </c>
      <c r="M388" s="120" t="s">
        <v>1061</v>
      </c>
      <c r="N388" s="63">
        <v>44229</v>
      </c>
      <c r="O388" s="24">
        <v>14000</v>
      </c>
      <c r="P388" s="24">
        <v>23176</v>
      </c>
      <c r="Q388" s="64">
        <v>324464000</v>
      </c>
      <c r="R388" s="64"/>
      <c r="S388" s="64"/>
      <c r="T388" s="64">
        <v>12943357</v>
      </c>
      <c r="U388" s="64" t="s">
        <v>1062</v>
      </c>
      <c r="V388" s="121">
        <v>337407357</v>
      </c>
      <c r="W388" s="122">
        <v>0</v>
      </c>
      <c r="X388" s="64">
        <v>337407357</v>
      </c>
      <c r="Y388" s="121"/>
      <c r="Z388" s="121"/>
      <c r="AA388" s="128"/>
      <c r="AB388" s="121"/>
      <c r="AC388" s="64">
        <v>337407357</v>
      </c>
      <c r="AD388" s="65">
        <v>44280</v>
      </c>
      <c r="AE388" s="65">
        <v>47200</v>
      </c>
      <c r="AF388" s="62">
        <v>8</v>
      </c>
      <c r="AG388" s="119">
        <v>96</v>
      </c>
      <c r="AH388" s="25">
        <v>3514659.96875</v>
      </c>
      <c r="AI388" s="78">
        <v>116777412.59072578</v>
      </c>
      <c r="AJ388" s="78">
        <v>220629944.40927422</v>
      </c>
      <c r="AK388" s="27">
        <f t="shared" si="62"/>
        <v>3514659.96875</v>
      </c>
      <c r="AL388" s="27">
        <f t="shared" si="64"/>
        <v>3514659.96875</v>
      </c>
      <c r="AM388" s="27"/>
      <c r="AN388" s="27"/>
      <c r="AO388" s="27"/>
      <c r="AP388" s="27"/>
      <c r="AQ388" s="27"/>
      <c r="AR388" s="27"/>
      <c r="AS388" s="27"/>
      <c r="AT388" s="27"/>
      <c r="AU388" s="27"/>
      <c r="AV388" s="27"/>
      <c r="AW388" s="27">
        <f t="shared" si="57"/>
        <v>7029319.9375</v>
      </c>
      <c r="AX388" s="79">
        <f t="shared" si="58"/>
        <v>213600624.47177422</v>
      </c>
      <c r="AY388" s="79">
        <f t="shared" si="59"/>
        <v>123806732.52822578</v>
      </c>
      <c r="AZ388" s="25">
        <v>1</v>
      </c>
      <c r="BA388" s="62" t="s">
        <v>97</v>
      </c>
      <c r="BB388" s="66">
        <v>1</v>
      </c>
      <c r="BC388" s="66"/>
      <c r="BD388" s="66"/>
      <c r="BE388" s="67">
        <f t="shared" si="63"/>
        <v>3514659.96875</v>
      </c>
      <c r="BF388" s="67">
        <f t="shared" si="56"/>
        <v>0</v>
      </c>
      <c r="BG388" s="67">
        <f t="shared" si="55"/>
        <v>0</v>
      </c>
      <c r="BH388" s="66"/>
      <c r="BI388" s="68">
        <v>0</v>
      </c>
      <c r="BJ388" s="68" t="s">
        <v>624</v>
      </c>
      <c r="BK388" s="68" t="s">
        <v>624</v>
      </c>
      <c r="BL388" s="29"/>
      <c r="BO388" s="35" t="s">
        <v>1804</v>
      </c>
      <c r="BQ388" s="1" t="s">
        <v>1989</v>
      </c>
    </row>
    <row r="389" spans="1:69" ht="15" hidden="1" customHeight="1">
      <c r="A389" s="1" t="s">
        <v>43</v>
      </c>
      <c r="C389" s="1" t="str">
        <f t="shared" si="60"/>
        <v>2903</v>
      </c>
      <c r="D389" s="1" t="str">
        <f t="shared" si="61"/>
        <v>2103</v>
      </c>
      <c r="E389" s="19" t="s">
        <v>48</v>
      </c>
      <c r="F389" s="62" t="s">
        <v>49</v>
      </c>
      <c r="G389" s="62">
        <v>2112</v>
      </c>
      <c r="H389" s="62" t="s">
        <v>1068</v>
      </c>
      <c r="I389" s="62" t="s">
        <v>1069</v>
      </c>
      <c r="J389" s="118">
        <v>1</v>
      </c>
      <c r="K389" s="119" t="s">
        <v>271</v>
      </c>
      <c r="L389" s="62" t="s">
        <v>77</v>
      </c>
      <c r="M389" s="120" t="s">
        <v>1061</v>
      </c>
      <c r="N389" s="63">
        <v>44229</v>
      </c>
      <c r="O389" s="24">
        <v>14000</v>
      </c>
      <c r="P389" s="24">
        <v>23176</v>
      </c>
      <c r="Q389" s="64">
        <v>324464000</v>
      </c>
      <c r="R389" s="64"/>
      <c r="S389" s="64"/>
      <c r="T389" s="64">
        <v>12943357</v>
      </c>
      <c r="U389" s="64" t="s">
        <v>1062</v>
      </c>
      <c r="V389" s="121">
        <v>337407357</v>
      </c>
      <c r="W389" s="122">
        <v>0</v>
      </c>
      <c r="X389" s="64">
        <v>337407357</v>
      </c>
      <c r="Y389" s="121"/>
      <c r="Z389" s="121"/>
      <c r="AA389" s="128"/>
      <c r="AB389" s="121"/>
      <c r="AC389" s="64">
        <v>337407357</v>
      </c>
      <c r="AD389" s="65">
        <v>44280</v>
      </c>
      <c r="AE389" s="65">
        <v>47200</v>
      </c>
      <c r="AF389" s="62">
        <v>8</v>
      </c>
      <c r="AG389" s="119">
        <v>96</v>
      </c>
      <c r="AH389" s="25">
        <v>3514659.96875</v>
      </c>
      <c r="AI389" s="78">
        <v>116777412.59072578</v>
      </c>
      <c r="AJ389" s="78">
        <v>220629944.40927422</v>
      </c>
      <c r="AK389" s="27">
        <f t="shared" si="62"/>
        <v>3514659.96875</v>
      </c>
      <c r="AL389" s="27">
        <f t="shared" si="64"/>
        <v>3514659.96875</v>
      </c>
      <c r="AM389" s="27"/>
      <c r="AN389" s="27"/>
      <c r="AO389" s="27"/>
      <c r="AP389" s="27"/>
      <c r="AQ389" s="27"/>
      <c r="AR389" s="27"/>
      <c r="AS389" s="27"/>
      <c r="AT389" s="27"/>
      <c r="AU389" s="27"/>
      <c r="AV389" s="27"/>
      <c r="AW389" s="27">
        <f t="shared" si="57"/>
        <v>7029319.9375</v>
      </c>
      <c r="AX389" s="79">
        <f t="shared" si="58"/>
        <v>213600624.47177422</v>
      </c>
      <c r="AY389" s="79">
        <f t="shared" si="59"/>
        <v>123806732.52822578</v>
      </c>
      <c r="AZ389" s="25">
        <v>1</v>
      </c>
      <c r="BA389" s="62" t="s">
        <v>97</v>
      </c>
      <c r="BB389" s="66">
        <v>1</v>
      </c>
      <c r="BC389" s="66"/>
      <c r="BD389" s="66"/>
      <c r="BE389" s="67">
        <f t="shared" si="63"/>
        <v>3514659.96875</v>
      </c>
      <c r="BF389" s="67">
        <f t="shared" si="56"/>
        <v>0</v>
      </c>
      <c r="BG389" s="67">
        <f t="shared" si="55"/>
        <v>0</v>
      </c>
      <c r="BH389" s="66"/>
      <c r="BI389" s="68" t="s">
        <v>183</v>
      </c>
      <c r="BJ389" s="68" t="s">
        <v>624</v>
      </c>
      <c r="BK389" s="68" t="s">
        <v>624</v>
      </c>
      <c r="BL389" s="29"/>
      <c r="BO389" s="35" t="s">
        <v>1804</v>
      </c>
      <c r="BQ389" s="1" t="s">
        <v>1989</v>
      </c>
    </row>
    <row r="390" spans="1:69" ht="15" hidden="1" customHeight="1">
      <c r="A390" s="1" t="s">
        <v>43</v>
      </c>
      <c r="C390" s="1" t="str">
        <f t="shared" si="60"/>
        <v>2903</v>
      </c>
      <c r="D390" s="1" t="str">
        <f t="shared" si="61"/>
        <v>2103</v>
      </c>
      <c r="E390" s="19" t="s">
        <v>48</v>
      </c>
      <c r="F390" s="62" t="s">
        <v>49</v>
      </c>
      <c r="G390" s="62">
        <v>2112</v>
      </c>
      <c r="H390" s="62" t="s">
        <v>1070</v>
      </c>
      <c r="I390" s="62" t="s">
        <v>1071</v>
      </c>
      <c r="J390" s="118">
        <v>1</v>
      </c>
      <c r="K390" s="119" t="s">
        <v>271</v>
      </c>
      <c r="L390" s="62" t="s">
        <v>77</v>
      </c>
      <c r="M390" s="120" t="s">
        <v>1061</v>
      </c>
      <c r="N390" s="63">
        <v>44229</v>
      </c>
      <c r="O390" s="24">
        <v>8000</v>
      </c>
      <c r="P390" s="24">
        <v>23176</v>
      </c>
      <c r="Q390" s="64">
        <v>185408000</v>
      </c>
      <c r="R390" s="64"/>
      <c r="S390" s="64"/>
      <c r="T390" s="64">
        <v>7396205.5</v>
      </c>
      <c r="U390" s="64" t="s">
        <v>1062</v>
      </c>
      <c r="V390" s="121">
        <v>192804206</v>
      </c>
      <c r="W390" s="122">
        <v>0</v>
      </c>
      <c r="X390" s="64">
        <v>192804206</v>
      </c>
      <c r="Y390" s="121"/>
      <c r="Z390" s="121"/>
      <c r="AA390" s="128"/>
      <c r="AB390" s="121"/>
      <c r="AC390" s="64">
        <v>192804206</v>
      </c>
      <c r="AD390" s="65">
        <v>44280</v>
      </c>
      <c r="AE390" s="65">
        <v>47200</v>
      </c>
      <c r="AF390" s="62">
        <v>8</v>
      </c>
      <c r="AG390" s="119">
        <v>96</v>
      </c>
      <c r="AH390" s="25">
        <v>2008377.1458333333</v>
      </c>
      <c r="AI390" s="78">
        <v>66729946.942204311</v>
      </c>
      <c r="AJ390" s="78">
        <v>126074259.05779569</v>
      </c>
      <c r="AK390" s="27">
        <f t="shared" si="62"/>
        <v>2008377.1458333333</v>
      </c>
      <c r="AL390" s="27">
        <f t="shared" si="64"/>
        <v>2008377.1458333333</v>
      </c>
      <c r="AM390" s="27"/>
      <c r="AN390" s="27"/>
      <c r="AO390" s="27"/>
      <c r="AP390" s="27"/>
      <c r="AQ390" s="27"/>
      <c r="AR390" s="27"/>
      <c r="AS390" s="27"/>
      <c r="AT390" s="27"/>
      <c r="AU390" s="27"/>
      <c r="AV390" s="27"/>
      <c r="AW390" s="27">
        <f t="shared" si="57"/>
        <v>4016754.2916666665</v>
      </c>
      <c r="AX390" s="79">
        <f t="shared" si="58"/>
        <v>122057504.76612902</v>
      </c>
      <c r="AY390" s="79">
        <f t="shared" si="59"/>
        <v>70746701.233870983</v>
      </c>
      <c r="AZ390" s="25">
        <v>1</v>
      </c>
      <c r="BA390" s="62" t="s">
        <v>97</v>
      </c>
      <c r="BB390" s="66">
        <v>1</v>
      </c>
      <c r="BC390" s="66"/>
      <c r="BD390" s="66"/>
      <c r="BE390" s="67">
        <f t="shared" si="63"/>
        <v>2008377.1458333333</v>
      </c>
      <c r="BF390" s="67">
        <f t="shared" si="56"/>
        <v>0</v>
      </c>
      <c r="BG390" s="67">
        <f t="shared" si="55"/>
        <v>0</v>
      </c>
      <c r="BH390" s="66"/>
      <c r="BI390" s="68">
        <v>0</v>
      </c>
      <c r="BJ390" s="68" t="s">
        <v>624</v>
      </c>
      <c r="BK390" s="68" t="s">
        <v>624</v>
      </c>
      <c r="BL390" s="29"/>
      <c r="BO390" s="35" t="s">
        <v>1804</v>
      </c>
      <c r="BQ390" s="1" t="s">
        <v>1989</v>
      </c>
    </row>
    <row r="391" spans="1:69" ht="15" hidden="1" customHeight="1">
      <c r="A391" s="1" t="s">
        <v>43</v>
      </c>
      <c r="C391" s="1" t="str">
        <f t="shared" si="60"/>
        <v>2903</v>
      </c>
      <c r="D391" s="1" t="str">
        <f t="shared" si="61"/>
        <v>2103</v>
      </c>
      <c r="E391" s="19" t="s">
        <v>48</v>
      </c>
      <c r="F391" s="62" t="s">
        <v>49</v>
      </c>
      <c r="G391" s="62">
        <v>2112</v>
      </c>
      <c r="H391" s="62" t="s">
        <v>1072</v>
      </c>
      <c r="I391" s="62" t="s">
        <v>1071</v>
      </c>
      <c r="J391" s="118">
        <v>1</v>
      </c>
      <c r="K391" s="119" t="s">
        <v>271</v>
      </c>
      <c r="L391" s="62" t="s">
        <v>77</v>
      </c>
      <c r="M391" s="120" t="s">
        <v>1061</v>
      </c>
      <c r="N391" s="63">
        <v>44229</v>
      </c>
      <c r="O391" s="24">
        <v>8000</v>
      </c>
      <c r="P391" s="24">
        <v>23176</v>
      </c>
      <c r="Q391" s="64">
        <v>185408000</v>
      </c>
      <c r="R391" s="64"/>
      <c r="S391" s="64"/>
      <c r="T391" s="64">
        <v>7396205.5</v>
      </c>
      <c r="U391" s="64" t="s">
        <v>1062</v>
      </c>
      <c r="V391" s="121">
        <v>192804206</v>
      </c>
      <c r="W391" s="122">
        <v>0</v>
      </c>
      <c r="X391" s="64">
        <v>192804206</v>
      </c>
      <c r="Y391" s="121"/>
      <c r="Z391" s="121"/>
      <c r="AA391" s="128"/>
      <c r="AB391" s="121"/>
      <c r="AC391" s="64">
        <v>192804206</v>
      </c>
      <c r="AD391" s="65">
        <v>44280</v>
      </c>
      <c r="AE391" s="65">
        <v>47200</v>
      </c>
      <c r="AF391" s="62">
        <v>8</v>
      </c>
      <c r="AG391" s="119">
        <v>96</v>
      </c>
      <c r="AH391" s="25">
        <v>2008377.1458333333</v>
      </c>
      <c r="AI391" s="78">
        <v>66729946.942204311</v>
      </c>
      <c r="AJ391" s="78">
        <v>126074259.05779569</v>
      </c>
      <c r="AK391" s="27">
        <f t="shared" si="62"/>
        <v>2008377.1458333333</v>
      </c>
      <c r="AL391" s="27">
        <f t="shared" si="64"/>
        <v>2008377.1458333333</v>
      </c>
      <c r="AM391" s="27"/>
      <c r="AN391" s="27"/>
      <c r="AO391" s="27"/>
      <c r="AP391" s="27"/>
      <c r="AQ391" s="27"/>
      <c r="AR391" s="27"/>
      <c r="AS391" s="27"/>
      <c r="AT391" s="27"/>
      <c r="AU391" s="27"/>
      <c r="AV391" s="27"/>
      <c r="AW391" s="27">
        <f t="shared" si="57"/>
        <v>4016754.2916666665</v>
      </c>
      <c r="AX391" s="79">
        <f t="shared" si="58"/>
        <v>122057504.76612902</v>
      </c>
      <c r="AY391" s="79">
        <f t="shared" si="59"/>
        <v>70746701.233870983</v>
      </c>
      <c r="AZ391" s="25">
        <v>1</v>
      </c>
      <c r="BA391" s="62" t="s">
        <v>97</v>
      </c>
      <c r="BB391" s="66">
        <v>1</v>
      </c>
      <c r="BC391" s="66"/>
      <c r="BD391" s="66"/>
      <c r="BE391" s="67">
        <f t="shared" si="63"/>
        <v>2008377.1458333333</v>
      </c>
      <c r="BF391" s="67">
        <f t="shared" si="56"/>
        <v>0</v>
      </c>
      <c r="BG391" s="67">
        <f t="shared" si="55"/>
        <v>0</v>
      </c>
      <c r="BH391" s="66"/>
      <c r="BI391" s="68">
        <v>0</v>
      </c>
      <c r="BJ391" s="68" t="s">
        <v>624</v>
      </c>
      <c r="BK391" s="68" t="s">
        <v>624</v>
      </c>
      <c r="BL391" s="29"/>
      <c r="BO391" s="35" t="s">
        <v>1804</v>
      </c>
      <c r="BQ391" s="1" t="s">
        <v>1989</v>
      </c>
    </row>
    <row r="392" spans="1:69" ht="15" hidden="1" customHeight="1">
      <c r="A392" s="1" t="s">
        <v>43</v>
      </c>
      <c r="C392" s="1" t="str">
        <f t="shared" si="60"/>
        <v>2903</v>
      </c>
      <c r="D392" s="1" t="str">
        <f t="shared" si="61"/>
        <v>2103</v>
      </c>
      <c r="E392" s="19" t="s">
        <v>48</v>
      </c>
      <c r="F392" s="62" t="s">
        <v>49</v>
      </c>
      <c r="G392" s="62">
        <v>2112</v>
      </c>
      <c r="H392" s="62" t="s">
        <v>1073</v>
      </c>
      <c r="I392" s="62" t="s">
        <v>1074</v>
      </c>
      <c r="J392" s="118">
        <v>1</v>
      </c>
      <c r="K392" s="119" t="s">
        <v>271</v>
      </c>
      <c r="L392" s="62" t="s">
        <v>77</v>
      </c>
      <c r="M392" s="120" t="s">
        <v>1061</v>
      </c>
      <c r="N392" s="63">
        <v>44229</v>
      </c>
      <c r="O392" s="24">
        <v>14000</v>
      </c>
      <c r="P392" s="24">
        <v>23176</v>
      </c>
      <c r="Q392" s="64">
        <v>324464000</v>
      </c>
      <c r="R392" s="64"/>
      <c r="S392" s="64"/>
      <c r="T392" s="64">
        <v>12943357</v>
      </c>
      <c r="U392" s="64" t="s">
        <v>1062</v>
      </c>
      <c r="V392" s="121">
        <v>337407357</v>
      </c>
      <c r="W392" s="122">
        <v>0</v>
      </c>
      <c r="X392" s="64">
        <v>337407357</v>
      </c>
      <c r="Y392" s="121"/>
      <c r="Z392" s="121"/>
      <c r="AA392" s="128"/>
      <c r="AB392" s="121"/>
      <c r="AC392" s="64">
        <v>337407357</v>
      </c>
      <c r="AD392" s="65">
        <v>44280</v>
      </c>
      <c r="AE392" s="65">
        <v>47200</v>
      </c>
      <c r="AF392" s="62">
        <v>8</v>
      </c>
      <c r="AG392" s="119">
        <v>96</v>
      </c>
      <c r="AH392" s="25">
        <v>3514659.96875</v>
      </c>
      <c r="AI392" s="78">
        <v>116777412.59072578</v>
      </c>
      <c r="AJ392" s="78">
        <v>220629944.40927422</v>
      </c>
      <c r="AK392" s="27">
        <f t="shared" si="62"/>
        <v>3514659.96875</v>
      </c>
      <c r="AL392" s="27">
        <f t="shared" si="64"/>
        <v>3514659.96875</v>
      </c>
      <c r="AM392" s="27"/>
      <c r="AN392" s="27"/>
      <c r="AO392" s="27"/>
      <c r="AP392" s="27"/>
      <c r="AQ392" s="27"/>
      <c r="AR392" s="27"/>
      <c r="AS392" s="27"/>
      <c r="AT392" s="27"/>
      <c r="AU392" s="27"/>
      <c r="AV392" s="27"/>
      <c r="AW392" s="27">
        <f t="shared" si="57"/>
        <v>7029319.9375</v>
      </c>
      <c r="AX392" s="79">
        <f t="shared" si="58"/>
        <v>213600624.47177422</v>
      </c>
      <c r="AY392" s="79">
        <f t="shared" si="59"/>
        <v>123806732.52822578</v>
      </c>
      <c r="AZ392" s="25">
        <v>1</v>
      </c>
      <c r="BA392" s="62" t="s">
        <v>97</v>
      </c>
      <c r="BB392" s="66">
        <v>1</v>
      </c>
      <c r="BC392" s="66"/>
      <c r="BD392" s="66"/>
      <c r="BE392" s="67">
        <f t="shared" si="63"/>
        <v>3514659.96875</v>
      </c>
      <c r="BF392" s="67">
        <f t="shared" si="56"/>
        <v>0</v>
      </c>
      <c r="BG392" s="67">
        <f t="shared" si="55"/>
        <v>0</v>
      </c>
      <c r="BH392" s="66"/>
      <c r="BI392" s="68" t="s">
        <v>183</v>
      </c>
      <c r="BJ392" s="68" t="s">
        <v>624</v>
      </c>
      <c r="BK392" s="68" t="s">
        <v>624</v>
      </c>
      <c r="BL392" s="29"/>
      <c r="BO392" s="35" t="s">
        <v>1804</v>
      </c>
      <c r="BQ392" s="1" t="s">
        <v>1989</v>
      </c>
    </row>
    <row r="393" spans="1:69" ht="15" hidden="1" customHeight="1">
      <c r="A393" s="1" t="s">
        <v>43</v>
      </c>
      <c r="C393" s="1" t="str">
        <f t="shared" si="60"/>
        <v>2603</v>
      </c>
      <c r="D393" s="1" t="str">
        <f t="shared" si="61"/>
        <v>2103</v>
      </c>
      <c r="E393" s="19" t="s">
        <v>48</v>
      </c>
      <c r="F393" s="62" t="s">
        <v>49</v>
      </c>
      <c r="G393" s="62">
        <v>2114</v>
      </c>
      <c r="H393" s="62" t="s">
        <v>1075</v>
      </c>
      <c r="I393" s="62" t="s">
        <v>1076</v>
      </c>
      <c r="J393" s="118">
        <v>1</v>
      </c>
      <c r="K393" s="119" t="s">
        <v>271</v>
      </c>
      <c r="L393" s="62" t="s">
        <v>77</v>
      </c>
      <c r="M393" s="120" t="s">
        <v>1077</v>
      </c>
      <c r="N393" s="63">
        <v>44263</v>
      </c>
      <c r="O393" s="24">
        <v>1600</v>
      </c>
      <c r="P393" s="24">
        <v>23133</v>
      </c>
      <c r="Q393" s="64">
        <v>37012800</v>
      </c>
      <c r="R393" s="64">
        <v>1834400</v>
      </c>
      <c r="S393" s="64"/>
      <c r="T393" s="64">
        <v>7827766.666666667</v>
      </c>
      <c r="U393" s="64" t="s">
        <v>1078</v>
      </c>
      <c r="V393" s="121">
        <v>46674967</v>
      </c>
      <c r="W393" s="122">
        <v>0</v>
      </c>
      <c r="X393" s="64">
        <v>46674967</v>
      </c>
      <c r="Y393" s="121"/>
      <c r="Z393" s="121"/>
      <c r="AA393" s="128"/>
      <c r="AB393" s="121"/>
      <c r="AC393" s="64">
        <v>46674967</v>
      </c>
      <c r="AD393" s="65">
        <v>44265</v>
      </c>
      <c r="AE393" s="65">
        <v>46090</v>
      </c>
      <c r="AF393" s="62">
        <v>5</v>
      </c>
      <c r="AG393" s="119">
        <v>60</v>
      </c>
      <c r="AH393" s="25">
        <v>777916.1166666667</v>
      </c>
      <c r="AI393" s="78">
        <v>26223298.586021513</v>
      </c>
      <c r="AJ393" s="78">
        <v>20451668.413978487</v>
      </c>
      <c r="AK393" s="27">
        <f t="shared" si="62"/>
        <v>777916.1166666667</v>
      </c>
      <c r="AL393" s="27">
        <f t="shared" si="64"/>
        <v>777916.1166666667</v>
      </c>
      <c r="AM393" s="27"/>
      <c r="AN393" s="27"/>
      <c r="AO393" s="27"/>
      <c r="AP393" s="27"/>
      <c r="AQ393" s="27"/>
      <c r="AR393" s="27"/>
      <c r="AS393" s="27"/>
      <c r="AT393" s="27"/>
      <c r="AU393" s="27"/>
      <c r="AV393" s="27"/>
      <c r="AW393" s="27">
        <f t="shared" si="57"/>
        <v>1555832.2333333334</v>
      </c>
      <c r="AX393" s="79">
        <f t="shared" si="58"/>
        <v>18895836.180645153</v>
      </c>
      <c r="AY393" s="79">
        <f t="shared" si="59"/>
        <v>27779130.819354847</v>
      </c>
      <c r="AZ393" s="25">
        <v>1</v>
      </c>
      <c r="BA393" s="62" t="s">
        <v>79</v>
      </c>
      <c r="BB393" s="66"/>
      <c r="BC393" s="66">
        <v>1</v>
      </c>
      <c r="BD393" s="66"/>
      <c r="BE393" s="67">
        <f t="shared" si="63"/>
        <v>0</v>
      </c>
      <c r="BF393" s="67">
        <f t="shared" si="56"/>
        <v>777916.1166666667</v>
      </c>
      <c r="BG393" s="67">
        <f t="shared" si="55"/>
        <v>0</v>
      </c>
      <c r="BH393" s="66"/>
      <c r="BI393" s="68" t="s">
        <v>1079</v>
      </c>
      <c r="BJ393" s="68" t="s">
        <v>58</v>
      </c>
      <c r="BK393" s="68" t="s">
        <v>1080</v>
      </c>
      <c r="BL393" s="29"/>
      <c r="BO393" s="35" t="s">
        <v>1799</v>
      </c>
      <c r="BQ393" s="1" t="e">
        <v>#N/A</v>
      </c>
    </row>
    <row r="394" spans="1:69" ht="15" hidden="1" customHeight="1">
      <c r="A394" s="1" t="s">
        <v>43</v>
      </c>
      <c r="C394" s="1" t="str">
        <f t="shared" si="60"/>
        <v>2603</v>
      </c>
      <c r="D394" s="1" t="str">
        <f t="shared" si="61"/>
        <v>2103</v>
      </c>
      <c r="E394" s="19" t="s">
        <v>48</v>
      </c>
      <c r="F394" s="62" t="s">
        <v>49</v>
      </c>
      <c r="G394" s="62">
        <v>2114</v>
      </c>
      <c r="H394" s="62" t="s">
        <v>1081</v>
      </c>
      <c r="I394" s="62" t="s">
        <v>1076</v>
      </c>
      <c r="J394" s="118">
        <v>1</v>
      </c>
      <c r="K394" s="119" t="s">
        <v>271</v>
      </c>
      <c r="L394" s="62" t="s">
        <v>77</v>
      </c>
      <c r="M394" s="120" t="s">
        <v>1077</v>
      </c>
      <c r="N394" s="63">
        <v>44263</v>
      </c>
      <c r="O394" s="24">
        <v>1600</v>
      </c>
      <c r="P394" s="24">
        <v>23133</v>
      </c>
      <c r="Q394" s="64">
        <v>37012800</v>
      </c>
      <c r="R394" s="64">
        <v>1834400</v>
      </c>
      <c r="S394" s="64"/>
      <c r="T394" s="64">
        <v>7827766.666666667</v>
      </c>
      <c r="U394" s="64" t="s">
        <v>1078</v>
      </c>
      <c r="V394" s="121">
        <v>46674967</v>
      </c>
      <c r="W394" s="122">
        <v>0</v>
      </c>
      <c r="X394" s="64">
        <v>46674967</v>
      </c>
      <c r="Y394" s="121"/>
      <c r="Z394" s="121"/>
      <c r="AA394" s="128"/>
      <c r="AB394" s="121"/>
      <c r="AC394" s="64">
        <v>46674967</v>
      </c>
      <c r="AD394" s="65">
        <v>44265</v>
      </c>
      <c r="AE394" s="65">
        <v>46090</v>
      </c>
      <c r="AF394" s="62">
        <v>5</v>
      </c>
      <c r="AG394" s="119">
        <v>60</v>
      </c>
      <c r="AH394" s="25">
        <v>777916.1166666667</v>
      </c>
      <c r="AI394" s="78">
        <v>26223298.586021513</v>
      </c>
      <c r="AJ394" s="78">
        <v>20451668.413978487</v>
      </c>
      <c r="AK394" s="27">
        <f t="shared" si="62"/>
        <v>777916.1166666667</v>
      </c>
      <c r="AL394" s="27">
        <f t="shared" si="64"/>
        <v>777916.1166666667</v>
      </c>
      <c r="AM394" s="27"/>
      <c r="AN394" s="27"/>
      <c r="AO394" s="27"/>
      <c r="AP394" s="27"/>
      <c r="AQ394" s="27"/>
      <c r="AR394" s="27"/>
      <c r="AS394" s="27"/>
      <c r="AT394" s="27"/>
      <c r="AU394" s="27"/>
      <c r="AV394" s="27"/>
      <c r="AW394" s="27">
        <f t="shared" si="57"/>
        <v>1555832.2333333334</v>
      </c>
      <c r="AX394" s="79">
        <f t="shared" si="58"/>
        <v>18895836.180645153</v>
      </c>
      <c r="AY394" s="79">
        <f t="shared" si="59"/>
        <v>27779130.819354847</v>
      </c>
      <c r="AZ394" s="25">
        <v>1</v>
      </c>
      <c r="BA394" s="62" t="s">
        <v>79</v>
      </c>
      <c r="BB394" s="66">
        <v>1</v>
      </c>
      <c r="BC394" s="66"/>
      <c r="BD394" s="66"/>
      <c r="BE394" s="67">
        <f t="shared" si="63"/>
        <v>777916.1166666667</v>
      </c>
      <c r="BF394" s="67">
        <f t="shared" si="56"/>
        <v>0</v>
      </c>
      <c r="BG394" s="67">
        <f t="shared" ref="BG394:BG457" si="65">+$AL394*BD394</f>
        <v>0</v>
      </c>
      <c r="BH394" s="66"/>
      <c r="BI394" s="68" t="s">
        <v>57</v>
      </c>
      <c r="BJ394" s="68" t="s">
        <v>58</v>
      </c>
      <c r="BK394" s="68" t="s">
        <v>59</v>
      </c>
      <c r="BL394" s="29"/>
      <c r="BO394" s="35" t="s">
        <v>1799</v>
      </c>
      <c r="BQ394" s="1" t="e">
        <v>#N/A</v>
      </c>
    </row>
    <row r="395" spans="1:69" ht="15" hidden="1" customHeight="1">
      <c r="A395" s="1" t="s">
        <v>43</v>
      </c>
      <c r="C395" s="1" t="str">
        <f t="shared" si="60"/>
        <v>2603</v>
      </c>
      <c r="D395" s="1" t="str">
        <f t="shared" si="61"/>
        <v>2103</v>
      </c>
      <c r="E395" s="19" t="s">
        <v>48</v>
      </c>
      <c r="F395" s="62" t="s">
        <v>515</v>
      </c>
      <c r="G395" s="62">
        <v>2114</v>
      </c>
      <c r="H395" s="62" t="s">
        <v>1082</v>
      </c>
      <c r="I395" s="62" t="s">
        <v>1076</v>
      </c>
      <c r="J395" s="118">
        <v>1</v>
      </c>
      <c r="K395" s="119" t="s">
        <v>271</v>
      </c>
      <c r="L395" s="62" t="s">
        <v>77</v>
      </c>
      <c r="M395" s="120" t="s">
        <v>1077</v>
      </c>
      <c r="N395" s="63">
        <v>44263</v>
      </c>
      <c r="O395" s="24">
        <v>1600</v>
      </c>
      <c r="P395" s="24">
        <v>23133</v>
      </c>
      <c r="Q395" s="64">
        <v>37012800</v>
      </c>
      <c r="R395" s="64">
        <v>1834400</v>
      </c>
      <c r="S395" s="64"/>
      <c r="T395" s="64">
        <v>7827766.666666667</v>
      </c>
      <c r="U395" s="64" t="s">
        <v>1078</v>
      </c>
      <c r="V395" s="121">
        <v>46674967</v>
      </c>
      <c r="W395" s="122">
        <v>0</v>
      </c>
      <c r="X395" s="64">
        <v>46674967</v>
      </c>
      <c r="Y395" s="121"/>
      <c r="Z395" s="121"/>
      <c r="AA395" s="128"/>
      <c r="AB395" s="121"/>
      <c r="AC395" s="64">
        <v>46674967</v>
      </c>
      <c r="AD395" s="65">
        <v>44265</v>
      </c>
      <c r="AE395" s="65">
        <v>46090</v>
      </c>
      <c r="AF395" s="62">
        <v>5</v>
      </c>
      <c r="AG395" s="119">
        <v>60</v>
      </c>
      <c r="AH395" s="25">
        <v>777916.1166666667</v>
      </c>
      <c r="AI395" s="78">
        <v>26223298.586021513</v>
      </c>
      <c r="AJ395" s="78">
        <v>20451668.413978487</v>
      </c>
      <c r="AK395" s="27">
        <f t="shared" si="62"/>
        <v>777916.1166666667</v>
      </c>
      <c r="AL395" s="27">
        <f t="shared" si="64"/>
        <v>777916.1166666667</v>
      </c>
      <c r="AM395" s="27"/>
      <c r="AN395" s="27"/>
      <c r="AO395" s="27"/>
      <c r="AP395" s="27"/>
      <c r="AQ395" s="27"/>
      <c r="AR395" s="27"/>
      <c r="AS395" s="27"/>
      <c r="AT395" s="27"/>
      <c r="AU395" s="27"/>
      <c r="AV395" s="27"/>
      <c r="AW395" s="27">
        <f t="shared" si="57"/>
        <v>1555832.2333333334</v>
      </c>
      <c r="AX395" s="79">
        <f t="shared" si="58"/>
        <v>18895836.180645153</v>
      </c>
      <c r="AY395" s="79">
        <f t="shared" si="59"/>
        <v>27779130.819354847</v>
      </c>
      <c r="AZ395" s="25">
        <v>1</v>
      </c>
      <c r="BA395" s="62" t="s">
        <v>79</v>
      </c>
      <c r="BB395" s="66">
        <v>1</v>
      </c>
      <c r="BC395" s="66"/>
      <c r="BD395" s="66"/>
      <c r="BE395" s="67">
        <f t="shared" si="63"/>
        <v>777916.1166666667</v>
      </c>
      <c r="BF395" s="67">
        <f t="shared" ref="BF395:BF458" si="66">+$AL395*BC395</f>
        <v>0</v>
      </c>
      <c r="BG395" s="67">
        <f t="shared" si="65"/>
        <v>0</v>
      </c>
      <c r="BH395" s="66"/>
      <c r="BI395" s="68" t="s">
        <v>871</v>
      </c>
      <c r="BJ395" s="68" t="s">
        <v>591</v>
      </c>
      <c r="BK395" s="68" t="s">
        <v>59</v>
      </c>
      <c r="BL395" s="29"/>
      <c r="BO395" s="35" t="s">
        <v>1799</v>
      </c>
      <c r="BQ395" s="1" t="e">
        <v>#N/A</v>
      </c>
    </row>
    <row r="396" spans="1:69" ht="15" hidden="1" customHeight="1">
      <c r="A396" s="1" t="s">
        <v>43</v>
      </c>
      <c r="C396" s="1" t="str">
        <f t="shared" si="60"/>
        <v>3104</v>
      </c>
      <c r="D396" s="1" t="str">
        <f t="shared" si="61"/>
        <v>2104</v>
      </c>
      <c r="E396" s="19" t="s">
        <v>48</v>
      </c>
      <c r="F396" s="62" t="s">
        <v>49</v>
      </c>
      <c r="G396" s="62">
        <v>2112</v>
      </c>
      <c r="H396" s="62" t="s">
        <v>1083</v>
      </c>
      <c r="I396" s="62" t="s">
        <v>1084</v>
      </c>
      <c r="J396" s="118">
        <v>1</v>
      </c>
      <c r="K396" s="119" t="s">
        <v>271</v>
      </c>
      <c r="L396" s="62" t="s">
        <v>77</v>
      </c>
      <c r="M396" s="120" t="s">
        <v>1085</v>
      </c>
      <c r="N396" s="63">
        <v>44280</v>
      </c>
      <c r="O396" s="24">
        <v>6996</v>
      </c>
      <c r="P396" s="24">
        <v>23173</v>
      </c>
      <c r="Q396" s="64">
        <v>162118308</v>
      </c>
      <c r="R396" s="64"/>
      <c r="S396" s="64"/>
      <c r="T396" s="64">
        <v>1476865.7</v>
      </c>
      <c r="U396" s="64" t="s">
        <v>1086</v>
      </c>
      <c r="V396" s="121">
        <v>163595174</v>
      </c>
      <c r="W396" s="122">
        <v>0</v>
      </c>
      <c r="X396" s="64">
        <v>163595174</v>
      </c>
      <c r="Y396" s="121"/>
      <c r="Z396" s="121"/>
      <c r="AA396" s="128"/>
      <c r="AB396" s="121"/>
      <c r="AC396" s="64">
        <v>163595174</v>
      </c>
      <c r="AD396" s="65">
        <v>44306</v>
      </c>
      <c r="AE396" s="65">
        <v>47956</v>
      </c>
      <c r="AF396" s="62">
        <v>10</v>
      </c>
      <c r="AG396" s="119">
        <v>120</v>
      </c>
      <c r="AH396" s="25">
        <v>1363293.1166666667</v>
      </c>
      <c r="AI396" s="78">
        <v>44125251.266666666</v>
      </c>
      <c r="AJ396" s="78">
        <v>119469922.73333333</v>
      </c>
      <c r="AK396" s="27">
        <f t="shared" si="62"/>
        <v>1363293.1166666667</v>
      </c>
      <c r="AL396" s="27">
        <f t="shared" si="64"/>
        <v>1363293.1166666667</v>
      </c>
      <c r="AM396" s="27"/>
      <c r="AN396" s="27"/>
      <c r="AO396" s="27"/>
      <c r="AP396" s="27"/>
      <c r="AQ396" s="27"/>
      <c r="AR396" s="27"/>
      <c r="AS396" s="27"/>
      <c r="AT396" s="27"/>
      <c r="AU396" s="27"/>
      <c r="AV396" s="27"/>
      <c r="AW396" s="27">
        <f t="shared" si="57"/>
        <v>2726586.2333333334</v>
      </c>
      <c r="AX396" s="79">
        <f t="shared" si="58"/>
        <v>116743336.5</v>
      </c>
      <c r="AY396" s="79">
        <f t="shared" si="59"/>
        <v>46851837.5</v>
      </c>
      <c r="AZ396" s="25">
        <v>1</v>
      </c>
      <c r="BA396" s="62" t="s">
        <v>97</v>
      </c>
      <c r="BB396" s="66">
        <v>1</v>
      </c>
      <c r="BC396" s="66"/>
      <c r="BD396" s="66"/>
      <c r="BE396" s="67">
        <f t="shared" si="63"/>
        <v>1363293.1166666667</v>
      </c>
      <c r="BF396" s="67">
        <f t="shared" si="66"/>
        <v>0</v>
      </c>
      <c r="BG396" s="67">
        <f t="shared" si="65"/>
        <v>0</v>
      </c>
      <c r="BH396" s="66"/>
      <c r="BI396" s="68" t="s">
        <v>1087</v>
      </c>
      <c r="BJ396" s="68" t="s">
        <v>58</v>
      </c>
      <c r="BK396" s="68" t="s">
        <v>59</v>
      </c>
      <c r="BL396" s="29"/>
      <c r="BO396" s="35" t="s">
        <v>1800</v>
      </c>
      <c r="BP396" s="1" t="s">
        <v>1808</v>
      </c>
      <c r="BQ396" s="1" t="e">
        <v>#N/A</v>
      </c>
    </row>
    <row r="397" spans="1:69" ht="15" hidden="1" customHeight="1">
      <c r="A397" s="1" t="s">
        <v>43</v>
      </c>
      <c r="C397" s="1" t="str">
        <f t="shared" si="60"/>
        <v>3104</v>
      </c>
      <c r="D397" s="1" t="str">
        <f t="shared" si="61"/>
        <v>2104</v>
      </c>
      <c r="E397" s="19" t="s">
        <v>48</v>
      </c>
      <c r="F397" s="62" t="s">
        <v>49</v>
      </c>
      <c r="G397" s="62">
        <v>2112</v>
      </c>
      <c r="H397" s="62" t="s">
        <v>1088</v>
      </c>
      <c r="I397" s="62" t="s">
        <v>1084</v>
      </c>
      <c r="J397" s="118">
        <v>1</v>
      </c>
      <c r="K397" s="119" t="s">
        <v>271</v>
      </c>
      <c r="L397" s="62" t="s">
        <v>77</v>
      </c>
      <c r="M397" s="120" t="s">
        <v>1085</v>
      </c>
      <c r="N397" s="63">
        <v>44280</v>
      </c>
      <c r="O397" s="24">
        <v>6996</v>
      </c>
      <c r="P397" s="24">
        <v>23173</v>
      </c>
      <c r="Q397" s="64">
        <v>162118308</v>
      </c>
      <c r="R397" s="64"/>
      <c r="S397" s="64"/>
      <c r="T397" s="64">
        <v>1476865.7</v>
      </c>
      <c r="U397" s="64" t="s">
        <v>1086</v>
      </c>
      <c r="V397" s="121">
        <v>163595174</v>
      </c>
      <c r="W397" s="122">
        <v>0</v>
      </c>
      <c r="X397" s="64">
        <v>163595174</v>
      </c>
      <c r="Y397" s="121"/>
      <c r="Z397" s="121"/>
      <c r="AA397" s="128"/>
      <c r="AB397" s="121"/>
      <c r="AC397" s="64">
        <v>163595174</v>
      </c>
      <c r="AD397" s="65">
        <v>44306</v>
      </c>
      <c r="AE397" s="65">
        <v>47956</v>
      </c>
      <c r="AF397" s="62">
        <v>10</v>
      </c>
      <c r="AG397" s="119">
        <v>120</v>
      </c>
      <c r="AH397" s="25">
        <v>1363293.1166666667</v>
      </c>
      <c r="AI397" s="78">
        <v>44125251.266666666</v>
      </c>
      <c r="AJ397" s="78">
        <v>119469922.73333333</v>
      </c>
      <c r="AK397" s="27">
        <f t="shared" si="62"/>
        <v>1363293.1166666667</v>
      </c>
      <c r="AL397" s="27">
        <f t="shared" si="64"/>
        <v>1363293.1166666667</v>
      </c>
      <c r="AM397" s="27"/>
      <c r="AN397" s="27"/>
      <c r="AO397" s="27"/>
      <c r="AP397" s="27"/>
      <c r="AQ397" s="27"/>
      <c r="AR397" s="27"/>
      <c r="AS397" s="27"/>
      <c r="AT397" s="27"/>
      <c r="AU397" s="27"/>
      <c r="AV397" s="27"/>
      <c r="AW397" s="27">
        <f t="shared" si="57"/>
        <v>2726586.2333333334</v>
      </c>
      <c r="AX397" s="79">
        <f t="shared" si="58"/>
        <v>116743336.5</v>
      </c>
      <c r="AY397" s="79">
        <f t="shared" si="59"/>
        <v>46851837.5</v>
      </c>
      <c r="AZ397" s="25">
        <v>1</v>
      </c>
      <c r="BA397" s="62" t="s">
        <v>97</v>
      </c>
      <c r="BB397" s="66">
        <v>1</v>
      </c>
      <c r="BC397" s="66"/>
      <c r="BD397" s="66"/>
      <c r="BE397" s="67">
        <f t="shared" si="63"/>
        <v>1363293.1166666667</v>
      </c>
      <c r="BF397" s="67">
        <f t="shared" si="66"/>
        <v>0</v>
      </c>
      <c r="BG397" s="67">
        <f t="shared" si="65"/>
        <v>0</v>
      </c>
      <c r="BH397" s="66"/>
      <c r="BI397" s="68" t="s">
        <v>1087</v>
      </c>
      <c r="BJ397" s="68" t="s">
        <v>58</v>
      </c>
      <c r="BK397" s="68" t="s">
        <v>59</v>
      </c>
      <c r="BL397" s="29"/>
      <c r="BO397" s="35" t="s">
        <v>1800</v>
      </c>
      <c r="BP397" s="1" t="s">
        <v>1803</v>
      </c>
      <c r="BQ397" s="1" t="e">
        <v>#N/A</v>
      </c>
    </row>
    <row r="398" spans="1:69" ht="15" hidden="1" customHeight="1">
      <c r="A398" s="1" t="s">
        <v>43</v>
      </c>
      <c r="C398" s="1" t="str">
        <f t="shared" si="60"/>
        <v>3104</v>
      </c>
      <c r="D398" s="1" t="str">
        <f t="shared" si="61"/>
        <v>2104</v>
      </c>
      <c r="E398" s="19" t="s">
        <v>48</v>
      </c>
      <c r="F398" s="62" t="s">
        <v>49</v>
      </c>
      <c r="G398" s="62">
        <v>2112</v>
      </c>
      <c r="H398" s="62" t="s">
        <v>1089</v>
      </c>
      <c r="I398" s="62" t="s">
        <v>1084</v>
      </c>
      <c r="J398" s="118">
        <v>1</v>
      </c>
      <c r="K398" s="119" t="s">
        <v>271</v>
      </c>
      <c r="L398" s="62" t="s">
        <v>77</v>
      </c>
      <c r="M398" s="120" t="s">
        <v>1085</v>
      </c>
      <c r="N398" s="63">
        <v>44280</v>
      </c>
      <c r="O398" s="24">
        <v>6996</v>
      </c>
      <c r="P398" s="24">
        <v>23173</v>
      </c>
      <c r="Q398" s="64">
        <v>162118308</v>
      </c>
      <c r="R398" s="64"/>
      <c r="S398" s="64"/>
      <c r="T398" s="64">
        <v>1476865.7</v>
      </c>
      <c r="U398" s="64" t="s">
        <v>1086</v>
      </c>
      <c r="V398" s="121">
        <v>163595174</v>
      </c>
      <c r="W398" s="122">
        <v>0</v>
      </c>
      <c r="X398" s="64">
        <v>163595174</v>
      </c>
      <c r="Y398" s="121"/>
      <c r="Z398" s="121"/>
      <c r="AA398" s="128"/>
      <c r="AB398" s="121"/>
      <c r="AC398" s="64">
        <v>163595174</v>
      </c>
      <c r="AD398" s="65">
        <v>44306</v>
      </c>
      <c r="AE398" s="65">
        <v>47956</v>
      </c>
      <c r="AF398" s="62">
        <v>10</v>
      </c>
      <c r="AG398" s="119">
        <v>120</v>
      </c>
      <c r="AH398" s="25">
        <v>1363293.1166666667</v>
      </c>
      <c r="AI398" s="78">
        <v>44125251.266666666</v>
      </c>
      <c r="AJ398" s="78">
        <v>119469922.73333333</v>
      </c>
      <c r="AK398" s="27">
        <f t="shared" si="62"/>
        <v>1363293.1166666667</v>
      </c>
      <c r="AL398" s="27">
        <f t="shared" si="64"/>
        <v>1363293.1166666667</v>
      </c>
      <c r="AM398" s="27"/>
      <c r="AN398" s="27"/>
      <c r="AO398" s="27"/>
      <c r="AP398" s="27"/>
      <c r="AQ398" s="27"/>
      <c r="AR398" s="27"/>
      <c r="AS398" s="27"/>
      <c r="AT398" s="27"/>
      <c r="AU398" s="27"/>
      <c r="AV398" s="27"/>
      <c r="AW398" s="27">
        <f t="shared" si="57"/>
        <v>2726586.2333333334</v>
      </c>
      <c r="AX398" s="79">
        <f t="shared" si="58"/>
        <v>116743336.5</v>
      </c>
      <c r="AY398" s="79">
        <f t="shared" si="59"/>
        <v>46851837.5</v>
      </c>
      <c r="AZ398" s="25">
        <v>1</v>
      </c>
      <c r="BA398" s="62" t="s">
        <v>97</v>
      </c>
      <c r="BB398" s="66">
        <v>1</v>
      </c>
      <c r="BC398" s="66"/>
      <c r="BD398" s="66"/>
      <c r="BE398" s="67">
        <f t="shared" si="63"/>
        <v>1363293.1166666667</v>
      </c>
      <c r="BF398" s="67">
        <f t="shared" si="66"/>
        <v>0</v>
      </c>
      <c r="BG398" s="67">
        <f t="shared" si="65"/>
        <v>0</v>
      </c>
      <c r="BH398" s="66"/>
      <c r="BI398" s="68" t="s">
        <v>1090</v>
      </c>
      <c r="BJ398" s="68" t="s">
        <v>58</v>
      </c>
      <c r="BK398" s="68" t="s">
        <v>59</v>
      </c>
      <c r="BL398" s="29"/>
      <c r="BO398" s="35" t="s">
        <v>1800</v>
      </c>
      <c r="BP398" s="1" t="s">
        <v>1812</v>
      </c>
      <c r="BQ398" s="1" t="e">
        <v>#N/A</v>
      </c>
    </row>
    <row r="399" spans="1:69" ht="15" hidden="1" customHeight="1">
      <c r="A399" s="1" t="s">
        <v>43</v>
      </c>
      <c r="C399" s="1" t="str">
        <f t="shared" si="60"/>
        <v>3104</v>
      </c>
      <c r="D399" s="1" t="str">
        <f t="shared" si="61"/>
        <v>2104</v>
      </c>
      <c r="E399" s="19" t="s">
        <v>48</v>
      </c>
      <c r="F399" s="62" t="s">
        <v>49</v>
      </c>
      <c r="G399" s="62">
        <v>2112</v>
      </c>
      <c r="H399" s="62" t="s">
        <v>1091</v>
      </c>
      <c r="I399" s="62" t="s">
        <v>1084</v>
      </c>
      <c r="J399" s="118">
        <v>1</v>
      </c>
      <c r="K399" s="119" t="s">
        <v>271</v>
      </c>
      <c r="L399" s="62" t="s">
        <v>77</v>
      </c>
      <c r="M399" s="120" t="s">
        <v>1085</v>
      </c>
      <c r="N399" s="63">
        <v>44280</v>
      </c>
      <c r="O399" s="24">
        <v>6996</v>
      </c>
      <c r="P399" s="24">
        <v>23173</v>
      </c>
      <c r="Q399" s="64">
        <v>162118308</v>
      </c>
      <c r="R399" s="64"/>
      <c r="S399" s="64"/>
      <c r="T399" s="64">
        <v>1476865.7</v>
      </c>
      <c r="U399" s="64" t="s">
        <v>1086</v>
      </c>
      <c r="V399" s="121">
        <v>163595174</v>
      </c>
      <c r="W399" s="122">
        <v>0</v>
      </c>
      <c r="X399" s="64">
        <v>163595174</v>
      </c>
      <c r="Y399" s="121"/>
      <c r="Z399" s="121"/>
      <c r="AA399" s="128"/>
      <c r="AB399" s="121"/>
      <c r="AC399" s="64">
        <v>163595174</v>
      </c>
      <c r="AD399" s="65">
        <v>44306</v>
      </c>
      <c r="AE399" s="65">
        <v>47956</v>
      </c>
      <c r="AF399" s="62">
        <v>10</v>
      </c>
      <c r="AG399" s="119">
        <v>120</v>
      </c>
      <c r="AH399" s="25">
        <v>1363293.1166666667</v>
      </c>
      <c r="AI399" s="78">
        <v>44125251.266666666</v>
      </c>
      <c r="AJ399" s="78">
        <v>119469922.73333333</v>
      </c>
      <c r="AK399" s="27">
        <f t="shared" si="62"/>
        <v>1363293.1166666667</v>
      </c>
      <c r="AL399" s="27">
        <f t="shared" si="64"/>
        <v>1363293.1166666667</v>
      </c>
      <c r="AM399" s="27"/>
      <c r="AN399" s="27"/>
      <c r="AO399" s="27"/>
      <c r="AP399" s="27"/>
      <c r="AQ399" s="27"/>
      <c r="AR399" s="27"/>
      <c r="AS399" s="27"/>
      <c r="AT399" s="27"/>
      <c r="AU399" s="27"/>
      <c r="AV399" s="27"/>
      <c r="AW399" s="27">
        <f t="shared" si="57"/>
        <v>2726586.2333333334</v>
      </c>
      <c r="AX399" s="79">
        <f t="shared" si="58"/>
        <v>116743336.5</v>
      </c>
      <c r="AY399" s="79">
        <f t="shared" si="59"/>
        <v>46851837.5</v>
      </c>
      <c r="AZ399" s="25">
        <v>1</v>
      </c>
      <c r="BA399" s="62" t="s">
        <v>97</v>
      </c>
      <c r="BB399" s="66">
        <v>1</v>
      </c>
      <c r="BC399" s="66"/>
      <c r="BD399" s="66"/>
      <c r="BE399" s="67">
        <f t="shared" si="63"/>
        <v>1363293.1166666667</v>
      </c>
      <c r="BF399" s="67">
        <f t="shared" si="66"/>
        <v>0</v>
      </c>
      <c r="BG399" s="67">
        <f t="shared" si="65"/>
        <v>0</v>
      </c>
      <c r="BH399" s="66"/>
      <c r="BI399" s="68" t="s">
        <v>1092</v>
      </c>
      <c r="BJ399" s="68" t="s">
        <v>58</v>
      </c>
      <c r="BK399" s="68" t="s">
        <v>59</v>
      </c>
      <c r="BL399" s="29"/>
      <c r="BO399" s="35" t="s">
        <v>1800</v>
      </c>
      <c r="BP399" s="1" t="s">
        <v>1815</v>
      </c>
      <c r="BQ399" s="1" t="e">
        <v>#N/A</v>
      </c>
    </row>
    <row r="400" spans="1:69" ht="15" hidden="1" customHeight="1">
      <c r="A400" s="1" t="s">
        <v>43</v>
      </c>
      <c r="C400" s="1" t="str">
        <f t="shared" si="60"/>
        <v>3104</v>
      </c>
      <c r="D400" s="1" t="str">
        <f t="shared" si="61"/>
        <v>2104</v>
      </c>
      <c r="E400" s="19" t="s">
        <v>48</v>
      </c>
      <c r="F400" s="62" t="s">
        <v>49</v>
      </c>
      <c r="G400" s="62">
        <v>2112</v>
      </c>
      <c r="H400" s="62" t="s">
        <v>1093</v>
      </c>
      <c r="I400" s="62" t="s">
        <v>1084</v>
      </c>
      <c r="J400" s="118">
        <v>1</v>
      </c>
      <c r="K400" s="119" t="s">
        <v>271</v>
      </c>
      <c r="L400" s="62" t="s">
        <v>77</v>
      </c>
      <c r="M400" s="120" t="s">
        <v>1085</v>
      </c>
      <c r="N400" s="63">
        <v>44280</v>
      </c>
      <c r="O400" s="24">
        <v>6996</v>
      </c>
      <c r="P400" s="24">
        <v>23173</v>
      </c>
      <c r="Q400" s="64">
        <v>162118308</v>
      </c>
      <c r="R400" s="64"/>
      <c r="S400" s="64"/>
      <c r="T400" s="64">
        <v>1476865.7</v>
      </c>
      <c r="U400" s="64" t="s">
        <v>1086</v>
      </c>
      <c r="V400" s="121">
        <v>163595174</v>
      </c>
      <c r="W400" s="122">
        <v>0</v>
      </c>
      <c r="X400" s="64">
        <v>163595174</v>
      </c>
      <c r="Y400" s="121"/>
      <c r="Z400" s="121"/>
      <c r="AA400" s="128"/>
      <c r="AB400" s="121"/>
      <c r="AC400" s="64">
        <v>163595174</v>
      </c>
      <c r="AD400" s="65">
        <v>44306</v>
      </c>
      <c r="AE400" s="65">
        <v>47956</v>
      </c>
      <c r="AF400" s="62">
        <v>10</v>
      </c>
      <c r="AG400" s="119">
        <v>120</v>
      </c>
      <c r="AH400" s="25">
        <v>1363293.1166666667</v>
      </c>
      <c r="AI400" s="78">
        <v>44125251.266666666</v>
      </c>
      <c r="AJ400" s="78">
        <v>119469922.73333333</v>
      </c>
      <c r="AK400" s="27">
        <f t="shared" si="62"/>
        <v>1363293.1166666667</v>
      </c>
      <c r="AL400" s="27">
        <f t="shared" si="64"/>
        <v>1363293.1166666667</v>
      </c>
      <c r="AM400" s="27"/>
      <c r="AN400" s="27"/>
      <c r="AO400" s="27"/>
      <c r="AP400" s="27"/>
      <c r="AQ400" s="27"/>
      <c r="AR400" s="27"/>
      <c r="AS400" s="27"/>
      <c r="AT400" s="27"/>
      <c r="AU400" s="27"/>
      <c r="AV400" s="27"/>
      <c r="AW400" s="27">
        <f t="shared" si="57"/>
        <v>2726586.2333333334</v>
      </c>
      <c r="AX400" s="79">
        <f t="shared" si="58"/>
        <v>116743336.5</v>
      </c>
      <c r="AY400" s="79">
        <f t="shared" si="59"/>
        <v>46851837.5</v>
      </c>
      <c r="AZ400" s="25">
        <v>1</v>
      </c>
      <c r="BA400" s="62" t="s">
        <v>97</v>
      </c>
      <c r="BB400" s="66">
        <v>1</v>
      </c>
      <c r="BC400" s="66"/>
      <c r="BD400" s="66"/>
      <c r="BE400" s="67">
        <f t="shared" si="63"/>
        <v>1363293.1166666667</v>
      </c>
      <c r="BF400" s="67">
        <f t="shared" si="66"/>
        <v>0</v>
      </c>
      <c r="BG400" s="67">
        <f t="shared" si="65"/>
        <v>0</v>
      </c>
      <c r="BH400" s="66"/>
      <c r="BI400" s="68" t="s">
        <v>1094</v>
      </c>
      <c r="BJ400" s="68" t="s">
        <v>58</v>
      </c>
      <c r="BK400" s="68" t="s">
        <v>59</v>
      </c>
      <c r="BL400" s="29"/>
      <c r="BO400" s="35" t="s">
        <v>1800</v>
      </c>
      <c r="BP400" s="1" t="s">
        <v>1822</v>
      </c>
      <c r="BQ400" s="1" t="e">
        <v>#N/A</v>
      </c>
    </row>
    <row r="401" spans="1:69" ht="15" hidden="1" customHeight="1">
      <c r="A401" s="1" t="s">
        <v>43</v>
      </c>
      <c r="C401" s="1" t="str">
        <f t="shared" si="60"/>
        <v>3104</v>
      </c>
      <c r="D401" s="1" t="str">
        <f t="shared" si="61"/>
        <v>2104</v>
      </c>
      <c r="E401" s="19" t="s">
        <v>48</v>
      </c>
      <c r="F401" s="62" t="s">
        <v>49</v>
      </c>
      <c r="G401" s="62">
        <v>2112</v>
      </c>
      <c r="H401" s="62" t="s">
        <v>1095</v>
      </c>
      <c r="I401" s="62" t="s">
        <v>1084</v>
      </c>
      <c r="J401" s="118">
        <v>1</v>
      </c>
      <c r="K401" s="119" t="s">
        <v>271</v>
      </c>
      <c r="L401" s="62" t="s">
        <v>77</v>
      </c>
      <c r="M401" s="120" t="s">
        <v>1085</v>
      </c>
      <c r="N401" s="63">
        <v>44280</v>
      </c>
      <c r="O401" s="24">
        <v>6996</v>
      </c>
      <c r="P401" s="24">
        <v>23173</v>
      </c>
      <c r="Q401" s="64">
        <v>162118308</v>
      </c>
      <c r="R401" s="64"/>
      <c r="S401" s="64"/>
      <c r="T401" s="64">
        <v>1476865.7</v>
      </c>
      <c r="U401" s="64" t="s">
        <v>1086</v>
      </c>
      <c r="V401" s="121">
        <v>163595174</v>
      </c>
      <c r="W401" s="122">
        <v>0</v>
      </c>
      <c r="X401" s="64">
        <v>163595174</v>
      </c>
      <c r="Y401" s="121"/>
      <c r="Z401" s="121"/>
      <c r="AA401" s="128"/>
      <c r="AB401" s="121"/>
      <c r="AC401" s="64">
        <v>163595174</v>
      </c>
      <c r="AD401" s="65">
        <v>44306</v>
      </c>
      <c r="AE401" s="65">
        <v>47956</v>
      </c>
      <c r="AF401" s="62">
        <v>10</v>
      </c>
      <c r="AG401" s="119">
        <v>120</v>
      </c>
      <c r="AH401" s="25">
        <v>1363293.1166666667</v>
      </c>
      <c r="AI401" s="78">
        <v>44125251.266666666</v>
      </c>
      <c r="AJ401" s="78">
        <v>119469922.73333333</v>
      </c>
      <c r="AK401" s="27">
        <f t="shared" si="62"/>
        <v>1363293.1166666667</v>
      </c>
      <c r="AL401" s="27">
        <f t="shared" si="64"/>
        <v>1363293.1166666667</v>
      </c>
      <c r="AM401" s="27"/>
      <c r="AN401" s="27"/>
      <c r="AO401" s="27"/>
      <c r="AP401" s="27"/>
      <c r="AQ401" s="27"/>
      <c r="AR401" s="27"/>
      <c r="AS401" s="27"/>
      <c r="AT401" s="27"/>
      <c r="AU401" s="27"/>
      <c r="AV401" s="27"/>
      <c r="AW401" s="27">
        <f t="shared" ref="AW401:AW464" si="67">+SUM(AK401:AV401)</f>
        <v>2726586.2333333334</v>
      </c>
      <c r="AX401" s="79">
        <f t="shared" ref="AX401:AX464" si="68">AC401-AI401-AW401</f>
        <v>116743336.5</v>
      </c>
      <c r="AY401" s="79">
        <f t="shared" ref="AY401:AY464" si="69">AW401+AI401</f>
        <v>46851837.5</v>
      </c>
      <c r="AZ401" s="25">
        <v>1</v>
      </c>
      <c r="BA401" s="62" t="s">
        <v>97</v>
      </c>
      <c r="BB401" s="66">
        <v>1</v>
      </c>
      <c r="BC401" s="66"/>
      <c r="BD401" s="66"/>
      <c r="BE401" s="67">
        <f t="shared" si="63"/>
        <v>1363293.1166666667</v>
      </c>
      <c r="BF401" s="67">
        <f t="shared" si="66"/>
        <v>0</v>
      </c>
      <c r="BG401" s="67">
        <f t="shared" si="65"/>
        <v>0</v>
      </c>
      <c r="BH401" s="66"/>
      <c r="BI401" s="68" t="s">
        <v>1096</v>
      </c>
      <c r="BJ401" s="68" t="s">
        <v>58</v>
      </c>
      <c r="BK401" s="68" t="s">
        <v>59</v>
      </c>
      <c r="BL401" s="29"/>
      <c r="BO401" s="35" t="s">
        <v>1800</v>
      </c>
      <c r="BP401" s="1" t="s">
        <v>1810</v>
      </c>
      <c r="BQ401" s="1" t="e">
        <v>#N/A</v>
      </c>
    </row>
    <row r="402" spans="1:69" ht="15" hidden="1" customHeight="1">
      <c r="A402" s="1" t="s">
        <v>43</v>
      </c>
      <c r="C402" s="1" t="str">
        <f t="shared" ref="C402:C465" si="70">+RIGHT(YEAR(AE402),2)&amp;IF(LEN(MONTH(AE402))=2,MONTH(AE402),"0"&amp;MONTH(AE402))</f>
        <v>3104</v>
      </c>
      <c r="D402" s="1" t="str">
        <f t="shared" ref="D402:D465" si="71">+RIGHT(YEAR(AD402),2)&amp;IF(LEN(MONTH(AD402))=2,MONTH(AD402),"0"&amp;MONTH(AD402))</f>
        <v>2104</v>
      </c>
      <c r="E402" s="19" t="s">
        <v>48</v>
      </c>
      <c r="F402" s="62" t="s">
        <v>49</v>
      </c>
      <c r="G402" s="62">
        <v>2112</v>
      </c>
      <c r="H402" s="62" t="s">
        <v>1097</v>
      </c>
      <c r="I402" s="62" t="s">
        <v>1084</v>
      </c>
      <c r="J402" s="118">
        <v>1</v>
      </c>
      <c r="K402" s="119" t="s">
        <v>271</v>
      </c>
      <c r="L402" s="62" t="s">
        <v>77</v>
      </c>
      <c r="M402" s="120" t="s">
        <v>1085</v>
      </c>
      <c r="N402" s="63">
        <v>44280</v>
      </c>
      <c r="O402" s="24">
        <v>6996</v>
      </c>
      <c r="P402" s="24">
        <v>23173</v>
      </c>
      <c r="Q402" s="64">
        <v>162118308</v>
      </c>
      <c r="R402" s="64"/>
      <c r="S402" s="64"/>
      <c r="T402" s="64">
        <v>1476865.7</v>
      </c>
      <c r="U402" s="64" t="s">
        <v>1086</v>
      </c>
      <c r="V402" s="121">
        <v>163595174</v>
      </c>
      <c r="W402" s="122">
        <v>0</v>
      </c>
      <c r="X402" s="64">
        <v>163595174</v>
      </c>
      <c r="Y402" s="121"/>
      <c r="Z402" s="121"/>
      <c r="AA402" s="128"/>
      <c r="AB402" s="121"/>
      <c r="AC402" s="64">
        <v>163595174</v>
      </c>
      <c r="AD402" s="65">
        <v>44306</v>
      </c>
      <c r="AE402" s="65">
        <v>47956</v>
      </c>
      <c r="AF402" s="62">
        <v>10</v>
      </c>
      <c r="AG402" s="119">
        <v>120</v>
      </c>
      <c r="AH402" s="25">
        <v>1363293.1166666667</v>
      </c>
      <c r="AI402" s="78">
        <v>44125251.266666666</v>
      </c>
      <c r="AJ402" s="78">
        <v>119469922.73333333</v>
      </c>
      <c r="AK402" s="27">
        <f t="shared" ref="AK402:AK465" si="72">+IF(AND(AK$3&gt;=$D402,AK$3&lt;$C402),$AH402,$AJ402)</f>
        <v>1363293.1166666667</v>
      </c>
      <c r="AL402" s="27">
        <f t="shared" si="64"/>
        <v>1363293.1166666667</v>
      </c>
      <c r="AM402" s="27"/>
      <c r="AN402" s="27"/>
      <c r="AO402" s="27"/>
      <c r="AP402" s="27"/>
      <c r="AQ402" s="27"/>
      <c r="AR402" s="27"/>
      <c r="AS402" s="27"/>
      <c r="AT402" s="27"/>
      <c r="AU402" s="27"/>
      <c r="AV402" s="27"/>
      <c r="AW402" s="27">
        <f t="shared" si="67"/>
        <v>2726586.2333333334</v>
      </c>
      <c r="AX402" s="79">
        <f t="shared" si="68"/>
        <v>116743336.5</v>
      </c>
      <c r="AY402" s="79">
        <f t="shared" si="69"/>
        <v>46851837.5</v>
      </c>
      <c r="AZ402" s="25">
        <v>1</v>
      </c>
      <c r="BA402" s="62" t="s">
        <v>97</v>
      </c>
      <c r="BB402" s="66">
        <v>1</v>
      </c>
      <c r="BC402" s="66"/>
      <c r="BD402" s="66"/>
      <c r="BE402" s="67">
        <f t="shared" si="63"/>
        <v>1363293.1166666667</v>
      </c>
      <c r="BF402" s="67">
        <f t="shared" si="66"/>
        <v>0</v>
      </c>
      <c r="BG402" s="67">
        <f t="shared" si="65"/>
        <v>0</v>
      </c>
      <c r="BH402" s="66"/>
      <c r="BI402" s="68" t="s">
        <v>1098</v>
      </c>
      <c r="BJ402" s="68" t="s">
        <v>58</v>
      </c>
      <c r="BK402" s="68" t="s">
        <v>59</v>
      </c>
      <c r="BL402" s="29"/>
      <c r="BO402" s="35" t="s">
        <v>1800</v>
      </c>
      <c r="BP402" s="1" t="s">
        <v>1821</v>
      </c>
      <c r="BQ402" s="1" t="e">
        <v>#N/A</v>
      </c>
    </row>
    <row r="403" spans="1:69" ht="15" hidden="1" customHeight="1">
      <c r="A403" s="1" t="s">
        <v>43</v>
      </c>
      <c r="C403" s="1" t="str">
        <f t="shared" si="70"/>
        <v>3104</v>
      </c>
      <c r="D403" s="1" t="str">
        <f t="shared" si="71"/>
        <v>2104</v>
      </c>
      <c r="E403" s="19" t="s">
        <v>48</v>
      </c>
      <c r="F403" s="62" t="s">
        <v>49</v>
      </c>
      <c r="G403" s="62">
        <v>2112</v>
      </c>
      <c r="H403" s="62" t="s">
        <v>1099</v>
      </c>
      <c r="I403" s="62" t="s">
        <v>1084</v>
      </c>
      <c r="J403" s="118">
        <v>1</v>
      </c>
      <c r="K403" s="119" t="s">
        <v>271</v>
      </c>
      <c r="L403" s="62" t="s">
        <v>77</v>
      </c>
      <c r="M403" s="120" t="s">
        <v>1085</v>
      </c>
      <c r="N403" s="63">
        <v>44280</v>
      </c>
      <c r="O403" s="24">
        <v>6996</v>
      </c>
      <c r="P403" s="24">
        <v>23173</v>
      </c>
      <c r="Q403" s="64">
        <v>162118308</v>
      </c>
      <c r="R403" s="64"/>
      <c r="S403" s="64"/>
      <c r="T403" s="64">
        <v>1476865.7</v>
      </c>
      <c r="U403" s="64" t="s">
        <v>1086</v>
      </c>
      <c r="V403" s="121">
        <v>163595174</v>
      </c>
      <c r="W403" s="122">
        <v>0</v>
      </c>
      <c r="X403" s="64">
        <v>163595174</v>
      </c>
      <c r="Y403" s="121"/>
      <c r="Z403" s="121"/>
      <c r="AA403" s="128"/>
      <c r="AB403" s="121"/>
      <c r="AC403" s="64">
        <v>163595174</v>
      </c>
      <c r="AD403" s="65">
        <v>44306</v>
      </c>
      <c r="AE403" s="65">
        <v>47956</v>
      </c>
      <c r="AF403" s="62">
        <v>10</v>
      </c>
      <c r="AG403" s="119">
        <v>120</v>
      </c>
      <c r="AH403" s="25">
        <v>1363293.1166666667</v>
      </c>
      <c r="AI403" s="78">
        <v>44125251.266666666</v>
      </c>
      <c r="AJ403" s="78">
        <v>119469922.73333333</v>
      </c>
      <c r="AK403" s="27">
        <f t="shared" si="72"/>
        <v>1363293.1166666667</v>
      </c>
      <c r="AL403" s="27">
        <f t="shared" si="64"/>
        <v>1363293.1166666667</v>
      </c>
      <c r="AM403" s="27"/>
      <c r="AN403" s="27"/>
      <c r="AO403" s="27"/>
      <c r="AP403" s="27"/>
      <c r="AQ403" s="27"/>
      <c r="AR403" s="27"/>
      <c r="AS403" s="27"/>
      <c r="AT403" s="27"/>
      <c r="AU403" s="27"/>
      <c r="AV403" s="27"/>
      <c r="AW403" s="27">
        <f t="shared" si="67"/>
        <v>2726586.2333333334</v>
      </c>
      <c r="AX403" s="79">
        <f t="shared" si="68"/>
        <v>116743336.5</v>
      </c>
      <c r="AY403" s="79">
        <f t="shared" si="69"/>
        <v>46851837.5</v>
      </c>
      <c r="AZ403" s="25">
        <v>1</v>
      </c>
      <c r="BA403" s="62" t="s">
        <v>97</v>
      </c>
      <c r="BB403" s="66">
        <v>1</v>
      </c>
      <c r="BC403" s="66"/>
      <c r="BD403" s="66"/>
      <c r="BE403" s="67">
        <f t="shared" si="63"/>
        <v>1363293.1166666667</v>
      </c>
      <c r="BF403" s="67">
        <f t="shared" si="66"/>
        <v>0</v>
      </c>
      <c r="BG403" s="67">
        <f t="shared" si="65"/>
        <v>0</v>
      </c>
      <c r="BH403" s="66"/>
      <c r="BI403" s="68" t="s">
        <v>1100</v>
      </c>
      <c r="BJ403" s="68" t="s">
        <v>58</v>
      </c>
      <c r="BK403" s="68" t="s">
        <v>59</v>
      </c>
      <c r="BL403" s="29"/>
      <c r="BO403" s="35" t="s">
        <v>1801</v>
      </c>
      <c r="BP403" s="1" t="s">
        <v>1825</v>
      </c>
      <c r="BQ403" s="1" t="s">
        <v>1989</v>
      </c>
    </row>
    <row r="404" spans="1:69" ht="15" hidden="1" customHeight="1">
      <c r="A404" s="1" t="s">
        <v>43</v>
      </c>
      <c r="C404" s="1" t="str">
        <f t="shared" si="70"/>
        <v>3104</v>
      </c>
      <c r="D404" s="1" t="str">
        <f t="shared" si="71"/>
        <v>2104</v>
      </c>
      <c r="E404" s="19" t="s">
        <v>48</v>
      </c>
      <c r="F404" s="62" t="s">
        <v>49</v>
      </c>
      <c r="G404" s="62">
        <v>2112</v>
      </c>
      <c r="H404" s="62" t="s">
        <v>1101</v>
      </c>
      <c r="I404" s="62" t="s">
        <v>1084</v>
      </c>
      <c r="J404" s="118">
        <v>1</v>
      </c>
      <c r="K404" s="119" t="s">
        <v>271</v>
      </c>
      <c r="L404" s="62" t="s">
        <v>77</v>
      </c>
      <c r="M404" s="120" t="s">
        <v>1085</v>
      </c>
      <c r="N404" s="63">
        <v>44280</v>
      </c>
      <c r="O404" s="24">
        <v>6996</v>
      </c>
      <c r="P404" s="24">
        <v>23173</v>
      </c>
      <c r="Q404" s="64">
        <v>162118308</v>
      </c>
      <c r="R404" s="64"/>
      <c r="S404" s="64"/>
      <c r="T404" s="64">
        <v>1476865.7</v>
      </c>
      <c r="U404" s="64" t="s">
        <v>1086</v>
      </c>
      <c r="V404" s="121">
        <v>163595174</v>
      </c>
      <c r="W404" s="122">
        <v>0</v>
      </c>
      <c r="X404" s="64">
        <v>163595174</v>
      </c>
      <c r="Y404" s="121"/>
      <c r="Z404" s="121"/>
      <c r="AA404" s="128"/>
      <c r="AB404" s="121"/>
      <c r="AC404" s="64">
        <v>163595174</v>
      </c>
      <c r="AD404" s="65">
        <v>44306</v>
      </c>
      <c r="AE404" s="65">
        <v>47956</v>
      </c>
      <c r="AF404" s="62">
        <v>10</v>
      </c>
      <c r="AG404" s="119">
        <v>120</v>
      </c>
      <c r="AH404" s="25">
        <v>1363293.1166666667</v>
      </c>
      <c r="AI404" s="78">
        <v>44125251.266666666</v>
      </c>
      <c r="AJ404" s="78">
        <v>119469922.73333333</v>
      </c>
      <c r="AK404" s="27">
        <f t="shared" si="72"/>
        <v>1363293.1166666667</v>
      </c>
      <c r="AL404" s="27">
        <f t="shared" si="64"/>
        <v>1363293.1166666667</v>
      </c>
      <c r="AM404" s="27"/>
      <c r="AN404" s="27"/>
      <c r="AO404" s="27"/>
      <c r="AP404" s="27"/>
      <c r="AQ404" s="27"/>
      <c r="AR404" s="27"/>
      <c r="AS404" s="27"/>
      <c r="AT404" s="27"/>
      <c r="AU404" s="27"/>
      <c r="AV404" s="27"/>
      <c r="AW404" s="27">
        <f t="shared" si="67"/>
        <v>2726586.2333333334</v>
      </c>
      <c r="AX404" s="79">
        <f t="shared" si="68"/>
        <v>116743336.5</v>
      </c>
      <c r="AY404" s="79">
        <f t="shared" si="69"/>
        <v>46851837.5</v>
      </c>
      <c r="AZ404" s="25">
        <v>1</v>
      </c>
      <c r="BA404" s="62" t="s">
        <v>97</v>
      </c>
      <c r="BB404" s="66">
        <v>1</v>
      </c>
      <c r="BC404" s="66"/>
      <c r="BD404" s="66"/>
      <c r="BE404" s="67">
        <f t="shared" si="63"/>
        <v>1363293.1166666667</v>
      </c>
      <c r="BF404" s="67">
        <f t="shared" si="66"/>
        <v>0</v>
      </c>
      <c r="BG404" s="67">
        <f t="shared" si="65"/>
        <v>0</v>
      </c>
      <c r="BH404" s="66"/>
      <c r="BI404" s="68" t="s">
        <v>1102</v>
      </c>
      <c r="BJ404" s="68" t="s">
        <v>58</v>
      </c>
      <c r="BK404" s="68" t="s">
        <v>59</v>
      </c>
      <c r="BL404" s="29"/>
      <c r="BO404" s="35" t="s">
        <v>1801</v>
      </c>
      <c r="BP404" s="1" t="s">
        <v>1813</v>
      </c>
      <c r="BQ404" s="1" t="e">
        <v>#N/A</v>
      </c>
    </row>
    <row r="405" spans="1:69" ht="15" hidden="1" customHeight="1">
      <c r="A405" s="1" t="s">
        <v>43</v>
      </c>
      <c r="C405" s="1" t="str">
        <f t="shared" si="70"/>
        <v>3104</v>
      </c>
      <c r="D405" s="1" t="str">
        <f t="shared" si="71"/>
        <v>2104</v>
      </c>
      <c r="E405" s="19" t="s">
        <v>48</v>
      </c>
      <c r="F405" s="62" t="s">
        <v>49</v>
      </c>
      <c r="G405" s="62">
        <v>2112</v>
      </c>
      <c r="H405" s="62" t="s">
        <v>1103</v>
      </c>
      <c r="I405" s="62" t="s">
        <v>1084</v>
      </c>
      <c r="J405" s="118">
        <v>1</v>
      </c>
      <c r="K405" s="119" t="s">
        <v>271</v>
      </c>
      <c r="L405" s="62" t="s">
        <v>77</v>
      </c>
      <c r="M405" s="120" t="s">
        <v>1085</v>
      </c>
      <c r="N405" s="63">
        <v>44280</v>
      </c>
      <c r="O405" s="24">
        <v>6996</v>
      </c>
      <c r="P405" s="24">
        <v>23173</v>
      </c>
      <c r="Q405" s="64">
        <v>162118308</v>
      </c>
      <c r="R405" s="64"/>
      <c r="S405" s="64"/>
      <c r="T405" s="64">
        <v>1476865.7</v>
      </c>
      <c r="U405" s="64" t="s">
        <v>1086</v>
      </c>
      <c r="V405" s="121">
        <v>163595174</v>
      </c>
      <c r="W405" s="122">
        <v>0</v>
      </c>
      <c r="X405" s="64">
        <v>163595174</v>
      </c>
      <c r="Y405" s="121"/>
      <c r="Z405" s="121"/>
      <c r="AA405" s="128"/>
      <c r="AB405" s="121"/>
      <c r="AC405" s="64">
        <v>163595174</v>
      </c>
      <c r="AD405" s="65">
        <v>44306</v>
      </c>
      <c r="AE405" s="65">
        <v>47956</v>
      </c>
      <c r="AF405" s="62">
        <v>10</v>
      </c>
      <c r="AG405" s="119">
        <v>120</v>
      </c>
      <c r="AH405" s="25">
        <v>1363293.1166666667</v>
      </c>
      <c r="AI405" s="78">
        <v>44125251.266666666</v>
      </c>
      <c r="AJ405" s="78">
        <v>119469922.73333333</v>
      </c>
      <c r="AK405" s="27">
        <f t="shared" si="72"/>
        <v>1363293.1166666667</v>
      </c>
      <c r="AL405" s="27">
        <f t="shared" si="64"/>
        <v>1363293.1166666667</v>
      </c>
      <c r="AM405" s="27"/>
      <c r="AN405" s="27"/>
      <c r="AO405" s="27"/>
      <c r="AP405" s="27"/>
      <c r="AQ405" s="27"/>
      <c r="AR405" s="27"/>
      <c r="AS405" s="27"/>
      <c r="AT405" s="27"/>
      <c r="AU405" s="27"/>
      <c r="AV405" s="27"/>
      <c r="AW405" s="27">
        <f t="shared" si="67"/>
        <v>2726586.2333333334</v>
      </c>
      <c r="AX405" s="79">
        <f t="shared" si="68"/>
        <v>116743336.5</v>
      </c>
      <c r="AY405" s="79">
        <f t="shared" si="69"/>
        <v>46851837.5</v>
      </c>
      <c r="AZ405" s="25">
        <v>1</v>
      </c>
      <c r="BA405" s="62" t="s">
        <v>97</v>
      </c>
      <c r="BB405" s="66">
        <v>1</v>
      </c>
      <c r="BC405" s="66"/>
      <c r="BD405" s="66"/>
      <c r="BE405" s="67">
        <f t="shared" ref="BE405:BE468" si="73">+$AL405*BB405</f>
        <v>1363293.1166666667</v>
      </c>
      <c r="BF405" s="67">
        <f t="shared" si="66"/>
        <v>0</v>
      </c>
      <c r="BG405" s="67">
        <f t="shared" si="65"/>
        <v>0</v>
      </c>
      <c r="BH405" s="66"/>
      <c r="BI405" s="68" t="s">
        <v>1104</v>
      </c>
      <c r="BJ405" s="68" t="s">
        <v>58</v>
      </c>
      <c r="BK405" s="68" t="s">
        <v>59</v>
      </c>
      <c r="BL405" s="29"/>
      <c r="BO405" s="35" t="s">
        <v>1800</v>
      </c>
      <c r="BP405" s="1" t="s">
        <v>1806</v>
      </c>
      <c r="BQ405" s="1" t="e">
        <v>#N/A</v>
      </c>
    </row>
    <row r="406" spans="1:69" ht="15" hidden="1" customHeight="1">
      <c r="A406" s="1" t="s">
        <v>43</v>
      </c>
      <c r="C406" s="1" t="str">
        <f t="shared" si="70"/>
        <v>3104</v>
      </c>
      <c r="D406" s="1" t="str">
        <f t="shared" si="71"/>
        <v>2104</v>
      </c>
      <c r="E406" s="19" t="s">
        <v>48</v>
      </c>
      <c r="F406" s="62" t="s">
        <v>49</v>
      </c>
      <c r="G406" s="62">
        <v>2112</v>
      </c>
      <c r="H406" s="62" t="s">
        <v>1105</v>
      </c>
      <c r="I406" s="62" t="s">
        <v>1106</v>
      </c>
      <c r="J406" s="118">
        <v>1</v>
      </c>
      <c r="K406" s="119" t="s">
        <v>271</v>
      </c>
      <c r="L406" s="62" t="s">
        <v>77</v>
      </c>
      <c r="M406" s="120" t="s">
        <v>1085</v>
      </c>
      <c r="N406" s="63">
        <v>44280</v>
      </c>
      <c r="O406" s="24">
        <v>9752</v>
      </c>
      <c r="P406" s="24">
        <v>23173</v>
      </c>
      <c r="Q406" s="64">
        <v>225983096</v>
      </c>
      <c r="R406" s="64"/>
      <c r="S406" s="64"/>
      <c r="T406" s="64">
        <v>2058661</v>
      </c>
      <c r="U406" s="64" t="s">
        <v>1086</v>
      </c>
      <c r="V406" s="121">
        <v>228041757</v>
      </c>
      <c r="W406" s="122">
        <v>0</v>
      </c>
      <c r="X406" s="64">
        <v>228041757</v>
      </c>
      <c r="Y406" s="121"/>
      <c r="Z406" s="121"/>
      <c r="AA406" s="128"/>
      <c r="AB406" s="121"/>
      <c r="AC406" s="64">
        <v>228041757</v>
      </c>
      <c r="AD406" s="65">
        <v>44306</v>
      </c>
      <c r="AE406" s="65">
        <v>47956</v>
      </c>
      <c r="AF406" s="62">
        <v>10</v>
      </c>
      <c r="AG406" s="119">
        <v>120</v>
      </c>
      <c r="AH406" s="25">
        <v>1900347.9750000001</v>
      </c>
      <c r="AI406" s="78">
        <v>61507930.016666651</v>
      </c>
      <c r="AJ406" s="78">
        <v>166533826.98333335</v>
      </c>
      <c r="AK406" s="27">
        <f t="shared" si="72"/>
        <v>1900347.9750000001</v>
      </c>
      <c r="AL406" s="27">
        <f t="shared" si="64"/>
        <v>1900347.9750000001</v>
      </c>
      <c r="AM406" s="27"/>
      <c r="AN406" s="27"/>
      <c r="AO406" s="27"/>
      <c r="AP406" s="27"/>
      <c r="AQ406" s="27"/>
      <c r="AR406" s="27"/>
      <c r="AS406" s="27"/>
      <c r="AT406" s="27"/>
      <c r="AU406" s="27"/>
      <c r="AV406" s="27"/>
      <c r="AW406" s="27">
        <f t="shared" si="67"/>
        <v>3800695.95</v>
      </c>
      <c r="AX406" s="79">
        <f t="shared" si="68"/>
        <v>162733131.03333336</v>
      </c>
      <c r="AY406" s="79">
        <f t="shared" si="69"/>
        <v>65308625.966666654</v>
      </c>
      <c r="AZ406" s="25">
        <v>1</v>
      </c>
      <c r="BA406" s="62" t="s">
        <v>97</v>
      </c>
      <c r="BB406" s="66">
        <v>1</v>
      </c>
      <c r="BC406" s="66"/>
      <c r="BD406" s="66"/>
      <c r="BE406" s="67">
        <f t="shared" si="73"/>
        <v>1900347.9750000001</v>
      </c>
      <c r="BF406" s="67">
        <f t="shared" si="66"/>
        <v>0</v>
      </c>
      <c r="BG406" s="67">
        <f t="shared" si="65"/>
        <v>0</v>
      </c>
      <c r="BH406" s="66"/>
      <c r="BI406" s="68" t="s">
        <v>1107</v>
      </c>
      <c r="BJ406" s="68" t="s">
        <v>58</v>
      </c>
      <c r="BK406" s="68" t="s">
        <v>59</v>
      </c>
      <c r="BL406" s="29"/>
      <c r="BO406" s="35" t="s">
        <v>1800</v>
      </c>
      <c r="BP406" s="1" t="s">
        <v>1811</v>
      </c>
      <c r="BQ406" s="1" t="e">
        <v>#N/A</v>
      </c>
    </row>
    <row r="407" spans="1:69" ht="15" hidden="1" customHeight="1">
      <c r="A407" s="1" t="s">
        <v>43</v>
      </c>
      <c r="C407" s="1" t="str">
        <f t="shared" si="70"/>
        <v>2804</v>
      </c>
      <c r="D407" s="1" t="str">
        <f t="shared" si="71"/>
        <v>2104</v>
      </c>
      <c r="E407" s="19" t="s">
        <v>48</v>
      </c>
      <c r="F407" s="62" t="s">
        <v>49</v>
      </c>
      <c r="G407" s="62">
        <v>2112</v>
      </c>
      <c r="H407" s="62" t="s">
        <v>1108</v>
      </c>
      <c r="I407" s="62" t="s">
        <v>1109</v>
      </c>
      <c r="J407" s="118">
        <v>1</v>
      </c>
      <c r="K407" s="119" t="s">
        <v>271</v>
      </c>
      <c r="L407" s="62" t="s">
        <v>77</v>
      </c>
      <c r="M407" s="120" t="s">
        <v>1110</v>
      </c>
      <c r="N407" s="63">
        <v>44258</v>
      </c>
      <c r="O407" s="24">
        <v>5000</v>
      </c>
      <c r="P407" s="24">
        <v>23125</v>
      </c>
      <c r="Q407" s="64">
        <v>115625000</v>
      </c>
      <c r="R407" s="64"/>
      <c r="S407" s="64"/>
      <c r="T407" s="64">
        <v>2713186</v>
      </c>
      <c r="U407" s="64" t="s">
        <v>1111</v>
      </c>
      <c r="V407" s="121">
        <v>118338186</v>
      </c>
      <c r="W407" s="122">
        <v>0</v>
      </c>
      <c r="X407" s="64">
        <v>118338186</v>
      </c>
      <c r="Y407" s="121"/>
      <c r="Z407" s="121"/>
      <c r="AA407" s="128"/>
      <c r="AB407" s="121"/>
      <c r="AC407" s="64">
        <v>118338186</v>
      </c>
      <c r="AD407" s="65">
        <v>44306</v>
      </c>
      <c r="AE407" s="65">
        <v>46861</v>
      </c>
      <c r="AF407" s="62">
        <v>7</v>
      </c>
      <c r="AG407" s="119">
        <v>84</v>
      </c>
      <c r="AH407" s="25">
        <v>1408787.9285714286</v>
      </c>
      <c r="AI407" s="78">
        <v>45597770.885714285</v>
      </c>
      <c r="AJ407" s="78">
        <v>72740415.114285707</v>
      </c>
      <c r="AK407" s="27">
        <f t="shared" si="72"/>
        <v>1408787.9285714286</v>
      </c>
      <c r="AL407" s="27">
        <f t="shared" si="64"/>
        <v>1408787.9285714286</v>
      </c>
      <c r="AM407" s="27"/>
      <c r="AN407" s="27"/>
      <c r="AO407" s="27"/>
      <c r="AP407" s="27"/>
      <c r="AQ407" s="27"/>
      <c r="AR407" s="27"/>
      <c r="AS407" s="27"/>
      <c r="AT407" s="27"/>
      <c r="AU407" s="27"/>
      <c r="AV407" s="27"/>
      <c r="AW407" s="27">
        <f t="shared" si="67"/>
        <v>2817575.8571428573</v>
      </c>
      <c r="AX407" s="79">
        <f t="shared" si="68"/>
        <v>69922839.257142857</v>
      </c>
      <c r="AY407" s="79">
        <f t="shared" si="69"/>
        <v>48415346.742857143</v>
      </c>
      <c r="AZ407" s="25">
        <v>1</v>
      </c>
      <c r="BA407" s="62" t="s">
        <v>97</v>
      </c>
      <c r="BB407" s="66">
        <v>1</v>
      </c>
      <c r="BC407" s="66"/>
      <c r="BD407" s="66"/>
      <c r="BE407" s="67">
        <f t="shared" si="73"/>
        <v>1408787.9285714286</v>
      </c>
      <c r="BF407" s="67">
        <f t="shared" si="66"/>
        <v>0</v>
      </c>
      <c r="BG407" s="67">
        <f t="shared" si="65"/>
        <v>0</v>
      </c>
      <c r="BH407" s="66"/>
      <c r="BI407" s="68" t="s">
        <v>1107</v>
      </c>
      <c r="BJ407" s="68" t="s">
        <v>58</v>
      </c>
      <c r="BK407" s="68" t="s">
        <v>59</v>
      </c>
      <c r="BL407" s="29"/>
      <c r="BO407" s="35" t="s">
        <v>1805</v>
      </c>
      <c r="BQ407" s="1" t="e">
        <v>#N/A</v>
      </c>
    </row>
    <row r="408" spans="1:69" ht="15" hidden="1" customHeight="1">
      <c r="A408" s="1" t="s">
        <v>43</v>
      </c>
      <c r="C408" s="1" t="str">
        <f t="shared" si="70"/>
        <v>2804</v>
      </c>
      <c r="D408" s="1" t="str">
        <f t="shared" si="71"/>
        <v>2104</v>
      </c>
      <c r="E408" s="19" t="s">
        <v>48</v>
      </c>
      <c r="F408" s="62" t="s">
        <v>49</v>
      </c>
      <c r="G408" s="62">
        <v>2112</v>
      </c>
      <c r="H408" s="62" t="s">
        <v>1112</v>
      </c>
      <c r="I408" s="62" t="s">
        <v>1113</v>
      </c>
      <c r="J408" s="118">
        <v>1</v>
      </c>
      <c r="K408" s="119" t="s">
        <v>271</v>
      </c>
      <c r="L408" s="62" t="s">
        <v>77</v>
      </c>
      <c r="M408" s="120" t="s">
        <v>1110</v>
      </c>
      <c r="N408" s="63">
        <v>44258</v>
      </c>
      <c r="O408" s="24">
        <v>5500</v>
      </c>
      <c r="P408" s="24">
        <v>23125</v>
      </c>
      <c r="Q408" s="64">
        <v>127187500</v>
      </c>
      <c r="R408" s="64"/>
      <c r="S408" s="64"/>
      <c r="T408" s="64">
        <v>2984502</v>
      </c>
      <c r="U408" s="64" t="s">
        <v>1111</v>
      </c>
      <c r="V408" s="121">
        <v>130172002</v>
      </c>
      <c r="W408" s="122">
        <v>0</v>
      </c>
      <c r="X408" s="64">
        <v>130172002</v>
      </c>
      <c r="Y408" s="121"/>
      <c r="Z408" s="121"/>
      <c r="AA408" s="128"/>
      <c r="AB408" s="121"/>
      <c r="AC408" s="64">
        <v>130172002</v>
      </c>
      <c r="AD408" s="65">
        <v>44306</v>
      </c>
      <c r="AE408" s="65">
        <v>46861</v>
      </c>
      <c r="AF408" s="62">
        <v>7</v>
      </c>
      <c r="AG408" s="119">
        <v>84</v>
      </c>
      <c r="AH408" s="25">
        <v>1549666.6904761905</v>
      </c>
      <c r="AI408" s="78">
        <v>50157552.138095237</v>
      </c>
      <c r="AJ408" s="78">
        <v>80014449.86190477</v>
      </c>
      <c r="AK408" s="27">
        <f t="shared" si="72"/>
        <v>1549666.6904761905</v>
      </c>
      <c r="AL408" s="27">
        <f t="shared" ref="AL408:AL471" si="74">+IF(AND(AL$3&gt;=$D408,AL$3&lt;$C408),$AH408,$AJ408-SUM(AJ408:AK408))</f>
        <v>1549666.6904761905</v>
      </c>
      <c r="AM408" s="27"/>
      <c r="AN408" s="27"/>
      <c r="AO408" s="27"/>
      <c r="AP408" s="27"/>
      <c r="AQ408" s="27"/>
      <c r="AR408" s="27"/>
      <c r="AS408" s="27"/>
      <c r="AT408" s="27"/>
      <c r="AU408" s="27"/>
      <c r="AV408" s="27"/>
      <c r="AW408" s="27">
        <f t="shared" si="67"/>
        <v>3099333.3809523811</v>
      </c>
      <c r="AX408" s="79">
        <f t="shared" si="68"/>
        <v>76915116.480952382</v>
      </c>
      <c r="AY408" s="79">
        <f t="shared" si="69"/>
        <v>53256885.519047618</v>
      </c>
      <c r="AZ408" s="25">
        <v>1</v>
      </c>
      <c r="BA408" s="62" t="s">
        <v>97</v>
      </c>
      <c r="BB408" s="66">
        <v>1</v>
      </c>
      <c r="BC408" s="66"/>
      <c r="BD408" s="66"/>
      <c r="BE408" s="67">
        <f t="shared" si="73"/>
        <v>1549666.6904761905</v>
      </c>
      <c r="BF408" s="67">
        <f t="shared" si="66"/>
        <v>0</v>
      </c>
      <c r="BG408" s="67">
        <f t="shared" si="65"/>
        <v>0</v>
      </c>
      <c r="BH408" s="66"/>
      <c r="BI408" s="68" t="s">
        <v>1107</v>
      </c>
      <c r="BJ408" s="68" t="s">
        <v>58</v>
      </c>
      <c r="BK408" s="68" t="s">
        <v>59</v>
      </c>
      <c r="BL408" s="29"/>
      <c r="BO408" s="35" t="s">
        <v>1805</v>
      </c>
      <c r="BQ408" s="1" t="s">
        <v>1989</v>
      </c>
    </row>
    <row r="409" spans="1:69" ht="15" hidden="1" customHeight="1">
      <c r="A409" s="1" t="s">
        <v>43</v>
      </c>
      <c r="C409" s="1" t="str">
        <f t="shared" si="70"/>
        <v>2804</v>
      </c>
      <c r="D409" s="1" t="str">
        <f t="shared" si="71"/>
        <v>2104</v>
      </c>
      <c r="E409" s="19" t="s">
        <v>48</v>
      </c>
      <c r="F409" s="62" t="s">
        <v>49</v>
      </c>
      <c r="G409" s="62">
        <v>2112</v>
      </c>
      <c r="H409" s="62" t="s">
        <v>1114</v>
      </c>
      <c r="I409" s="62" t="s">
        <v>1115</v>
      </c>
      <c r="J409" s="118">
        <v>1</v>
      </c>
      <c r="K409" s="119" t="s">
        <v>271</v>
      </c>
      <c r="L409" s="62" t="s">
        <v>77</v>
      </c>
      <c r="M409" s="120" t="s">
        <v>1110</v>
      </c>
      <c r="N409" s="63">
        <v>44258</v>
      </c>
      <c r="O409" s="24">
        <v>7000</v>
      </c>
      <c r="P409" s="24">
        <v>23125</v>
      </c>
      <c r="Q409" s="64">
        <v>161875000</v>
      </c>
      <c r="R409" s="64"/>
      <c r="S409" s="64"/>
      <c r="T409" s="64">
        <v>3798459</v>
      </c>
      <c r="U409" s="64" t="s">
        <v>1111</v>
      </c>
      <c r="V409" s="121">
        <v>165673459</v>
      </c>
      <c r="W409" s="122">
        <v>0</v>
      </c>
      <c r="X409" s="64">
        <v>165673459</v>
      </c>
      <c r="Y409" s="121"/>
      <c r="Z409" s="121"/>
      <c r="AA409" s="128"/>
      <c r="AB409" s="121"/>
      <c r="AC409" s="64">
        <v>165673459</v>
      </c>
      <c r="AD409" s="65">
        <v>44306</v>
      </c>
      <c r="AE409" s="65">
        <v>46861</v>
      </c>
      <c r="AF409" s="62">
        <v>7</v>
      </c>
      <c r="AG409" s="119">
        <v>84</v>
      </c>
      <c r="AH409" s="25">
        <v>1972303.0833333333</v>
      </c>
      <c r="AI409" s="78">
        <v>63836874.599999979</v>
      </c>
      <c r="AJ409" s="78">
        <v>101836584.40000002</v>
      </c>
      <c r="AK409" s="27">
        <f t="shared" si="72"/>
        <v>1972303.0833333333</v>
      </c>
      <c r="AL409" s="27">
        <f t="shared" si="74"/>
        <v>1972303.0833333333</v>
      </c>
      <c r="AM409" s="27"/>
      <c r="AN409" s="27"/>
      <c r="AO409" s="27"/>
      <c r="AP409" s="27"/>
      <c r="AQ409" s="27"/>
      <c r="AR409" s="27"/>
      <c r="AS409" s="27"/>
      <c r="AT409" s="27"/>
      <c r="AU409" s="27"/>
      <c r="AV409" s="27"/>
      <c r="AW409" s="27">
        <f t="shared" si="67"/>
        <v>3944606.1666666665</v>
      </c>
      <c r="AX409" s="79">
        <f t="shared" si="68"/>
        <v>97891978.233333349</v>
      </c>
      <c r="AY409" s="79">
        <f t="shared" si="69"/>
        <v>67781480.766666651</v>
      </c>
      <c r="AZ409" s="25">
        <v>1</v>
      </c>
      <c r="BA409" s="62" t="s">
        <v>97</v>
      </c>
      <c r="BB409" s="66">
        <v>1</v>
      </c>
      <c r="BC409" s="66"/>
      <c r="BD409" s="66"/>
      <c r="BE409" s="67">
        <f t="shared" si="73"/>
        <v>1972303.0833333333</v>
      </c>
      <c r="BF409" s="67">
        <f t="shared" si="66"/>
        <v>0</v>
      </c>
      <c r="BG409" s="67">
        <f t="shared" si="65"/>
        <v>0</v>
      </c>
      <c r="BH409" s="66"/>
      <c r="BI409" s="68" t="s">
        <v>1107</v>
      </c>
      <c r="BJ409" s="68" t="s">
        <v>58</v>
      </c>
      <c r="BK409" s="68" t="s">
        <v>59</v>
      </c>
      <c r="BL409" s="29"/>
      <c r="BO409" s="35" t="s">
        <v>1805</v>
      </c>
      <c r="BQ409" s="1" t="e">
        <v>#N/A</v>
      </c>
    </row>
    <row r="410" spans="1:69" ht="15" hidden="1" customHeight="1">
      <c r="A410" s="1" t="s">
        <v>43</v>
      </c>
      <c r="C410" s="1" t="str">
        <f t="shared" si="70"/>
        <v>2804</v>
      </c>
      <c r="D410" s="1" t="str">
        <f t="shared" si="71"/>
        <v>2104</v>
      </c>
      <c r="E410" s="19" t="s">
        <v>48</v>
      </c>
      <c r="F410" s="62" t="s">
        <v>49</v>
      </c>
      <c r="G410" s="62">
        <v>2112</v>
      </c>
      <c r="H410" s="62" t="s">
        <v>1116</v>
      </c>
      <c r="I410" s="62" t="s">
        <v>1117</v>
      </c>
      <c r="J410" s="118">
        <v>1</v>
      </c>
      <c r="K410" s="119" t="s">
        <v>271</v>
      </c>
      <c r="L410" s="62" t="s">
        <v>77</v>
      </c>
      <c r="M410" s="120" t="s">
        <v>1110</v>
      </c>
      <c r="N410" s="63">
        <v>44258</v>
      </c>
      <c r="O410" s="24">
        <v>10500</v>
      </c>
      <c r="P410" s="24">
        <v>23125</v>
      </c>
      <c r="Q410" s="64">
        <v>242812500</v>
      </c>
      <c r="R410" s="64"/>
      <c r="S410" s="64"/>
      <c r="T410" s="64">
        <v>5697688</v>
      </c>
      <c r="U410" s="64" t="s">
        <v>1111</v>
      </c>
      <c r="V410" s="121">
        <v>248510188</v>
      </c>
      <c r="W410" s="122">
        <v>0</v>
      </c>
      <c r="X410" s="64">
        <v>248510188</v>
      </c>
      <c r="Y410" s="121"/>
      <c r="Z410" s="121"/>
      <c r="AA410" s="128"/>
      <c r="AB410" s="121"/>
      <c r="AC410" s="64">
        <v>248510188</v>
      </c>
      <c r="AD410" s="65">
        <v>44306</v>
      </c>
      <c r="AE410" s="65">
        <v>46861</v>
      </c>
      <c r="AF410" s="62">
        <v>7</v>
      </c>
      <c r="AG410" s="119">
        <v>84</v>
      </c>
      <c r="AH410" s="25">
        <v>2958454.6190476189</v>
      </c>
      <c r="AI410" s="78">
        <v>95755323.023809537</v>
      </c>
      <c r="AJ410" s="78">
        <v>152754864.97619045</v>
      </c>
      <c r="AK410" s="27">
        <f t="shared" si="72"/>
        <v>2958454.6190476189</v>
      </c>
      <c r="AL410" s="27">
        <f t="shared" si="74"/>
        <v>2958454.6190476189</v>
      </c>
      <c r="AM410" s="27"/>
      <c r="AN410" s="27"/>
      <c r="AO410" s="27"/>
      <c r="AP410" s="27"/>
      <c r="AQ410" s="27"/>
      <c r="AR410" s="27"/>
      <c r="AS410" s="27"/>
      <c r="AT410" s="27"/>
      <c r="AU410" s="27"/>
      <c r="AV410" s="27"/>
      <c r="AW410" s="27">
        <f t="shared" si="67"/>
        <v>5916909.2380952379</v>
      </c>
      <c r="AX410" s="79">
        <f t="shared" si="68"/>
        <v>146837955.73809522</v>
      </c>
      <c r="AY410" s="79">
        <f t="shared" si="69"/>
        <v>101672232.26190478</v>
      </c>
      <c r="AZ410" s="25">
        <v>1</v>
      </c>
      <c r="BA410" s="62" t="s">
        <v>97</v>
      </c>
      <c r="BB410" s="66">
        <v>1</v>
      </c>
      <c r="BC410" s="66"/>
      <c r="BD410" s="66"/>
      <c r="BE410" s="67">
        <f t="shared" si="73"/>
        <v>2958454.6190476189</v>
      </c>
      <c r="BF410" s="67">
        <f t="shared" si="66"/>
        <v>0</v>
      </c>
      <c r="BG410" s="67">
        <f t="shared" si="65"/>
        <v>0</v>
      </c>
      <c r="BH410" s="66"/>
      <c r="BI410" s="68" t="s">
        <v>57</v>
      </c>
      <c r="BJ410" s="68" t="s">
        <v>58</v>
      </c>
      <c r="BK410" s="68" t="s">
        <v>59</v>
      </c>
      <c r="BL410" s="29"/>
      <c r="BO410" s="35" t="s">
        <v>1801</v>
      </c>
      <c r="BQ410" s="1" t="e">
        <v>#N/A</v>
      </c>
    </row>
    <row r="411" spans="1:69" ht="15" hidden="1" customHeight="1">
      <c r="A411" s="1" t="s">
        <v>43</v>
      </c>
      <c r="C411" s="1" t="str">
        <f t="shared" si="70"/>
        <v>3103</v>
      </c>
      <c r="D411" s="1" t="str">
        <f t="shared" si="71"/>
        <v>2103</v>
      </c>
      <c r="E411" s="19" t="s">
        <v>48</v>
      </c>
      <c r="F411" s="62" t="s">
        <v>49</v>
      </c>
      <c r="G411" s="62">
        <v>2112</v>
      </c>
      <c r="H411" s="62" t="s">
        <v>1118</v>
      </c>
      <c r="I411" s="62" t="s">
        <v>1119</v>
      </c>
      <c r="J411" s="118">
        <v>1</v>
      </c>
      <c r="K411" s="119" t="s">
        <v>271</v>
      </c>
      <c r="L411" s="62" t="s">
        <v>858</v>
      </c>
      <c r="M411" s="120" t="s">
        <v>1120</v>
      </c>
      <c r="N411" s="63">
        <v>44260</v>
      </c>
      <c r="O411" s="24">
        <v>27000</v>
      </c>
      <c r="P411" s="24">
        <v>23169</v>
      </c>
      <c r="Q411" s="64">
        <v>625563000</v>
      </c>
      <c r="R411" s="64"/>
      <c r="S411" s="64"/>
      <c r="T411" s="64">
        <v>15174175</v>
      </c>
      <c r="U411" s="64" t="s">
        <v>1121</v>
      </c>
      <c r="V411" s="121">
        <v>640737175</v>
      </c>
      <c r="W411" s="122">
        <v>0</v>
      </c>
      <c r="X411" s="64">
        <v>640737175</v>
      </c>
      <c r="Y411" s="121"/>
      <c r="Z411" s="121"/>
      <c r="AA411" s="128"/>
      <c r="AB411" s="121"/>
      <c r="AC411" s="64">
        <v>640737175</v>
      </c>
      <c r="AD411" s="65">
        <v>44278</v>
      </c>
      <c r="AE411" s="65">
        <v>47928</v>
      </c>
      <c r="AF411" s="62">
        <v>10</v>
      </c>
      <c r="AG411" s="119">
        <v>120</v>
      </c>
      <c r="AH411" s="25">
        <v>5339476.458333333</v>
      </c>
      <c r="AI411" s="78">
        <v>177752883.03494629</v>
      </c>
      <c r="AJ411" s="78">
        <v>462984291.96505368</v>
      </c>
      <c r="AK411" s="27">
        <f t="shared" si="72"/>
        <v>5339476.458333333</v>
      </c>
      <c r="AL411" s="27">
        <f t="shared" si="74"/>
        <v>5339476.458333333</v>
      </c>
      <c r="AM411" s="27"/>
      <c r="AN411" s="27"/>
      <c r="AO411" s="27"/>
      <c r="AP411" s="27"/>
      <c r="AQ411" s="27"/>
      <c r="AR411" s="27"/>
      <c r="AS411" s="27"/>
      <c r="AT411" s="27"/>
      <c r="AU411" s="27"/>
      <c r="AV411" s="27"/>
      <c r="AW411" s="27">
        <f t="shared" si="67"/>
        <v>10678952.916666666</v>
      </c>
      <c r="AX411" s="79">
        <f t="shared" si="68"/>
        <v>452305339.04838699</v>
      </c>
      <c r="AY411" s="79">
        <f t="shared" si="69"/>
        <v>188431835.95161295</v>
      </c>
      <c r="AZ411" s="25">
        <v>1</v>
      </c>
      <c r="BA411" s="62" t="s">
        <v>97</v>
      </c>
      <c r="BB411" s="66">
        <v>1</v>
      </c>
      <c r="BC411" s="66"/>
      <c r="BD411" s="66"/>
      <c r="BE411" s="67">
        <f t="shared" si="73"/>
        <v>5339476.458333333</v>
      </c>
      <c r="BF411" s="67">
        <f t="shared" si="66"/>
        <v>0</v>
      </c>
      <c r="BG411" s="67">
        <f t="shared" si="65"/>
        <v>0</v>
      </c>
      <c r="BH411" s="66"/>
      <c r="BI411" s="68" t="s">
        <v>861</v>
      </c>
      <c r="BJ411" s="68" t="s">
        <v>58</v>
      </c>
      <c r="BK411" s="68" t="s">
        <v>59</v>
      </c>
      <c r="BL411" s="29"/>
      <c r="BO411" s="35" t="s">
        <v>1800</v>
      </c>
      <c r="BQ411" s="1" t="e">
        <v>#N/A</v>
      </c>
    </row>
    <row r="412" spans="1:69" ht="15" hidden="1" customHeight="1">
      <c r="A412" s="1" t="s">
        <v>43</v>
      </c>
      <c r="C412" s="1" t="str">
        <f t="shared" si="70"/>
        <v>2903</v>
      </c>
      <c r="D412" s="1" t="str">
        <f t="shared" si="71"/>
        <v>2103</v>
      </c>
      <c r="E412" s="19" t="s">
        <v>48</v>
      </c>
      <c r="F412" s="62" t="s">
        <v>49</v>
      </c>
      <c r="G412" s="62">
        <v>2113</v>
      </c>
      <c r="H412" s="62" t="s">
        <v>1122</v>
      </c>
      <c r="I412" s="62" t="s">
        <v>1123</v>
      </c>
      <c r="J412" s="118">
        <v>1</v>
      </c>
      <c r="K412" s="119" t="s">
        <v>271</v>
      </c>
      <c r="L412" s="62" t="s">
        <v>1124</v>
      </c>
      <c r="M412" s="120" t="s">
        <v>800</v>
      </c>
      <c r="N412" s="63">
        <v>44286</v>
      </c>
      <c r="O412" s="24"/>
      <c r="P412" s="24"/>
      <c r="Q412" s="64">
        <v>230000000</v>
      </c>
      <c r="R412" s="64"/>
      <c r="S412" s="64"/>
      <c r="T412" s="64"/>
      <c r="U412" s="64"/>
      <c r="V412" s="121">
        <v>230000000</v>
      </c>
      <c r="W412" s="122">
        <v>0</v>
      </c>
      <c r="X412" s="64">
        <v>230000000</v>
      </c>
      <c r="Y412" s="121"/>
      <c r="Z412" s="121"/>
      <c r="AA412" s="128"/>
      <c r="AB412" s="121"/>
      <c r="AC412" s="64">
        <v>230000000</v>
      </c>
      <c r="AD412" s="65">
        <v>44286</v>
      </c>
      <c r="AE412" s="65">
        <v>47206</v>
      </c>
      <c r="AF412" s="62">
        <v>8</v>
      </c>
      <c r="AG412" s="119">
        <v>96</v>
      </c>
      <c r="AH412" s="25">
        <v>2395833.3333333335</v>
      </c>
      <c r="AI412" s="78">
        <v>79139777.268817201</v>
      </c>
      <c r="AJ412" s="78">
        <v>150860222.73118278</v>
      </c>
      <c r="AK412" s="27">
        <f t="shared" si="72"/>
        <v>2395833.3333333335</v>
      </c>
      <c r="AL412" s="27">
        <f t="shared" si="74"/>
        <v>2395833.3333333335</v>
      </c>
      <c r="AM412" s="27"/>
      <c r="AN412" s="27"/>
      <c r="AO412" s="27"/>
      <c r="AP412" s="27"/>
      <c r="AQ412" s="27"/>
      <c r="AR412" s="27"/>
      <c r="AS412" s="27"/>
      <c r="AT412" s="27"/>
      <c r="AU412" s="27"/>
      <c r="AV412" s="27"/>
      <c r="AW412" s="27">
        <f t="shared" si="67"/>
        <v>4791666.666666667</v>
      </c>
      <c r="AX412" s="79">
        <f t="shared" si="68"/>
        <v>146068556.06451616</v>
      </c>
      <c r="AY412" s="79">
        <f t="shared" si="69"/>
        <v>83931443.935483873</v>
      </c>
      <c r="AZ412" s="25">
        <v>1</v>
      </c>
      <c r="BA412" s="62" t="s">
        <v>275</v>
      </c>
      <c r="BB412" s="66">
        <v>1</v>
      </c>
      <c r="BC412" s="66"/>
      <c r="BD412" s="66"/>
      <c r="BE412" s="67">
        <f t="shared" si="73"/>
        <v>2395833.3333333335</v>
      </c>
      <c r="BF412" s="67">
        <f t="shared" si="66"/>
        <v>0</v>
      </c>
      <c r="BG412" s="67">
        <f t="shared" si="65"/>
        <v>0</v>
      </c>
      <c r="BH412" s="66"/>
      <c r="BI412" s="68" t="s">
        <v>135</v>
      </c>
      <c r="BJ412" s="68" t="s">
        <v>58</v>
      </c>
      <c r="BK412" s="68" t="s">
        <v>59</v>
      </c>
      <c r="BL412" s="29"/>
      <c r="BO412" s="35" t="s">
        <v>1804</v>
      </c>
      <c r="BQ412" s="1" t="e">
        <v>#N/A</v>
      </c>
    </row>
    <row r="413" spans="1:69" ht="15" hidden="1" customHeight="1">
      <c r="A413" s="1" t="s">
        <v>43</v>
      </c>
      <c r="C413" s="1" t="str">
        <f t="shared" si="70"/>
        <v>2903</v>
      </c>
      <c r="D413" s="1" t="str">
        <f t="shared" si="71"/>
        <v>2103</v>
      </c>
      <c r="E413" s="19" t="s">
        <v>48</v>
      </c>
      <c r="F413" s="62" t="s">
        <v>49</v>
      </c>
      <c r="G413" s="62">
        <v>2111</v>
      </c>
      <c r="H413" s="62" t="s">
        <v>1125</v>
      </c>
      <c r="I413" s="62" t="s">
        <v>1126</v>
      </c>
      <c r="J413" s="118">
        <v>1</v>
      </c>
      <c r="K413" s="119" t="s">
        <v>271</v>
      </c>
      <c r="L413" s="62" t="s">
        <v>1127</v>
      </c>
      <c r="M413" s="120" t="s">
        <v>1128</v>
      </c>
      <c r="N413" s="63">
        <v>44282</v>
      </c>
      <c r="O413" s="24"/>
      <c r="P413" s="24"/>
      <c r="Q413" s="64">
        <v>138000000</v>
      </c>
      <c r="R413" s="64"/>
      <c r="S413" s="64"/>
      <c r="T413" s="64"/>
      <c r="U413" s="64"/>
      <c r="V413" s="121">
        <v>138000000</v>
      </c>
      <c r="W413" s="122">
        <v>0</v>
      </c>
      <c r="X413" s="64">
        <v>138000000</v>
      </c>
      <c r="Y413" s="121"/>
      <c r="Z413" s="121"/>
      <c r="AA413" s="128"/>
      <c r="AB413" s="121"/>
      <c r="AC413" s="64">
        <v>138000000</v>
      </c>
      <c r="AD413" s="65">
        <v>44282</v>
      </c>
      <c r="AE413" s="65">
        <v>47202</v>
      </c>
      <c r="AF413" s="62">
        <v>8</v>
      </c>
      <c r="AG413" s="119">
        <v>96</v>
      </c>
      <c r="AH413" s="25">
        <v>1437500</v>
      </c>
      <c r="AI413" s="78">
        <v>47669354.838709682</v>
      </c>
      <c r="AJ413" s="78">
        <v>90330645.161290318</v>
      </c>
      <c r="AK413" s="27">
        <f t="shared" si="72"/>
        <v>1437500</v>
      </c>
      <c r="AL413" s="27">
        <f t="shared" si="74"/>
        <v>1437500</v>
      </c>
      <c r="AM413" s="27"/>
      <c r="AN413" s="27"/>
      <c r="AO413" s="27"/>
      <c r="AP413" s="27"/>
      <c r="AQ413" s="27"/>
      <c r="AR413" s="27"/>
      <c r="AS413" s="27"/>
      <c r="AT413" s="27"/>
      <c r="AU413" s="27"/>
      <c r="AV413" s="27"/>
      <c r="AW413" s="27">
        <f t="shared" si="67"/>
        <v>2875000</v>
      </c>
      <c r="AX413" s="79">
        <f t="shared" si="68"/>
        <v>87455645.161290318</v>
      </c>
      <c r="AY413" s="79">
        <f t="shared" si="69"/>
        <v>50544354.838709682</v>
      </c>
      <c r="AZ413" s="25">
        <v>1</v>
      </c>
      <c r="BA413" s="62" t="s">
        <v>56</v>
      </c>
      <c r="BB413" s="66">
        <v>1</v>
      </c>
      <c r="BC413" s="66"/>
      <c r="BD413" s="66"/>
      <c r="BE413" s="67">
        <f t="shared" si="73"/>
        <v>1437500</v>
      </c>
      <c r="BF413" s="67">
        <f t="shared" si="66"/>
        <v>0</v>
      </c>
      <c r="BG413" s="67">
        <f t="shared" si="65"/>
        <v>0</v>
      </c>
      <c r="BH413" s="66"/>
      <c r="BI413" s="68" t="s">
        <v>57</v>
      </c>
      <c r="BJ413" s="68" t="s">
        <v>58</v>
      </c>
      <c r="BK413" s="68" t="s">
        <v>59</v>
      </c>
      <c r="BL413" s="29"/>
      <c r="BO413" s="35" t="s">
        <v>1799</v>
      </c>
      <c r="BQ413" s="1" t="e">
        <v>#N/A</v>
      </c>
    </row>
    <row r="414" spans="1:69" ht="15" hidden="1" customHeight="1">
      <c r="A414" s="1" t="s">
        <v>43</v>
      </c>
      <c r="C414" s="1" t="str">
        <f t="shared" si="70"/>
        <v>2705</v>
      </c>
      <c r="D414" s="1" t="str">
        <f t="shared" si="71"/>
        <v>2105</v>
      </c>
      <c r="E414" s="19" t="s">
        <v>48</v>
      </c>
      <c r="F414" s="62" t="s">
        <v>1129</v>
      </c>
      <c r="G414" s="62">
        <v>2114</v>
      </c>
      <c r="H414" s="62" t="s">
        <v>1130</v>
      </c>
      <c r="I414" s="62" t="s">
        <v>1131</v>
      </c>
      <c r="J414" s="118">
        <v>1</v>
      </c>
      <c r="K414" s="119" t="s">
        <v>271</v>
      </c>
      <c r="L414" s="62" t="s">
        <v>77</v>
      </c>
      <c r="M414" s="120" t="s">
        <v>1132</v>
      </c>
      <c r="N414" s="63">
        <v>44315</v>
      </c>
      <c r="O414" s="24">
        <v>2718</v>
      </c>
      <c r="P414" s="24">
        <v>23165</v>
      </c>
      <c r="Q414" s="64">
        <v>62962470</v>
      </c>
      <c r="R414" s="64">
        <v>4373126</v>
      </c>
      <c r="S414" s="64"/>
      <c r="T414" s="64">
        <v>6284564</v>
      </c>
      <c r="U414" s="64" t="s">
        <v>1133</v>
      </c>
      <c r="V414" s="121">
        <v>73620160</v>
      </c>
      <c r="W414" s="122">
        <v>0</v>
      </c>
      <c r="X414" s="64">
        <v>73620160</v>
      </c>
      <c r="Y414" s="121"/>
      <c r="Z414" s="121"/>
      <c r="AA414" s="128"/>
      <c r="AB414" s="121"/>
      <c r="AC414" s="64">
        <v>73620160</v>
      </c>
      <c r="AD414" s="65">
        <v>44319</v>
      </c>
      <c r="AE414" s="65">
        <v>46509</v>
      </c>
      <c r="AF414" s="62">
        <v>6</v>
      </c>
      <c r="AG414" s="119">
        <v>72</v>
      </c>
      <c r="AH414" s="25">
        <v>1022502.2222222222</v>
      </c>
      <c r="AI414" s="78">
        <v>32654098.351254474</v>
      </c>
      <c r="AJ414" s="78">
        <v>40966061.648745522</v>
      </c>
      <c r="AK414" s="27">
        <f t="shared" si="72"/>
        <v>1022502.2222222222</v>
      </c>
      <c r="AL414" s="27">
        <f t="shared" si="74"/>
        <v>1022502.2222222222</v>
      </c>
      <c r="AM414" s="27"/>
      <c r="AN414" s="27"/>
      <c r="AO414" s="27"/>
      <c r="AP414" s="27"/>
      <c r="AQ414" s="27"/>
      <c r="AR414" s="27"/>
      <c r="AS414" s="27"/>
      <c r="AT414" s="27"/>
      <c r="AU414" s="27"/>
      <c r="AV414" s="27"/>
      <c r="AW414" s="27">
        <f t="shared" si="67"/>
        <v>2045004.4444444445</v>
      </c>
      <c r="AX414" s="79">
        <f t="shared" si="68"/>
        <v>38921057.204301074</v>
      </c>
      <c r="AY414" s="79">
        <f t="shared" si="69"/>
        <v>34699102.795698918</v>
      </c>
      <c r="AZ414" s="25">
        <v>1</v>
      </c>
      <c r="BA414" s="62" t="s">
        <v>79</v>
      </c>
      <c r="BB414" s="66">
        <v>1</v>
      </c>
      <c r="BC414" s="66"/>
      <c r="BD414" s="66"/>
      <c r="BE414" s="67">
        <f t="shared" si="73"/>
        <v>1022502.2222222222</v>
      </c>
      <c r="BF414" s="67">
        <f t="shared" si="66"/>
        <v>0</v>
      </c>
      <c r="BG414" s="67">
        <f t="shared" si="65"/>
        <v>0</v>
      </c>
      <c r="BH414" s="66"/>
      <c r="BI414" s="68" t="s">
        <v>1134</v>
      </c>
      <c r="BJ414" s="68" t="s">
        <v>85</v>
      </c>
      <c r="BK414" s="68" t="s">
        <v>85</v>
      </c>
      <c r="BL414" s="29"/>
      <c r="BO414" s="35" t="s">
        <v>1804</v>
      </c>
      <c r="BQ414" s="1" t="e">
        <v>#N/A</v>
      </c>
    </row>
    <row r="415" spans="1:69" ht="15" hidden="1" customHeight="1">
      <c r="A415" s="1" t="s">
        <v>43</v>
      </c>
      <c r="C415" s="1" t="str">
        <f t="shared" si="70"/>
        <v>2605</v>
      </c>
      <c r="D415" s="1" t="str">
        <f t="shared" si="71"/>
        <v>2105</v>
      </c>
      <c r="E415" s="19" t="s">
        <v>48</v>
      </c>
      <c r="F415" s="62" t="s">
        <v>49</v>
      </c>
      <c r="G415" s="62">
        <v>2112</v>
      </c>
      <c r="H415" s="62" t="s">
        <v>1135</v>
      </c>
      <c r="I415" s="62" t="s">
        <v>1136</v>
      </c>
      <c r="J415" s="118">
        <v>1</v>
      </c>
      <c r="K415" s="119" t="s">
        <v>271</v>
      </c>
      <c r="L415" s="62" t="s">
        <v>911</v>
      </c>
      <c r="M415" s="120" t="s">
        <v>1137</v>
      </c>
      <c r="N415" s="63">
        <v>44321</v>
      </c>
      <c r="O415" s="24"/>
      <c r="P415" s="24"/>
      <c r="Q415" s="64">
        <v>87000000</v>
      </c>
      <c r="R415" s="64"/>
      <c r="S415" s="64"/>
      <c r="T415" s="64"/>
      <c r="U415" s="64"/>
      <c r="V415" s="121">
        <v>87000000</v>
      </c>
      <c r="W415" s="122">
        <v>0</v>
      </c>
      <c r="X415" s="64">
        <v>87000000</v>
      </c>
      <c r="Y415" s="121"/>
      <c r="Z415" s="121"/>
      <c r="AA415" s="128"/>
      <c r="AB415" s="121"/>
      <c r="AC415" s="64">
        <v>87000000</v>
      </c>
      <c r="AD415" s="65">
        <v>44336</v>
      </c>
      <c r="AE415" s="65">
        <v>46161</v>
      </c>
      <c r="AF415" s="62">
        <v>5</v>
      </c>
      <c r="AG415" s="119">
        <v>60</v>
      </c>
      <c r="AH415" s="25">
        <v>1450000</v>
      </c>
      <c r="AI415" s="78">
        <v>45511290.32258065</v>
      </c>
      <c r="AJ415" s="78">
        <v>41488709.67741935</v>
      </c>
      <c r="AK415" s="27">
        <f t="shared" si="72"/>
        <v>1450000</v>
      </c>
      <c r="AL415" s="27">
        <f t="shared" si="74"/>
        <v>1450000</v>
      </c>
      <c r="AM415" s="27"/>
      <c r="AN415" s="27"/>
      <c r="AO415" s="27"/>
      <c r="AP415" s="27"/>
      <c r="AQ415" s="27"/>
      <c r="AR415" s="27"/>
      <c r="AS415" s="27"/>
      <c r="AT415" s="27"/>
      <c r="AU415" s="27"/>
      <c r="AV415" s="27"/>
      <c r="AW415" s="27">
        <f t="shared" si="67"/>
        <v>2900000</v>
      </c>
      <c r="AX415" s="79">
        <f t="shared" si="68"/>
        <v>38588709.67741935</v>
      </c>
      <c r="AY415" s="79">
        <f t="shared" si="69"/>
        <v>48411290.32258065</v>
      </c>
      <c r="AZ415" s="25">
        <v>1</v>
      </c>
      <c r="BA415" s="62" t="s">
        <v>97</v>
      </c>
      <c r="BB415" s="66">
        <v>1</v>
      </c>
      <c r="BC415" s="66"/>
      <c r="BD415" s="66"/>
      <c r="BE415" s="67">
        <f t="shared" si="73"/>
        <v>1450000</v>
      </c>
      <c r="BF415" s="67">
        <f t="shared" si="66"/>
        <v>0</v>
      </c>
      <c r="BG415" s="67">
        <f t="shared" si="65"/>
        <v>0</v>
      </c>
      <c r="BH415" s="66"/>
      <c r="BI415" s="68" t="s">
        <v>1138</v>
      </c>
      <c r="BJ415" s="68" t="s">
        <v>58</v>
      </c>
      <c r="BK415" s="68" t="s">
        <v>59</v>
      </c>
      <c r="BL415" s="29"/>
      <c r="BO415" s="35" t="s">
        <v>1804</v>
      </c>
      <c r="BQ415" s="1" t="e">
        <v>#N/A</v>
      </c>
    </row>
    <row r="416" spans="1:69" ht="15" hidden="1" customHeight="1">
      <c r="A416" s="1" t="s">
        <v>43</v>
      </c>
      <c r="C416" s="1" t="str">
        <f t="shared" si="70"/>
        <v>2705</v>
      </c>
      <c r="D416" s="1" t="str">
        <f t="shared" si="71"/>
        <v>2105</v>
      </c>
      <c r="E416" s="19" t="s">
        <v>48</v>
      </c>
      <c r="F416" s="62" t="s">
        <v>515</v>
      </c>
      <c r="G416" s="62">
        <v>2112</v>
      </c>
      <c r="H416" s="62" t="s">
        <v>1139</v>
      </c>
      <c r="I416" s="62" t="s">
        <v>1140</v>
      </c>
      <c r="J416" s="118">
        <v>1</v>
      </c>
      <c r="K416" s="119" t="s">
        <v>271</v>
      </c>
      <c r="L416" s="62" t="s">
        <v>1141</v>
      </c>
      <c r="M416" s="120" t="s">
        <v>1142</v>
      </c>
      <c r="N416" s="63">
        <v>44341</v>
      </c>
      <c r="O416" s="24"/>
      <c r="P416" s="24"/>
      <c r="Q416" s="64">
        <v>92500000</v>
      </c>
      <c r="R416" s="64"/>
      <c r="S416" s="64"/>
      <c r="T416" s="64"/>
      <c r="U416" s="64"/>
      <c r="V416" s="121">
        <v>92500000</v>
      </c>
      <c r="W416" s="122">
        <v>0</v>
      </c>
      <c r="X416" s="64">
        <v>92500000</v>
      </c>
      <c r="Y416" s="121"/>
      <c r="Z416" s="121"/>
      <c r="AA416" s="128"/>
      <c r="AB416" s="121"/>
      <c r="AC416" s="64">
        <v>92500000</v>
      </c>
      <c r="AD416" s="65">
        <v>44341</v>
      </c>
      <c r="AE416" s="65">
        <v>46531</v>
      </c>
      <c r="AF416" s="62">
        <v>6</v>
      </c>
      <c r="AG416" s="119">
        <v>72</v>
      </c>
      <c r="AH416" s="25">
        <v>1284722.2222222222</v>
      </c>
      <c r="AI416" s="78">
        <v>40116482.738351256</v>
      </c>
      <c r="AJ416" s="78">
        <v>52383517.261648744</v>
      </c>
      <c r="AK416" s="27">
        <f t="shared" si="72"/>
        <v>1284722.2222222222</v>
      </c>
      <c r="AL416" s="27">
        <f t="shared" si="74"/>
        <v>1284722.2222222222</v>
      </c>
      <c r="AM416" s="27"/>
      <c r="AN416" s="27"/>
      <c r="AO416" s="27"/>
      <c r="AP416" s="27"/>
      <c r="AQ416" s="27"/>
      <c r="AR416" s="27"/>
      <c r="AS416" s="27"/>
      <c r="AT416" s="27"/>
      <c r="AU416" s="27"/>
      <c r="AV416" s="27"/>
      <c r="AW416" s="27">
        <f t="shared" si="67"/>
        <v>2569444.4444444445</v>
      </c>
      <c r="AX416" s="79">
        <f t="shared" si="68"/>
        <v>49814072.817204297</v>
      </c>
      <c r="AY416" s="79">
        <f t="shared" si="69"/>
        <v>42685927.182795703</v>
      </c>
      <c r="AZ416" s="25">
        <v>1</v>
      </c>
      <c r="BA416" s="62" t="s">
        <v>97</v>
      </c>
      <c r="BB416" s="66"/>
      <c r="BC416" s="66">
        <v>1</v>
      </c>
      <c r="BD416" s="66"/>
      <c r="BE416" s="67">
        <f t="shared" si="73"/>
        <v>0</v>
      </c>
      <c r="BF416" s="67">
        <f t="shared" si="66"/>
        <v>1284722.2222222222</v>
      </c>
      <c r="BG416" s="67">
        <f t="shared" si="65"/>
        <v>0</v>
      </c>
      <c r="BH416" s="62" t="s">
        <v>1668</v>
      </c>
      <c r="BI416" s="19" t="s">
        <v>1624</v>
      </c>
      <c r="BJ416" s="68" t="s">
        <v>1438</v>
      </c>
      <c r="BK416" s="68" t="s">
        <v>1438</v>
      </c>
      <c r="BL416" s="29"/>
      <c r="BM416" s="1" t="s">
        <v>1886</v>
      </c>
      <c r="BN416" s="1" t="s">
        <v>1666</v>
      </c>
      <c r="BO416" s="35" t="s">
        <v>1804</v>
      </c>
      <c r="BQ416" s="1" t="e">
        <v>#N/A</v>
      </c>
    </row>
    <row r="417" spans="1:69" ht="15" hidden="1" customHeight="1">
      <c r="A417" s="1" t="s">
        <v>43</v>
      </c>
      <c r="C417" s="1" t="str">
        <f t="shared" si="70"/>
        <v>2906</v>
      </c>
      <c r="D417" s="1" t="str">
        <f t="shared" si="71"/>
        <v>2106</v>
      </c>
      <c r="E417" s="19" t="s">
        <v>48</v>
      </c>
      <c r="F417" s="62" t="s">
        <v>515</v>
      </c>
      <c r="G417" s="62">
        <v>2112</v>
      </c>
      <c r="H417" s="62" t="s">
        <v>1143</v>
      </c>
      <c r="I417" s="62" t="s">
        <v>1144</v>
      </c>
      <c r="J417" s="118">
        <v>1</v>
      </c>
      <c r="K417" s="119" t="s">
        <v>271</v>
      </c>
      <c r="L417" s="62" t="s">
        <v>1145</v>
      </c>
      <c r="M417" s="120" t="s">
        <v>1146</v>
      </c>
      <c r="N417" s="63">
        <v>44376</v>
      </c>
      <c r="O417" s="24"/>
      <c r="P417" s="24"/>
      <c r="Q417" s="64">
        <v>144210000</v>
      </c>
      <c r="R417" s="64"/>
      <c r="S417" s="64"/>
      <c r="T417" s="64"/>
      <c r="U417" s="64"/>
      <c r="V417" s="121">
        <v>144210000</v>
      </c>
      <c r="W417" s="122">
        <v>0</v>
      </c>
      <c r="X417" s="64">
        <v>144210000</v>
      </c>
      <c r="Y417" s="121"/>
      <c r="Z417" s="121"/>
      <c r="AA417" s="128"/>
      <c r="AB417" s="121"/>
      <c r="AC417" s="64">
        <v>144210000</v>
      </c>
      <c r="AD417" s="63">
        <v>44376</v>
      </c>
      <c r="AE417" s="65">
        <v>47296</v>
      </c>
      <c r="AF417" s="62">
        <v>8</v>
      </c>
      <c r="AG417" s="119">
        <v>96</v>
      </c>
      <c r="AH417" s="25">
        <v>1502187.5</v>
      </c>
      <c r="AI417" s="78">
        <v>45165780.866666675</v>
      </c>
      <c r="AJ417" s="78">
        <v>99044219.133333325</v>
      </c>
      <c r="AK417" s="27">
        <f t="shared" si="72"/>
        <v>1502187.5</v>
      </c>
      <c r="AL417" s="27">
        <f t="shared" si="74"/>
        <v>1502187.5</v>
      </c>
      <c r="AM417" s="27"/>
      <c r="AN417" s="27"/>
      <c r="AO417" s="27"/>
      <c r="AP417" s="27"/>
      <c r="AQ417" s="27"/>
      <c r="AR417" s="27"/>
      <c r="AS417" s="27"/>
      <c r="AT417" s="27"/>
      <c r="AU417" s="27"/>
      <c r="AV417" s="27"/>
      <c r="AW417" s="27">
        <f t="shared" si="67"/>
        <v>3004375</v>
      </c>
      <c r="AX417" s="79">
        <f t="shared" si="68"/>
        <v>96039844.133333325</v>
      </c>
      <c r="AY417" s="79">
        <f t="shared" si="69"/>
        <v>48170155.866666675</v>
      </c>
      <c r="AZ417" s="25">
        <v>1</v>
      </c>
      <c r="BA417" s="62" t="s">
        <v>97</v>
      </c>
      <c r="BB417" s="66">
        <v>1</v>
      </c>
      <c r="BC417" s="66"/>
      <c r="BD417" s="66"/>
      <c r="BE417" s="67">
        <f t="shared" si="73"/>
        <v>1502187.5</v>
      </c>
      <c r="BF417" s="67">
        <f t="shared" si="66"/>
        <v>0</v>
      </c>
      <c r="BG417" s="67">
        <f t="shared" si="65"/>
        <v>0</v>
      </c>
      <c r="BH417" s="66"/>
      <c r="BI417" s="68" t="s">
        <v>737</v>
      </c>
      <c r="BJ417" s="68" t="s">
        <v>644</v>
      </c>
      <c r="BK417" s="68" t="s">
        <v>644</v>
      </c>
      <c r="BL417" s="29"/>
      <c r="BO417" s="35" t="s">
        <v>1802</v>
      </c>
      <c r="BQ417" s="1" t="e">
        <v>#N/A</v>
      </c>
    </row>
    <row r="418" spans="1:69" ht="15" hidden="1" customHeight="1">
      <c r="A418" s="1" t="s">
        <v>1147</v>
      </c>
      <c r="B418" s="1" t="s">
        <v>1148</v>
      </c>
      <c r="C418" s="1" t="str">
        <f t="shared" si="70"/>
        <v>3107</v>
      </c>
      <c r="D418" s="1" t="str">
        <f t="shared" si="71"/>
        <v>2107</v>
      </c>
      <c r="E418" s="19" t="s">
        <v>1149</v>
      </c>
      <c r="F418" s="62" t="s">
        <v>49</v>
      </c>
      <c r="G418" s="62">
        <v>2112</v>
      </c>
      <c r="H418" s="62" t="s">
        <v>1150</v>
      </c>
      <c r="I418" s="62" t="s">
        <v>1151</v>
      </c>
      <c r="J418" s="118">
        <v>1</v>
      </c>
      <c r="K418" s="119" t="s">
        <v>1152</v>
      </c>
      <c r="L418" s="62" t="s">
        <v>1153</v>
      </c>
      <c r="M418" s="120" t="s">
        <v>1154</v>
      </c>
      <c r="N418" s="63">
        <v>44396</v>
      </c>
      <c r="O418" s="24"/>
      <c r="P418" s="24"/>
      <c r="Q418" s="64">
        <v>746000000</v>
      </c>
      <c r="R418" s="64"/>
      <c r="S418" s="64"/>
      <c r="T418" s="64"/>
      <c r="U418" s="64"/>
      <c r="V418" s="121">
        <v>746000000</v>
      </c>
      <c r="W418" s="122"/>
      <c r="X418" s="64">
        <v>746000000</v>
      </c>
      <c r="Y418" s="121"/>
      <c r="Z418" s="121"/>
      <c r="AA418" s="128"/>
      <c r="AB418" s="121"/>
      <c r="AC418" s="64">
        <v>746000000</v>
      </c>
      <c r="AD418" s="63">
        <v>44396</v>
      </c>
      <c r="AE418" s="65">
        <v>48046</v>
      </c>
      <c r="AF418" s="62">
        <v>10</v>
      </c>
      <c r="AG418" s="119">
        <v>120</v>
      </c>
      <c r="AH418" s="25">
        <v>6216666.666666667</v>
      </c>
      <c r="AI418" s="78">
        <v>182890328.66666669</v>
      </c>
      <c r="AJ418" s="78">
        <v>563109671.33333337</v>
      </c>
      <c r="AK418" s="27">
        <f t="shared" si="72"/>
        <v>6216666.666666667</v>
      </c>
      <c r="AL418" s="27">
        <f t="shared" si="74"/>
        <v>6216666.666666667</v>
      </c>
      <c r="AM418" s="27"/>
      <c r="AN418" s="27"/>
      <c r="AO418" s="27"/>
      <c r="AP418" s="27"/>
      <c r="AQ418" s="27"/>
      <c r="AR418" s="27"/>
      <c r="AS418" s="27"/>
      <c r="AT418" s="27"/>
      <c r="AU418" s="27"/>
      <c r="AV418" s="27"/>
      <c r="AW418" s="27">
        <f t="shared" si="67"/>
        <v>12433333.333333334</v>
      </c>
      <c r="AX418" s="79">
        <f t="shared" si="68"/>
        <v>550676337.99999988</v>
      </c>
      <c r="AY418" s="79">
        <f t="shared" si="69"/>
        <v>195323662.00000003</v>
      </c>
      <c r="AZ418" s="25">
        <v>1</v>
      </c>
      <c r="BA418" s="62" t="s">
        <v>97</v>
      </c>
      <c r="BB418" s="66">
        <v>1</v>
      </c>
      <c r="BC418" s="66"/>
      <c r="BD418" s="66"/>
      <c r="BE418" s="67">
        <f t="shared" si="73"/>
        <v>6216666.666666667</v>
      </c>
      <c r="BF418" s="67">
        <f t="shared" si="66"/>
        <v>0</v>
      </c>
      <c r="BG418" s="67">
        <f t="shared" si="65"/>
        <v>0</v>
      </c>
      <c r="BH418" s="66"/>
      <c r="BI418" s="68" t="s">
        <v>1155</v>
      </c>
      <c r="BJ418" s="68" t="s">
        <v>121</v>
      </c>
      <c r="BK418" s="68" t="s">
        <v>121</v>
      </c>
      <c r="BL418" s="29"/>
      <c r="BO418" s="35" t="s">
        <v>1804</v>
      </c>
      <c r="BQ418" s="1" t="e">
        <v>#N/A</v>
      </c>
    </row>
    <row r="419" spans="1:69" ht="15" hidden="1" customHeight="1">
      <c r="A419" s="1" t="s">
        <v>1147</v>
      </c>
      <c r="B419" s="1" t="s">
        <v>1156</v>
      </c>
      <c r="C419" s="1" t="str">
        <f t="shared" si="70"/>
        <v>3107</v>
      </c>
      <c r="D419" s="1" t="str">
        <f t="shared" si="71"/>
        <v>2107</v>
      </c>
      <c r="E419" s="19" t="s">
        <v>1149</v>
      </c>
      <c r="F419" s="62" t="s">
        <v>1157</v>
      </c>
      <c r="G419" s="62">
        <v>2112</v>
      </c>
      <c r="H419" s="62" t="s">
        <v>1158</v>
      </c>
      <c r="I419" s="62" t="s">
        <v>1159</v>
      </c>
      <c r="J419" s="118">
        <v>1</v>
      </c>
      <c r="K419" s="119" t="s">
        <v>1152</v>
      </c>
      <c r="L419" s="62" t="s">
        <v>1160</v>
      </c>
      <c r="M419" s="120" t="s">
        <v>1161</v>
      </c>
      <c r="N419" s="63">
        <v>44404</v>
      </c>
      <c r="O419" s="24"/>
      <c r="P419" s="24"/>
      <c r="Q419" s="64">
        <v>114150000</v>
      </c>
      <c r="R419" s="64"/>
      <c r="S419" s="64"/>
      <c r="T419" s="64"/>
      <c r="U419" s="64"/>
      <c r="V419" s="121">
        <v>114150000</v>
      </c>
      <c r="W419" s="122"/>
      <c r="X419" s="64">
        <v>114150000</v>
      </c>
      <c r="Y419" s="121"/>
      <c r="Z419" s="121"/>
      <c r="AA419" s="128"/>
      <c r="AB419" s="121"/>
      <c r="AC419" s="64">
        <v>114150000</v>
      </c>
      <c r="AD419" s="63">
        <v>44404</v>
      </c>
      <c r="AE419" s="65">
        <v>48054</v>
      </c>
      <c r="AF419" s="62">
        <v>10</v>
      </c>
      <c r="AG419" s="119">
        <v>120</v>
      </c>
      <c r="AH419" s="25">
        <v>951250</v>
      </c>
      <c r="AI419" s="78">
        <v>27739677</v>
      </c>
      <c r="AJ419" s="78">
        <v>86410323</v>
      </c>
      <c r="AK419" s="27">
        <f t="shared" si="72"/>
        <v>951250</v>
      </c>
      <c r="AL419" s="27">
        <f t="shared" si="74"/>
        <v>951250</v>
      </c>
      <c r="AM419" s="27"/>
      <c r="AN419" s="27"/>
      <c r="AO419" s="27"/>
      <c r="AP419" s="27"/>
      <c r="AQ419" s="27"/>
      <c r="AR419" s="27"/>
      <c r="AS419" s="27"/>
      <c r="AT419" s="27"/>
      <c r="AU419" s="27"/>
      <c r="AV419" s="27"/>
      <c r="AW419" s="27">
        <f t="shared" si="67"/>
        <v>1902500</v>
      </c>
      <c r="AX419" s="79">
        <f t="shared" si="68"/>
        <v>84507823</v>
      </c>
      <c r="AY419" s="79">
        <f t="shared" si="69"/>
        <v>29642177</v>
      </c>
      <c r="AZ419" s="25">
        <v>1</v>
      </c>
      <c r="BA419" s="62" t="s">
        <v>97</v>
      </c>
      <c r="BB419" s="66">
        <v>1</v>
      </c>
      <c r="BC419" s="66"/>
      <c r="BD419" s="66"/>
      <c r="BE419" s="67">
        <f t="shared" si="73"/>
        <v>951250</v>
      </c>
      <c r="BF419" s="67">
        <f t="shared" si="66"/>
        <v>0</v>
      </c>
      <c r="BG419" s="67">
        <f t="shared" si="65"/>
        <v>0</v>
      </c>
      <c r="BH419" s="66"/>
      <c r="BI419" s="68" t="s">
        <v>1162</v>
      </c>
      <c r="BJ419" s="68" t="s">
        <v>117</v>
      </c>
      <c r="BK419" s="68" t="s">
        <v>117</v>
      </c>
      <c r="BL419" s="29"/>
      <c r="BO419" s="35" t="s">
        <v>1807</v>
      </c>
      <c r="BQ419" s="1" t="e">
        <v>#N/A</v>
      </c>
    </row>
    <row r="420" spans="1:69" ht="15" hidden="1" customHeight="1">
      <c r="A420" s="1" t="s">
        <v>1163</v>
      </c>
      <c r="B420" s="1" t="s">
        <v>1164</v>
      </c>
      <c r="C420" s="1" t="str">
        <f t="shared" si="70"/>
        <v>2906</v>
      </c>
      <c r="D420" s="1" t="str">
        <f t="shared" si="71"/>
        <v>2107</v>
      </c>
      <c r="E420" s="19" t="s">
        <v>1165</v>
      </c>
      <c r="F420" s="62" t="s">
        <v>49</v>
      </c>
      <c r="G420" s="62">
        <v>2112</v>
      </c>
      <c r="H420" s="62" t="s">
        <v>1166</v>
      </c>
      <c r="I420" s="62" t="s">
        <v>1167</v>
      </c>
      <c r="J420" s="118">
        <v>1</v>
      </c>
      <c r="K420" s="119" t="s">
        <v>271</v>
      </c>
      <c r="L420" s="62" t="s">
        <v>742</v>
      </c>
      <c r="M420" s="120" t="s">
        <v>1168</v>
      </c>
      <c r="N420" s="63">
        <v>44341</v>
      </c>
      <c r="O420" s="24">
        <v>4800</v>
      </c>
      <c r="P420" s="24">
        <v>23154</v>
      </c>
      <c r="Q420" s="64">
        <v>111139200</v>
      </c>
      <c r="R420" s="64"/>
      <c r="S420" s="64"/>
      <c r="T420" s="64">
        <v>742500</v>
      </c>
      <c r="U420" s="64" t="s">
        <v>1169</v>
      </c>
      <c r="V420" s="121">
        <v>111881700</v>
      </c>
      <c r="W420" s="122"/>
      <c r="X420" s="64">
        <v>111881700</v>
      </c>
      <c r="Y420" s="121"/>
      <c r="Z420" s="121"/>
      <c r="AA420" s="128"/>
      <c r="AB420" s="121"/>
      <c r="AC420" s="64">
        <v>111881700</v>
      </c>
      <c r="AD420" s="63">
        <v>44378</v>
      </c>
      <c r="AE420" s="65">
        <v>47298</v>
      </c>
      <c r="AF420" s="62">
        <v>8</v>
      </c>
      <c r="AG420" s="119">
        <v>96</v>
      </c>
      <c r="AH420" s="25">
        <v>1165434.375</v>
      </c>
      <c r="AI420" s="78">
        <v>34963023.75</v>
      </c>
      <c r="AJ420" s="78">
        <v>76918676.25</v>
      </c>
      <c r="AK420" s="27">
        <f t="shared" si="72"/>
        <v>1165434.375</v>
      </c>
      <c r="AL420" s="27">
        <f t="shared" si="74"/>
        <v>1165434.375</v>
      </c>
      <c r="AM420" s="27"/>
      <c r="AN420" s="27"/>
      <c r="AO420" s="27"/>
      <c r="AP420" s="27"/>
      <c r="AQ420" s="27"/>
      <c r="AR420" s="27"/>
      <c r="AS420" s="27"/>
      <c r="AT420" s="27"/>
      <c r="AU420" s="27"/>
      <c r="AV420" s="27"/>
      <c r="AW420" s="27">
        <f t="shared" si="67"/>
        <v>2330868.75</v>
      </c>
      <c r="AX420" s="79">
        <f t="shared" si="68"/>
        <v>74587807.5</v>
      </c>
      <c r="AY420" s="79">
        <f t="shared" si="69"/>
        <v>37293892.5</v>
      </c>
      <c r="AZ420" s="25">
        <v>1</v>
      </c>
      <c r="BA420" s="62" t="s">
        <v>97</v>
      </c>
      <c r="BB420" s="66">
        <v>1</v>
      </c>
      <c r="BC420" s="66"/>
      <c r="BD420" s="66"/>
      <c r="BE420" s="67">
        <f t="shared" si="73"/>
        <v>1165434.375</v>
      </c>
      <c r="BF420" s="67">
        <f t="shared" si="66"/>
        <v>0</v>
      </c>
      <c r="BG420" s="67">
        <f t="shared" si="65"/>
        <v>0</v>
      </c>
      <c r="BH420" s="66"/>
      <c r="BI420" s="68" t="s">
        <v>695</v>
      </c>
      <c r="BJ420" s="68" t="s">
        <v>85</v>
      </c>
      <c r="BK420" s="68" t="s">
        <v>85</v>
      </c>
      <c r="BL420" s="29"/>
      <c r="BO420" s="35" t="s">
        <v>1801</v>
      </c>
      <c r="BP420" s="1" t="s">
        <v>1820</v>
      </c>
      <c r="BQ420" s="1" t="e">
        <v>#N/A</v>
      </c>
    </row>
    <row r="421" spans="1:69" ht="15" hidden="1" customHeight="1">
      <c r="A421" s="1" t="s">
        <v>1163</v>
      </c>
      <c r="B421" s="1" t="s">
        <v>1164</v>
      </c>
      <c r="C421" s="1" t="str">
        <f t="shared" si="70"/>
        <v>2807</v>
      </c>
      <c r="D421" s="1" t="str">
        <f t="shared" si="71"/>
        <v>2107</v>
      </c>
      <c r="E421" s="19" t="s">
        <v>1165</v>
      </c>
      <c r="F421" s="62" t="s">
        <v>49</v>
      </c>
      <c r="G421" s="62">
        <v>2112</v>
      </c>
      <c r="H421" s="62" t="s">
        <v>1170</v>
      </c>
      <c r="I421" s="62" t="s">
        <v>1171</v>
      </c>
      <c r="J421" s="118">
        <v>1</v>
      </c>
      <c r="K421" s="119" t="s">
        <v>271</v>
      </c>
      <c r="L421" s="62" t="s">
        <v>77</v>
      </c>
      <c r="M421" s="120" t="s">
        <v>1172</v>
      </c>
      <c r="N421" s="63">
        <v>44371</v>
      </c>
      <c r="O421" s="24">
        <v>3387.73</v>
      </c>
      <c r="P421" s="24">
        <v>23098</v>
      </c>
      <c r="Q421" s="64">
        <v>78249787.540000007</v>
      </c>
      <c r="R421" s="64"/>
      <c r="S421" s="64"/>
      <c r="T421" s="64">
        <v>824494.73</v>
      </c>
      <c r="U421" s="64" t="s">
        <v>1173</v>
      </c>
      <c r="V421" s="121">
        <v>79074282</v>
      </c>
      <c r="W421" s="122"/>
      <c r="X421" s="64">
        <v>79074282</v>
      </c>
      <c r="Y421" s="121"/>
      <c r="Z421" s="121"/>
      <c r="AA421" s="128"/>
      <c r="AB421" s="121"/>
      <c r="AC421" s="64">
        <v>79074282</v>
      </c>
      <c r="AD421" s="63">
        <v>44402</v>
      </c>
      <c r="AE421" s="65">
        <v>46957</v>
      </c>
      <c r="AF421" s="62">
        <v>7</v>
      </c>
      <c r="AG421" s="119">
        <v>84</v>
      </c>
      <c r="AH421" s="25">
        <v>941360.5</v>
      </c>
      <c r="AI421" s="78">
        <v>27512029</v>
      </c>
      <c r="AJ421" s="78">
        <v>51562253</v>
      </c>
      <c r="AK421" s="27">
        <f t="shared" si="72"/>
        <v>941360.5</v>
      </c>
      <c r="AL421" s="27">
        <f t="shared" si="74"/>
        <v>941360.5</v>
      </c>
      <c r="AM421" s="27"/>
      <c r="AN421" s="27"/>
      <c r="AO421" s="27"/>
      <c r="AP421" s="27"/>
      <c r="AQ421" s="27"/>
      <c r="AR421" s="27"/>
      <c r="AS421" s="27"/>
      <c r="AT421" s="27"/>
      <c r="AU421" s="27"/>
      <c r="AV421" s="27"/>
      <c r="AW421" s="27">
        <f t="shared" si="67"/>
        <v>1882721</v>
      </c>
      <c r="AX421" s="79">
        <f t="shared" si="68"/>
        <v>49679532</v>
      </c>
      <c r="AY421" s="79">
        <f t="shared" si="69"/>
        <v>29394750</v>
      </c>
      <c r="AZ421" s="25">
        <v>1</v>
      </c>
      <c r="BA421" s="62" t="s">
        <v>79</v>
      </c>
      <c r="BB421" s="66">
        <v>1</v>
      </c>
      <c r="BC421" s="66"/>
      <c r="BD421" s="66"/>
      <c r="BE421" s="67">
        <f t="shared" si="73"/>
        <v>941360.5</v>
      </c>
      <c r="BF421" s="67">
        <f t="shared" si="66"/>
        <v>0</v>
      </c>
      <c r="BG421" s="67">
        <f t="shared" si="65"/>
        <v>0</v>
      </c>
      <c r="BH421" s="66"/>
      <c r="BI421" s="68" t="s">
        <v>1174</v>
      </c>
      <c r="BJ421" s="68" t="s">
        <v>98</v>
      </c>
      <c r="BK421" s="68" t="s">
        <v>98</v>
      </c>
      <c r="BL421" s="29"/>
      <c r="BO421" s="35" t="s">
        <v>1800</v>
      </c>
      <c r="BP421" s="1" t="s">
        <v>1821</v>
      </c>
      <c r="BQ421" s="1" t="e">
        <v>#N/A</v>
      </c>
    </row>
    <row r="422" spans="1:69" ht="15" hidden="1" customHeight="1">
      <c r="A422" s="1" t="s">
        <v>1147</v>
      </c>
      <c r="B422" s="1" t="s">
        <v>1175</v>
      </c>
      <c r="C422" s="1" t="str">
        <f t="shared" si="70"/>
        <v>2908</v>
      </c>
      <c r="D422" s="1" t="str">
        <f t="shared" si="71"/>
        <v>2108</v>
      </c>
      <c r="E422" s="19" t="s">
        <v>1176</v>
      </c>
      <c r="F422" s="62" t="s">
        <v>1157</v>
      </c>
      <c r="G422" s="62">
        <v>2112</v>
      </c>
      <c r="H422" s="62" t="s">
        <v>1177</v>
      </c>
      <c r="I422" s="62" t="s">
        <v>1178</v>
      </c>
      <c r="J422" s="118">
        <v>1</v>
      </c>
      <c r="K422" s="119" t="s">
        <v>1152</v>
      </c>
      <c r="L422" s="62" t="s">
        <v>1179</v>
      </c>
      <c r="M422" s="120" t="s">
        <v>1180</v>
      </c>
      <c r="N422" s="63">
        <v>44414</v>
      </c>
      <c r="O422" s="24"/>
      <c r="P422" s="24"/>
      <c r="Q422" s="64">
        <v>70000000</v>
      </c>
      <c r="R422" s="64"/>
      <c r="S422" s="64"/>
      <c r="T422" s="64"/>
      <c r="U422" s="64"/>
      <c r="V422" s="121">
        <v>70000000</v>
      </c>
      <c r="W422" s="122"/>
      <c r="X422" s="64">
        <v>70000000</v>
      </c>
      <c r="Y422" s="121"/>
      <c r="Z422" s="121"/>
      <c r="AA422" s="128"/>
      <c r="AB422" s="121"/>
      <c r="AC422" s="64">
        <v>70000000</v>
      </c>
      <c r="AD422" s="63">
        <v>44414</v>
      </c>
      <c r="AE422" s="65">
        <v>47334</v>
      </c>
      <c r="AF422" s="62">
        <v>8</v>
      </c>
      <c r="AG422" s="119">
        <v>96</v>
      </c>
      <c r="AH422" s="25">
        <v>729166.66666666663</v>
      </c>
      <c r="AI422" s="78">
        <v>21028231.666666668</v>
      </c>
      <c r="AJ422" s="78">
        <v>48971768.333333328</v>
      </c>
      <c r="AK422" s="27">
        <f t="shared" si="72"/>
        <v>729166.66666666663</v>
      </c>
      <c r="AL422" s="27">
        <f t="shared" si="74"/>
        <v>729166.66666666663</v>
      </c>
      <c r="AM422" s="27"/>
      <c r="AN422" s="27"/>
      <c r="AO422" s="27"/>
      <c r="AP422" s="27"/>
      <c r="AQ422" s="27"/>
      <c r="AR422" s="27"/>
      <c r="AS422" s="27"/>
      <c r="AT422" s="27"/>
      <c r="AU422" s="27"/>
      <c r="AV422" s="27"/>
      <c r="AW422" s="27">
        <f t="shared" si="67"/>
        <v>1458333.3333333333</v>
      </c>
      <c r="AX422" s="79">
        <f t="shared" si="68"/>
        <v>47513434.999999993</v>
      </c>
      <c r="AY422" s="79">
        <f t="shared" si="69"/>
        <v>22486565</v>
      </c>
      <c r="AZ422" s="25">
        <v>1</v>
      </c>
      <c r="BA422" s="62" t="s">
        <v>97</v>
      </c>
      <c r="BB422" s="66">
        <v>1</v>
      </c>
      <c r="BC422" s="66"/>
      <c r="BD422" s="66"/>
      <c r="BE422" s="67">
        <f t="shared" si="73"/>
        <v>729166.66666666663</v>
      </c>
      <c r="BF422" s="67">
        <f t="shared" si="66"/>
        <v>0</v>
      </c>
      <c r="BG422" s="67">
        <f t="shared" si="65"/>
        <v>0</v>
      </c>
      <c r="BH422" s="66"/>
      <c r="BI422" s="68" t="s">
        <v>1162</v>
      </c>
      <c r="BJ422" s="68" t="s">
        <v>117</v>
      </c>
      <c r="BK422" s="68" t="s">
        <v>117</v>
      </c>
      <c r="BL422" s="29"/>
      <c r="BO422" s="35" t="s">
        <v>1807</v>
      </c>
      <c r="BQ422" s="1" t="e">
        <v>#N/A</v>
      </c>
    </row>
    <row r="423" spans="1:69" ht="15" hidden="1" customHeight="1">
      <c r="A423" s="1" t="s">
        <v>1147</v>
      </c>
      <c r="B423" s="1" t="s">
        <v>1181</v>
      </c>
      <c r="C423" s="1" t="str">
        <f t="shared" si="70"/>
        <v>3108</v>
      </c>
      <c r="D423" s="1" t="str">
        <f t="shared" si="71"/>
        <v>2108</v>
      </c>
      <c r="E423" s="19" t="s">
        <v>1176</v>
      </c>
      <c r="F423" s="62" t="s">
        <v>1182</v>
      </c>
      <c r="G423" s="62">
        <v>2112</v>
      </c>
      <c r="H423" s="62" t="s">
        <v>1183</v>
      </c>
      <c r="I423" s="62" t="s">
        <v>1184</v>
      </c>
      <c r="J423" s="118">
        <v>1</v>
      </c>
      <c r="K423" s="119" t="s">
        <v>1152</v>
      </c>
      <c r="L423" s="62" t="s">
        <v>1185</v>
      </c>
      <c r="M423" s="120" t="s">
        <v>1186</v>
      </c>
      <c r="N423" s="63">
        <v>44419</v>
      </c>
      <c r="O423" s="24"/>
      <c r="P423" s="24"/>
      <c r="Q423" s="64">
        <v>97580000</v>
      </c>
      <c r="R423" s="64"/>
      <c r="S423" s="64"/>
      <c r="T423" s="64"/>
      <c r="U423" s="64"/>
      <c r="V423" s="121">
        <v>97580000</v>
      </c>
      <c r="W423" s="122"/>
      <c r="X423" s="64">
        <v>97580000</v>
      </c>
      <c r="Y423" s="121"/>
      <c r="Z423" s="121"/>
      <c r="AA423" s="128"/>
      <c r="AB423" s="121"/>
      <c r="AC423" s="64">
        <v>97580000</v>
      </c>
      <c r="AD423" s="63">
        <v>44419</v>
      </c>
      <c r="AE423" s="65">
        <v>48069</v>
      </c>
      <c r="AF423" s="62">
        <v>10</v>
      </c>
      <c r="AG423" s="119">
        <v>120</v>
      </c>
      <c r="AH423" s="25">
        <v>813166.66666666663</v>
      </c>
      <c r="AI423" s="78">
        <v>23319527.666666664</v>
      </c>
      <c r="AJ423" s="78">
        <v>74260472.333333328</v>
      </c>
      <c r="AK423" s="27">
        <f t="shared" si="72"/>
        <v>813166.66666666663</v>
      </c>
      <c r="AL423" s="27">
        <f t="shared" si="74"/>
        <v>813166.66666666663</v>
      </c>
      <c r="AM423" s="27"/>
      <c r="AN423" s="27"/>
      <c r="AO423" s="27"/>
      <c r="AP423" s="27"/>
      <c r="AQ423" s="27"/>
      <c r="AR423" s="27"/>
      <c r="AS423" s="27"/>
      <c r="AT423" s="27"/>
      <c r="AU423" s="27"/>
      <c r="AV423" s="27"/>
      <c r="AW423" s="27">
        <f t="shared" si="67"/>
        <v>1626333.3333333333</v>
      </c>
      <c r="AX423" s="79">
        <f t="shared" si="68"/>
        <v>72634139.000000015</v>
      </c>
      <c r="AY423" s="79">
        <f t="shared" si="69"/>
        <v>24945860.999999996</v>
      </c>
      <c r="AZ423" s="25">
        <v>1</v>
      </c>
      <c r="BA423" s="62" t="s">
        <v>97</v>
      </c>
      <c r="BB423" s="66">
        <v>1</v>
      </c>
      <c r="BC423" s="66"/>
      <c r="BD423" s="66"/>
      <c r="BE423" s="67">
        <f t="shared" si="73"/>
        <v>813166.66666666663</v>
      </c>
      <c r="BF423" s="67">
        <f t="shared" si="66"/>
        <v>0</v>
      </c>
      <c r="BG423" s="67">
        <f t="shared" si="65"/>
        <v>0</v>
      </c>
      <c r="BH423" s="66"/>
      <c r="BI423" s="68" t="s">
        <v>1187</v>
      </c>
      <c r="BJ423" s="68" t="s">
        <v>644</v>
      </c>
      <c r="BK423" s="68" t="s">
        <v>644</v>
      </c>
      <c r="BL423" s="29"/>
      <c r="BO423" s="35" t="s">
        <v>1799</v>
      </c>
      <c r="BQ423" s="1" t="e">
        <v>#N/A</v>
      </c>
    </row>
    <row r="424" spans="1:69" ht="15" hidden="1" customHeight="1">
      <c r="A424" s="1" t="s">
        <v>1188</v>
      </c>
      <c r="B424" s="1" t="s">
        <v>1189</v>
      </c>
      <c r="C424" s="1" t="str">
        <f t="shared" si="70"/>
        <v>2908</v>
      </c>
      <c r="D424" s="1" t="str">
        <f t="shared" si="71"/>
        <v>2108</v>
      </c>
      <c r="E424" s="19" t="s">
        <v>1176</v>
      </c>
      <c r="F424" s="62" t="s">
        <v>515</v>
      </c>
      <c r="G424" s="62">
        <v>2112</v>
      </c>
      <c r="H424" s="62" t="s">
        <v>1190</v>
      </c>
      <c r="I424" s="62" t="s">
        <v>1191</v>
      </c>
      <c r="J424" s="118">
        <v>1</v>
      </c>
      <c r="K424" s="119" t="s">
        <v>1192</v>
      </c>
      <c r="L424" s="62" t="s">
        <v>1193</v>
      </c>
      <c r="M424" s="120" t="s">
        <v>1194</v>
      </c>
      <c r="N424" s="63">
        <v>44439</v>
      </c>
      <c r="O424" s="24"/>
      <c r="P424" s="24"/>
      <c r="Q424" s="64">
        <v>53000000</v>
      </c>
      <c r="R424" s="64"/>
      <c r="S424" s="64"/>
      <c r="T424" s="64"/>
      <c r="U424" s="64"/>
      <c r="V424" s="121">
        <v>53000000</v>
      </c>
      <c r="W424" s="122"/>
      <c r="X424" s="64">
        <v>53000000</v>
      </c>
      <c r="Y424" s="121"/>
      <c r="Z424" s="121"/>
      <c r="AA424" s="128"/>
      <c r="AB424" s="121"/>
      <c r="AC424" s="64">
        <v>53000000</v>
      </c>
      <c r="AD424" s="63">
        <v>44439</v>
      </c>
      <c r="AE424" s="65">
        <v>47359</v>
      </c>
      <c r="AF424" s="62">
        <v>8</v>
      </c>
      <c r="AG424" s="119">
        <v>96</v>
      </c>
      <c r="AH424" s="25">
        <v>552083.33333333337</v>
      </c>
      <c r="AI424" s="78">
        <v>15476136.333333332</v>
      </c>
      <c r="AJ424" s="78">
        <v>37523863.666666664</v>
      </c>
      <c r="AK424" s="27">
        <f t="shared" si="72"/>
        <v>552083.33333333337</v>
      </c>
      <c r="AL424" s="27">
        <f t="shared" si="74"/>
        <v>552083.33333333337</v>
      </c>
      <c r="AM424" s="27"/>
      <c r="AN424" s="27"/>
      <c r="AO424" s="27"/>
      <c r="AP424" s="27"/>
      <c r="AQ424" s="27"/>
      <c r="AR424" s="27"/>
      <c r="AS424" s="27"/>
      <c r="AT424" s="27"/>
      <c r="AU424" s="27"/>
      <c r="AV424" s="27"/>
      <c r="AW424" s="27">
        <f t="shared" si="67"/>
        <v>1104166.6666666667</v>
      </c>
      <c r="AX424" s="79">
        <f t="shared" si="68"/>
        <v>36419697.000000007</v>
      </c>
      <c r="AY424" s="79">
        <f t="shared" si="69"/>
        <v>16580302.999999998</v>
      </c>
      <c r="AZ424" s="25">
        <v>1</v>
      </c>
      <c r="BA424" s="62" t="s">
        <v>97</v>
      </c>
      <c r="BB424" s="66">
        <v>1</v>
      </c>
      <c r="BC424" s="66"/>
      <c r="BD424" s="66"/>
      <c r="BE424" s="67">
        <f t="shared" si="73"/>
        <v>552083.33333333337</v>
      </c>
      <c r="BF424" s="67">
        <f t="shared" si="66"/>
        <v>0</v>
      </c>
      <c r="BG424" s="67">
        <f t="shared" si="65"/>
        <v>0</v>
      </c>
      <c r="BH424" s="66"/>
      <c r="BI424" s="68" t="s">
        <v>1195</v>
      </c>
      <c r="BJ424" s="68" t="s">
        <v>644</v>
      </c>
      <c r="BK424" s="68" t="s">
        <v>644</v>
      </c>
      <c r="BL424" s="29"/>
      <c r="BO424" s="35" t="s">
        <v>1802</v>
      </c>
      <c r="BQ424" s="1" t="e">
        <v>#N/A</v>
      </c>
    </row>
    <row r="425" spans="1:69" ht="15" hidden="1" customHeight="1">
      <c r="A425" s="1" t="s">
        <v>1196</v>
      </c>
      <c r="B425" s="1" t="s">
        <v>1197</v>
      </c>
      <c r="C425" s="1" t="str">
        <f t="shared" si="70"/>
        <v>2908</v>
      </c>
      <c r="D425" s="1" t="str">
        <f t="shared" si="71"/>
        <v>2108</v>
      </c>
      <c r="E425" s="19" t="s">
        <v>1176</v>
      </c>
      <c r="F425" s="62" t="s">
        <v>1198</v>
      </c>
      <c r="G425" s="62">
        <v>2114</v>
      </c>
      <c r="H425" s="62" t="s">
        <v>1199</v>
      </c>
      <c r="I425" s="62" t="s">
        <v>1200</v>
      </c>
      <c r="J425" s="118">
        <v>1</v>
      </c>
      <c r="K425" s="119" t="s">
        <v>1192</v>
      </c>
      <c r="L425" s="62" t="s">
        <v>1185</v>
      </c>
      <c r="M425" s="120" t="s">
        <v>1201</v>
      </c>
      <c r="N425" s="63">
        <v>44439</v>
      </c>
      <c r="O425" s="24"/>
      <c r="P425" s="24"/>
      <c r="Q425" s="64">
        <v>58168824</v>
      </c>
      <c r="R425" s="64"/>
      <c r="S425" s="64"/>
      <c r="T425" s="64"/>
      <c r="U425" s="64"/>
      <c r="V425" s="121">
        <v>58168824</v>
      </c>
      <c r="W425" s="122"/>
      <c r="X425" s="64">
        <v>58168824</v>
      </c>
      <c r="Y425" s="121"/>
      <c r="Z425" s="121"/>
      <c r="AA425" s="128"/>
      <c r="AB425" s="121"/>
      <c r="AC425" s="64">
        <v>58168824</v>
      </c>
      <c r="AD425" s="63">
        <v>44439</v>
      </c>
      <c r="AE425" s="65">
        <v>47359</v>
      </c>
      <c r="AF425" s="62">
        <v>8</v>
      </c>
      <c r="AG425" s="119">
        <v>96</v>
      </c>
      <c r="AH425" s="25">
        <v>605925.25</v>
      </c>
      <c r="AI425" s="78">
        <v>16985448.5</v>
      </c>
      <c r="AJ425" s="78">
        <v>41183375.5</v>
      </c>
      <c r="AK425" s="27">
        <f t="shared" si="72"/>
        <v>605925.25</v>
      </c>
      <c r="AL425" s="27">
        <f t="shared" si="74"/>
        <v>605925.25</v>
      </c>
      <c r="AM425" s="27"/>
      <c r="AN425" s="27"/>
      <c r="AO425" s="27"/>
      <c r="AP425" s="27"/>
      <c r="AQ425" s="27"/>
      <c r="AR425" s="27"/>
      <c r="AS425" s="27"/>
      <c r="AT425" s="27"/>
      <c r="AU425" s="27"/>
      <c r="AV425" s="27"/>
      <c r="AW425" s="27">
        <f t="shared" si="67"/>
        <v>1211850.5</v>
      </c>
      <c r="AX425" s="79">
        <f t="shared" si="68"/>
        <v>39971525</v>
      </c>
      <c r="AY425" s="79">
        <f t="shared" si="69"/>
        <v>18197299</v>
      </c>
      <c r="AZ425" s="25">
        <v>1</v>
      </c>
      <c r="BA425" s="62" t="s">
        <v>97</v>
      </c>
      <c r="BB425" s="66"/>
      <c r="BC425" s="66">
        <v>1</v>
      </c>
      <c r="BD425" s="66"/>
      <c r="BE425" s="67">
        <f t="shared" si="73"/>
        <v>0</v>
      </c>
      <c r="BF425" s="67">
        <f t="shared" si="66"/>
        <v>605925.25</v>
      </c>
      <c r="BG425" s="67">
        <f t="shared" si="65"/>
        <v>0</v>
      </c>
      <c r="BH425" s="66"/>
      <c r="BI425" s="68" t="s">
        <v>1202</v>
      </c>
      <c r="BJ425" s="68" t="s">
        <v>58</v>
      </c>
      <c r="BK425" s="68" t="s">
        <v>59</v>
      </c>
      <c r="BL425" s="29"/>
      <c r="BO425" s="35" t="s">
        <v>1799</v>
      </c>
      <c r="BQ425" s="1" t="e">
        <v>#N/A</v>
      </c>
    </row>
    <row r="426" spans="1:69" ht="15" hidden="1" customHeight="1">
      <c r="A426" s="1" t="s">
        <v>1163</v>
      </c>
      <c r="B426" s="1" t="s">
        <v>1203</v>
      </c>
      <c r="C426" s="1" t="str">
        <f t="shared" si="70"/>
        <v>2908</v>
      </c>
      <c r="D426" s="1" t="str">
        <f t="shared" si="71"/>
        <v>2108</v>
      </c>
      <c r="E426" s="19" t="s">
        <v>1204</v>
      </c>
      <c r="F426" s="62" t="s">
        <v>49</v>
      </c>
      <c r="G426" s="62">
        <v>2112</v>
      </c>
      <c r="H426" s="62" t="s">
        <v>1205</v>
      </c>
      <c r="I426" s="62" t="s">
        <v>1206</v>
      </c>
      <c r="J426" s="118">
        <v>1</v>
      </c>
      <c r="K426" s="119" t="s">
        <v>271</v>
      </c>
      <c r="L426" s="62" t="s">
        <v>77</v>
      </c>
      <c r="M426" s="120" t="s">
        <v>615</v>
      </c>
      <c r="N426" s="63">
        <v>43833</v>
      </c>
      <c r="O426" s="24">
        <v>1415.98</v>
      </c>
      <c r="P426" s="24">
        <v>23229</v>
      </c>
      <c r="Q426" s="64">
        <v>32891799.420000002</v>
      </c>
      <c r="R426" s="64">
        <v>0</v>
      </c>
      <c r="S426" s="64"/>
      <c r="T426" s="64">
        <v>118548.094</v>
      </c>
      <c r="U426" s="64" t="s">
        <v>616</v>
      </c>
      <c r="V426" s="121">
        <v>33010348</v>
      </c>
      <c r="W426" s="122"/>
      <c r="X426" s="64">
        <v>33010348</v>
      </c>
      <c r="Y426" s="121"/>
      <c r="Z426" s="121"/>
      <c r="AA426" s="128"/>
      <c r="AB426" s="121"/>
      <c r="AC426" s="64">
        <v>33010348</v>
      </c>
      <c r="AD426" s="63">
        <v>44415</v>
      </c>
      <c r="AE426" s="65">
        <v>47335</v>
      </c>
      <c r="AF426" s="62">
        <v>8</v>
      </c>
      <c r="AG426" s="119">
        <v>96</v>
      </c>
      <c r="AH426" s="25">
        <v>343857.79166666669</v>
      </c>
      <c r="AI426" s="78">
        <v>9905326.916666666</v>
      </c>
      <c r="AJ426" s="78">
        <v>23105021.083333336</v>
      </c>
      <c r="AK426" s="27">
        <f t="shared" si="72"/>
        <v>343857.79166666669</v>
      </c>
      <c r="AL426" s="27">
        <f t="shared" si="74"/>
        <v>343857.79166666669</v>
      </c>
      <c r="AM426" s="27"/>
      <c r="AN426" s="27"/>
      <c r="AO426" s="27"/>
      <c r="AP426" s="27"/>
      <c r="AQ426" s="27"/>
      <c r="AR426" s="27"/>
      <c r="AS426" s="27"/>
      <c r="AT426" s="27"/>
      <c r="AU426" s="27"/>
      <c r="AV426" s="27"/>
      <c r="AW426" s="27">
        <f t="shared" si="67"/>
        <v>687715.58333333337</v>
      </c>
      <c r="AX426" s="79">
        <f t="shared" si="68"/>
        <v>22417305.500000004</v>
      </c>
      <c r="AY426" s="79">
        <f t="shared" si="69"/>
        <v>10593042.5</v>
      </c>
      <c r="AZ426" s="25">
        <v>1</v>
      </c>
      <c r="BA426" s="62" t="s">
        <v>97</v>
      </c>
      <c r="BB426" s="66">
        <v>1</v>
      </c>
      <c r="BC426" s="66"/>
      <c r="BD426" s="66"/>
      <c r="BE426" s="67">
        <f t="shared" si="73"/>
        <v>343857.79166666669</v>
      </c>
      <c r="BF426" s="67">
        <f t="shared" si="66"/>
        <v>0</v>
      </c>
      <c r="BG426" s="67">
        <f t="shared" si="65"/>
        <v>0</v>
      </c>
      <c r="BH426" s="66"/>
      <c r="BI426" s="68" t="s">
        <v>1207</v>
      </c>
      <c r="BJ426" s="68" t="s">
        <v>85</v>
      </c>
      <c r="BK426" s="68" t="s">
        <v>85</v>
      </c>
      <c r="BL426" s="29"/>
      <c r="BO426" s="35" t="s">
        <v>1804</v>
      </c>
      <c r="BQ426" s="1" t="e">
        <v>#N/A</v>
      </c>
    </row>
    <row r="427" spans="1:69" ht="15" hidden="1" customHeight="1">
      <c r="A427" s="1" t="s">
        <v>1163</v>
      </c>
      <c r="B427" s="1" t="s">
        <v>1203</v>
      </c>
      <c r="C427" s="1" t="str">
        <f t="shared" si="70"/>
        <v>3108</v>
      </c>
      <c r="D427" s="1" t="str">
        <f t="shared" si="71"/>
        <v>2108</v>
      </c>
      <c r="E427" s="19" t="s">
        <v>1204</v>
      </c>
      <c r="F427" s="62" t="s">
        <v>49</v>
      </c>
      <c r="G427" s="62">
        <v>2112</v>
      </c>
      <c r="H427" s="62" t="s">
        <v>1208</v>
      </c>
      <c r="I427" s="62" t="s">
        <v>1209</v>
      </c>
      <c r="J427" s="118">
        <v>1</v>
      </c>
      <c r="K427" s="119" t="s">
        <v>619</v>
      </c>
      <c r="L427" s="62" t="s">
        <v>77</v>
      </c>
      <c r="M427" s="120" t="s">
        <v>678</v>
      </c>
      <c r="N427" s="63">
        <v>43916</v>
      </c>
      <c r="O427" s="24">
        <v>10000</v>
      </c>
      <c r="P427" s="24">
        <v>23665</v>
      </c>
      <c r="Q427" s="64">
        <v>236650000</v>
      </c>
      <c r="R427" s="64">
        <v>0</v>
      </c>
      <c r="S427" s="64"/>
      <c r="T427" s="64">
        <v>3681359.16</v>
      </c>
      <c r="U427" s="64" t="s">
        <v>679</v>
      </c>
      <c r="V427" s="121">
        <v>240331359</v>
      </c>
      <c r="W427" s="122"/>
      <c r="X427" s="64">
        <v>240331359</v>
      </c>
      <c r="Y427" s="121"/>
      <c r="Z427" s="121"/>
      <c r="AA427" s="128"/>
      <c r="AB427" s="121"/>
      <c r="AC427" s="64">
        <v>240331359</v>
      </c>
      <c r="AD427" s="63">
        <v>44413</v>
      </c>
      <c r="AE427" s="65">
        <v>48063</v>
      </c>
      <c r="AF427" s="62">
        <v>10</v>
      </c>
      <c r="AG427" s="119">
        <v>120</v>
      </c>
      <c r="AH427" s="25">
        <v>2002761.325</v>
      </c>
      <c r="AI427" s="78">
        <v>57821651.25</v>
      </c>
      <c r="AJ427" s="78">
        <v>182509707.75</v>
      </c>
      <c r="AK427" s="27">
        <f t="shared" si="72"/>
        <v>2002761.325</v>
      </c>
      <c r="AL427" s="27">
        <f t="shared" si="74"/>
        <v>2002761.325</v>
      </c>
      <c r="AM427" s="27"/>
      <c r="AN427" s="27"/>
      <c r="AO427" s="27"/>
      <c r="AP427" s="27"/>
      <c r="AQ427" s="27"/>
      <c r="AR427" s="27"/>
      <c r="AS427" s="27"/>
      <c r="AT427" s="27"/>
      <c r="AU427" s="27"/>
      <c r="AV427" s="27"/>
      <c r="AW427" s="27">
        <f t="shared" si="67"/>
        <v>4005522.65</v>
      </c>
      <c r="AX427" s="79">
        <f t="shared" si="68"/>
        <v>178504185.09999999</v>
      </c>
      <c r="AY427" s="79">
        <f t="shared" si="69"/>
        <v>61827173.899999999</v>
      </c>
      <c r="AZ427" s="25">
        <v>1</v>
      </c>
      <c r="BA427" s="62" t="s">
        <v>97</v>
      </c>
      <c r="BB427" s="66">
        <v>1</v>
      </c>
      <c r="BC427" s="66"/>
      <c r="BD427" s="66"/>
      <c r="BE427" s="67">
        <f t="shared" si="73"/>
        <v>2002761.325</v>
      </c>
      <c r="BF427" s="67">
        <f t="shared" si="66"/>
        <v>0</v>
      </c>
      <c r="BG427" s="67">
        <f t="shared" si="65"/>
        <v>0</v>
      </c>
      <c r="BH427" s="66"/>
      <c r="BI427" s="68" t="s">
        <v>188</v>
      </c>
      <c r="BJ427" s="68" t="s">
        <v>58</v>
      </c>
      <c r="BK427" s="68" t="s">
        <v>59</v>
      </c>
      <c r="BL427" s="29"/>
      <c r="BO427" s="35" t="s">
        <v>1805</v>
      </c>
      <c r="BQ427" s="1" t="s">
        <v>1989</v>
      </c>
    </row>
    <row r="428" spans="1:69" ht="15" hidden="1" customHeight="1">
      <c r="A428" s="1" t="s">
        <v>1196</v>
      </c>
      <c r="B428" s="1" t="s">
        <v>1203</v>
      </c>
      <c r="C428" s="1" t="str">
        <f t="shared" si="70"/>
        <v>3108</v>
      </c>
      <c r="D428" s="1" t="str">
        <f t="shared" si="71"/>
        <v>2108</v>
      </c>
      <c r="E428" s="19" t="s">
        <v>1204</v>
      </c>
      <c r="F428" s="62" t="s">
        <v>1210</v>
      </c>
      <c r="G428" s="62">
        <v>2112</v>
      </c>
      <c r="H428" s="62" t="s">
        <v>1211</v>
      </c>
      <c r="I428" s="62" t="s">
        <v>1212</v>
      </c>
      <c r="J428" s="118">
        <v>1</v>
      </c>
      <c r="K428" s="119" t="s">
        <v>271</v>
      </c>
      <c r="L428" s="62" t="s">
        <v>77</v>
      </c>
      <c r="M428" s="120" t="s">
        <v>1213</v>
      </c>
      <c r="N428" s="63">
        <v>44330</v>
      </c>
      <c r="O428" s="24">
        <v>25000</v>
      </c>
      <c r="P428" s="24">
        <v>23160</v>
      </c>
      <c r="Q428" s="64">
        <v>579000000</v>
      </c>
      <c r="R428" s="64"/>
      <c r="S428" s="64"/>
      <c r="T428" s="64">
        <v>1692159</v>
      </c>
      <c r="U428" s="64" t="s">
        <v>1214</v>
      </c>
      <c r="V428" s="121">
        <v>580692159</v>
      </c>
      <c r="W428" s="122"/>
      <c r="X428" s="64">
        <v>580692159</v>
      </c>
      <c r="Y428" s="121"/>
      <c r="Z428" s="121"/>
      <c r="AA428" s="128"/>
      <c r="AB428" s="121"/>
      <c r="AC428" s="64">
        <v>580692159</v>
      </c>
      <c r="AD428" s="63">
        <v>44428</v>
      </c>
      <c r="AE428" s="65">
        <v>48078</v>
      </c>
      <c r="AF428" s="62">
        <v>10</v>
      </c>
      <c r="AG428" s="119">
        <v>120</v>
      </c>
      <c r="AH428" s="25">
        <v>4839101.3250000002</v>
      </c>
      <c r="AI428" s="78">
        <v>137368031.25</v>
      </c>
      <c r="AJ428" s="78">
        <v>443324127.75</v>
      </c>
      <c r="AK428" s="27">
        <f t="shared" si="72"/>
        <v>4839101.3250000002</v>
      </c>
      <c r="AL428" s="27">
        <f t="shared" si="74"/>
        <v>4839101.3250000002</v>
      </c>
      <c r="AM428" s="27"/>
      <c r="AN428" s="27"/>
      <c r="AO428" s="27"/>
      <c r="AP428" s="27"/>
      <c r="AQ428" s="27"/>
      <c r="AR428" s="27"/>
      <c r="AS428" s="27"/>
      <c r="AT428" s="27"/>
      <c r="AU428" s="27"/>
      <c r="AV428" s="27"/>
      <c r="AW428" s="27">
        <f t="shared" si="67"/>
        <v>9678202.6500000004</v>
      </c>
      <c r="AX428" s="79">
        <f t="shared" si="68"/>
        <v>433645925.10000002</v>
      </c>
      <c r="AY428" s="79">
        <f t="shared" si="69"/>
        <v>147046233.90000001</v>
      </c>
      <c r="AZ428" s="25">
        <v>1</v>
      </c>
      <c r="BA428" s="62" t="s">
        <v>97</v>
      </c>
      <c r="BB428" s="66">
        <v>1</v>
      </c>
      <c r="BC428" s="66"/>
      <c r="BD428" s="66"/>
      <c r="BE428" s="67">
        <f t="shared" si="73"/>
        <v>4839101.3250000002</v>
      </c>
      <c r="BF428" s="67">
        <f t="shared" si="66"/>
        <v>0</v>
      </c>
      <c r="BG428" s="67">
        <f t="shared" si="65"/>
        <v>0</v>
      </c>
      <c r="BH428" s="66"/>
      <c r="BI428" s="68" t="s">
        <v>1215</v>
      </c>
      <c r="BJ428" s="68" t="s">
        <v>58</v>
      </c>
      <c r="BK428" s="68" t="s">
        <v>159</v>
      </c>
      <c r="BL428" s="29"/>
      <c r="BM428" s="1" t="s">
        <v>1887</v>
      </c>
      <c r="BO428" s="35" t="s">
        <v>1807</v>
      </c>
      <c r="BQ428" s="1" t="e">
        <v>#N/A</v>
      </c>
    </row>
    <row r="429" spans="1:69" ht="15" hidden="1" customHeight="1">
      <c r="A429" s="1" t="s">
        <v>1216</v>
      </c>
      <c r="B429" s="1" t="s">
        <v>1203</v>
      </c>
      <c r="C429" s="1" t="str">
        <f t="shared" si="70"/>
        <v>2707</v>
      </c>
      <c r="D429" s="1" t="str">
        <f t="shared" si="71"/>
        <v>2108</v>
      </c>
      <c r="E429" s="19" t="s">
        <v>1204</v>
      </c>
      <c r="F429" s="62" t="s">
        <v>515</v>
      </c>
      <c r="G429" s="62">
        <v>2112</v>
      </c>
      <c r="H429" s="62" t="s">
        <v>1217</v>
      </c>
      <c r="I429" s="62" t="s">
        <v>1218</v>
      </c>
      <c r="J429" s="118">
        <v>1</v>
      </c>
      <c r="K429" s="119" t="s">
        <v>271</v>
      </c>
      <c r="L429" s="62" t="s">
        <v>1219</v>
      </c>
      <c r="M429" s="120" t="s">
        <v>305</v>
      </c>
      <c r="N429" s="63">
        <v>44348</v>
      </c>
      <c r="O429" s="24"/>
      <c r="P429" s="24"/>
      <c r="Q429" s="64">
        <v>53950000</v>
      </c>
      <c r="R429" s="64"/>
      <c r="S429" s="64"/>
      <c r="T429" s="64"/>
      <c r="U429" s="64"/>
      <c r="V429" s="121">
        <v>53950000</v>
      </c>
      <c r="W429" s="122"/>
      <c r="X429" s="64">
        <v>53950000</v>
      </c>
      <c r="Y429" s="121"/>
      <c r="Z429" s="121"/>
      <c r="AA429" s="128"/>
      <c r="AB429" s="121"/>
      <c r="AC429" s="64">
        <v>53950000</v>
      </c>
      <c r="AD429" s="63">
        <v>44409</v>
      </c>
      <c r="AE429" s="65">
        <v>46599</v>
      </c>
      <c r="AF429" s="62">
        <v>6</v>
      </c>
      <c r="AG429" s="119">
        <v>72</v>
      </c>
      <c r="AH429" s="25">
        <v>749305.5555555555</v>
      </c>
      <c r="AI429" s="78">
        <v>21729869.55555556</v>
      </c>
      <c r="AJ429" s="78">
        <v>32220130.44444444</v>
      </c>
      <c r="AK429" s="27">
        <f t="shared" si="72"/>
        <v>749305.5555555555</v>
      </c>
      <c r="AL429" s="27">
        <f t="shared" si="74"/>
        <v>749305.5555555555</v>
      </c>
      <c r="AM429" s="27"/>
      <c r="AN429" s="27"/>
      <c r="AO429" s="27"/>
      <c r="AP429" s="27"/>
      <c r="AQ429" s="27"/>
      <c r="AR429" s="27"/>
      <c r="AS429" s="27"/>
      <c r="AT429" s="27"/>
      <c r="AU429" s="27"/>
      <c r="AV429" s="27"/>
      <c r="AW429" s="27">
        <f t="shared" si="67"/>
        <v>1498611.111111111</v>
      </c>
      <c r="AX429" s="79">
        <f t="shared" si="68"/>
        <v>30721519.333333328</v>
      </c>
      <c r="AY429" s="79">
        <f t="shared" si="69"/>
        <v>23228480.666666672</v>
      </c>
      <c r="AZ429" s="25">
        <v>1</v>
      </c>
      <c r="BA429" s="62" t="s">
        <v>97</v>
      </c>
      <c r="BB429" s="66">
        <v>1</v>
      </c>
      <c r="BC429" s="66"/>
      <c r="BD429" s="66"/>
      <c r="BE429" s="67">
        <f t="shared" si="73"/>
        <v>749305.5555555555</v>
      </c>
      <c r="BF429" s="67">
        <f t="shared" si="66"/>
        <v>0</v>
      </c>
      <c r="BG429" s="67">
        <f t="shared" si="65"/>
        <v>0</v>
      </c>
      <c r="BH429" s="66"/>
      <c r="BI429" s="68" t="s">
        <v>1220</v>
      </c>
      <c r="BJ429" s="68" t="s">
        <v>58</v>
      </c>
      <c r="BK429" s="68" t="s">
        <v>1221</v>
      </c>
      <c r="BL429" s="29"/>
      <c r="BO429" s="35" t="s">
        <v>1804</v>
      </c>
      <c r="BQ429" s="1" t="e">
        <v>#N/A</v>
      </c>
    </row>
    <row r="430" spans="1:69" ht="15" hidden="1" customHeight="1">
      <c r="A430" s="1" t="s">
        <v>1196</v>
      </c>
      <c r="B430" s="1" t="s">
        <v>1222</v>
      </c>
      <c r="C430" s="1" t="str">
        <f t="shared" si="70"/>
        <v>2909</v>
      </c>
      <c r="D430" s="1" t="str">
        <f t="shared" si="71"/>
        <v>2109</v>
      </c>
      <c r="E430" s="19" t="s">
        <v>1223</v>
      </c>
      <c r="F430" s="62" t="s">
        <v>49</v>
      </c>
      <c r="G430" s="62">
        <v>2112</v>
      </c>
      <c r="H430" s="62" t="s">
        <v>1224</v>
      </c>
      <c r="I430" s="62" t="s">
        <v>1225</v>
      </c>
      <c r="J430" s="118">
        <v>1</v>
      </c>
      <c r="K430" s="119" t="s">
        <v>1226</v>
      </c>
      <c r="L430" s="62" t="s">
        <v>1141</v>
      </c>
      <c r="M430" s="137" t="s">
        <v>1227</v>
      </c>
      <c r="N430" s="63">
        <v>44467</v>
      </c>
      <c r="O430" s="24"/>
      <c r="P430" s="24"/>
      <c r="Q430" s="64">
        <v>50900000</v>
      </c>
      <c r="R430" s="64"/>
      <c r="S430" s="64"/>
      <c r="T430" s="64"/>
      <c r="U430" s="64"/>
      <c r="V430" s="121">
        <v>50900000</v>
      </c>
      <c r="W430" s="122"/>
      <c r="X430" s="64">
        <v>50900000</v>
      </c>
      <c r="Y430" s="121"/>
      <c r="Z430" s="121"/>
      <c r="AA430" s="128"/>
      <c r="AB430" s="121"/>
      <c r="AC430" s="64">
        <v>50900000</v>
      </c>
      <c r="AD430" s="63">
        <v>44467</v>
      </c>
      <c r="AE430" s="65">
        <v>47387</v>
      </c>
      <c r="AF430" s="62">
        <v>8</v>
      </c>
      <c r="AG430" s="119">
        <v>96</v>
      </c>
      <c r="AH430" s="25">
        <v>530208.33333333337</v>
      </c>
      <c r="AI430" s="78">
        <v>14368640.333333332</v>
      </c>
      <c r="AJ430" s="78">
        <v>36531359.666666664</v>
      </c>
      <c r="AK430" s="27">
        <f t="shared" si="72"/>
        <v>530208.33333333337</v>
      </c>
      <c r="AL430" s="27">
        <f t="shared" si="74"/>
        <v>530208.33333333337</v>
      </c>
      <c r="AM430" s="27"/>
      <c r="AN430" s="27"/>
      <c r="AO430" s="27"/>
      <c r="AP430" s="27"/>
      <c r="AQ430" s="27"/>
      <c r="AR430" s="27"/>
      <c r="AS430" s="27"/>
      <c r="AT430" s="27"/>
      <c r="AU430" s="27"/>
      <c r="AV430" s="27"/>
      <c r="AW430" s="27">
        <f t="shared" si="67"/>
        <v>1060416.6666666667</v>
      </c>
      <c r="AX430" s="79">
        <f t="shared" si="68"/>
        <v>35470943.000000007</v>
      </c>
      <c r="AY430" s="79">
        <f t="shared" si="69"/>
        <v>15429056.999999998</v>
      </c>
      <c r="AZ430" s="25">
        <v>1</v>
      </c>
      <c r="BA430" s="62" t="s">
        <v>97</v>
      </c>
      <c r="BB430" s="66">
        <v>1</v>
      </c>
      <c r="BC430" s="66"/>
      <c r="BD430" s="66"/>
      <c r="BE430" s="67">
        <f t="shared" si="73"/>
        <v>530208.33333333337</v>
      </c>
      <c r="BF430" s="67">
        <f t="shared" si="66"/>
        <v>0</v>
      </c>
      <c r="BG430" s="67">
        <f t="shared" si="65"/>
        <v>0</v>
      </c>
      <c r="BH430" s="66"/>
      <c r="BI430" s="68" t="s">
        <v>1228</v>
      </c>
      <c r="BJ430" s="68" t="s">
        <v>58</v>
      </c>
      <c r="BK430" s="68" t="s">
        <v>159</v>
      </c>
      <c r="BL430" s="29"/>
      <c r="BO430" s="35" t="s">
        <v>1804</v>
      </c>
      <c r="BQ430" s="1" t="e">
        <v>#N/A</v>
      </c>
    </row>
    <row r="431" spans="1:69" ht="15" hidden="1" customHeight="1">
      <c r="A431" s="1" t="s">
        <v>1196</v>
      </c>
      <c r="B431" s="1" t="s">
        <v>1229</v>
      </c>
      <c r="C431" s="1" t="str">
        <f t="shared" si="70"/>
        <v>2909</v>
      </c>
      <c r="D431" s="1" t="str">
        <f t="shared" si="71"/>
        <v>2109</v>
      </c>
      <c r="E431" s="19" t="s">
        <v>1223</v>
      </c>
      <c r="F431" s="62" t="s">
        <v>1230</v>
      </c>
      <c r="G431" s="62">
        <v>2114</v>
      </c>
      <c r="H431" s="62" t="s">
        <v>1231</v>
      </c>
      <c r="I431" s="62" t="s">
        <v>1232</v>
      </c>
      <c r="J431" s="118">
        <v>1</v>
      </c>
      <c r="K431" s="119" t="s">
        <v>1233</v>
      </c>
      <c r="L431" s="62" t="s">
        <v>1234</v>
      </c>
      <c r="M431" s="137" t="s">
        <v>1235</v>
      </c>
      <c r="N431" s="63">
        <v>44443</v>
      </c>
      <c r="O431" s="24"/>
      <c r="P431" s="24"/>
      <c r="Q431" s="64">
        <v>105000000</v>
      </c>
      <c r="R431" s="64"/>
      <c r="S431" s="64"/>
      <c r="T431" s="64"/>
      <c r="U431" s="64"/>
      <c r="V431" s="121">
        <v>105000000</v>
      </c>
      <c r="W431" s="122"/>
      <c r="X431" s="64">
        <v>105000000</v>
      </c>
      <c r="Y431" s="121"/>
      <c r="Z431" s="121"/>
      <c r="AA431" s="128"/>
      <c r="AB431" s="121"/>
      <c r="AC431" s="64">
        <v>105000000</v>
      </c>
      <c r="AD431" s="63">
        <v>44443</v>
      </c>
      <c r="AE431" s="65">
        <v>47363</v>
      </c>
      <c r="AF431" s="62">
        <v>8</v>
      </c>
      <c r="AG431" s="119">
        <v>96</v>
      </c>
      <c r="AH431" s="25">
        <v>1093750</v>
      </c>
      <c r="AI431" s="78">
        <v>30515625</v>
      </c>
      <c r="AJ431" s="78">
        <v>74484375</v>
      </c>
      <c r="AK431" s="27">
        <f t="shared" si="72"/>
        <v>1093750</v>
      </c>
      <c r="AL431" s="27">
        <f t="shared" si="74"/>
        <v>1093750</v>
      </c>
      <c r="AM431" s="27"/>
      <c r="AN431" s="27"/>
      <c r="AO431" s="27"/>
      <c r="AP431" s="27"/>
      <c r="AQ431" s="27"/>
      <c r="AR431" s="27"/>
      <c r="AS431" s="27"/>
      <c r="AT431" s="27"/>
      <c r="AU431" s="27"/>
      <c r="AV431" s="27"/>
      <c r="AW431" s="27">
        <f t="shared" si="67"/>
        <v>2187500</v>
      </c>
      <c r="AX431" s="79">
        <f t="shared" si="68"/>
        <v>72296875</v>
      </c>
      <c r="AY431" s="79">
        <f t="shared" si="69"/>
        <v>32703125</v>
      </c>
      <c r="AZ431" s="25">
        <v>1</v>
      </c>
      <c r="BA431" s="62" t="s">
        <v>79</v>
      </c>
      <c r="BB431" s="66"/>
      <c r="BC431" s="66">
        <v>1</v>
      </c>
      <c r="BD431" s="66"/>
      <c r="BE431" s="67">
        <f t="shared" si="73"/>
        <v>0</v>
      </c>
      <c r="BF431" s="67">
        <f t="shared" si="66"/>
        <v>1093750</v>
      </c>
      <c r="BG431" s="67">
        <f t="shared" si="65"/>
        <v>0</v>
      </c>
      <c r="BH431" s="66"/>
      <c r="BI431" s="68" t="s">
        <v>1236</v>
      </c>
      <c r="BJ431" s="68" t="s">
        <v>58</v>
      </c>
      <c r="BK431" s="68" t="s">
        <v>59</v>
      </c>
      <c r="BL431" s="29"/>
      <c r="BO431" s="35" t="s">
        <v>1799</v>
      </c>
      <c r="BQ431" s="1" t="e">
        <v>#N/A</v>
      </c>
    </row>
    <row r="432" spans="1:69" ht="15" hidden="1" customHeight="1">
      <c r="A432" s="1" t="s">
        <v>1196</v>
      </c>
      <c r="B432" s="1" t="s">
        <v>1203</v>
      </c>
      <c r="C432" s="1" t="str">
        <f t="shared" si="70"/>
        <v>3109</v>
      </c>
      <c r="D432" s="1" t="str">
        <f t="shared" si="71"/>
        <v>2109</v>
      </c>
      <c r="E432" s="19" t="s">
        <v>1223</v>
      </c>
      <c r="F432" s="62" t="s">
        <v>515</v>
      </c>
      <c r="G432" s="62">
        <v>2112</v>
      </c>
      <c r="H432" s="62" t="s">
        <v>1237</v>
      </c>
      <c r="I432" s="62" t="s">
        <v>1238</v>
      </c>
      <c r="J432" s="118">
        <v>1</v>
      </c>
      <c r="K432" s="119" t="s">
        <v>619</v>
      </c>
      <c r="L432" s="62" t="s">
        <v>924</v>
      </c>
      <c r="M432" s="120" t="s">
        <v>1239</v>
      </c>
      <c r="N432" s="63" t="s">
        <v>1240</v>
      </c>
      <c r="O432" s="24">
        <v>153000</v>
      </c>
      <c r="P432" s="24">
        <v>22924</v>
      </c>
      <c r="Q432" s="64">
        <v>3507372000</v>
      </c>
      <c r="R432" s="64">
        <v>0</v>
      </c>
      <c r="S432" s="64"/>
      <c r="T432" s="64">
        <v>17565460</v>
      </c>
      <c r="U432" s="64" t="s">
        <v>1241</v>
      </c>
      <c r="V432" s="121">
        <v>3524937460</v>
      </c>
      <c r="W432" s="122"/>
      <c r="X432" s="64">
        <v>3524937460</v>
      </c>
      <c r="Y432" s="121"/>
      <c r="Z432" s="121"/>
      <c r="AA432" s="128"/>
      <c r="AB432" s="121"/>
      <c r="AC432" s="64">
        <v>3524937460</v>
      </c>
      <c r="AD432" s="63">
        <v>44456</v>
      </c>
      <c r="AE432" s="65">
        <v>48106</v>
      </c>
      <c r="AF432" s="62">
        <v>10</v>
      </c>
      <c r="AG432" s="119">
        <v>120</v>
      </c>
      <c r="AH432" s="25">
        <v>29374478.833333332</v>
      </c>
      <c r="AI432" s="78">
        <v>806819021.33333325</v>
      </c>
      <c r="AJ432" s="78">
        <v>2718118438.6666665</v>
      </c>
      <c r="AK432" s="27">
        <f t="shared" si="72"/>
        <v>29374478.833333332</v>
      </c>
      <c r="AL432" s="27">
        <f t="shared" si="74"/>
        <v>29374478.833333332</v>
      </c>
      <c r="AM432" s="27"/>
      <c r="AN432" s="27"/>
      <c r="AO432" s="27"/>
      <c r="AP432" s="27"/>
      <c r="AQ432" s="27"/>
      <c r="AR432" s="27"/>
      <c r="AS432" s="27"/>
      <c r="AT432" s="27"/>
      <c r="AU432" s="27"/>
      <c r="AV432" s="27"/>
      <c r="AW432" s="27">
        <f t="shared" si="67"/>
        <v>58748957.666666664</v>
      </c>
      <c r="AX432" s="79">
        <f t="shared" si="68"/>
        <v>2659369481.0000005</v>
      </c>
      <c r="AY432" s="79">
        <f t="shared" si="69"/>
        <v>865567978.99999988</v>
      </c>
      <c r="AZ432" s="25">
        <v>1</v>
      </c>
      <c r="BA432" s="62" t="s">
        <v>97</v>
      </c>
      <c r="BB432" s="66">
        <v>1</v>
      </c>
      <c r="BC432" s="66"/>
      <c r="BD432" s="66"/>
      <c r="BE432" s="67">
        <f t="shared" si="73"/>
        <v>29374478.833333332</v>
      </c>
      <c r="BF432" s="67">
        <f t="shared" si="66"/>
        <v>0</v>
      </c>
      <c r="BG432" s="67">
        <f t="shared" si="65"/>
        <v>0</v>
      </c>
      <c r="BH432" s="66"/>
      <c r="BI432" s="68" t="s">
        <v>871</v>
      </c>
      <c r="BJ432" s="68" t="s">
        <v>121</v>
      </c>
      <c r="BK432" s="68" t="s">
        <v>121</v>
      </c>
      <c r="BL432" s="29"/>
      <c r="BO432" s="35" t="s">
        <v>1805</v>
      </c>
      <c r="BQ432" s="1" t="s">
        <v>1979</v>
      </c>
    </row>
    <row r="433" spans="1:69" ht="15" hidden="1" customHeight="1">
      <c r="A433" s="1" t="s">
        <v>1196</v>
      </c>
      <c r="B433" s="1" t="s">
        <v>1203</v>
      </c>
      <c r="C433" s="1" t="str">
        <f t="shared" si="70"/>
        <v>3109</v>
      </c>
      <c r="D433" s="1" t="str">
        <f t="shared" si="71"/>
        <v>2109</v>
      </c>
      <c r="E433" s="19" t="s">
        <v>1223</v>
      </c>
      <c r="F433" s="62" t="s">
        <v>515</v>
      </c>
      <c r="G433" s="62">
        <v>2112</v>
      </c>
      <c r="H433" s="62" t="s">
        <v>1242</v>
      </c>
      <c r="I433" s="62" t="s">
        <v>1243</v>
      </c>
      <c r="J433" s="118">
        <v>1</v>
      </c>
      <c r="K433" s="119" t="s">
        <v>619</v>
      </c>
      <c r="L433" s="62" t="s">
        <v>924</v>
      </c>
      <c r="M433" s="120" t="s">
        <v>1239</v>
      </c>
      <c r="N433" s="63" t="s">
        <v>1240</v>
      </c>
      <c r="O433" s="24">
        <v>154000</v>
      </c>
      <c r="P433" s="24">
        <v>22975</v>
      </c>
      <c r="Q433" s="64">
        <v>3538150000</v>
      </c>
      <c r="R433" s="64">
        <v>0</v>
      </c>
      <c r="S433" s="64"/>
      <c r="T433" s="64">
        <v>17680267</v>
      </c>
      <c r="U433" s="64" t="s">
        <v>1241</v>
      </c>
      <c r="V433" s="121">
        <v>3555830267</v>
      </c>
      <c r="W433" s="122"/>
      <c r="X433" s="64">
        <v>3555830267</v>
      </c>
      <c r="Y433" s="121"/>
      <c r="Z433" s="121"/>
      <c r="AA433" s="128"/>
      <c r="AB433" s="121"/>
      <c r="AC433" s="64">
        <v>3555830267</v>
      </c>
      <c r="AD433" s="63">
        <v>44454</v>
      </c>
      <c r="AE433" s="65">
        <v>48104</v>
      </c>
      <c r="AF433" s="62">
        <v>10</v>
      </c>
      <c r="AG433" s="119">
        <v>120</v>
      </c>
      <c r="AH433" s="25">
        <v>29631918.891666666</v>
      </c>
      <c r="AI433" s="78">
        <v>815865501.91666651</v>
      </c>
      <c r="AJ433" s="78">
        <v>2739964765.0833335</v>
      </c>
      <c r="AK433" s="27">
        <f t="shared" si="72"/>
        <v>29631918.891666666</v>
      </c>
      <c r="AL433" s="27">
        <f t="shared" si="74"/>
        <v>29631918.891666666</v>
      </c>
      <c r="AM433" s="27"/>
      <c r="AN433" s="27"/>
      <c r="AO433" s="27"/>
      <c r="AP433" s="27"/>
      <c r="AQ433" s="27"/>
      <c r="AR433" s="27"/>
      <c r="AS433" s="27"/>
      <c r="AT433" s="27"/>
      <c r="AU433" s="27"/>
      <c r="AV433" s="27"/>
      <c r="AW433" s="27">
        <f t="shared" si="67"/>
        <v>59263837.783333331</v>
      </c>
      <c r="AX433" s="79">
        <f t="shared" si="68"/>
        <v>2680700927.3000002</v>
      </c>
      <c r="AY433" s="79">
        <f t="shared" si="69"/>
        <v>875129339.69999981</v>
      </c>
      <c r="AZ433" s="25">
        <v>1</v>
      </c>
      <c r="BA433" s="62" t="s">
        <v>97</v>
      </c>
      <c r="BB433" s="66">
        <v>1</v>
      </c>
      <c r="BC433" s="66"/>
      <c r="BD433" s="66"/>
      <c r="BE433" s="67">
        <f t="shared" si="73"/>
        <v>29631918.891666666</v>
      </c>
      <c r="BF433" s="67">
        <f t="shared" si="66"/>
        <v>0</v>
      </c>
      <c r="BG433" s="67">
        <f t="shared" si="65"/>
        <v>0</v>
      </c>
      <c r="BH433" s="66"/>
      <c r="BI433" s="68" t="s">
        <v>871</v>
      </c>
      <c r="BJ433" s="68" t="s">
        <v>121</v>
      </c>
      <c r="BK433" s="68" t="s">
        <v>121</v>
      </c>
      <c r="BL433" s="29"/>
      <c r="BO433" s="35" t="s">
        <v>1805</v>
      </c>
      <c r="BQ433" s="1" t="s">
        <v>1979</v>
      </c>
    </row>
    <row r="434" spans="1:69" ht="15" hidden="1" customHeight="1">
      <c r="A434" s="1" t="s">
        <v>1196</v>
      </c>
      <c r="B434" s="1" t="s">
        <v>1203</v>
      </c>
      <c r="C434" s="1" t="str">
        <f t="shared" si="70"/>
        <v>3109</v>
      </c>
      <c r="D434" s="1" t="str">
        <f t="shared" si="71"/>
        <v>2109</v>
      </c>
      <c r="E434" s="19" t="s">
        <v>1223</v>
      </c>
      <c r="F434" s="62" t="s">
        <v>515</v>
      </c>
      <c r="G434" s="62">
        <v>2112</v>
      </c>
      <c r="H434" s="62" t="s">
        <v>1244</v>
      </c>
      <c r="I434" s="62" t="s">
        <v>1245</v>
      </c>
      <c r="J434" s="118">
        <v>1</v>
      </c>
      <c r="K434" s="119" t="s">
        <v>619</v>
      </c>
      <c r="L434" s="62" t="s">
        <v>77</v>
      </c>
      <c r="M434" s="120" t="s">
        <v>1246</v>
      </c>
      <c r="N434" s="65">
        <v>44446</v>
      </c>
      <c r="O434" s="24">
        <v>65000</v>
      </c>
      <c r="P434" s="24">
        <v>22880</v>
      </c>
      <c r="Q434" s="64">
        <v>1487200000</v>
      </c>
      <c r="R434" s="64">
        <v>0</v>
      </c>
      <c r="S434" s="64"/>
      <c r="T434" s="64">
        <v>58711091</v>
      </c>
      <c r="U434" s="64" t="s">
        <v>1247</v>
      </c>
      <c r="V434" s="121">
        <v>1545911091</v>
      </c>
      <c r="W434" s="122"/>
      <c r="X434" s="64">
        <v>1545911091</v>
      </c>
      <c r="Y434" s="121"/>
      <c r="Z434" s="121"/>
      <c r="AA434" s="128"/>
      <c r="AB434" s="121"/>
      <c r="AC434" s="64">
        <v>1545911091</v>
      </c>
      <c r="AD434" s="63">
        <v>44468</v>
      </c>
      <c r="AE434" s="65">
        <v>48118</v>
      </c>
      <c r="AF434" s="62">
        <v>10</v>
      </c>
      <c r="AG434" s="119">
        <v>120</v>
      </c>
      <c r="AH434" s="25">
        <v>12882592.425000001</v>
      </c>
      <c r="AI434" s="78">
        <v>348688827.25</v>
      </c>
      <c r="AJ434" s="78">
        <v>1197222263.75</v>
      </c>
      <c r="AK434" s="27">
        <f t="shared" si="72"/>
        <v>12882592.425000001</v>
      </c>
      <c r="AL434" s="27">
        <f t="shared" si="74"/>
        <v>12882592.425000001</v>
      </c>
      <c r="AM434" s="27"/>
      <c r="AN434" s="27"/>
      <c r="AO434" s="27"/>
      <c r="AP434" s="27"/>
      <c r="AQ434" s="27"/>
      <c r="AR434" s="27"/>
      <c r="AS434" s="27"/>
      <c r="AT434" s="27"/>
      <c r="AU434" s="27"/>
      <c r="AV434" s="27"/>
      <c r="AW434" s="27">
        <f t="shared" si="67"/>
        <v>25765184.850000001</v>
      </c>
      <c r="AX434" s="79">
        <f t="shared" si="68"/>
        <v>1171457078.9000001</v>
      </c>
      <c r="AY434" s="79">
        <f t="shared" si="69"/>
        <v>374454012.10000002</v>
      </c>
      <c r="AZ434" s="25">
        <v>1</v>
      </c>
      <c r="BA434" s="62" t="s">
        <v>97</v>
      </c>
      <c r="BB434" s="66">
        <v>1</v>
      </c>
      <c r="BC434" s="66"/>
      <c r="BD434" s="66"/>
      <c r="BE434" s="67">
        <f t="shared" si="73"/>
        <v>12882592.425000001</v>
      </c>
      <c r="BF434" s="67">
        <f t="shared" si="66"/>
        <v>0</v>
      </c>
      <c r="BG434" s="67">
        <f t="shared" si="65"/>
        <v>0</v>
      </c>
      <c r="BH434" s="66"/>
      <c r="BI434" s="68" t="s">
        <v>1248</v>
      </c>
      <c r="BJ434" s="68" t="s">
        <v>644</v>
      </c>
      <c r="BK434" s="68" t="s">
        <v>1249</v>
      </c>
      <c r="BL434" s="29"/>
      <c r="BO434" s="35" t="s">
        <v>1802</v>
      </c>
      <c r="BQ434" s="1" t="e">
        <v>#N/A</v>
      </c>
    </row>
    <row r="435" spans="1:69" ht="15" hidden="1" customHeight="1">
      <c r="A435" s="1" t="s">
        <v>1250</v>
      </c>
      <c r="C435" s="1" t="str">
        <f t="shared" si="70"/>
        <v>2910</v>
      </c>
      <c r="D435" s="1" t="str">
        <f t="shared" si="71"/>
        <v>2110</v>
      </c>
      <c r="E435" s="19" t="s">
        <v>1176</v>
      </c>
      <c r="F435" s="62" t="s">
        <v>1230</v>
      </c>
      <c r="G435" s="62">
        <v>2112</v>
      </c>
      <c r="H435" s="62" t="s">
        <v>1251</v>
      </c>
      <c r="I435" s="62" t="s">
        <v>1252</v>
      </c>
      <c r="J435" s="118">
        <v>1</v>
      </c>
      <c r="K435" s="119"/>
      <c r="L435" s="62" t="s">
        <v>1179</v>
      </c>
      <c r="M435" s="137" t="s">
        <v>1253</v>
      </c>
      <c r="N435" s="63">
        <v>44487</v>
      </c>
      <c r="O435" s="24"/>
      <c r="P435" s="24"/>
      <c r="Q435" s="64">
        <v>95650000</v>
      </c>
      <c r="R435" s="64"/>
      <c r="S435" s="64"/>
      <c r="T435" s="64"/>
      <c r="U435" s="64"/>
      <c r="V435" s="121">
        <v>95650000</v>
      </c>
      <c r="W435" s="122"/>
      <c r="X435" s="64">
        <v>95650000</v>
      </c>
      <c r="Y435" s="121"/>
      <c r="Z435" s="121"/>
      <c r="AA435" s="128"/>
      <c r="AB435" s="121"/>
      <c r="AC435" s="64">
        <v>95650000</v>
      </c>
      <c r="AD435" s="63">
        <v>44487</v>
      </c>
      <c r="AE435" s="65">
        <v>47407</v>
      </c>
      <c r="AF435" s="62">
        <v>8</v>
      </c>
      <c r="AG435" s="119">
        <v>96</v>
      </c>
      <c r="AH435" s="25">
        <v>996354.16666666663</v>
      </c>
      <c r="AI435" s="78">
        <v>26355171.666666664</v>
      </c>
      <c r="AJ435" s="78">
        <v>69294828.333333328</v>
      </c>
      <c r="AK435" s="27">
        <f t="shared" si="72"/>
        <v>996354.16666666663</v>
      </c>
      <c r="AL435" s="27">
        <f t="shared" si="74"/>
        <v>996354.16666666663</v>
      </c>
      <c r="AM435" s="27"/>
      <c r="AN435" s="27"/>
      <c r="AO435" s="27"/>
      <c r="AP435" s="27"/>
      <c r="AQ435" s="27"/>
      <c r="AR435" s="27"/>
      <c r="AS435" s="27"/>
      <c r="AT435" s="27"/>
      <c r="AU435" s="27"/>
      <c r="AV435" s="27"/>
      <c r="AW435" s="27">
        <f t="shared" si="67"/>
        <v>1992708.3333333333</v>
      </c>
      <c r="AX435" s="79">
        <f t="shared" si="68"/>
        <v>67302120.000000015</v>
      </c>
      <c r="AY435" s="79">
        <f t="shared" si="69"/>
        <v>28347879.999999996</v>
      </c>
      <c r="AZ435" s="25">
        <v>1</v>
      </c>
      <c r="BA435" s="62" t="s">
        <v>97</v>
      </c>
      <c r="BB435" s="66"/>
      <c r="BC435" s="66">
        <v>1</v>
      </c>
      <c r="BD435" s="66"/>
      <c r="BE435" s="67">
        <f t="shared" si="73"/>
        <v>0</v>
      </c>
      <c r="BF435" s="67">
        <f t="shared" si="66"/>
        <v>996354.16666666663</v>
      </c>
      <c r="BG435" s="67">
        <f t="shared" si="65"/>
        <v>0</v>
      </c>
      <c r="BH435" s="66"/>
      <c r="BI435" s="68" t="s">
        <v>1254</v>
      </c>
      <c r="BJ435" s="68" t="s">
        <v>58</v>
      </c>
      <c r="BK435" s="68" t="s">
        <v>59</v>
      </c>
      <c r="BL435" s="29"/>
      <c r="BO435" s="35" t="s">
        <v>1438</v>
      </c>
      <c r="BQ435" s="1" t="e">
        <v>#N/A</v>
      </c>
    </row>
    <row r="436" spans="1:69" ht="15" hidden="1" customHeight="1">
      <c r="A436" s="1" t="s">
        <v>1255</v>
      </c>
      <c r="B436" s="1" t="s">
        <v>1256</v>
      </c>
      <c r="C436" s="134">
        <v>2305</v>
      </c>
      <c r="D436" s="1" t="str">
        <f t="shared" si="71"/>
        <v>2110</v>
      </c>
      <c r="E436" s="19" t="s">
        <v>1223</v>
      </c>
      <c r="F436" s="62" t="s">
        <v>515</v>
      </c>
      <c r="G436" s="62">
        <v>2112</v>
      </c>
      <c r="H436" s="62" t="s">
        <v>1257</v>
      </c>
      <c r="I436" s="62" t="s">
        <v>1258</v>
      </c>
      <c r="J436" s="118">
        <v>1</v>
      </c>
      <c r="K436" s="119" t="s">
        <v>619</v>
      </c>
      <c r="L436" s="62" t="s">
        <v>77</v>
      </c>
      <c r="M436" s="120" t="s">
        <v>173</v>
      </c>
      <c r="N436" s="63">
        <v>43353</v>
      </c>
      <c r="O436" s="24">
        <v>134000</v>
      </c>
      <c r="P436" s="24">
        <v>23320</v>
      </c>
      <c r="Q436" s="64">
        <v>3124880000</v>
      </c>
      <c r="R436" s="64"/>
      <c r="S436" s="64"/>
      <c r="T436" s="64">
        <v>76370724.920821115</v>
      </c>
      <c r="U436" s="64"/>
      <c r="V436" s="121">
        <v>3201250725</v>
      </c>
      <c r="W436" s="122">
        <v>0</v>
      </c>
      <c r="X436" s="64">
        <v>3201250725</v>
      </c>
      <c r="Y436" s="121">
        <f>-X436</f>
        <v>-3201250725</v>
      </c>
      <c r="Z436" s="119">
        <v>1</v>
      </c>
      <c r="AA436" s="128">
        <v>45026</v>
      </c>
      <c r="AB436" s="121" t="s">
        <v>1884</v>
      </c>
      <c r="AC436" s="64">
        <f>+X436+Y436</f>
        <v>0</v>
      </c>
      <c r="AD436" s="63">
        <v>44470</v>
      </c>
      <c r="AE436" s="65">
        <v>47025</v>
      </c>
      <c r="AF436" s="62">
        <v>7</v>
      </c>
      <c r="AG436" s="119">
        <v>84</v>
      </c>
      <c r="AH436" s="25">
        <v>38110128</v>
      </c>
      <c r="AI436" s="78">
        <v>0</v>
      </c>
      <c r="AJ436" s="78">
        <v>0</v>
      </c>
      <c r="AK436" s="27">
        <f t="shared" si="72"/>
        <v>0</v>
      </c>
      <c r="AL436" s="27">
        <f t="shared" si="74"/>
        <v>0</v>
      </c>
      <c r="AM436" s="27"/>
      <c r="AN436" s="27"/>
      <c r="AO436" s="27"/>
      <c r="AP436" s="27"/>
      <c r="AQ436" s="27"/>
      <c r="AR436" s="27"/>
      <c r="AS436" s="27"/>
      <c r="AT436" s="27"/>
      <c r="AU436" s="27"/>
      <c r="AV436" s="27"/>
      <c r="AW436" s="27">
        <f t="shared" si="67"/>
        <v>0</v>
      </c>
      <c r="AX436" s="79">
        <v>0</v>
      </c>
      <c r="AY436" s="79">
        <v>0</v>
      </c>
      <c r="AZ436" s="25">
        <f>+Z436-J436</f>
        <v>0</v>
      </c>
      <c r="BA436" s="62" t="s">
        <v>97</v>
      </c>
      <c r="BB436" s="66"/>
      <c r="BC436" s="66"/>
      <c r="BD436" s="66">
        <v>1</v>
      </c>
      <c r="BE436" s="67">
        <f t="shared" si="73"/>
        <v>0</v>
      </c>
      <c r="BF436" s="67">
        <f t="shared" si="66"/>
        <v>0</v>
      </c>
      <c r="BG436" s="67">
        <f t="shared" si="65"/>
        <v>0</v>
      </c>
      <c r="BH436" s="66" t="s">
        <v>1259</v>
      </c>
      <c r="BI436" s="68" t="s">
        <v>446</v>
      </c>
      <c r="BJ436" s="68" t="s">
        <v>624</v>
      </c>
      <c r="BK436" s="68" t="s">
        <v>624</v>
      </c>
      <c r="BL436" s="29"/>
      <c r="BQ436" s="1" t="e">
        <v>#N/A</v>
      </c>
    </row>
    <row r="437" spans="1:69" ht="15" hidden="1" customHeight="1">
      <c r="A437" s="1" t="s">
        <v>1260</v>
      </c>
      <c r="B437" s="1" t="s">
        <v>1256</v>
      </c>
      <c r="C437" s="1" t="str">
        <f t="shared" si="70"/>
        <v>3110</v>
      </c>
      <c r="D437" s="1" t="str">
        <f t="shared" si="71"/>
        <v>2110</v>
      </c>
      <c r="E437" s="19" t="s">
        <v>1223</v>
      </c>
      <c r="F437" s="62" t="s">
        <v>49</v>
      </c>
      <c r="G437" s="62">
        <v>2112</v>
      </c>
      <c r="H437" s="62" t="s">
        <v>1261</v>
      </c>
      <c r="I437" s="62" t="s">
        <v>1262</v>
      </c>
      <c r="J437" s="118">
        <v>1</v>
      </c>
      <c r="K437" s="119" t="s">
        <v>271</v>
      </c>
      <c r="L437" s="62" t="s">
        <v>1263</v>
      </c>
      <c r="M437" s="120" t="s">
        <v>1264</v>
      </c>
      <c r="N437" s="63">
        <v>44488</v>
      </c>
      <c r="O437" s="24">
        <v>2710</v>
      </c>
      <c r="P437" s="24">
        <v>23140</v>
      </c>
      <c r="Q437" s="64">
        <v>62709400</v>
      </c>
      <c r="R437" s="64"/>
      <c r="S437" s="64"/>
      <c r="T437" s="64">
        <v>90000</v>
      </c>
      <c r="U437" s="64" t="s">
        <v>1265</v>
      </c>
      <c r="V437" s="121">
        <v>62799400</v>
      </c>
      <c r="W437" s="122"/>
      <c r="X437" s="64">
        <v>62799400</v>
      </c>
      <c r="Y437" s="121"/>
      <c r="Z437" s="121"/>
      <c r="AA437" s="128"/>
      <c r="AB437" s="121"/>
      <c r="AC437" s="64">
        <v>62799400</v>
      </c>
      <c r="AD437" s="63">
        <v>44488</v>
      </c>
      <c r="AE437" s="65">
        <v>48138</v>
      </c>
      <c r="AF437" s="62">
        <v>10</v>
      </c>
      <c r="AG437" s="119">
        <v>120</v>
      </c>
      <c r="AH437" s="25">
        <v>523328.33333333331</v>
      </c>
      <c r="AI437" s="78">
        <v>13825991.333333332</v>
      </c>
      <c r="AJ437" s="78">
        <v>48973408.666666664</v>
      </c>
      <c r="AK437" s="27">
        <f t="shared" si="72"/>
        <v>523328.33333333331</v>
      </c>
      <c r="AL437" s="27">
        <f t="shared" si="74"/>
        <v>523328.33333333331</v>
      </c>
      <c r="AM437" s="27"/>
      <c r="AN437" s="27"/>
      <c r="AO437" s="27"/>
      <c r="AP437" s="27"/>
      <c r="AQ437" s="27"/>
      <c r="AR437" s="27"/>
      <c r="AS437" s="27"/>
      <c r="AT437" s="27"/>
      <c r="AU437" s="27"/>
      <c r="AV437" s="27"/>
      <c r="AW437" s="27">
        <f t="shared" si="67"/>
        <v>1046656.6666666666</v>
      </c>
      <c r="AX437" s="79">
        <f t="shared" si="68"/>
        <v>47926752.000000007</v>
      </c>
      <c r="AY437" s="79">
        <f t="shared" si="69"/>
        <v>14872647.999999998</v>
      </c>
      <c r="AZ437" s="25">
        <v>1</v>
      </c>
      <c r="BA437" s="62" t="s">
        <v>97</v>
      </c>
      <c r="BB437" s="66">
        <v>1</v>
      </c>
      <c r="BC437" s="66"/>
      <c r="BD437" s="66"/>
      <c r="BE437" s="67">
        <f t="shared" si="73"/>
        <v>523328.33333333331</v>
      </c>
      <c r="BF437" s="67">
        <f t="shared" si="66"/>
        <v>0</v>
      </c>
      <c r="BG437" s="67">
        <f t="shared" si="65"/>
        <v>0</v>
      </c>
      <c r="BH437" s="66"/>
      <c r="BI437" s="68" t="s">
        <v>1266</v>
      </c>
      <c r="BJ437" s="68" t="s">
        <v>85</v>
      </c>
      <c r="BK437" s="68" t="s">
        <v>85</v>
      </c>
      <c r="BL437" s="29"/>
      <c r="BO437" s="35" t="s">
        <v>1800</v>
      </c>
      <c r="BP437" s="1" t="s">
        <v>1822</v>
      </c>
      <c r="BQ437" s="1" t="e">
        <v>#N/A</v>
      </c>
    </row>
    <row r="438" spans="1:69" ht="15" hidden="1" customHeight="1">
      <c r="A438" s="1" t="s">
        <v>1260</v>
      </c>
      <c r="B438" s="1" t="s">
        <v>1256</v>
      </c>
      <c r="C438" s="1" t="str">
        <f t="shared" si="70"/>
        <v>3110</v>
      </c>
      <c r="D438" s="1" t="str">
        <f t="shared" si="71"/>
        <v>2110</v>
      </c>
      <c r="E438" s="19" t="s">
        <v>1223</v>
      </c>
      <c r="F438" s="62" t="s">
        <v>49</v>
      </c>
      <c r="G438" s="62">
        <v>2112</v>
      </c>
      <c r="H438" s="62" t="s">
        <v>1267</v>
      </c>
      <c r="I438" s="62" t="s">
        <v>1262</v>
      </c>
      <c r="J438" s="118">
        <v>1</v>
      </c>
      <c r="K438" s="119" t="s">
        <v>271</v>
      </c>
      <c r="L438" s="62" t="s">
        <v>1263</v>
      </c>
      <c r="M438" s="120" t="s">
        <v>1264</v>
      </c>
      <c r="N438" s="63">
        <v>44488</v>
      </c>
      <c r="O438" s="24">
        <v>2710</v>
      </c>
      <c r="P438" s="24">
        <v>23140</v>
      </c>
      <c r="Q438" s="64">
        <v>62709400</v>
      </c>
      <c r="R438" s="64"/>
      <c r="S438" s="64"/>
      <c r="T438" s="64">
        <v>90000</v>
      </c>
      <c r="U438" s="64" t="s">
        <v>1265</v>
      </c>
      <c r="V438" s="121">
        <v>62799400</v>
      </c>
      <c r="W438" s="122"/>
      <c r="X438" s="64">
        <v>62799400</v>
      </c>
      <c r="Y438" s="121"/>
      <c r="Z438" s="121"/>
      <c r="AA438" s="128"/>
      <c r="AB438" s="121"/>
      <c r="AC438" s="64">
        <v>62799400</v>
      </c>
      <c r="AD438" s="63">
        <v>44488</v>
      </c>
      <c r="AE438" s="65">
        <v>48138</v>
      </c>
      <c r="AF438" s="62">
        <v>10</v>
      </c>
      <c r="AG438" s="119">
        <v>120</v>
      </c>
      <c r="AH438" s="25">
        <v>523328.33333333331</v>
      </c>
      <c r="AI438" s="78">
        <v>13825991.333333332</v>
      </c>
      <c r="AJ438" s="78">
        <v>48973408.666666664</v>
      </c>
      <c r="AK438" s="27">
        <f t="shared" si="72"/>
        <v>523328.33333333331</v>
      </c>
      <c r="AL438" s="27">
        <f t="shared" si="74"/>
        <v>523328.33333333331</v>
      </c>
      <c r="AM438" s="27"/>
      <c r="AN438" s="27"/>
      <c r="AO438" s="27"/>
      <c r="AP438" s="27"/>
      <c r="AQ438" s="27"/>
      <c r="AR438" s="27"/>
      <c r="AS438" s="27"/>
      <c r="AT438" s="27"/>
      <c r="AU438" s="27"/>
      <c r="AV438" s="27"/>
      <c r="AW438" s="27">
        <f t="shared" si="67"/>
        <v>1046656.6666666666</v>
      </c>
      <c r="AX438" s="79">
        <f t="shared" si="68"/>
        <v>47926752.000000007</v>
      </c>
      <c r="AY438" s="79">
        <f t="shared" si="69"/>
        <v>14872647.999999998</v>
      </c>
      <c r="AZ438" s="25">
        <v>1</v>
      </c>
      <c r="BA438" s="62" t="s">
        <v>97</v>
      </c>
      <c r="BB438" s="66">
        <v>1</v>
      </c>
      <c r="BC438" s="66"/>
      <c r="BD438" s="66"/>
      <c r="BE438" s="67">
        <f t="shared" si="73"/>
        <v>523328.33333333331</v>
      </c>
      <c r="BF438" s="67">
        <f t="shared" si="66"/>
        <v>0</v>
      </c>
      <c r="BG438" s="67">
        <f t="shared" si="65"/>
        <v>0</v>
      </c>
      <c r="BH438" s="66"/>
      <c r="BI438" s="68" t="s">
        <v>1266</v>
      </c>
      <c r="BJ438" s="68" t="s">
        <v>85</v>
      </c>
      <c r="BK438" s="68" t="s">
        <v>85</v>
      </c>
      <c r="BL438" s="29"/>
      <c r="BO438" s="35" t="s">
        <v>1800</v>
      </c>
      <c r="BP438" s="1" t="s">
        <v>1816</v>
      </c>
      <c r="BQ438" s="1" t="e">
        <v>#N/A</v>
      </c>
    </row>
    <row r="439" spans="1:69" ht="15" hidden="1" customHeight="1">
      <c r="A439" s="1" t="s">
        <v>1260</v>
      </c>
      <c r="B439" s="1" t="s">
        <v>1256</v>
      </c>
      <c r="C439" s="1" t="str">
        <f t="shared" si="70"/>
        <v>3110</v>
      </c>
      <c r="D439" s="1" t="str">
        <f t="shared" si="71"/>
        <v>2110</v>
      </c>
      <c r="E439" s="19" t="s">
        <v>1223</v>
      </c>
      <c r="F439" s="62" t="s">
        <v>49</v>
      </c>
      <c r="G439" s="62">
        <v>2112</v>
      </c>
      <c r="H439" s="62" t="s">
        <v>1268</v>
      </c>
      <c r="I439" s="62" t="s">
        <v>1262</v>
      </c>
      <c r="J439" s="118">
        <v>1</v>
      </c>
      <c r="K439" s="119" t="s">
        <v>271</v>
      </c>
      <c r="L439" s="62" t="s">
        <v>1263</v>
      </c>
      <c r="M439" s="120" t="s">
        <v>1264</v>
      </c>
      <c r="N439" s="63">
        <v>44488</v>
      </c>
      <c r="O439" s="24">
        <v>2710</v>
      </c>
      <c r="P439" s="24">
        <v>23140</v>
      </c>
      <c r="Q439" s="64">
        <v>62709400</v>
      </c>
      <c r="R439" s="64"/>
      <c r="S439" s="64"/>
      <c r="T439" s="64">
        <v>90000</v>
      </c>
      <c r="U439" s="64" t="s">
        <v>1265</v>
      </c>
      <c r="V439" s="121">
        <v>62799400</v>
      </c>
      <c r="W439" s="122"/>
      <c r="X439" s="64">
        <v>62799400</v>
      </c>
      <c r="Y439" s="121"/>
      <c r="Z439" s="121"/>
      <c r="AA439" s="128"/>
      <c r="AB439" s="121"/>
      <c r="AC439" s="64">
        <v>62799400</v>
      </c>
      <c r="AD439" s="63">
        <v>44488</v>
      </c>
      <c r="AE439" s="65">
        <v>48138</v>
      </c>
      <c r="AF439" s="62">
        <v>10</v>
      </c>
      <c r="AG439" s="119">
        <v>120</v>
      </c>
      <c r="AH439" s="25">
        <v>523328.33333333331</v>
      </c>
      <c r="AI439" s="78">
        <v>13825991.333333332</v>
      </c>
      <c r="AJ439" s="78">
        <v>48973408.666666664</v>
      </c>
      <c r="AK439" s="27">
        <f t="shared" si="72"/>
        <v>523328.33333333331</v>
      </c>
      <c r="AL439" s="27">
        <f t="shared" si="74"/>
        <v>523328.33333333331</v>
      </c>
      <c r="AM439" s="27"/>
      <c r="AN439" s="27"/>
      <c r="AO439" s="27"/>
      <c r="AP439" s="27"/>
      <c r="AQ439" s="27"/>
      <c r="AR439" s="27"/>
      <c r="AS439" s="27"/>
      <c r="AT439" s="27"/>
      <c r="AU439" s="27"/>
      <c r="AV439" s="27"/>
      <c r="AW439" s="27">
        <f t="shared" si="67"/>
        <v>1046656.6666666666</v>
      </c>
      <c r="AX439" s="79">
        <f t="shared" si="68"/>
        <v>47926752.000000007</v>
      </c>
      <c r="AY439" s="79">
        <f t="shared" si="69"/>
        <v>14872647.999999998</v>
      </c>
      <c r="AZ439" s="25">
        <v>1</v>
      </c>
      <c r="BA439" s="62" t="s">
        <v>97</v>
      </c>
      <c r="BB439" s="66">
        <v>1</v>
      </c>
      <c r="BC439" s="66"/>
      <c r="BD439" s="66"/>
      <c r="BE439" s="67">
        <f t="shared" si="73"/>
        <v>523328.33333333331</v>
      </c>
      <c r="BF439" s="67">
        <f t="shared" si="66"/>
        <v>0</v>
      </c>
      <c r="BG439" s="67">
        <f t="shared" si="65"/>
        <v>0</v>
      </c>
      <c r="BH439" s="66"/>
      <c r="BI439" s="68" t="s">
        <v>1266</v>
      </c>
      <c r="BJ439" s="68" t="s">
        <v>85</v>
      </c>
      <c r="BK439" s="68" t="s">
        <v>85</v>
      </c>
      <c r="BL439" s="29"/>
      <c r="BO439" s="35" t="s">
        <v>1800</v>
      </c>
      <c r="BP439" s="1" t="s">
        <v>1810</v>
      </c>
      <c r="BQ439" s="1" t="e">
        <v>#N/A</v>
      </c>
    </row>
    <row r="440" spans="1:69" ht="15" hidden="1" customHeight="1">
      <c r="A440" s="1" t="s">
        <v>1260</v>
      </c>
      <c r="B440" s="1" t="s">
        <v>1256</v>
      </c>
      <c r="C440" s="1" t="str">
        <f t="shared" si="70"/>
        <v>3110</v>
      </c>
      <c r="D440" s="1" t="str">
        <f t="shared" si="71"/>
        <v>2110</v>
      </c>
      <c r="E440" s="19" t="s">
        <v>1223</v>
      </c>
      <c r="F440" s="62" t="s">
        <v>49</v>
      </c>
      <c r="G440" s="62">
        <v>2112</v>
      </c>
      <c r="H440" s="62" t="s">
        <v>1269</v>
      </c>
      <c r="I440" s="62" t="s">
        <v>1262</v>
      </c>
      <c r="J440" s="118">
        <v>1</v>
      </c>
      <c r="K440" s="119" t="s">
        <v>271</v>
      </c>
      <c r="L440" s="62" t="s">
        <v>1263</v>
      </c>
      <c r="M440" s="120" t="s">
        <v>1264</v>
      </c>
      <c r="N440" s="63">
        <v>44488</v>
      </c>
      <c r="O440" s="24">
        <v>2710</v>
      </c>
      <c r="P440" s="24">
        <v>23140</v>
      </c>
      <c r="Q440" s="64">
        <v>62709400</v>
      </c>
      <c r="R440" s="64"/>
      <c r="S440" s="64"/>
      <c r="T440" s="64">
        <v>90000</v>
      </c>
      <c r="U440" s="64" t="s">
        <v>1265</v>
      </c>
      <c r="V440" s="121">
        <v>62799400</v>
      </c>
      <c r="W440" s="122"/>
      <c r="X440" s="64">
        <v>62799400</v>
      </c>
      <c r="Y440" s="121"/>
      <c r="Z440" s="121"/>
      <c r="AA440" s="128"/>
      <c r="AB440" s="121"/>
      <c r="AC440" s="64">
        <v>62799400</v>
      </c>
      <c r="AD440" s="63">
        <v>44488</v>
      </c>
      <c r="AE440" s="65">
        <v>48138</v>
      </c>
      <c r="AF440" s="62">
        <v>10</v>
      </c>
      <c r="AG440" s="119">
        <v>120</v>
      </c>
      <c r="AH440" s="25">
        <v>523328.33333333331</v>
      </c>
      <c r="AI440" s="78">
        <v>13825991.333333332</v>
      </c>
      <c r="AJ440" s="78">
        <v>48973408.666666664</v>
      </c>
      <c r="AK440" s="27">
        <f t="shared" si="72"/>
        <v>523328.33333333331</v>
      </c>
      <c r="AL440" s="27">
        <f t="shared" si="74"/>
        <v>523328.33333333331</v>
      </c>
      <c r="AM440" s="27"/>
      <c r="AN440" s="27"/>
      <c r="AO440" s="27"/>
      <c r="AP440" s="27"/>
      <c r="AQ440" s="27"/>
      <c r="AR440" s="27"/>
      <c r="AS440" s="27"/>
      <c r="AT440" s="27"/>
      <c r="AU440" s="27"/>
      <c r="AV440" s="27"/>
      <c r="AW440" s="27">
        <f t="shared" si="67"/>
        <v>1046656.6666666666</v>
      </c>
      <c r="AX440" s="79">
        <f t="shared" si="68"/>
        <v>47926752.000000007</v>
      </c>
      <c r="AY440" s="79">
        <f t="shared" si="69"/>
        <v>14872647.999999998</v>
      </c>
      <c r="AZ440" s="25">
        <v>1</v>
      </c>
      <c r="BA440" s="62" t="s">
        <v>97</v>
      </c>
      <c r="BB440" s="66">
        <v>1</v>
      </c>
      <c r="BC440" s="66"/>
      <c r="BD440" s="66"/>
      <c r="BE440" s="67">
        <f t="shared" si="73"/>
        <v>523328.33333333331</v>
      </c>
      <c r="BF440" s="67">
        <f t="shared" si="66"/>
        <v>0</v>
      </c>
      <c r="BG440" s="67">
        <f t="shared" si="65"/>
        <v>0</v>
      </c>
      <c r="BH440" s="66"/>
      <c r="BI440" s="68" t="s">
        <v>1266</v>
      </c>
      <c r="BJ440" s="68" t="s">
        <v>85</v>
      </c>
      <c r="BK440" s="68" t="s">
        <v>85</v>
      </c>
      <c r="BL440" s="29"/>
      <c r="BO440" s="35" t="s">
        <v>1800</v>
      </c>
      <c r="BP440" s="1" t="s">
        <v>1823</v>
      </c>
      <c r="BQ440" s="1" t="e">
        <v>#N/A</v>
      </c>
    </row>
    <row r="441" spans="1:69" ht="15" hidden="1" customHeight="1">
      <c r="A441" s="1" t="s">
        <v>1260</v>
      </c>
      <c r="B441" s="1" t="s">
        <v>1256</v>
      </c>
      <c r="C441" s="1" t="str">
        <f t="shared" si="70"/>
        <v>3110</v>
      </c>
      <c r="D441" s="1" t="str">
        <f t="shared" si="71"/>
        <v>2110</v>
      </c>
      <c r="E441" s="19" t="s">
        <v>1223</v>
      </c>
      <c r="F441" s="62" t="s">
        <v>49</v>
      </c>
      <c r="G441" s="62">
        <v>2112</v>
      </c>
      <c r="H441" s="62" t="s">
        <v>1270</v>
      </c>
      <c r="I441" s="62" t="s">
        <v>1262</v>
      </c>
      <c r="J441" s="118">
        <v>1</v>
      </c>
      <c r="K441" s="119" t="s">
        <v>271</v>
      </c>
      <c r="L441" s="62" t="s">
        <v>1263</v>
      </c>
      <c r="M441" s="120" t="s">
        <v>1264</v>
      </c>
      <c r="N441" s="63">
        <v>44488</v>
      </c>
      <c r="O441" s="24">
        <v>2710</v>
      </c>
      <c r="P441" s="24">
        <v>23140</v>
      </c>
      <c r="Q441" s="64">
        <v>62709400</v>
      </c>
      <c r="R441" s="64"/>
      <c r="S441" s="64"/>
      <c r="T441" s="64">
        <v>90000</v>
      </c>
      <c r="U441" s="64" t="s">
        <v>1265</v>
      </c>
      <c r="V441" s="121">
        <v>62799400</v>
      </c>
      <c r="W441" s="122"/>
      <c r="X441" s="64">
        <v>62799400</v>
      </c>
      <c r="Y441" s="121"/>
      <c r="Z441" s="121"/>
      <c r="AA441" s="128"/>
      <c r="AB441" s="121"/>
      <c r="AC441" s="64">
        <v>62799400</v>
      </c>
      <c r="AD441" s="63">
        <v>44488</v>
      </c>
      <c r="AE441" s="65">
        <v>48138</v>
      </c>
      <c r="AF441" s="62">
        <v>10</v>
      </c>
      <c r="AG441" s="119">
        <v>120</v>
      </c>
      <c r="AH441" s="25">
        <v>523328.33333333331</v>
      </c>
      <c r="AI441" s="78">
        <v>13825991.333333332</v>
      </c>
      <c r="AJ441" s="78">
        <v>48973408.666666664</v>
      </c>
      <c r="AK441" s="27">
        <f t="shared" si="72"/>
        <v>523328.33333333331</v>
      </c>
      <c r="AL441" s="27">
        <f t="shared" si="74"/>
        <v>523328.33333333331</v>
      </c>
      <c r="AM441" s="27"/>
      <c r="AN441" s="27"/>
      <c r="AO441" s="27"/>
      <c r="AP441" s="27"/>
      <c r="AQ441" s="27"/>
      <c r="AR441" s="27"/>
      <c r="AS441" s="27"/>
      <c r="AT441" s="27"/>
      <c r="AU441" s="27"/>
      <c r="AV441" s="27"/>
      <c r="AW441" s="27">
        <f t="shared" si="67"/>
        <v>1046656.6666666666</v>
      </c>
      <c r="AX441" s="79">
        <f t="shared" si="68"/>
        <v>47926752.000000007</v>
      </c>
      <c r="AY441" s="79">
        <f t="shared" si="69"/>
        <v>14872647.999999998</v>
      </c>
      <c r="AZ441" s="25">
        <v>1</v>
      </c>
      <c r="BA441" s="62" t="s">
        <v>97</v>
      </c>
      <c r="BB441" s="66">
        <v>1</v>
      </c>
      <c r="BC441" s="66"/>
      <c r="BD441" s="66"/>
      <c r="BE441" s="67">
        <f t="shared" si="73"/>
        <v>523328.33333333331</v>
      </c>
      <c r="BF441" s="67">
        <f t="shared" si="66"/>
        <v>0</v>
      </c>
      <c r="BG441" s="67">
        <f t="shared" si="65"/>
        <v>0</v>
      </c>
      <c r="BH441" s="66"/>
      <c r="BI441" s="68" t="s">
        <v>1266</v>
      </c>
      <c r="BJ441" s="68" t="s">
        <v>85</v>
      </c>
      <c r="BK441" s="68" t="s">
        <v>85</v>
      </c>
      <c r="BL441" s="29"/>
      <c r="BO441" s="35" t="s">
        <v>1800</v>
      </c>
      <c r="BP441" s="1" t="s">
        <v>1821</v>
      </c>
      <c r="BQ441" s="1" t="e">
        <v>#N/A</v>
      </c>
    </row>
    <row r="442" spans="1:69" ht="15" hidden="1" customHeight="1">
      <c r="A442" s="1" t="s">
        <v>1260</v>
      </c>
      <c r="B442" s="1" t="s">
        <v>1256</v>
      </c>
      <c r="C442" s="1" t="str">
        <f t="shared" si="70"/>
        <v>3110</v>
      </c>
      <c r="D442" s="1" t="str">
        <f t="shared" si="71"/>
        <v>2110</v>
      </c>
      <c r="E442" s="19" t="s">
        <v>1223</v>
      </c>
      <c r="F442" s="62" t="s">
        <v>49</v>
      </c>
      <c r="G442" s="62">
        <v>2112</v>
      </c>
      <c r="H442" s="62" t="s">
        <v>1271</v>
      </c>
      <c r="I442" s="62" t="s">
        <v>1262</v>
      </c>
      <c r="J442" s="118">
        <v>1</v>
      </c>
      <c r="K442" s="119" t="s">
        <v>271</v>
      </c>
      <c r="L442" s="62" t="s">
        <v>1263</v>
      </c>
      <c r="M442" s="120" t="s">
        <v>1264</v>
      </c>
      <c r="N442" s="63">
        <v>44488</v>
      </c>
      <c r="O442" s="24">
        <v>2710</v>
      </c>
      <c r="P442" s="24">
        <v>23140</v>
      </c>
      <c r="Q442" s="64">
        <v>62709400</v>
      </c>
      <c r="R442" s="64"/>
      <c r="S442" s="64"/>
      <c r="T442" s="64">
        <v>90000</v>
      </c>
      <c r="U442" s="64" t="s">
        <v>1265</v>
      </c>
      <c r="V442" s="121">
        <v>62799400</v>
      </c>
      <c r="W442" s="122"/>
      <c r="X442" s="64">
        <v>62799400</v>
      </c>
      <c r="Y442" s="121"/>
      <c r="Z442" s="121"/>
      <c r="AA442" s="128"/>
      <c r="AB442" s="121"/>
      <c r="AC442" s="64">
        <v>62799400</v>
      </c>
      <c r="AD442" s="63">
        <v>44488</v>
      </c>
      <c r="AE442" s="65">
        <v>48138</v>
      </c>
      <c r="AF442" s="62">
        <v>10</v>
      </c>
      <c r="AG442" s="119">
        <v>120</v>
      </c>
      <c r="AH442" s="25">
        <v>523328.33333333331</v>
      </c>
      <c r="AI442" s="78">
        <v>13825991.333333332</v>
      </c>
      <c r="AJ442" s="78">
        <v>48973408.666666664</v>
      </c>
      <c r="AK442" s="27">
        <f t="shared" si="72"/>
        <v>523328.33333333331</v>
      </c>
      <c r="AL442" s="27">
        <f t="shared" si="74"/>
        <v>523328.33333333331</v>
      </c>
      <c r="AM442" s="27"/>
      <c r="AN442" s="27"/>
      <c r="AO442" s="27"/>
      <c r="AP442" s="27"/>
      <c r="AQ442" s="27"/>
      <c r="AR442" s="27"/>
      <c r="AS442" s="27"/>
      <c r="AT442" s="27"/>
      <c r="AU442" s="27"/>
      <c r="AV442" s="27"/>
      <c r="AW442" s="27">
        <f t="shared" si="67"/>
        <v>1046656.6666666666</v>
      </c>
      <c r="AX442" s="79">
        <f t="shared" si="68"/>
        <v>47926752.000000007</v>
      </c>
      <c r="AY442" s="79">
        <f t="shared" si="69"/>
        <v>14872647.999999998</v>
      </c>
      <c r="AZ442" s="25">
        <v>1</v>
      </c>
      <c r="BA442" s="62" t="s">
        <v>97</v>
      </c>
      <c r="BB442" s="66">
        <v>1</v>
      </c>
      <c r="BC442" s="66"/>
      <c r="BD442" s="66"/>
      <c r="BE442" s="67">
        <f t="shared" si="73"/>
        <v>523328.33333333331</v>
      </c>
      <c r="BF442" s="67">
        <f t="shared" si="66"/>
        <v>0</v>
      </c>
      <c r="BG442" s="67">
        <f t="shared" si="65"/>
        <v>0</v>
      </c>
      <c r="BH442" s="66"/>
      <c r="BI442" s="68" t="s">
        <v>1266</v>
      </c>
      <c r="BJ442" s="68" t="s">
        <v>85</v>
      </c>
      <c r="BK442" s="68" t="s">
        <v>85</v>
      </c>
      <c r="BL442" s="29"/>
      <c r="BO442" s="35" t="s">
        <v>1800</v>
      </c>
      <c r="BP442" s="1" t="s">
        <v>1820</v>
      </c>
      <c r="BQ442" s="1" t="s">
        <v>1980</v>
      </c>
    </row>
    <row r="443" spans="1:69" ht="15" hidden="1" customHeight="1">
      <c r="C443" s="1" t="str">
        <f t="shared" si="70"/>
        <v>2611</v>
      </c>
      <c r="D443" s="1" t="str">
        <f t="shared" si="71"/>
        <v>2111</v>
      </c>
      <c r="E443" s="19"/>
      <c r="F443" s="62" t="s">
        <v>1272</v>
      </c>
      <c r="G443" s="62">
        <v>2112</v>
      </c>
      <c r="H443" s="62" t="s">
        <v>1273</v>
      </c>
      <c r="I443" s="62" t="s">
        <v>1274</v>
      </c>
      <c r="J443" s="118">
        <v>1</v>
      </c>
      <c r="K443" s="119" t="s">
        <v>271</v>
      </c>
      <c r="L443" s="62" t="s">
        <v>1275</v>
      </c>
      <c r="M443" s="137" t="s">
        <v>1276</v>
      </c>
      <c r="N443" s="63">
        <v>44530</v>
      </c>
      <c r="O443" s="24"/>
      <c r="P443" s="24"/>
      <c r="Q443" s="64">
        <v>87000000</v>
      </c>
      <c r="R443" s="64"/>
      <c r="S443" s="64"/>
      <c r="T443" s="64"/>
      <c r="U443" s="64"/>
      <c r="V443" s="121">
        <v>87000000</v>
      </c>
      <c r="W443" s="122"/>
      <c r="X443" s="64">
        <v>87000000</v>
      </c>
      <c r="Y443" s="121"/>
      <c r="Z443" s="121"/>
      <c r="AA443" s="128"/>
      <c r="AB443" s="121"/>
      <c r="AC443" s="64">
        <v>87000000</v>
      </c>
      <c r="AD443" s="63">
        <v>44530</v>
      </c>
      <c r="AE443" s="65">
        <v>46355</v>
      </c>
      <c r="AF443" s="62">
        <v>5</v>
      </c>
      <c r="AG443" s="119">
        <v>60</v>
      </c>
      <c r="AH443" s="25">
        <v>1450000</v>
      </c>
      <c r="AI443" s="78">
        <v>36298333</v>
      </c>
      <c r="AJ443" s="78">
        <v>50701667</v>
      </c>
      <c r="AK443" s="27">
        <f t="shared" si="72"/>
        <v>1450000</v>
      </c>
      <c r="AL443" s="27">
        <f t="shared" si="74"/>
        <v>1450000</v>
      </c>
      <c r="AM443" s="27"/>
      <c r="AN443" s="27"/>
      <c r="AO443" s="27"/>
      <c r="AP443" s="27"/>
      <c r="AQ443" s="27"/>
      <c r="AR443" s="27"/>
      <c r="AS443" s="27"/>
      <c r="AT443" s="27"/>
      <c r="AU443" s="27"/>
      <c r="AV443" s="27"/>
      <c r="AW443" s="27">
        <f t="shared" si="67"/>
        <v>2900000</v>
      </c>
      <c r="AX443" s="79">
        <f t="shared" si="68"/>
        <v>47801667</v>
      </c>
      <c r="AY443" s="79">
        <f t="shared" si="69"/>
        <v>39198333</v>
      </c>
      <c r="AZ443" s="25">
        <v>1</v>
      </c>
      <c r="BA443" s="62" t="s">
        <v>97</v>
      </c>
      <c r="BB443" s="66">
        <v>1</v>
      </c>
      <c r="BC443" s="66"/>
      <c r="BD443" s="66"/>
      <c r="BE443" s="67">
        <f t="shared" si="73"/>
        <v>1450000</v>
      </c>
      <c r="BF443" s="67">
        <f t="shared" si="66"/>
        <v>0</v>
      </c>
      <c r="BG443" s="67">
        <f t="shared" si="65"/>
        <v>0</v>
      </c>
      <c r="BH443" s="66"/>
      <c r="BI443" s="68" t="s">
        <v>1195</v>
      </c>
      <c r="BJ443" s="68" t="s">
        <v>102</v>
      </c>
      <c r="BK443" s="68" t="s">
        <v>102</v>
      </c>
      <c r="BL443" s="29"/>
      <c r="BO443" s="35" t="s">
        <v>1802</v>
      </c>
      <c r="BQ443" s="1" t="e">
        <v>#N/A</v>
      </c>
    </row>
    <row r="444" spans="1:69" ht="15" hidden="1" customHeight="1">
      <c r="C444" s="1" t="str">
        <f t="shared" si="70"/>
        <v>2811</v>
      </c>
      <c r="D444" s="1" t="str">
        <f t="shared" si="71"/>
        <v>2111</v>
      </c>
      <c r="E444" s="19"/>
      <c r="F444" s="62" t="s">
        <v>1230</v>
      </c>
      <c r="G444" s="62">
        <v>2114</v>
      </c>
      <c r="H444" s="62" t="s">
        <v>1277</v>
      </c>
      <c r="I444" s="62" t="s">
        <v>1278</v>
      </c>
      <c r="J444" s="118">
        <v>1</v>
      </c>
      <c r="K444" s="119" t="s">
        <v>271</v>
      </c>
      <c r="L444" s="62" t="s">
        <v>1279</v>
      </c>
      <c r="M444" s="137" t="s">
        <v>1280</v>
      </c>
      <c r="N444" s="63">
        <v>44529</v>
      </c>
      <c r="O444" s="24"/>
      <c r="P444" s="24"/>
      <c r="Q444" s="64">
        <v>129362310</v>
      </c>
      <c r="R444" s="64"/>
      <c r="S444" s="64"/>
      <c r="T444" s="64"/>
      <c r="U444" s="64"/>
      <c r="V444" s="121">
        <v>129362310</v>
      </c>
      <c r="W444" s="122"/>
      <c r="X444" s="64">
        <v>129362310</v>
      </c>
      <c r="Y444" s="121"/>
      <c r="Z444" s="121"/>
      <c r="AA444" s="128"/>
      <c r="AB444" s="121"/>
      <c r="AC444" s="64">
        <v>129362310</v>
      </c>
      <c r="AD444" s="63">
        <v>44529</v>
      </c>
      <c r="AE444" s="65">
        <v>47084</v>
      </c>
      <c r="AF444" s="62">
        <v>7</v>
      </c>
      <c r="AG444" s="119">
        <v>84</v>
      </c>
      <c r="AH444" s="25">
        <v>1540027.5</v>
      </c>
      <c r="AI444" s="78">
        <v>38603364</v>
      </c>
      <c r="AJ444" s="78">
        <v>90758946</v>
      </c>
      <c r="AK444" s="27">
        <f t="shared" si="72"/>
        <v>1540027.5</v>
      </c>
      <c r="AL444" s="27">
        <f t="shared" si="74"/>
        <v>1540027.5</v>
      </c>
      <c r="AM444" s="27"/>
      <c r="AN444" s="27"/>
      <c r="AO444" s="27"/>
      <c r="AP444" s="27"/>
      <c r="AQ444" s="27"/>
      <c r="AR444" s="27"/>
      <c r="AS444" s="27"/>
      <c r="AT444" s="27"/>
      <c r="AU444" s="27"/>
      <c r="AV444" s="27"/>
      <c r="AW444" s="27">
        <f t="shared" si="67"/>
        <v>3080055</v>
      </c>
      <c r="AX444" s="79">
        <f t="shared" si="68"/>
        <v>87678891</v>
      </c>
      <c r="AY444" s="79">
        <f t="shared" si="69"/>
        <v>41683419</v>
      </c>
      <c r="AZ444" s="25">
        <v>1</v>
      </c>
      <c r="BA444" s="62" t="s">
        <v>97</v>
      </c>
      <c r="BB444" s="66"/>
      <c r="BC444" s="66">
        <v>1</v>
      </c>
      <c r="BD444" s="66"/>
      <c r="BE444" s="67">
        <f t="shared" si="73"/>
        <v>0</v>
      </c>
      <c r="BF444" s="67">
        <f t="shared" si="66"/>
        <v>1540027.5</v>
      </c>
      <c r="BG444" s="67">
        <f t="shared" si="65"/>
        <v>0</v>
      </c>
      <c r="BH444" s="66"/>
      <c r="BI444" s="68" t="s">
        <v>1236</v>
      </c>
      <c r="BJ444" s="68" t="s">
        <v>58</v>
      </c>
      <c r="BK444" s="68" t="s">
        <v>58</v>
      </c>
      <c r="BL444" s="29"/>
      <c r="BO444" s="35" t="s">
        <v>1799</v>
      </c>
      <c r="BQ444" s="1" t="e">
        <v>#N/A</v>
      </c>
    </row>
    <row r="445" spans="1:69" ht="15" hidden="1" customHeight="1">
      <c r="C445" s="1" t="str">
        <f t="shared" si="70"/>
        <v>2811</v>
      </c>
      <c r="D445" s="1" t="str">
        <f t="shared" si="71"/>
        <v>2111</v>
      </c>
      <c r="E445" s="19"/>
      <c r="F445" s="62" t="s">
        <v>1230</v>
      </c>
      <c r="G445" s="62">
        <v>2114</v>
      </c>
      <c r="H445" s="62" t="s">
        <v>1281</v>
      </c>
      <c r="I445" s="62" t="s">
        <v>1282</v>
      </c>
      <c r="J445" s="118">
        <v>1</v>
      </c>
      <c r="K445" s="119" t="s">
        <v>271</v>
      </c>
      <c r="L445" s="62" t="s">
        <v>1279</v>
      </c>
      <c r="M445" s="137" t="s">
        <v>1280</v>
      </c>
      <c r="N445" s="63">
        <v>44529</v>
      </c>
      <c r="O445" s="24"/>
      <c r="P445" s="24"/>
      <c r="Q445" s="64">
        <v>33737690</v>
      </c>
      <c r="R445" s="64"/>
      <c r="S445" s="64"/>
      <c r="T445" s="64"/>
      <c r="U445" s="64"/>
      <c r="V445" s="121">
        <v>33737690</v>
      </c>
      <c r="W445" s="122"/>
      <c r="X445" s="64">
        <v>33737690</v>
      </c>
      <c r="Y445" s="121"/>
      <c r="Z445" s="121"/>
      <c r="AA445" s="128"/>
      <c r="AB445" s="121"/>
      <c r="AC445" s="64">
        <v>33737690</v>
      </c>
      <c r="AD445" s="63">
        <v>44529</v>
      </c>
      <c r="AE445" s="65">
        <v>47084</v>
      </c>
      <c r="AF445" s="62">
        <v>7</v>
      </c>
      <c r="AG445" s="119">
        <v>84</v>
      </c>
      <c r="AH445" s="25">
        <v>401639.16666666669</v>
      </c>
      <c r="AI445" s="78">
        <v>10067752.666666668</v>
      </c>
      <c r="AJ445" s="78">
        <v>23669937.333333332</v>
      </c>
      <c r="AK445" s="27">
        <f t="shared" si="72"/>
        <v>401639.16666666669</v>
      </c>
      <c r="AL445" s="27">
        <f t="shared" si="74"/>
        <v>401639.16666666669</v>
      </c>
      <c r="AM445" s="27"/>
      <c r="AN445" s="27"/>
      <c r="AO445" s="27"/>
      <c r="AP445" s="27"/>
      <c r="AQ445" s="27"/>
      <c r="AR445" s="27"/>
      <c r="AS445" s="27"/>
      <c r="AT445" s="27"/>
      <c r="AU445" s="27"/>
      <c r="AV445" s="27"/>
      <c r="AW445" s="27">
        <f t="shared" si="67"/>
        <v>803278.33333333337</v>
      </c>
      <c r="AX445" s="79">
        <f t="shared" si="68"/>
        <v>22866659</v>
      </c>
      <c r="AY445" s="79">
        <f t="shared" si="69"/>
        <v>10871031.000000002</v>
      </c>
      <c r="AZ445" s="25">
        <v>1</v>
      </c>
      <c r="BA445" s="62" t="s">
        <v>97</v>
      </c>
      <c r="BB445" s="66"/>
      <c r="BC445" s="66">
        <v>1</v>
      </c>
      <c r="BD445" s="66"/>
      <c r="BE445" s="67">
        <f t="shared" si="73"/>
        <v>0</v>
      </c>
      <c r="BF445" s="67">
        <f t="shared" si="66"/>
        <v>401639.16666666669</v>
      </c>
      <c r="BG445" s="67">
        <f t="shared" si="65"/>
        <v>0</v>
      </c>
      <c r="BH445" s="66"/>
      <c r="BI445" s="68" t="s">
        <v>1236</v>
      </c>
      <c r="BJ445" s="68" t="s">
        <v>58</v>
      </c>
      <c r="BK445" s="68" t="s">
        <v>58</v>
      </c>
      <c r="BL445" s="29"/>
      <c r="BO445" s="35" t="s">
        <v>1799</v>
      </c>
      <c r="BQ445" s="1" t="e">
        <v>#N/A</v>
      </c>
    </row>
    <row r="446" spans="1:69" ht="15" hidden="1" customHeight="1">
      <c r="C446" s="1" t="str">
        <f t="shared" si="70"/>
        <v>2911</v>
      </c>
      <c r="D446" s="1" t="str">
        <f t="shared" si="71"/>
        <v>2111</v>
      </c>
      <c r="E446" s="19"/>
      <c r="F446" s="68" t="s">
        <v>1283</v>
      </c>
      <c r="G446" s="62">
        <v>2112</v>
      </c>
      <c r="H446" s="62" t="s">
        <v>1284</v>
      </c>
      <c r="I446" s="62" t="s">
        <v>1285</v>
      </c>
      <c r="J446" s="118">
        <v>1</v>
      </c>
      <c r="K446" s="119" t="s">
        <v>271</v>
      </c>
      <c r="L446" s="138" t="s">
        <v>1286</v>
      </c>
      <c r="M446" s="120" t="s">
        <v>1287</v>
      </c>
      <c r="N446" s="65" t="s">
        <v>1288</v>
      </c>
      <c r="O446" s="24">
        <v>11950</v>
      </c>
      <c r="P446" s="24">
        <v>22855</v>
      </c>
      <c r="Q446" s="64">
        <v>273117250</v>
      </c>
      <c r="R446" s="64"/>
      <c r="S446" s="64"/>
      <c r="T446" s="130">
        <v>10469556</v>
      </c>
      <c r="U446" s="139" t="s">
        <v>1289</v>
      </c>
      <c r="V446" s="121">
        <v>283586806</v>
      </c>
      <c r="W446" s="122"/>
      <c r="X446" s="64">
        <v>283586806</v>
      </c>
      <c r="Y446" s="121"/>
      <c r="Z446" s="121"/>
      <c r="AA446" s="128"/>
      <c r="AB446" s="121"/>
      <c r="AC446" s="64">
        <v>283586806</v>
      </c>
      <c r="AD446" s="63">
        <v>44508</v>
      </c>
      <c r="AE446" s="65">
        <v>47428</v>
      </c>
      <c r="AF446" s="62">
        <v>8</v>
      </c>
      <c r="AG446" s="119">
        <v>96</v>
      </c>
      <c r="AH446" s="25">
        <v>2954029.2291666665</v>
      </c>
      <c r="AI446" s="78">
        <v>76115483.291666672</v>
      </c>
      <c r="AJ446" s="78">
        <v>207471322.70833331</v>
      </c>
      <c r="AK446" s="27">
        <f t="shared" si="72"/>
        <v>2954029.2291666665</v>
      </c>
      <c r="AL446" s="27">
        <f t="shared" si="74"/>
        <v>2954029.2291666665</v>
      </c>
      <c r="AM446" s="27"/>
      <c r="AN446" s="27"/>
      <c r="AO446" s="27"/>
      <c r="AP446" s="27"/>
      <c r="AQ446" s="27"/>
      <c r="AR446" s="27"/>
      <c r="AS446" s="27"/>
      <c r="AT446" s="27"/>
      <c r="AU446" s="27"/>
      <c r="AV446" s="27"/>
      <c r="AW446" s="27">
        <f t="shared" si="67"/>
        <v>5908058.458333333</v>
      </c>
      <c r="AX446" s="79">
        <f t="shared" si="68"/>
        <v>201563264.24999997</v>
      </c>
      <c r="AY446" s="79">
        <f t="shared" si="69"/>
        <v>82023541.75</v>
      </c>
      <c r="AZ446" s="25">
        <v>1</v>
      </c>
      <c r="BA446" s="62" t="s">
        <v>97</v>
      </c>
      <c r="BB446" s="66">
        <v>1</v>
      </c>
      <c r="BC446" s="66"/>
      <c r="BD446" s="66"/>
      <c r="BE446" s="67">
        <f t="shared" si="73"/>
        <v>2954029.2291666665</v>
      </c>
      <c r="BF446" s="67">
        <f t="shared" si="66"/>
        <v>0</v>
      </c>
      <c r="BG446" s="67">
        <f t="shared" si="65"/>
        <v>0</v>
      </c>
      <c r="BH446" s="66"/>
      <c r="BI446" s="68" t="s">
        <v>1283</v>
      </c>
      <c r="BJ446" s="68" t="s">
        <v>58</v>
      </c>
      <c r="BK446" s="68" t="s">
        <v>58</v>
      </c>
      <c r="BL446" s="29"/>
      <c r="BO446" s="35" t="s">
        <v>1804</v>
      </c>
      <c r="BQ446" s="1" t="e">
        <v>#N/A</v>
      </c>
    </row>
    <row r="447" spans="1:69" ht="15" hidden="1" customHeight="1">
      <c r="C447" s="1" t="str">
        <f t="shared" si="70"/>
        <v>2912</v>
      </c>
      <c r="D447" s="1" t="str">
        <f t="shared" si="71"/>
        <v>2112</v>
      </c>
      <c r="E447" s="19" t="s">
        <v>1290</v>
      </c>
      <c r="F447" s="68" t="s">
        <v>49</v>
      </c>
      <c r="G447" s="62">
        <v>2112</v>
      </c>
      <c r="H447" s="62" t="s">
        <v>1291</v>
      </c>
      <c r="I447" s="62" t="s">
        <v>1292</v>
      </c>
      <c r="J447" s="118">
        <v>1</v>
      </c>
      <c r="K447" s="119" t="s">
        <v>1293</v>
      </c>
      <c r="L447" s="138" t="s">
        <v>877</v>
      </c>
      <c r="M447" s="120" t="s">
        <v>1294</v>
      </c>
      <c r="N447" s="65" t="s">
        <v>1295</v>
      </c>
      <c r="O447" s="24">
        <v>7400</v>
      </c>
      <c r="P447" s="24">
        <v>22775</v>
      </c>
      <c r="Q447" s="64">
        <v>168535000</v>
      </c>
      <c r="R447" s="64"/>
      <c r="S447" s="64"/>
      <c r="T447" s="130">
        <v>3040505.5</v>
      </c>
      <c r="U447" s="139" t="s">
        <v>1296</v>
      </c>
      <c r="V447" s="121">
        <v>171575506</v>
      </c>
      <c r="W447" s="122">
        <v>0</v>
      </c>
      <c r="X447" s="64">
        <v>171575506</v>
      </c>
      <c r="Y447" s="121"/>
      <c r="Z447" s="121"/>
      <c r="AA447" s="128"/>
      <c r="AB447" s="121"/>
      <c r="AC447" s="64">
        <v>171575506</v>
      </c>
      <c r="AD447" s="63">
        <v>44550</v>
      </c>
      <c r="AE447" s="65">
        <v>47471</v>
      </c>
      <c r="AF447" s="62">
        <v>8</v>
      </c>
      <c r="AG447" s="119">
        <v>96</v>
      </c>
      <c r="AH447" s="25">
        <v>1787244.8541666667</v>
      </c>
      <c r="AI447" s="78">
        <v>43585715.541666672</v>
      </c>
      <c r="AJ447" s="78">
        <v>127989790.45833333</v>
      </c>
      <c r="AK447" s="27">
        <f t="shared" si="72"/>
        <v>1787244.8541666667</v>
      </c>
      <c r="AL447" s="27">
        <f t="shared" si="74"/>
        <v>1787244.8541666667</v>
      </c>
      <c r="AM447" s="27"/>
      <c r="AN447" s="27"/>
      <c r="AO447" s="27"/>
      <c r="AP447" s="27"/>
      <c r="AQ447" s="27"/>
      <c r="AR447" s="27"/>
      <c r="AS447" s="27"/>
      <c r="AT447" s="27"/>
      <c r="AU447" s="27"/>
      <c r="AV447" s="27"/>
      <c r="AW447" s="27">
        <f t="shared" si="67"/>
        <v>3574489.7083333335</v>
      </c>
      <c r="AX447" s="79">
        <f t="shared" si="68"/>
        <v>124415300.75</v>
      </c>
      <c r="AY447" s="79">
        <f t="shared" si="69"/>
        <v>47160205.250000007</v>
      </c>
      <c r="AZ447" s="25">
        <v>1</v>
      </c>
      <c r="BA447" s="62" t="s">
        <v>97</v>
      </c>
      <c r="BB447" s="66">
        <v>1</v>
      </c>
      <c r="BC447" s="66"/>
      <c r="BD447" s="66"/>
      <c r="BE447" s="67">
        <f t="shared" si="73"/>
        <v>1787244.8541666667</v>
      </c>
      <c r="BF447" s="67">
        <f t="shared" si="66"/>
        <v>0</v>
      </c>
      <c r="BG447" s="67">
        <f t="shared" si="65"/>
        <v>0</v>
      </c>
      <c r="BH447" s="66"/>
      <c r="BI447" s="68" t="s">
        <v>57</v>
      </c>
      <c r="BJ447" s="68" t="s">
        <v>1297</v>
      </c>
      <c r="BK447" s="68" t="s">
        <v>1297</v>
      </c>
      <c r="BL447" s="29"/>
      <c r="BO447" s="35" t="s">
        <v>1801</v>
      </c>
      <c r="BP447" s="1" t="s">
        <v>1824</v>
      </c>
      <c r="BQ447" s="1" t="e">
        <v>#N/A</v>
      </c>
    </row>
    <row r="448" spans="1:69" ht="15" hidden="1" customHeight="1">
      <c r="C448" s="1" t="str">
        <f t="shared" si="70"/>
        <v>2912</v>
      </c>
      <c r="D448" s="1" t="str">
        <f t="shared" si="71"/>
        <v>2112</v>
      </c>
      <c r="E448" s="19" t="s">
        <v>1290</v>
      </c>
      <c r="F448" s="68" t="s">
        <v>49</v>
      </c>
      <c r="G448" s="62">
        <v>2112</v>
      </c>
      <c r="H448" s="62" t="s">
        <v>1298</v>
      </c>
      <c r="I448" s="62" t="s">
        <v>1292</v>
      </c>
      <c r="J448" s="118">
        <v>1</v>
      </c>
      <c r="K448" s="119" t="s">
        <v>1293</v>
      </c>
      <c r="L448" s="138" t="s">
        <v>877</v>
      </c>
      <c r="M448" s="120" t="s">
        <v>1294</v>
      </c>
      <c r="N448" s="65" t="s">
        <v>1295</v>
      </c>
      <c r="O448" s="24">
        <v>7400</v>
      </c>
      <c r="P448" s="24">
        <v>22775</v>
      </c>
      <c r="Q448" s="64">
        <v>168535000</v>
      </c>
      <c r="R448" s="64"/>
      <c r="S448" s="64"/>
      <c r="T448" s="130">
        <v>3040505.5</v>
      </c>
      <c r="U448" s="139" t="s">
        <v>1296</v>
      </c>
      <c r="V448" s="121">
        <v>171575506</v>
      </c>
      <c r="W448" s="122">
        <v>0</v>
      </c>
      <c r="X448" s="64">
        <v>171575506</v>
      </c>
      <c r="Y448" s="121"/>
      <c r="Z448" s="121"/>
      <c r="AA448" s="128"/>
      <c r="AB448" s="121"/>
      <c r="AC448" s="64">
        <v>171575506</v>
      </c>
      <c r="AD448" s="63">
        <v>44550</v>
      </c>
      <c r="AE448" s="65">
        <v>47471</v>
      </c>
      <c r="AF448" s="62">
        <v>8</v>
      </c>
      <c r="AG448" s="119">
        <v>96</v>
      </c>
      <c r="AH448" s="25">
        <v>1787244.8541666667</v>
      </c>
      <c r="AI448" s="78">
        <v>43585715.541666672</v>
      </c>
      <c r="AJ448" s="78">
        <v>127989790.45833333</v>
      </c>
      <c r="AK448" s="27">
        <f t="shared" si="72"/>
        <v>1787244.8541666667</v>
      </c>
      <c r="AL448" s="27">
        <f t="shared" si="74"/>
        <v>1787244.8541666667</v>
      </c>
      <c r="AM448" s="27"/>
      <c r="AN448" s="27"/>
      <c r="AO448" s="27"/>
      <c r="AP448" s="27"/>
      <c r="AQ448" s="27"/>
      <c r="AR448" s="27"/>
      <c r="AS448" s="27"/>
      <c r="AT448" s="27"/>
      <c r="AU448" s="27"/>
      <c r="AV448" s="27"/>
      <c r="AW448" s="27">
        <f t="shared" si="67"/>
        <v>3574489.7083333335</v>
      </c>
      <c r="AX448" s="79">
        <f t="shared" si="68"/>
        <v>124415300.75</v>
      </c>
      <c r="AY448" s="79">
        <f t="shared" si="69"/>
        <v>47160205.250000007</v>
      </c>
      <c r="AZ448" s="25">
        <v>1</v>
      </c>
      <c r="BA448" s="62" t="s">
        <v>97</v>
      </c>
      <c r="BB448" s="66">
        <v>1</v>
      </c>
      <c r="BC448" s="66"/>
      <c r="BD448" s="66"/>
      <c r="BE448" s="67">
        <f t="shared" si="73"/>
        <v>1787244.8541666667</v>
      </c>
      <c r="BF448" s="67">
        <f t="shared" si="66"/>
        <v>0</v>
      </c>
      <c r="BG448" s="67">
        <f t="shared" si="65"/>
        <v>0</v>
      </c>
      <c r="BH448" s="66"/>
      <c r="BI448" s="68" t="s">
        <v>57</v>
      </c>
      <c r="BJ448" s="68" t="s">
        <v>1297</v>
      </c>
      <c r="BK448" s="68" t="s">
        <v>1297</v>
      </c>
      <c r="BL448" s="29"/>
      <c r="BO448" s="35" t="s">
        <v>1801</v>
      </c>
      <c r="BP448" s="1" t="s">
        <v>1824</v>
      </c>
      <c r="BQ448" s="1" t="e">
        <v>#N/A</v>
      </c>
    </row>
    <row r="449" spans="3:69" ht="15" hidden="1" customHeight="1">
      <c r="C449" s="1" t="str">
        <f t="shared" si="70"/>
        <v>2912</v>
      </c>
      <c r="D449" s="1" t="str">
        <f t="shared" si="71"/>
        <v>2112</v>
      </c>
      <c r="E449" s="19" t="s">
        <v>1290</v>
      </c>
      <c r="F449" s="68" t="s">
        <v>49</v>
      </c>
      <c r="G449" s="62">
        <v>2112</v>
      </c>
      <c r="H449" s="62" t="s">
        <v>1299</v>
      </c>
      <c r="I449" s="62" t="s">
        <v>1292</v>
      </c>
      <c r="J449" s="118">
        <v>1</v>
      </c>
      <c r="K449" s="119" t="s">
        <v>1293</v>
      </c>
      <c r="L449" s="138" t="s">
        <v>877</v>
      </c>
      <c r="M449" s="120" t="s">
        <v>1294</v>
      </c>
      <c r="N449" s="65" t="s">
        <v>1295</v>
      </c>
      <c r="O449" s="24">
        <v>7400</v>
      </c>
      <c r="P449" s="24">
        <v>22775</v>
      </c>
      <c r="Q449" s="64">
        <v>168535000</v>
      </c>
      <c r="R449" s="64"/>
      <c r="S449" s="64"/>
      <c r="T449" s="130">
        <v>3040505.5</v>
      </c>
      <c r="U449" s="139" t="s">
        <v>1296</v>
      </c>
      <c r="V449" s="121">
        <v>171575506</v>
      </c>
      <c r="W449" s="122">
        <v>0</v>
      </c>
      <c r="X449" s="64">
        <v>171575506</v>
      </c>
      <c r="Y449" s="121"/>
      <c r="Z449" s="121"/>
      <c r="AA449" s="128"/>
      <c r="AB449" s="121"/>
      <c r="AC449" s="64">
        <v>171575506</v>
      </c>
      <c r="AD449" s="63">
        <v>44550</v>
      </c>
      <c r="AE449" s="65">
        <v>47471</v>
      </c>
      <c r="AF449" s="62">
        <v>8</v>
      </c>
      <c r="AG449" s="119">
        <v>96</v>
      </c>
      <c r="AH449" s="25">
        <v>1787244.8541666667</v>
      </c>
      <c r="AI449" s="78">
        <v>43585715.541666672</v>
      </c>
      <c r="AJ449" s="78">
        <v>127989790.45833333</v>
      </c>
      <c r="AK449" s="27">
        <f t="shared" si="72"/>
        <v>1787244.8541666667</v>
      </c>
      <c r="AL449" s="27">
        <f t="shared" si="74"/>
        <v>1787244.8541666667</v>
      </c>
      <c r="AM449" s="27"/>
      <c r="AN449" s="27"/>
      <c r="AO449" s="27"/>
      <c r="AP449" s="27"/>
      <c r="AQ449" s="27"/>
      <c r="AR449" s="27"/>
      <c r="AS449" s="27"/>
      <c r="AT449" s="27"/>
      <c r="AU449" s="27"/>
      <c r="AV449" s="27"/>
      <c r="AW449" s="27">
        <f t="shared" si="67"/>
        <v>3574489.7083333335</v>
      </c>
      <c r="AX449" s="79">
        <f t="shared" si="68"/>
        <v>124415300.75</v>
      </c>
      <c r="AY449" s="79">
        <f t="shared" si="69"/>
        <v>47160205.250000007</v>
      </c>
      <c r="AZ449" s="25">
        <v>1</v>
      </c>
      <c r="BA449" s="62" t="s">
        <v>97</v>
      </c>
      <c r="BB449" s="66">
        <v>1</v>
      </c>
      <c r="BC449" s="66"/>
      <c r="BD449" s="66"/>
      <c r="BE449" s="67">
        <f t="shared" si="73"/>
        <v>1787244.8541666667</v>
      </c>
      <c r="BF449" s="67">
        <f t="shared" si="66"/>
        <v>0</v>
      </c>
      <c r="BG449" s="67">
        <f t="shared" si="65"/>
        <v>0</v>
      </c>
      <c r="BH449" s="66"/>
      <c r="BI449" s="68" t="s">
        <v>57</v>
      </c>
      <c r="BJ449" s="68" t="s">
        <v>1297</v>
      </c>
      <c r="BK449" s="68" t="s">
        <v>1297</v>
      </c>
      <c r="BL449" s="29"/>
      <c r="BO449" s="35" t="s">
        <v>1801</v>
      </c>
      <c r="BP449" s="1" t="s">
        <v>1824</v>
      </c>
      <c r="BQ449" s="1" t="e">
        <v>#N/A</v>
      </c>
    </row>
    <row r="450" spans="3:69" ht="15" hidden="1" customHeight="1">
      <c r="C450" s="1" t="str">
        <f t="shared" si="70"/>
        <v>2912</v>
      </c>
      <c r="D450" s="1" t="str">
        <f t="shared" si="71"/>
        <v>2112</v>
      </c>
      <c r="E450" s="19" t="s">
        <v>1290</v>
      </c>
      <c r="F450" s="68" t="s">
        <v>49</v>
      </c>
      <c r="G450" s="62">
        <v>2112</v>
      </c>
      <c r="H450" s="62" t="s">
        <v>1300</v>
      </c>
      <c r="I450" s="62" t="s">
        <v>1292</v>
      </c>
      <c r="J450" s="118">
        <v>1</v>
      </c>
      <c r="K450" s="119" t="s">
        <v>1293</v>
      </c>
      <c r="L450" s="138" t="s">
        <v>877</v>
      </c>
      <c r="M450" s="120" t="s">
        <v>1294</v>
      </c>
      <c r="N450" s="65" t="s">
        <v>1295</v>
      </c>
      <c r="O450" s="24">
        <v>7400</v>
      </c>
      <c r="P450" s="24">
        <v>22775</v>
      </c>
      <c r="Q450" s="64">
        <v>168535000</v>
      </c>
      <c r="R450" s="64"/>
      <c r="S450" s="64"/>
      <c r="T450" s="130">
        <v>3040505.5</v>
      </c>
      <c r="U450" s="139" t="s">
        <v>1296</v>
      </c>
      <c r="V450" s="121">
        <v>171575506</v>
      </c>
      <c r="W450" s="122">
        <v>0</v>
      </c>
      <c r="X450" s="64">
        <v>171575506</v>
      </c>
      <c r="Y450" s="121"/>
      <c r="Z450" s="121"/>
      <c r="AA450" s="128"/>
      <c r="AB450" s="121"/>
      <c r="AC450" s="64">
        <v>171575506</v>
      </c>
      <c r="AD450" s="63">
        <v>44550</v>
      </c>
      <c r="AE450" s="65">
        <v>47471</v>
      </c>
      <c r="AF450" s="62">
        <v>8</v>
      </c>
      <c r="AG450" s="119">
        <v>96</v>
      </c>
      <c r="AH450" s="25">
        <v>1787244.8541666667</v>
      </c>
      <c r="AI450" s="78">
        <v>43585715.541666672</v>
      </c>
      <c r="AJ450" s="78">
        <v>127989790.45833333</v>
      </c>
      <c r="AK450" s="27">
        <f t="shared" si="72"/>
        <v>1787244.8541666667</v>
      </c>
      <c r="AL450" s="27">
        <f t="shared" si="74"/>
        <v>1787244.8541666667</v>
      </c>
      <c r="AM450" s="27"/>
      <c r="AN450" s="27"/>
      <c r="AO450" s="27"/>
      <c r="AP450" s="27"/>
      <c r="AQ450" s="27"/>
      <c r="AR450" s="27"/>
      <c r="AS450" s="27"/>
      <c r="AT450" s="27"/>
      <c r="AU450" s="27"/>
      <c r="AV450" s="27"/>
      <c r="AW450" s="27">
        <f t="shared" si="67"/>
        <v>3574489.7083333335</v>
      </c>
      <c r="AX450" s="79">
        <f t="shared" si="68"/>
        <v>124415300.75</v>
      </c>
      <c r="AY450" s="79">
        <f t="shared" si="69"/>
        <v>47160205.250000007</v>
      </c>
      <c r="AZ450" s="25">
        <v>1</v>
      </c>
      <c r="BA450" s="62" t="s">
        <v>97</v>
      </c>
      <c r="BB450" s="66">
        <v>1</v>
      </c>
      <c r="BC450" s="66"/>
      <c r="BD450" s="66"/>
      <c r="BE450" s="67">
        <f t="shared" si="73"/>
        <v>1787244.8541666667</v>
      </c>
      <c r="BF450" s="67">
        <f t="shared" si="66"/>
        <v>0</v>
      </c>
      <c r="BG450" s="67">
        <f t="shared" si="65"/>
        <v>0</v>
      </c>
      <c r="BH450" s="66"/>
      <c r="BI450" s="68" t="s">
        <v>57</v>
      </c>
      <c r="BJ450" s="68" t="s">
        <v>1297</v>
      </c>
      <c r="BK450" s="68" t="s">
        <v>1297</v>
      </c>
      <c r="BL450" s="29"/>
      <c r="BO450" s="35" t="s">
        <v>1801</v>
      </c>
      <c r="BP450" s="1" t="s">
        <v>1824</v>
      </c>
      <c r="BQ450" s="1" t="e">
        <v>#N/A</v>
      </c>
    </row>
    <row r="451" spans="3:69" ht="15" hidden="1" customHeight="1">
      <c r="C451" s="1" t="str">
        <f t="shared" si="70"/>
        <v>2912</v>
      </c>
      <c r="D451" s="1" t="str">
        <f t="shared" si="71"/>
        <v>2112</v>
      </c>
      <c r="E451" s="19" t="s">
        <v>1290</v>
      </c>
      <c r="F451" s="68" t="s">
        <v>49</v>
      </c>
      <c r="G451" s="62">
        <v>2112</v>
      </c>
      <c r="H451" s="62" t="s">
        <v>1301</v>
      </c>
      <c r="I451" s="62" t="s">
        <v>1292</v>
      </c>
      <c r="J451" s="118">
        <v>1</v>
      </c>
      <c r="K451" s="119" t="s">
        <v>1293</v>
      </c>
      <c r="L451" s="138" t="s">
        <v>877</v>
      </c>
      <c r="M451" s="120" t="s">
        <v>1294</v>
      </c>
      <c r="N451" s="65" t="s">
        <v>1295</v>
      </c>
      <c r="O451" s="24">
        <v>7400</v>
      </c>
      <c r="P451" s="24">
        <v>22775</v>
      </c>
      <c r="Q451" s="64">
        <v>168535000</v>
      </c>
      <c r="R451" s="64"/>
      <c r="S451" s="64"/>
      <c r="T451" s="130">
        <v>3040505.5</v>
      </c>
      <c r="U451" s="139" t="s">
        <v>1296</v>
      </c>
      <c r="V451" s="121">
        <v>171575506</v>
      </c>
      <c r="W451" s="122">
        <v>0</v>
      </c>
      <c r="X451" s="64">
        <v>171575506</v>
      </c>
      <c r="Y451" s="121"/>
      <c r="Z451" s="121"/>
      <c r="AA451" s="128"/>
      <c r="AB451" s="121"/>
      <c r="AC451" s="64">
        <v>171575506</v>
      </c>
      <c r="AD451" s="63">
        <v>44550</v>
      </c>
      <c r="AE451" s="65">
        <v>47471</v>
      </c>
      <c r="AF451" s="62">
        <v>8</v>
      </c>
      <c r="AG451" s="119">
        <v>96</v>
      </c>
      <c r="AH451" s="25">
        <v>1787244.8541666667</v>
      </c>
      <c r="AI451" s="78">
        <v>43585715.541666672</v>
      </c>
      <c r="AJ451" s="78">
        <v>127989790.45833333</v>
      </c>
      <c r="AK451" s="27">
        <f t="shared" si="72"/>
        <v>1787244.8541666667</v>
      </c>
      <c r="AL451" s="27">
        <f t="shared" si="74"/>
        <v>1787244.8541666667</v>
      </c>
      <c r="AM451" s="27"/>
      <c r="AN451" s="27"/>
      <c r="AO451" s="27"/>
      <c r="AP451" s="27"/>
      <c r="AQ451" s="27"/>
      <c r="AR451" s="27"/>
      <c r="AS451" s="27"/>
      <c r="AT451" s="27"/>
      <c r="AU451" s="27"/>
      <c r="AV451" s="27"/>
      <c r="AW451" s="27">
        <f t="shared" si="67"/>
        <v>3574489.7083333335</v>
      </c>
      <c r="AX451" s="79">
        <f t="shared" si="68"/>
        <v>124415300.75</v>
      </c>
      <c r="AY451" s="79">
        <f t="shared" si="69"/>
        <v>47160205.250000007</v>
      </c>
      <c r="AZ451" s="25">
        <v>1</v>
      </c>
      <c r="BA451" s="62" t="s">
        <v>97</v>
      </c>
      <c r="BB451" s="66">
        <v>1</v>
      </c>
      <c r="BC451" s="66"/>
      <c r="BD451" s="66"/>
      <c r="BE451" s="67">
        <f t="shared" si="73"/>
        <v>1787244.8541666667</v>
      </c>
      <c r="BF451" s="67">
        <f t="shared" si="66"/>
        <v>0</v>
      </c>
      <c r="BG451" s="67">
        <f t="shared" si="65"/>
        <v>0</v>
      </c>
      <c r="BH451" s="66"/>
      <c r="BI451" s="68" t="s">
        <v>57</v>
      </c>
      <c r="BJ451" s="68" t="s">
        <v>1297</v>
      </c>
      <c r="BK451" s="68" t="s">
        <v>1297</v>
      </c>
      <c r="BL451" s="29"/>
      <c r="BO451" s="35" t="s">
        <v>1801</v>
      </c>
      <c r="BP451" s="1" t="s">
        <v>1824</v>
      </c>
      <c r="BQ451" s="1" t="e">
        <v>#N/A</v>
      </c>
    </row>
    <row r="452" spans="3:69" ht="15" hidden="1" customHeight="1">
      <c r="C452" s="1" t="str">
        <f t="shared" si="70"/>
        <v>2912</v>
      </c>
      <c r="D452" s="1" t="str">
        <f t="shared" si="71"/>
        <v>2112</v>
      </c>
      <c r="E452" s="19" t="s">
        <v>1290</v>
      </c>
      <c r="F452" s="68" t="s">
        <v>49</v>
      </c>
      <c r="G452" s="62">
        <v>2112</v>
      </c>
      <c r="H452" s="62" t="s">
        <v>1302</v>
      </c>
      <c r="I452" s="62" t="s">
        <v>1292</v>
      </c>
      <c r="J452" s="118">
        <v>1</v>
      </c>
      <c r="K452" s="119" t="s">
        <v>1293</v>
      </c>
      <c r="L452" s="138" t="s">
        <v>877</v>
      </c>
      <c r="M452" s="120" t="s">
        <v>1294</v>
      </c>
      <c r="N452" s="65" t="s">
        <v>1295</v>
      </c>
      <c r="O452" s="24">
        <v>7400</v>
      </c>
      <c r="P452" s="24">
        <v>22775</v>
      </c>
      <c r="Q452" s="64">
        <v>168535000</v>
      </c>
      <c r="R452" s="64"/>
      <c r="S452" s="64"/>
      <c r="T452" s="130">
        <v>3040505.5</v>
      </c>
      <c r="U452" s="139" t="s">
        <v>1296</v>
      </c>
      <c r="V452" s="121">
        <v>171575506</v>
      </c>
      <c r="W452" s="122">
        <v>0</v>
      </c>
      <c r="X452" s="64">
        <v>171575506</v>
      </c>
      <c r="Y452" s="121"/>
      <c r="Z452" s="121"/>
      <c r="AA452" s="128"/>
      <c r="AB452" s="121"/>
      <c r="AC452" s="64">
        <v>171575506</v>
      </c>
      <c r="AD452" s="63">
        <v>44550</v>
      </c>
      <c r="AE452" s="65">
        <v>47471</v>
      </c>
      <c r="AF452" s="62">
        <v>8</v>
      </c>
      <c r="AG452" s="119">
        <v>96</v>
      </c>
      <c r="AH452" s="25">
        <v>1787244.8541666667</v>
      </c>
      <c r="AI452" s="78">
        <v>43585715.541666672</v>
      </c>
      <c r="AJ452" s="78">
        <v>127989790.45833333</v>
      </c>
      <c r="AK452" s="27">
        <f t="shared" si="72"/>
        <v>1787244.8541666667</v>
      </c>
      <c r="AL452" s="27">
        <f t="shared" si="74"/>
        <v>1787244.8541666667</v>
      </c>
      <c r="AM452" s="27"/>
      <c r="AN452" s="27"/>
      <c r="AO452" s="27"/>
      <c r="AP452" s="27"/>
      <c r="AQ452" s="27"/>
      <c r="AR452" s="27"/>
      <c r="AS452" s="27"/>
      <c r="AT452" s="27"/>
      <c r="AU452" s="27"/>
      <c r="AV452" s="27"/>
      <c r="AW452" s="27">
        <f t="shared" si="67"/>
        <v>3574489.7083333335</v>
      </c>
      <c r="AX452" s="79">
        <f t="shared" si="68"/>
        <v>124415300.75</v>
      </c>
      <c r="AY452" s="79">
        <f t="shared" si="69"/>
        <v>47160205.250000007</v>
      </c>
      <c r="AZ452" s="25">
        <v>1</v>
      </c>
      <c r="BA452" s="62" t="s">
        <v>97</v>
      </c>
      <c r="BB452" s="66">
        <v>1</v>
      </c>
      <c r="BC452" s="66"/>
      <c r="BD452" s="66"/>
      <c r="BE452" s="67">
        <f t="shared" si="73"/>
        <v>1787244.8541666667</v>
      </c>
      <c r="BF452" s="67">
        <f t="shared" si="66"/>
        <v>0</v>
      </c>
      <c r="BG452" s="67">
        <f t="shared" si="65"/>
        <v>0</v>
      </c>
      <c r="BH452" s="66"/>
      <c r="BI452" s="68" t="s">
        <v>57</v>
      </c>
      <c r="BJ452" s="68" t="s">
        <v>1297</v>
      </c>
      <c r="BK452" s="68" t="s">
        <v>1297</v>
      </c>
      <c r="BL452" s="29"/>
      <c r="BO452" s="35" t="s">
        <v>1801</v>
      </c>
      <c r="BP452" s="1" t="s">
        <v>1824</v>
      </c>
      <c r="BQ452" s="1" t="e">
        <v>#N/A</v>
      </c>
    </row>
    <row r="453" spans="3:69" ht="15" hidden="1" customHeight="1">
      <c r="C453" s="1" t="str">
        <f t="shared" si="70"/>
        <v>2912</v>
      </c>
      <c r="D453" s="1" t="str">
        <f t="shared" si="71"/>
        <v>2112</v>
      </c>
      <c r="E453" s="19" t="s">
        <v>1290</v>
      </c>
      <c r="F453" s="68" t="s">
        <v>49</v>
      </c>
      <c r="G453" s="62">
        <v>2112</v>
      </c>
      <c r="H453" s="62" t="s">
        <v>1303</v>
      </c>
      <c r="I453" s="62" t="s">
        <v>1292</v>
      </c>
      <c r="J453" s="118">
        <v>1</v>
      </c>
      <c r="K453" s="119" t="s">
        <v>1293</v>
      </c>
      <c r="L453" s="138" t="s">
        <v>877</v>
      </c>
      <c r="M453" s="120" t="s">
        <v>1294</v>
      </c>
      <c r="N453" s="65" t="s">
        <v>1295</v>
      </c>
      <c r="O453" s="24">
        <v>7400</v>
      </c>
      <c r="P453" s="24">
        <v>22775</v>
      </c>
      <c r="Q453" s="64">
        <v>168535000</v>
      </c>
      <c r="R453" s="64"/>
      <c r="S453" s="64"/>
      <c r="T453" s="130">
        <v>3040505.5</v>
      </c>
      <c r="U453" s="139" t="s">
        <v>1296</v>
      </c>
      <c r="V453" s="121">
        <v>171575506</v>
      </c>
      <c r="W453" s="122">
        <v>0</v>
      </c>
      <c r="X453" s="64">
        <v>171575506</v>
      </c>
      <c r="Y453" s="121"/>
      <c r="Z453" s="121"/>
      <c r="AA453" s="128"/>
      <c r="AB453" s="121"/>
      <c r="AC453" s="64">
        <v>171575506</v>
      </c>
      <c r="AD453" s="63">
        <v>44550</v>
      </c>
      <c r="AE453" s="65">
        <v>47471</v>
      </c>
      <c r="AF453" s="62">
        <v>8</v>
      </c>
      <c r="AG453" s="119">
        <v>96</v>
      </c>
      <c r="AH453" s="25">
        <v>1787244.8541666667</v>
      </c>
      <c r="AI453" s="78">
        <v>43585715.541666672</v>
      </c>
      <c r="AJ453" s="78">
        <v>127989790.45833333</v>
      </c>
      <c r="AK453" s="27">
        <f t="shared" si="72"/>
        <v>1787244.8541666667</v>
      </c>
      <c r="AL453" s="27">
        <f t="shared" si="74"/>
        <v>1787244.8541666667</v>
      </c>
      <c r="AM453" s="27"/>
      <c r="AN453" s="27"/>
      <c r="AO453" s="27"/>
      <c r="AP453" s="27"/>
      <c r="AQ453" s="27"/>
      <c r="AR453" s="27"/>
      <c r="AS453" s="27"/>
      <c r="AT453" s="27"/>
      <c r="AU453" s="27"/>
      <c r="AV453" s="27"/>
      <c r="AW453" s="27">
        <f t="shared" si="67"/>
        <v>3574489.7083333335</v>
      </c>
      <c r="AX453" s="79">
        <f t="shared" si="68"/>
        <v>124415300.75</v>
      </c>
      <c r="AY453" s="79">
        <f t="shared" si="69"/>
        <v>47160205.250000007</v>
      </c>
      <c r="AZ453" s="25">
        <v>1</v>
      </c>
      <c r="BA453" s="62" t="s">
        <v>97</v>
      </c>
      <c r="BB453" s="66">
        <v>1</v>
      </c>
      <c r="BC453" s="66"/>
      <c r="BD453" s="66"/>
      <c r="BE453" s="67">
        <f t="shared" si="73"/>
        <v>1787244.8541666667</v>
      </c>
      <c r="BF453" s="67">
        <f t="shared" si="66"/>
        <v>0</v>
      </c>
      <c r="BG453" s="67">
        <f t="shared" si="65"/>
        <v>0</v>
      </c>
      <c r="BH453" s="66"/>
      <c r="BI453" s="68" t="s">
        <v>57</v>
      </c>
      <c r="BJ453" s="68" t="s">
        <v>1297</v>
      </c>
      <c r="BK453" s="68" t="s">
        <v>1297</v>
      </c>
      <c r="BL453" s="29"/>
      <c r="BO453" s="35" t="s">
        <v>1801</v>
      </c>
      <c r="BP453" s="1" t="s">
        <v>1824</v>
      </c>
      <c r="BQ453" s="1" t="e">
        <v>#N/A</v>
      </c>
    </row>
    <row r="454" spans="3:69" ht="15" hidden="1" customHeight="1">
      <c r="C454" s="1" t="str">
        <f t="shared" si="70"/>
        <v>2912</v>
      </c>
      <c r="D454" s="1" t="str">
        <f t="shared" si="71"/>
        <v>2112</v>
      </c>
      <c r="E454" s="19" t="s">
        <v>1290</v>
      </c>
      <c r="F454" s="68" t="s">
        <v>49</v>
      </c>
      <c r="G454" s="62">
        <v>2112</v>
      </c>
      <c r="H454" s="62" t="s">
        <v>1304</v>
      </c>
      <c r="I454" s="62" t="s">
        <v>1292</v>
      </c>
      <c r="J454" s="118">
        <v>1</v>
      </c>
      <c r="K454" s="119" t="s">
        <v>1293</v>
      </c>
      <c r="L454" s="138" t="s">
        <v>877</v>
      </c>
      <c r="M454" s="120" t="s">
        <v>1294</v>
      </c>
      <c r="N454" s="65" t="s">
        <v>1295</v>
      </c>
      <c r="O454" s="24">
        <v>7400</v>
      </c>
      <c r="P454" s="24">
        <v>22775</v>
      </c>
      <c r="Q454" s="64">
        <v>168535000</v>
      </c>
      <c r="R454" s="64"/>
      <c r="S454" s="64"/>
      <c r="T454" s="130">
        <v>3040505.5</v>
      </c>
      <c r="U454" s="139" t="s">
        <v>1296</v>
      </c>
      <c r="V454" s="121">
        <v>171575506</v>
      </c>
      <c r="W454" s="122">
        <v>0</v>
      </c>
      <c r="X454" s="64">
        <v>171575506</v>
      </c>
      <c r="Y454" s="121"/>
      <c r="Z454" s="121"/>
      <c r="AA454" s="128"/>
      <c r="AB454" s="121"/>
      <c r="AC454" s="64">
        <v>171575506</v>
      </c>
      <c r="AD454" s="63">
        <v>44550</v>
      </c>
      <c r="AE454" s="65">
        <v>47471</v>
      </c>
      <c r="AF454" s="62">
        <v>8</v>
      </c>
      <c r="AG454" s="119">
        <v>96</v>
      </c>
      <c r="AH454" s="25">
        <v>1787244.8541666667</v>
      </c>
      <c r="AI454" s="78">
        <v>43585715.541666672</v>
      </c>
      <c r="AJ454" s="78">
        <v>127989790.45833333</v>
      </c>
      <c r="AK454" s="27">
        <f t="shared" si="72"/>
        <v>1787244.8541666667</v>
      </c>
      <c r="AL454" s="27">
        <f t="shared" si="74"/>
        <v>1787244.8541666667</v>
      </c>
      <c r="AM454" s="27"/>
      <c r="AN454" s="27"/>
      <c r="AO454" s="27"/>
      <c r="AP454" s="27"/>
      <c r="AQ454" s="27"/>
      <c r="AR454" s="27"/>
      <c r="AS454" s="27"/>
      <c r="AT454" s="27"/>
      <c r="AU454" s="27"/>
      <c r="AV454" s="27"/>
      <c r="AW454" s="27">
        <f t="shared" si="67"/>
        <v>3574489.7083333335</v>
      </c>
      <c r="AX454" s="79">
        <f t="shared" si="68"/>
        <v>124415300.75</v>
      </c>
      <c r="AY454" s="79">
        <f t="shared" si="69"/>
        <v>47160205.250000007</v>
      </c>
      <c r="AZ454" s="25">
        <v>1</v>
      </c>
      <c r="BA454" s="62" t="s">
        <v>97</v>
      </c>
      <c r="BB454" s="66">
        <v>1</v>
      </c>
      <c r="BC454" s="66"/>
      <c r="BD454" s="66"/>
      <c r="BE454" s="67">
        <f t="shared" si="73"/>
        <v>1787244.8541666667</v>
      </c>
      <c r="BF454" s="67">
        <f t="shared" si="66"/>
        <v>0</v>
      </c>
      <c r="BG454" s="67">
        <f t="shared" si="65"/>
        <v>0</v>
      </c>
      <c r="BH454" s="66"/>
      <c r="BI454" s="68" t="s">
        <v>57</v>
      </c>
      <c r="BJ454" s="68" t="s">
        <v>1297</v>
      </c>
      <c r="BK454" s="68" t="s">
        <v>1297</v>
      </c>
      <c r="BL454" s="29"/>
      <c r="BO454" s="35" t="s">
        <v>1801</v>
      </c>
      <c r="BP454" s="1" t="s">
        <v>1824</v>
      </c>
      <c r="BQ454" s="1" t="e">
        <v>#N/A</v>
      </c>
    </row>
    <row r="455" spans="3:69" ht="15" hidden="1" customHeight="1">
      <c r="C455" s="1" t="str">
        <f t="shared" si="70"/>
        <v>2912</v>
      </c>
      <c r="D455" s="1" t="str">
        <f t="shared" si="71"/>
        <v>2112</v>
      </c>
      <c r="E455" s="19" t="s">
        <v>1290</v>
      </c>
      <c r="F455" s="68" t="s">
        <v>49</v>
      </c>
      <c r="G455" s="62">
        <v>2112</v>
      </c>
      <c r="H455" s="62" t="s">
        <v>1305</v>
      </c>
      <c r="I455" s="62" t="s">
        <v>1292</v>
      </c>
      <c r="J455" s="118">
        <v>1</v>
      </c>
      <c r="K455" s="119" t="s">
        <v>1293</v>
      </c>
      <c r="L455" s="138" t="s">
        <v>877</v>
      </c>
      <c r="M455" s="120" t="s">
        <v>1294</v>
      </c>
      <c r="N455" s="65" t="s">
        <v>1295</v>
      </c>
      <c r="O455" s="24">
        <v>7400</v>
      </c>
      <c r="P455" s="24">
        <v>22775</v>
      </c>
      <c r="Q455" s="64">
        <v>168535000</v>
      </c>
      <c r="R455" s="64"/>
      <c r="S455" s="64"/>
      <c r="T455" s="130">
        <v>3040505.5</v>
      </c>
      <c r="U455" s="139" t="s">
        <v>1296</v>
      </c>
      <c r="V455" s="121">
        <v>171575506</v>
      </c>
      <c r="W455" s="122">
        <v>0</v>
      </c>
      <c r="X455" s="64">
        <v>171575506</v>
      </c>
      <c r="Y455" s="121"/>
      <c r="Z455" s="121"/>
      <c r="AA455" s="128"/>
      <c r="AB455" s="121"/>
      <c r="AC455" s="64">
        <v>171575506</v>
      </c>
      <c r="AD455" s="63">
        <v>44550</v>
      </c>
      <c r="AE455" s="65">
        <v>47471</v>
      </c>
      <c r="AF455" s="62">
        <v>8</v>
      </c>
      <c r="AG455" s="119">
        <v>96</v>
      </c>
      <c r="AH455" s="25">
        <v>1787244.8541666667</v>
      </c>
      <c r="AI455" s="78">
        <v>43585715.541666672</v>
      </c>
      <c r="AJ455" s="78">
        <v>127989790.45833333</v>
      </c>
      <c r="AK455" s="27">
        <f t="shared" si="72"/>
        <v>1787244.8541666667</v>
      </c>
      <c r="AL455" s="27">
        <f t="shared" si="74"/>
        <v>1787244.8541666667</v>
      </c>
      <c r="AM455" s="27"/>
      <c r="AN455" s="27"/>
      <c r="AO455" s="27"/>
      <c r="AP455" s="27"/>
      <c r="AQ455" s="27"/>
      <c r="AR455" s="27"/>
      <c r="AS455" s="27"/>
      <c r="AT455" s="27"/>
      <c r="AU455" s="27"/>
      <c r="AV455" s="27"/>
      <c r="AW455" s="27">
        <f t="shared" si="67"/>
        <v>3574489.7083333335</v>
      </c>
      <c r="AX455" s="79">
        <f t="shared" si="68"/>
        <v>124415300.75</v>
      </c>
      <c r="AY455" s="79">
        <f t="shared" si="69"/>
        <v>47160205.250000007</v>
      </c>
      <c r="AZ455" s="25">
        <v>1</v>
      </c>
      <c r="BA455" s="62" t="s">
        <v>97</v>
      </c>
      <c r="BB455" s="66">
        <v>1</v>
      </c>
      <c r="BC455" s="66"/>
      <c r="BD455" s="66"/>
      <c r="BE455" s="67">
        <f t="shared" si="73"/>
        <v>1787244.8541666667</v>
      </c>
      <c r="BF455" s="67">
        <f t="shared" si="66"/>
        <v>0</v>
      </c>
      <c r="BG455" s="67">
        <f t="shared" si="65"/>
        <v>0</v>
      </c>
      <c r="BH455" s="66"/>
      <c r="BI455" s="68" t="s">
        <v>57</v>
      </c>
      <c r="BJ455" s="68" t="s">
        <v>1297</v>
      </c>
      <c r="BK455" s="68" t="s">
        <v>1297</v>
      </c>
      <c r="BL455" s="29"/>
      <c r="BO455" s="35" t="s">
        <v>1801</v>
      </c>
      <c r="BP455" s="1" t="s">
        <v>1826</v>
      </c>
      <c r="BQ455" s="1" t="s">
        <v>1989</v>
      </c>
    </row>
    <row r="456" spans="3:69" ht="15" hidden="1" customHeight="1">
      <c r="C456" s="1" t="str">
        <f t="shared" si="70"/>
        <v>2912</v>
      </c>
      <c r="D456" s="1" t="str">
        <f t="shared" si="71"/>
        <v>2112</v>
      </c>
      <c r="E456" s="19" t="s">
        <v>1290</v>
      </c>
      <c r="F456" s="68" t="s">
        <v>49</v>
      </c>
      <c r="G456" s="62">
        <v>2112</v>
      </c>
      <c r="H456" s="62" t="s">
        <v>1306</v>
      </c>
      <c r="I456" s="62" t="s">
        <v>1292</v>
      </c>
      <c r="J456" s="118">
        <v>1</v>
      </c>
      <c r="K456" s="119" t="s">
        <v>1293</v>
      </c>
      <c r="L456" s="138" t="s">
        <v>877</v>
      </c>
      <c r="M456" s="120" t="s">
        <v>1294</v>
      </c>
      <c r="N456" s="65" t="s">
        <v>1295</v>
      </c>
      <c r="O456" s="24">
        <v>7400</v>
      </c>
      <c r="P456" s="24">
        <v>22775</v>
      </c>
      <c r="Q456" s="64">
        <v>168535000</v>
      </c>
      <c r="R456" s="64"/>
      <c r="S456" s="64"/>
      <c r="T456" s="130">
        <v>3040505.5</v>
      </c>
      <c r="U456" s="139" t="s">
        <v>1296</v>
      </c>
      <c r="V456" s="121">
        <v>171575506</v>
      </c>
      <c r="W456" s="122">
        <v>0</v>
      </c>
      <c r="X456" s="64">
        <v>171575506</v>
      </c>
      <c r="Y456" s="121"/>
      <c r="Z456" s="121"/>
      <c r="AA456" s="128"/>
      <c r="AB456" s="121"/>
      <c r="AC456" s="64">
        <v>171575506</v>
      </c>
      <c r="AD456" s="63">
        <v>44550</v>
      </c>
      <c r="AE456" s="65">
        <v>47471</v>
      </c>
      <c r="AF456" s="62">
        <v>8</v>
      </c>
      <c r="AG456" s="119">
        <v>96</v>
      </c>
      <c r="AH456" s="25">
        <v>1787244.8541666667</v>
      </c>
      <c r="AI456" s="78">
        <v>43585715.541666672</v>
      </c>
      <c r="AJ456" s="78">
        <v>127989790.45833333</v>
      </c>
      <c r="AK456" s="27">
        <f t="shared" si="72"/>
        <v>1787244.8541666667</v>
      </c>
      <c r="AL456" s="27">
        <f t="shared" si="74"/>
        <v>1787244.8541666667</v>
      </c>
      <c r="AM456" s="27"/>
      <c r="AN456" s="27"/>
      <c r="AO456" s="27"/>
      <c r="AP456" s="27"/>
      <c r="AQ456" s="27"/>
      <c r="AR456" s="27"/>
      <c r="AS456" s="27"/>
      <c r="AT456" s="27"/>
      <c r="AU456" s="27"/>
      <c r="AV456" s="27"/>
      <c r="AW456" s="27">
        <f t="shared" si="67"/>
        <v>3574489.7083333335</v>
      </c>
      <c r="AX456" s="79">
        <f t="shared" si="68"/>
        <v>124415300.75</v>
      </c>
      <c r="AY456" s="79">
        <f t="shared" si="69"/>
        <v>47160205.250000007</v>
      </c>
      <c r="AZ456" s="25">
        <v>1</v>
      </c>
      <c r="BA456" s="62" t="s">
        <v>97</v>
      </c>
      <c r="BB456" s="66">
        <v>1</v>
      </c>
      <c r="BC456" s="66"/>
      <c r="BD456" s="66"/>
      <c r="BE456" s="67">
        <f t="shared" si="73"/>
        <v>1787244.8541666667</v>
      </c>
      <c r="BF456" s="67">
        <f t="shared" si="66"/>
        <v>0</v>
      </c>
      <c r="BG456" s="67">
        <f t="shared" si="65"/>
        <v>0</v>
      </c>
      <c r="BH456" s="66"/>
      <c r="BI456" s="68" t="s">
        <v>57</v>
      </c>
      <c r="BJ456" s="68" t="s">
        <v>1297</v>
      </c>
      <c r="BK456" s="68" t="s">
        <v>1297</v>
      </c>
      <c r="BL456" s="29"/>
      <c r="BO456" s="35" t="s">
        <v>1801</v>
      </c>
      <c r="BP456" s="1" t="s">
        <v>1826</v>
      </c>
      <c r="BQ456" s="1" t="s">
        <v>1989</v>
      </c>
    </row>
    <row r="457" spans="3:69" ht="15" hidden="1" customHeight="1">
      <c r="C457" s="1" t="str">
        <f t="shared" si="70"/>
        <v>3112</v>
      </c>
      <c r="D457" s="1" t="str">
        <f t="shared" si="71"/>
        <v>2112</v>
      </c>
      <c r="E457" s="19" t="s">
        <v>1290</v>
      </c>
      <c r="F457" s="68" t="s">
        <v>515</v>
      </c>
      <c r="G457" s="62">
        <v>2112</v>
      </c>
      <c r="H457" s="62" t="s">
        <v>1307</v>
      </c>
      <c r="I457" s="62" t="s">
        <v>1308</v>
      </c>
      <c r="J457" s="118">
        <v>1</v>
      </c>
      <c r="K457" s="119" t="s">
        <v>619</v>
      </c>
      <c r="L457" s="138" t="s">
        <v>919</v>
      </c>
      <c r="M457" s="120" t="s">
        <v>1309</v>
      </c>
      <c r="N457" s="65" t="s">
        <v>1310</v>
      </c>
      <c r="O457" s="24">
        <v>173000</v>
      </c>
      <c r="P457" s="24">
        <v>22858</v>
      </c>
      <c r="Q457" s="64">
        <v>3954434000</v>
      </c>
      <c r="R457" s="64"/>
      <c r="S457" s="64"/>
      <c r="T457" s="130">
        <v>99758108</v>
      </c>
      <c r="U457" s="139" t="s">
        <v>1311</v>
      </c>
      <c r="V457" s="121">
        <v>4054192108</v>
      </c>
      <c r="W457" s="122"/>
      <c r="X457" s="64">
        <v>4054192108</v>
      </c>
      <c r="Y457" s="121"/>
      <c r="Z457" s="121"/>
      <c r="AA457" s="128"/>
      <c r="AB457" s="121"/>
      <c r="AC457" s="64">
        <v>4054192108</v>
      </c>
      <c r="AD457" s="63">
        <v>44539</v>
      </c>
      <c r="AE457" s="65">
        <v>48190</v>
      </c>
      <c r="AF457" s="62">
        <v>10</v>
      </c>
      <c r="AG457" s="119">
        <v>120</v>
      </c>
      <c r="AH457" s="25">
        <v>33784934.233333334</v>
      </c>
      <c r="AI457" s="78">
        <v>835904659.33333349</v>
      </c>
      <c r="AJ457" s="78">
        <v>3218287448.6666665</v>
      </c>
      <c r="AK457" s="27">
        <f t="shared" si="72"/>
        <v>33784934.233333334</v>
      </c>
      <c r="AL457" s="27">
        <f t="shared" si="74"/>
        <v>33784934.233333334</v>
      </c>
      <c r="AM457" s="27"/>
      <c r="AN457" s="27"/>
      <c r="AO457" s="27"/>
      <c r="AP457" s="27"/>
      <c r="AQ457" s="27"/>
      <c r="AR457" s="27"/>
      <c r="AS457" s="27"/>
      <c r="AT457" s="27"/>
      <c r="AU457" s="27"/>
      <c r="AV457" s="27"/>
      <c r="AW457" s="27">
        <f t="shared" si="67"/>
        <v>67569868.466666669</v>
      </c>
      <c r="AX457" s="79">
        <f t="shared" si="68"/>
        <v>3150717580.1999998</v>
      </c>
      <c r="AY457" s="79">
        <f t="shared" si="69"/>
        <v>903474527.80000019</v>
      </c>
      <c r="AZ457" s="25">
        <v>1</v>
      </c>
      <c r="BA457" s="62" t="s">
        <v>97</v>
      </c>
      <c r="BB457" s="66">
        <v>1</v>
      </c>
      <c r="BC457" s="66"/>
      <c r="BD457" s="66"/>
      <c r="BE457" s="67">
        <f t="shared" si="73"/>
        <v>33784934.233333334</v>
      </c>
      <c r="BF457" s="67">
        <f t="shared" si="66"/>
        <v>0</v>
      </c>
      <c r="BG457" s="67">
        <f t="shared" si="65"/>
        <v>0</v>
      </c>
      <c r="BH457" s="66"/>
      <c r="BI457" s="68" t="s">
        <v>871</v>
      </c>
      <c r="BJ457" s="68" t="s">
        <v>1312</v>
      </c>
      <c r="BK457" s="68" t="s">
        <v>1312</v>
      </c>
      <c r="BL457" s="29"/>
      <c r="BO457" s="35" t="s">
        <v>1802</v>
      </c>
      <c r="BQ457" s="1" t="e">
        <v>#N/A</v>
      </c>
    </row>
    <row r="458" spans="3:69" ht="15" hidden="1" customHeight="1">
      <c r="C458" s="1" t="str">
        <f t="shared" si="70"/>
        <v>2912</v>
      </c>
      <c r="D458" s="1" t="str">
        <f t="shared" si="71"/>
        <v>2112</v>
      </c>
      <c r="E458" s="19" t="s">
        <v>1290</v>
      </c>
      <c r="F458" s="68" t="s">
        <v>515</v>
      </c>
      <c r="G458" s="62">
        <v>2112</v>
      </c>
      <c r="H458" s="62" t="s">
        <v>1313</v>
      </c>
      <c r="I458" s="62" t="s">
        <v>1314</v>
      </c>
      <c r="J458" s="118">
        <v>1</v>
      </c>
      <c r="K458" s="119" t="s">
        <v>1293</v>
      </c>
      <c r="L458" s="138" t="s">
        <v>1315</v>
      </c>
      <c r="M458" s="120" t="s">
        <v>1316</v>
      </c>
      <c r="N458" s="65" t="s">
        <v>1317</v>
      </c>
      <c r="O458" s="24">
        <v>28000</v>
      </c>
      <c r="P458" s="24">
        <v>22881.5</v>
      </c>
      <c r="Q458" s="64">
        <v>640682000</v>
      </c>
      <c r="R458" s="64"/>
      <c r="S458" s="64"/>
      <c r="T458" s="130">
        <v>28290364</v>
      </c>
      <c r="U458" s="139" t="s">
        <v>1318</v>
      </c>
      <c r="V458" s="121">
        <v>668972364</v>
      </c>
      <c r="W458" s="122">
        <v>0</v>
      </c>
      <c r="X458" s="64">
        <v>668972364</v>
      </c>
      <c r="Y458" s="121"/>
      <c r="Z458" s="121"/>
      <c r="AA458" s="128"/>
      <c r="AB458" s="121"/>
      <c r="AC458" s="64">
        <v>668972364</v>
      </c>
      <c r="AD458" s="63">
        <v>44550</v>
      </c>
      <c r="AE458" s="65">
        <v>47471</v>
      </c>
      <c r="AF458" s="62">
        <v>8</v>
      </c>
      <c r="AG458" s="119">
        <v>96</v>
      </c>
      <c r="AH458" s="25">
        <v>6968462.125</v>
      </c>
      <c r="AI458" s="78">
        <v>169940558.25</v>
      </c>
      <c r="AJ458" s="78">
        <v>499031805.75</v>
      </c>
      <c r="AK458" s="27">
        <f t="shared" si="72"/>
        <v>6968462.125</v>
      </c>
      <c r="AL458" s="27">
        <f t="shared" si="74"/>
        <v>6968462.125</v>
      </c>
      <c r="AM458" s="27"/>
      <c r="AN458" s="27"/>
      <c r="AO458" s="27"/>
      <c r="AP458" s="27"/>
      <c r="AQ458" s="27"/>
      <c r="AR458" s="27"/>
      <c r="AS458" s="27"/>
      <c r="AT458" s="27"/>
      <c r="AU458" s="27"/>
      <c r="AV458" s="27"/>
      <c r="AW458" s="27">
        <f t="shared" si="67"/>
        <v>13936924.25</v>
      </c>
      <c r="AX458" s="79">
        <f t="shared" si="68"/>
        <v>485094881.5</v>
      </c>
      <c r="AY458" s="79">
        <f t="shared" si="69"/>
        <v>183877482.5</v>
      </c>
      <c r="AZ458" s="25">
        <v>1</v>
      </c>
      <c r="BA458" s="62" t="s">
        <v>97</v>
      </c>
      <c r="BB458" s="66">
        <v>1</v>
      </c>
      <c r="BC458" s="66"/>
      <c r="BD458" s="66"/>
      <c r="BE458" s="67">
        <f t="shared" si="73"/>
        <v>6968462.125</v>
      </c>
      <c r="BF458" s="67">
        <f t="shared" si="66"/>
        <v>0</v>
      </c>
      <c r="BG458" s="67">
        <f t="shared" ref="BG458:BG521" si="75">+$AL458*BD458</f>
        <v>0</v>
      </c>
      <c r="BH458" s="66"/>
      <c r="BI458" s="68" t="s">
        <v>871</v>
      </c>
      <c r="BJ458" s="68" t="s">
        <v>1297</v>
      </c>
      <c r="BK458" s="68" t="s">
        <v>1297</v>
      </c>
      <c r="BL458" s="29"/>
      <c r="BO458" s="35" t="s">
        <v>1801</v>
      </c>
      <c r="BP458" s="1" t="s">
        <v>1813</v>
      </c>
      <c r="BQ458" s="1" t="s">
        <v>1989</v>
      </c>
    </row>
    <row r="459" spans="3:69" ht="15" hidden="1" customHeight="1">
      <c r="C459" s="1" t="str">
        <f t="shared" si="70"/>
        <v>2812</v>
      </c>
      <c r="D459" s="1" t="str">
        <f t="shared" si="71"/>
        <v>2112</v>
      </c>
      <c r="E459" s="19" t="s">
        <v>1290</v>
      </c>
      <c r="F459" s="68" t="s">
        <v>515</v>
      </c>
      <c r="G459" s="62">
        <v>2112</v>
      </c>
      <c r="H459" s="62" t="s">
        <v>1319</v>
      </c>
      <c r="I459" s="62" t="s">
        <v>1320</v>
      </c>
      <c r="J459" s="118">
        <v>1</v>
      </c>
      <c r="K459" s="119" t="s">
        <v>619</v>
      </c>
      <c r="L459" s="62" t="s">
        <v>77</v>
      </c>
      <c r="M459" s="120" t="s">
        <v>1321</v>
      </c>
      <c r="N459" s="65">
        <v>44531</v>
      </c>
      <c r="O459" s="27">
        <v>34980</v>
      </c>
      <c r="P459" s="24">
        <v>22770</v>
      </c>
      <c r="Q459" s="64">
        <v>796494600</v>
      </c>
      <c r="R459" s="27">
        <v>39483675</v>
      </c>
      <c r="S459" s="64"/>
      <c r="T459" s="130">
        <v>1500000</v>
      </c>
      <c r="U459" s="139" t="s">
        <v>1322</v>
      </c>
      <c r="V459" s="121">
        <v>837478275</v>
      </c>
      <c r="W459" s="122">
        <v>0</v>
      </c>
      <c r="X459" s="64">
        <v>837478275</v>
      </c>
      <c r="Y459" s="121"/>
      <c r="Z459" s="121"/>
      <c r="AA459" s="128"/>
      <c r="AB459" s="121"/>
      <c r="AC459" s="64">
        <v>837478275</v>
      </c>
      <c r="AD459" s="63">
        <v>44550</v>
      </c>
      <c r="AE459" s="65">
        <v>47106</v>
      </c>
      <c r="AF459" s="62">
        <v>7</v>
      </c>
      <c r="AG459" s="119">
        <v>84</v>
      </c>
      <c r="AH459" s="25">
        <v>9969979.4642857146</v>
      </c>
      <c r="AI459" s="78">
        <v>243138847.64285716</v>
      </c>
      <c r="AJ459" s="78">
        <v>594339427.35714281</v>
      </c>
      <c r="AK459" s="27">
        <f t="shared" si="72"/>
        <v>9969979.4642857146</v>
      </c>
      <c r="AL459" s="27">
        <f t="shared" si="74"/>
        <v>9969979.4642857146</v>
      </c>
      <c r="AM459" s="27"/>
      <c r="AN459" s="27"/>
      <c r="AO459" s="27"/>
      <c r="AP459" s="27"/>
      <c r="AQ459" s="27"/>
      <c r="AR459" s="27"/>
      <c r="AS459" s="27"/>
      <c r="AT459" s="27"/>
      <c r="AU459" s="27"/>
      <c r="AV459" s="27"/>
      <c r="AW459" s="27">
        <f t="shared" si="67"/>
        <v>19939958.928571429</v>
      </c>
      <c r="AX459" s="79">
        <f t="shared" si="68"/>
        <v>574399468.42857134</v>
      </c>
      <c r="AY459" s="79">
        <f t="shared" si="69"/>
        <v>263078806.5714286</v>
      </c>
      <c r="AZ459" s="25">
        <v>1</v>
      </c>
      <c r="BA459" s="62" t="s">
        <v>97</v>
      </c>
      <c r="BB459" s="66">
        <v>1</v>
      </c>
      <c r="BC459" s="66"/>
      <c r="BD459" s="66"/>
      <c r="BE459" s="67">
        <f t="shared" si="73"/>
        <v>9969979.4642857146</v>
      </c>
      <c r="BF459" s="67">
        <f t="shared" ref="BF459:BF522" si="76">+$AL459*BC459</f>
        <v>0</v>
      </c>
      <c r="BG459" s="67">
        <f t="shared" si="75"/>
        <v>0</v>
      </c>
      <c r="BH459" s="66"/>
      <c r="BI459" s="68" t="s">
        <v>871</v>
      </c>
      <c r="BJ459" s="68" t="s">
        <v>349</v>
      </c>
      <c r="BK459" s="68" t="s">
        <v>349</v>
      </c>
      <c r="BL459" s="29"/>
      <c r="BO459" s="35" t="s">
        <v>1802</v>
      </c>
      <c r="BQ459" s="1" t="e">
        <v>#N/A</v>
      </c>
    </row>
    <row r="460" spans="3:69" ht="15" hidden="1" customHeight="1">
      <c r="C460" s="1" t="str">
        <f t="shared" si="70"/>
        <v>2912</v>
      </c>
      <c r="D460" s="1" t="str">
        <f t="shared" si="71"/>
        <v>2112</v>
      </c>
      <c r="E460" s="19" t="s">
        <v>1290</v>
      </c>
      <c r="F460" s="68" t="s">
        <v>49</v>
      </c>
      <c r="G460" s="62">
        <v>2112</v>
      </c>
      <c r="H460" s="62" t="s">
        <v>1323</v>
      </c>
      <c r="I460" s="62" t="s">
        <v>1324</v>
      </c>
      <c r="J460" s="140">
        <v>1</v>
      </c>
      <c r="K460" s="119" t="s">
        <v>1293</v>
      </c>
      <c r="L460" s="62" t="s">
        <v>77</v>
      </c>
      <c r="M460" s="120" t="s">
        <v>1325</v>
      </c>
      <c r="N460" s="65" t="s">
        <v>1326</v>
      </c>
      <c r="O460" s="27">
        <v>3172</v>
      </c>
      <c r="P460" s="24">
        <v>22790</v>
      </c>
      <c r="Q460" s="64">
        <v>72289880</v>
      </c>
      <c r="R460" s="64"/>
      <c r="S460" s="64"/>
      <c r="T460" s="64">
        <v>306877.69011778192</v>
      </c>
      <c r="U460" s="139" t="s">
        <v>1327</v>
      </c>
      <c r="V460" s="121">
        <v>72596758</v>
      </c>
      <c r="W460" s="122">
        <v>0</v>
      </c>
      <c r="X460" s="64">
        <v>72596758</v>
      </c>
      <c r="Y460" s="121"/>
      <c r="Z460" s="121"/>
      <c r="AA460" s="128"/>
      <c r="AB460" s="121"/>
      <c r="AC460" s="64">
        <v>72596758</v>
      </c>
      <c r="AD460" s="63">
        <v>44550</v>
      </c>
      <c r="AE460" s="65">
        <v>47471</v>
      </c>
      <c r="AF460" s="62">
        <v>8</v>
      </c>
      <c r="AG460" s="119">
        <v>96</v>
      </c>
      <c r="AH460" s="25">
        <v>756216.22916666663</v>
      </c>
      <c r="AI460" s="78">
        <v>18441915.291666668</v>
      </c>
      <c r="AJ460" s="78">
        <v>54154842.708333328</v>
      </c>
      <c r="AK460" s="27">
        <f t="shared" si="72"/>
        <v>756216.22916666663</v>
      </c>
      <c r="AL460" s="27">
        <f t="shared" si="74"/>
        <v>756216.22916666663</v>
      </c>
      <c r="AM460" s="27"/>
      <c r="AN460" s="27"/>
      <c r="AO460" s="27"/>
      <c r="AP460" s="27"/>
      <c r="AQ460" s="27"/>
      <c r="AR460" s="27"/>
      <c r="AS460" s="27"/>
      <c r="AT460" s="27"/>
      <c r="AU460" s="27"/>
      <c r="AV460" s="27"/>
      <c r="AW460" s="27">
        <f t="shared" si="67"/>
        <v>1512432.4583333333</v>
      </c>
      <c r="AX460" s="79">
        <f t="shared" si="68"/>
        <v>52642410.249999993</v>
      </c>
      <c r="AY460" s="79">
        <f t="shared" si="69"/>
        <v>19954347.75</v>
      </c>
      <c r="AZ460" s="25">
        <v>1</v>
      </c>
      <c r="BA460" s="62" t="s">
        <v>97</v>
      </c>
      <c r="BB460" s="66">
        <v>1</v>
      </c>
      <c r="BC460" s="66"/>
      <c r="BD460" s="66"/>
      <c r="BE460" s="67">
        <f t="shared" si="73"/>
        <v>756216.22916666663</v>
      </c>
      <c r="BF460" s="67">
        <f t="shared" si="76"/>
        <v>0</v>
      </c>
      <c r="BG460" s="67">
        <f t="shared" si="75"/>
        <v>0</v>
      </c>
      <c r="BH460" s="66"/>
      <c r="BI460" s="68" t="s">
        <v>57</v>
      </c>
      <c r="BJ460" s="68" t="s">
        <v>1297</v>
      </c>
      <c r="BK460" s="68" t="s">
        <v>1297</v>
      </c>
      <c r="BL460" s="29"/>
      <c r="BO460" s="35" t="s">
        <v>1801</v>
      </c>
      <c r="BP460" s="1" t="s">
        <v>1826</v>
      </c>
      <c r="BQ460" s="1" t="s">
        <v>1989</v>
      </c>
    </row>
    <row r="461" spans="3:69" ht="15" hidden="1" customHeight="1">
      <c r="C461" s="1" t="str">
        <f t="shared" si="70"/>
        <v>2912</v>
      </c>
      <c r="D461" s="1" t="str">
        <f t="shared" si="71"/>
        <v>2112</v>
      </c>
      <c r="E461" s="19" t="s">
        <v>1290</v>
      </c>
      <c r="F461" s="68" t="s">
        <v>49</v>
      </c>
      <c r="G461" s="62">
        <v>2112</v>
      </c>
      <c r="H461" s="62" t="s">
        <v>1328</v>
      </c>
      <c r="I461" s="62" t="s">
        <v>1324</v>
      </c>
      <c r="J461" s="140">
        <v>1</v>
      </c>
      <c r="K461" s="119" t="s">
        <v>1293</v>
      </c>
      <c r="L461" s="62" t="s">
        <v>77</v>
      </c>
      <c r="M461" s="120" t="s">
        <v>1325</v>
      </c>
      <c r="N461" s="65" t="s">
        <v>1326</v>
      </c>
      <c r="O461" s="27">
        <v>3172</v>
      </c>
      <c r="P461" s="24">
        <v>22790</v>
      </c>
      <c r="Q461" s="64">
        <v>72289880</v>
      </c>
      <c r="R461" s="64"/>
      <c r="S461" s="64"/>
      <c r="T461" s="64">
        <v>306877.69011778192</v>
      </c>
      <c r="U461" s="139" t="s">
        <v>1327</v>
      </c>
      <c r="V461" s="121">
        <v>72596758</v>
      </c>
      <c r="W461" s="122">
        <v>0</v>
      </c>
      <c r="X461" s="64">
        <v>72596758</v>
      </c>
      <c r="Y461" s="121"/>
      <c r="Z461" s="121"/>
      <c r="AA461" s="128"/>
      <c r="AB461" s="121"/>
      <c r="AC461" s="64">
        <v>72596758</v>
      </c>
      <c r="AD461" s="63">
        <v>44550</v>
      </c>
      <c r="AE461" s="65">
        <v>47471</v>
      </c>
      <c r="AF461" s="62">
        <v>8</v>
      </c>
      <c r="AG461" s="119">
        <v>96</v>
      </c>
      <c r="AH461" s="25">
        <v>756216.22916666663</v>
      </c>
      <c r="AI461" s="78">
        <v>18441915.291666668</v>
      </c>
      <c r="AJ461" s="78">
        <v>54154842.708333328</v>
      </c>
      <c r="AK461" s="27">
        <f t="shared" si="72"/>
        <v>756216.22916666663</v>
      </c>
      <c r="AL461" s="27">
        <f t="shared" si="74"/>
        <v>756216.22916666663</v>
      </c>
      <c r="AM461" s="27"/>
      <c r="AN461" s="27"/>
      <c r="AO461" s="27"/>
      <c r="AP461" s="27"/>
      <c r="AQ461" s="27"/>
      <c r="AR461" s="27"/>
      <c r="AS461" s="27"/>
      <c r="AT461" s="27"/>
      <c r="AU461" s="27"/>
      <c r="AV461" s="27"/>
      <c r="AW461" s="27">
        <f t="shared" si="67"/>
        <v>1512432.4583333333</v>
      </c>
      <c r="AX461" s="79">
        <f t="shared" si="68"/>
        <v>52642410.249999993</v>
      </c>
      <c r="AY461" s="79">
        <f t="shared" si="69"/>
        <v>19954347.75</v>
      </c>
      <c r="AZ461" s="25">
        <v>1</v>
      </c>
      <c r="BA461" s="62" t="s">
        <v>97</v>
      </c>
      <c r="BB461" s="66">
        <v>1</v>
      </c>
      <c r="BC461" s="66"/>
      <c r="BD461" s="66"/>
      <c r="BE461" s="67">
        <f t="shared" si="73"/>
        <v>756216.22916666663</v>
      </c>
      <c r="BF461" s="67">
        <f t="shared" si="76"/>
        <v>0</v>
      </c>
      <c r="BG461" s="67">
        <f t="shared" si="75"/>
        <v>0</v>
      </c>
      <c r="BH461" s="66"/>
      <c r="BI461" s="68" t="s">
        <v>57</v>
      </c>
      <c r="BJ461" s="68" t="s">
        <v>1297</v>
      </c>
      <c r="BK461" s="68" t="s">
        <v>1297</v>
      </c>
      <c r="BL461" s="29"/>
      <c r="BO461" s="35" t="s">
        <v>1801</v>
      </c>
      <c r="BP461" s="1" t="s">
        <v>1826</v>
      </c>
      <c r="BQ461" s="1" t="s">
        <v>1989</v>
      </c>
    </row>
    <row r="462" spans="3:69" ht="15" hidden="1" customHeight="1">
      <c r="C462" s="1" t="str">
        <f t="shared" si="70"/>
        <v>2912</v>
      </c>
      <c r="D462" s="1" t="str">
        <f t="shared" si="71"/>
        <v>2112</v>
      </c>
      <c r="E462" s="19" t="s">
        <v>1290</v>
      </c>
      <c r="F462" s="68" t="s">
        <v>49</v>
      </c>
      <c r="G462" s="62">
        <v>2112</v>
      </c>
      <c r="H462" s="62" t="s">
        <v>1329</v>
      </c>
      <c r="I462" s="62" t="s">
        <v>1324</v>
      </c>
      <c r="J462" s="140">
        <v>1</v>
      </c>
      <c r="K462" s="119" t="s">
        <v>1293</v>
      </c>
      <c r="L462" s="62" t="s">
        <v>77</v>
      </c>
      <c r="M462" s="120" t="s">
        <v>1325</v>
      </c>
      <c r="N462" s="65" t="s">
        <v>1326</v>
      </c>
      <c r="O462" s="27">
        <v>3172</v>
      </c>
      <c r="P462" s="24">
        <v>22790</v>
      </c>
      <c r="Q462" s="64">
        <v>72289880</v>
      </c>
      <c r="R462" s="64"/>
      <c r="S462" s="64"/>
      <c r="T462" s="64">
        <v>306877.69011778192</v>
      </c>
      <c r="U462" s="139" t="s">
        <v>1327</v>
      </c>
      <c r="V462" s="121">
        <v>72596758</v>
      </c>
      <c r="W462" s="122">
        <v>0</v>
      </c>
      <c r="X462" s="64">
        <v>72596758</v>
      </c>
      <c r="Y462" s="121"/>
      <c r="Z462" s="121"/>
      <c r="AA462" s="128"/>
      <c r="AB462" s="121"/>
      <c r="AC462" s="64">
        <v>72596758</v>
      </c>
      <c r="AD462" s="63">
        <v>44550</v>
      </c>
      <c r="AE462" s="65">
        <v>47471</v>
      </c>
      <c r="AF462" s="62">
        <v>8</v>
      </c>
      <c r="AG462" s="119">
        <v>96</v>
      </c>
      <c r="AH462" s="25">
        <v>756216.22916666663</v>
      </c>
      <c r="AI462" s="78">
        <v>18441915.291666668</v>
      </c>
      <c r="AJ462" s="78">
        <v>54154842.708333328</v>
      </c>
      <c r="AK462" s="27">
        <f t="shared" si="72"/>
        <v>756216.22916666663</v>
      </c>
      <c r="AL462" s="27">
        <f t="shared" si="74"/>
        <v>756216.22916666663</v>
      </c>
      <c r="AM462" s="27"/>
      <c r="AN462" s="27"/>
      <c r="AO462" s="27"/>
      <c r="AP462" s="27"/>
      <c r="AQ462" s="27"/>
      <c r="AR462" s="27"/>
      <c r="AS462" s="27"/>
      <c r="AT462" s="27"/>
      <c r="AU462" s="27"/>
      <c r="AV462" s="27"/>
      <c r="AW462" s="27">
        <f t="shared" si="67"/>
        <v>1512432.4583333333</v>
      </c>
      <c r="AX462" s="79">
        <f t="shared" si="68"/>
        <v>52642410.249999993</v>
      </c>
      <c r="AY462" s="79">
        <f t="shared" si="69"/>
        <v>19954347.75</v>
      </c>
      <c r="AZ462" s="25">
        <v>1</v>
      </c>
      <c r="BA462" s="62" t="s">
        <v>97</v>
      </c>
      <c r="BB462" s="66">
        <v>1</v>
      </c>
      <c r="BC462" s="66"/>
      <c r="BD462" s="66"/>
      <c r="BE462" s="67">
        <f t="shared" si="73"/>
        <v>756216.22916666663</v>
      </c>
      <c r="BF462" s="67">
        <f t="shared" si="76"/>
        <v>0</v>
      </c>
      <c r="BG462" s="67">
        <f t="shared" si="75"/>
        <v>0</v>
      </c>
      <c r="BH462" s="66"/>
      <c r="BI462" s="68" t="s">
        <v>57</v>
      </c>
      <c r="BJ462" s="68" t="s">
        <v>1297</v>
      </c>
      <c r="BK462" s="68" t="s">
        <v>1297</v>
      </c>
      <c r="BL462" s="29"/>
      <c r="BO462" s="35" t="s">
        <v>1801</v>
      </c>
      <c r="BP462" s="1" t="s">
        <v>1826</v>
      </c>
      <c r="BQ462" s="1" t="s">
        <v>1989</v>
      </c>
    </row>
    <row r="463" spans="3:69" ht="15" hidden="1" customHeight="1">
      <c r="C463" s="1" t="str">
        <f t="shared" si="70"/>
        <v>2912</v>
      </c>
      <c r="D463" s="1" t="str">
        <f t="shared" si="71"/>
        <v>2112</v>
      </c>
      <c r="E463" s="19" t="s">
        <v>1290</v>
      </c>
      <c r="F463" s="68" t="s">
        <v>49</v>
      </c>
      <c r="G463" s="62">
        <v>2112</v>
      </c>
      <c r="H463" s="62" t="s">
        <v>1330</v>
      </c>
      <c r="I463" s="62" t="s">
        <v>1324</v>
      </c>
      <c r="J463" s="140">
        <v>1</v>
      </c>
      <c r="K463" s="119" t="s">
        <v>1293</v>
      </c>
      <c r="L463" s="62" t="s">
        <v>77</v>
      </c>
      <c r="M463" s="120" t="s">
        <v>1325</v>
      </c>
      <c r="N463" s="65" t="s">
        <v>1326</v>
      </c>
      <c r="O463" s="27">
        <v>3172</v>
      </c>
      <c r="P463" s="24">
        <v>22790</v>
      </c>
      <c r="Q463" s="64">
        <v>72289880</v>
      </c>
      <c r="R463" s="64"/>
      <c r="S463" s="64"/>
      <c r="T463" s="64">
        <v>306877.69011778192</v>
      </c>
      <c r="U463" s="139" t="s">
        <v>1327</v>
      </c>
      <c r="V463" s="121">
        <v>72596758</v>
      </c>
      <c r="W463" s="122">
        <v>0</v>
      </c>
      <c r="X463" s="64">
        <v>72596758</v>
      </c>
      <c r="Y463" s="121"/>
      <c r="Z463" s="121"/>
      <c r="AA463" s="128"/>
      <c r="AB463" s="121"/>
      <c r="AC463" s="64">
        <v>72596758</v>
      </c>
      <c r="AD463" s="63">
        <v>44550</v>
      </c>
      <c r="AE463" s="65">
        <v>47471</v>
      </c>
      <c r="AF463" s="62">
        <v>8</v>
      </c>
      <c r="AG463" s="119">
        <v>96</v>
      </c>
      <c r="AH463" s="25">
        <v>756216.22916666663</v>
      </c>
      <c r="AI463" s="78">
        <v>18441915.291666668</v>
      </c>
      <c r="AJ463" s="78">
        <v>54154842.708333328</v>
      </c>
      <c r="AK463" s="27">
        <f t="shared" si="72"/>
        <v>756216.22916666663</v>
      </c>
      <c r="AL463" s="27">
        <f t="shared" si="74"/>
        <v>756216.22916666663</v>
      </c>
      <c r="AM463" s="27"/>
      <c r="AN463" s="27"/>
      <c r="AO463" s="27"/>
      <c r="AP463" s="27"/>
      <c r="AQ463" s="27"/>
      <c r="AR463" s="27"/>
      <c r="AS463" s="27"/>
      <c r="AT463" s="27"/>
      <c r="AU463" s="27"/>
      <c r="AV463" s="27"/>
      <c r="AW463" s="27">
        <f t="shared" si="67"/>
        <v>1512432.4583333333</v>
      </c>
      <c r="AX463" s="79">
        <f t="shared" si="68"/>
        <v>52642410.249999993</v>
      </c>
      <c r="AY463" s="79">
        <f t="shared" si="69"/>
        <v>19954347.75</v>
      </c>
      <c r="AZ463" s="25">
        <v>1</v>
      </c>
      <c r="BA463" s="62" t="s">
        <v>97</v>
      </c>
      <c r="BB463" s="66">
        <v>1</v>
      </c>
      <c r="BC463" s="66"/>
      <c r="BD463" s="66"/>
      <c r="BE463" s="67">
        <f t="shared" si="73"/>
        <v>756216.22916666663</v>
      </c>
      <c r="BF463" s="67">
        <f t="shared" si="76"/>
        <v>0</v>
      </c>
      <c r="BG463" s="67">
        <f t="shared" si="75"/>
        <v>0</v>
      </c>
      <c r="BH463" s="66"/>
      <c r="BI463" s="68" t="s">
        <v>57</v>
      </c>
      <c r="BJ463" s="68" t="s">
        <v>1297</v>
      </c>
      <c r="BK463" s="68" t="s">
        <v>1297</v>
      </c>
      <c r="BL463" s="29"/>
      <c r="BO463" s="35" t="s">
        <v>1801</v>
      </c>
      <c r="BP463" s="1" t="s">
        <v>1826</v>
      </c>
      <c r="BQ463" s="1" t="s">
        <v>1989</v>
      </c>
    </row>
    <row r="464" spans="3:69" ht="15" hidden="1" customHeight="1">
      <c r="C464" s="1" t="str">
        <f t="shared" si="70"/>
        <v>2912</v>
      </c>
      <c r="D464" s="1" t="str">
        <f t="shared" si="71"/>
        <v>2112</v>
      </c>
      <c r="E464" s="19" t="s">
        <v>1290</v>
      </c>
      <c r="F464" s="68" t="s">
        <v>49</v>
      </c>
      <c r="G464" s="62">
        <v>2112</v>
      </c>
      <c r="H464" s="62" t="s">
        <v>1331</v>
      </c>
      <c r="I464" s="62" t="s">
        <v>1324</v>
      </c>
      <c r="J464" s="140">
        <v>1</v>
      </c>
      <c r="K464" s="119" t="s">
        <v>1293</v>
      </c>
      <c r="L464" s="62" t="s">
        <v>77</v>
      </c>
      <c r="M464" s="120" t="s">
        <v>1325</v>
      </c>
      <c r="N464" s="65" t="s">
        <v>1326</v>
      </c>
      <c r="O464" s="27">
        <v>3172</v>
      </c>
      <c r="P464" s="24">
        <v>22790</v>
      </c>
      <c r="Q464" s="64">
        <v>72289880</v>
      </c>
      <c r="R464" s="64"/>
      <c r="S464" s="64"/>
      <c r="T464" s="64">
        <v>306877.69011778192</v>
      </c>
      <c r="U464" s="139" t="s">
        <v>1327</v>
      </c>
      <c r="V464" s="121">
        <v>72596758</v>
      </c>
      <c r="W464" s="122">
        <v>0</v>
      </c>
      <c r="X464" s="64">
        <v>72596758</v>
      </c>
      <c r="Y464" s="121"/>
      <c r="Z464" s="121"/>
      <c r="AA464" s="128"/>
      <c r="AB464" s="121"/>
      <c r="AC464" s="64">
        <v>72596758</v>
      </c>
      <c r="AD464" s="63">
        <v>44550</v>
      </c>
      <c r="AE464" s="65">
        <v>47471</v>
      </c>
      <c r="AF464" s="62">
        <v>8</v>
      </c>
      <c r="AG464" s="119">
        <v>96</v>
      </c>
      <c r="AH464" s="25">
        <v>756216.22916666663</v>
      </c>
      <c r="AI464" s="78">
        <v>18441915.291666668</v>
      </c>
      <c r="AJ464" s="78">
        <v>54154842.708333328</v>
      </c>
      <c r="AK464" s="27">
        <f t="shared" si="72"/>
        <v>756216.22916666663</v>
      </c>
      <c r="AL464" s="27">
        <f t="shared" si="74"/>
        <v>756216.22916666663</v>
      </c>
      <c r="AM464" s="27"/>
      <c r="AN464" s="27"/>
      <c r="AO464" s="27"/>
      <c r="AP464" s="27"/>
      <c r="AQ464" s="27"/>
      <c r="AR464" s="27"/>
      <c r="AS464" s="27"/>
      <c r="AT464" s="27"/>
      <c r="AU464" s="27"/>
      <c r="AV464" s="27"/>
      <c r="AW464" s="27">
        <f t="shared" si="67"/>
        <v>1512432.4583333333</v>
      </c>
      <c r="AX464" s="79">
        <f t="shared" si="68"/>
        <v>52642410.249999993</v>
      </c>
      <c r="AY464" s="79">
        <f t="shared" si="69"/>
        <v>19954347.75</v>
      </c>
      <c r="AZ464" s="25">
        <v>1</v>
      </c>
      <c r="BA464" s="62" t="s">
        <v>97</v>
      </c>
      <c r="BB464" s="66">
        <v>1</v>
      </c>
      <c r="BC464" s="66"/>
      <c r="BD464" s="66"/>
      <c r="BE464" s="67">
        <f t="shared" si="73"/>
        <v>756216.22916666663</v>
      </c>
      <c r="BF464" s="67">
        <f t="shared" si="76"/>
        <v>0</v>
      </c>
      <c r="BG464" s="67">
        <f t="shared" si="75"/>
        <v>0</v>
      </c>
      <c r="BH464" s="66"/>
      <c r="BI464" s="68" t="s">
        <v>57</v>
      </c>
      <c r="BJ464" s="68" t="s">
        <v>1297</v>
      </c>
      <c r="BK464" s="68" t="s">
        <v>1297</v>
      </c>
      <c r="BL464" s="29"/>
      <c r="BO464" s="35" t="s">
        <v>1801</v>
      </c>
      <c r="BP464" s="1" t="s">
        <v>1826</v>
      </c>
      <c r="BQ464" s="1" t="s">
        <v>1989</v>
      </c>
    </row>
    <row r="465" spans="3:69" ht="15" hidden="1" customHeight="1">
      <c r="C465" s="1" t="str">
        <f t="shared" si="70"/>
        <v>2912</v>
      </c>
      <c r="D465" s="1" t="str">
        <f t="shared" si="71"/>
        <v>2112</v>
      </c>
      <c r="E465" s="19" t="s">
        <v>1290</v>
      </c>
      <c r="F465" s="68" t="s">
        <v>49</v>
      </c>
      <c r="G465" s="62">
        <v>2112</v>
      </c>
      <c r="H465" s="62" t="s">
        <v>1332</v>
      </c>
      <c r="I465" s="62" t="s">
        <v>1333</v>
      </c>
      <c r="J465" s="140">
        <v>1</v>
      </c>
      <c r="K465" s="119" t="s">
        <v>1293</v>
      </c>
      <c r="L465" s="62" t="s">
        <v>77</v>
      </c>
      <c r="M465" s="120" t="s">
        <v>1325</v>
      </c>
      <c r="N465" s="65" t="s">
        <v>1326</v>
      </c>
      <c r="O465" s="27">
        <v>3172</v>
      </c>
      <c r="P465" s="24">
        <v>22790</v>
      </c>
      <c r="Q465" s="64">
        <v>72289880</v>
      </c>
      <c r="R465" s="64"/>
      <c r="S465" s="64"/>
      <c r="T465" s="64">
        <v>306877.69011778192</v>
      </c>
      <c r="U465" s="139" t="s">
        <v>1327</v>
      </c>
      <c r="V465" s="121">
        <v>72596758</v>
      </c>
      <c r="W465" s="122">
        <v>0</v>
      </c>
      <c r="X465" s="64">
        <v>72596758</v>
      </c>
      <c r="Y465" s="121"/>
      <c r="Z465" s="121"/>
      <c r="AA465" s="128"/>
      <c r="AB465" s="121"/>
      <c r="AC465" s="64">
        <v>72596758</v>
      </c>
      <c r="AD465" s="63">
        <v>44550</v>
      </c>
      <c r="AE465" s="65">
        <v>47471</v>
      </c>
      <c r="AF465" s="62">
        <v>8</v>
      </c>
      <c r="AG465" s="119">
        <v>96</v>
      </c>
      <c r="AH465" s="25">
        <v>756216.22916666663</v>
      </c>
      <c r="AI465" s="78">
        <v>18441915.291666668</v>
      </c>
      <c r="AJ465" s="78">
        <v>54154842.708333328</v>
      </c>
      <c r="AK465" s="27">
        <f t="shared" si="72"/>
        <v>756216.22916666663</v>
      </c>
      <c r="AL465" s="27">
        <f t="shared" si="74"/>
        <v>756216.22916666663</v>
      </c>
      <c r="AM465" s="27"/>
      <c r="AN465" s="27"/>
      <c r="AO465" s="27"/>
      <c r="AP465" s="27"/>
      <c r="AQ465" s="27"/>
      <c r="AR465" s="27"/>
      <c r="AS465" s="27"/>
      <c r="AT465" s="27"/>
      <c r="AU465" s="27"/>
      <c r="AV465" s="27"/>
      <c r="AW465" s="27">
        <f t="shared" ref="AW465:AW528" si="77">+SUM(AK465:AV465)</f>
        <v>1512432.4583333333</v>
      </c>
      <c r="AX465" s="79">
        <f t="shared" ref="AX465:AX528" si="78">AC465-AI465-AW465</f>
        <v>52642410.249999993</v>
      </c>
      <c r="AY465" s="79">
        <f t="shared" ref="AY465:AY528" si="79">AW465+AI465</f>
        <v>19954347.75</v>
      </c>
      <c r="AZ465" s="25">
        <v>1</v>
      </c>
      <c r="BA465" s="62" t="s">
        <v>97</v>
      </c>
      <c r="BB465" s="66">
        <v>1</v>
      </c>
      <c r="BC465" s="66"/>
      <c r="BD465" s="66"/>
      <c r="BE465" s="67">
        <f t="shared" si="73"/>
        <v>756216.22916666663</v>
      </c>
      <c r="BF465" s="67">
        <f t="shared" si="76"/>
        <v>0</v>
      </c>
      <c r="BG465" s="67">
        <f t="shared" si="75"/>
        <v>0</v>
      </c>
      <c r="BH465" s="66"/>
      <c r="BI465" s="68" t="s">
        <v>57</v>
      </c>
      <c r="BJ465" s="68" t="s">
        <v>1297</v>
      </c>
      <c r="BK465" s="68" t="s">
        <v>1297</v>
      </c>
      <c r="BL465" s="29"/>
      <c r="BO465" s="35" t="s">
        <v>1801</v>
      </c>
      <c r="BP465" s="1" t="s">
        <v>1826</v>
      </c>
      <c r="BQ465" s="1" t="s">
        <v>1989</v>
      </c>
    </row>
    <row r="466" spans="3:69" ht="15" hidden="1" customHeight="1">
      <c r="C466" s="1" t="str">
        <f t="shared" ref="C466:C529" si="80">+RIGHT(YEAR(AE466),2)&amp;IF(LEN(MONTH(AE466))=2,MONTH(AE466),"0"&amp;MONTH(AE466))</f>
        <v>2912</v>
      </c>
      <c r="D466" s="1" t="str">
        <f t="shared" ref="D466:D529" si="81">+RIGHT(YEAR(AD466),2)&amp;IF(LEN(MONTH(AD466))=2,MONTH(AD466),"0"&amp;MONTH(AD466))</f>
        <v>2112</v>
      </c>
      <c r="E466" s="19" t="s">
        <v>1290</v>
      </c>
      <c r="F466" s="68" t="s">
        <v>49</v>
      </c>
      <c r="G466" s="62">
        <v>2112</v>
      </c>
      <c r="H466" s="62" t="s">
        <v>1334</v>
      </c>
      <c r="I466" s="62" t="s">
        <v>1324</v>
      </c>
      <c r="J466" s="140">
        <v>1</v>
      </c>
      <c r="K466" s="119" t="s">
        <v>1293</v>
      </c>
      <c r="L466" s="62" t="s">
        <v>77</v>
      </c>
      <c r="M466" s="120" t="s">
        <v>1325</v>
      </c>
      <c r="N466" s="65" t="s">
        <v>1326</v>
      </c>
      <c r="O466" s="27">
        <v>3172</v>
      </c>
      <c r="P466" s="24">
        <v>22790</v>
      </c>
      <c r="Q466" s="64">
        <v>72289880</v>
      </c>
      <c r="R466" s="64"/>
      <c r="S466" s="64"/>
      <c r="T466" s="64">
        <v>306877.69011778192</v>
      </c>
      <c r="U466" s="139" t="s">
        <v>1327</v>
      </c>
      <c r="V466" s="121">
        <v>72596758</v>
      </c>
      <c r="W466" s="122">
        <v>0</v>
      </c>
      <c r="X466" s="64">
        <v>72596758</v>
      </c>
      <c r="Y466" s="121"/>
      <c r="Z466" s="121"/>
      <c r="AA466" s="128"/>
      <c r="AB466" s="121"/>
      <c r="AC466" s="64">
        <v>72596758</v>
      </c>
      <c r="AD466" s="63">
        <v>44550</v>
      </c>
      <c r="AE466" s="65">
        <v>47471</v>
      </c>
      <c r="AF466" s="62">
        <v>8</v>
      </c>
      <c r="AG466" s="119">
        <v>96</v>
      </c>
      <c r="AH466" s="25">
        <v>756216.22916666663</v>
      </c>
      <c r="AI466" s="78">
        <v>18441915.291666668</v>
      </c>
      <c r="AJ466" s="78">
        <v>54154842.708333328</v>
      </c>
      <c r="AK466" s="27">
        <f t="shared" ref="AK466:AK529" si="82">+IF(AND(AK$3&gt;=$D466,AK$3&lt;$C466),$AH466,$AJ466)</f>
        <v>756216.22916666663</v>
      </c>
      <c r="AL466" s="27">
        <f t="shared" si="74"/>
        <v>756216.22916666663</v>
      </c>
      <c r="AM466" s="27"/>
      <c r="AN466" s="27"/>
      <c r="AO466" s="27"/>
      <c r="AP466" s="27"/>
      <c r="AQ466" s="27"/>
      <c r="AR466" s="27"/>
      <c r="AS466" s="27"/>
      <c r="AT466" s="27"/>
      <c r="AU466" s="27"/>
      <c r="AV466" s="27"/>
      <c r="AW466" s="27">
        <f t="shared" si="77"/>
        <v>1512432.4583333333</v>
      </c>
      <c r="AX466" s="79">
        <f t="shared" si="78"/>
        <v>52642410.249999993</v>
      </c>
      <c r="AY466" s="79">
        <f t="shared" si="79"/>
        <v>19954347.75</v>
      </c>
      <c r="AZ466" s="25">
        <v>1</v>
      </c>
      <c r="BA466" s="62" t="s">
        <v>97</v>
      </c>
      <c r="BB466" s="66">
        <v>1</v>
      </c>
      <c r="BC466" s="66"/>
      <c r="BD466" s="66"/>
      <c r="BE466" s="67">
        <f t="shared" si="73"/>
        <v>756216.22916666663</v>
      </c>
      <c r="BF466" s="67">
        <f t="shared" si="76"/>
        <v>0</v>
      </c>
      <c r="BG466" s="67">
        <f t="shared" si="75"/>
        <v>0</v>
      </c>
      <c r="BH466" s="66"/>
      <c r="BI466" s="68" t="s">
        <v>57</v>
      </c>
      <c r="BJ466" s="68" t="s">
        <v>1297</v>
      </c>
      <c r="BK466" s="68" t="s">
        <v>1297</v>
      </c>
      <c r="BL466" s="29"/>
      <c r="BO466" s="35" t="s">
        <v>1801</v>
      </c>
      <c r="BP466" s="1" t="s">
        <v>1813</v>
      </c>
      <c r="BQ466" s="1" t="e">
        <v>#N/A</v>
      </c>
    </row>
    <row r="467" spans="3:69" ht="15" hidden="1" customHeight="1">
      <c r="C467" s="1" t="str">
        <f t="shared" si="80"/>
        <v>2912</v>
      </c>
      <c r="D467" s="1" t="str">
        <f t="shared" si="81"/>
        <v>2112</v>
      </c>
      <c r="E467" s="19" t="s">
        <v>1290</v>
      </c>
      <c r="F467" s="68" t="s">
        <v>49</v>
      </c>
      <c r="G467" s="62">
        <v>2112</v>
      </c>
      <c r="H467" s="62" t="s">
        <v>1335</v>
      </c>
      <c r="I467" s="62" t="s">
        <v>1324</v>
      </c>
      <c r="J467" s="140">
        <v>1</v>
      </c>
      <c r="K467" s="119" t="s">
        <v>1293</v>
      </c>
      <c r="L467" s="62" t="s">
        <v>77</v>
      </c>
      <c r="M467" s="120" t="s">
        <v>1325</v>
      </c>
      <c r="N467" s="65" t="s">
        <v>1326</v>
      </c>
      <c r="O467" s="27">
        <v>3172</v>
      </c>
      <c r="P467" s="24">
        <v>22790</v>
      </c>
      <c r="Q467" s="64">
        <v>72289880</v>
      </c>
      <c r="R467" s="64"/>
      <c r="S467" s="64"/>
      <c r="T467" s="64">
        <v>306877.69011778192</v>
      </c>
      <c r="U467" s="139" t="s">
        <v>1327</v>
      </c>
      <c r="V467" s="121">
        <v>72596758</v>
      </c>
      <c r="W467" s="122">
        <v>0</v>
      </c>
      <c r="X467" s="64">
        <v>72596758</v>
      </c>
      <c r="Y467" s="121"/>
      <c r="Z467" s="121"/>
      <c r="AA467" s="128"/>
      <c r="AB467" s="121"/>
      <c r="AC467" s="64">
        <v>72596758</v>
      </c>
      <c r="AD467" s="63">
        <v>44550</v>
      </c>
      <c r="AE467" s="65">
        <v>47471</v>
      </c>
      <c r="AF467" s="62">
        <v>8</v>
      </c>
      <c r="AG467" s="119">
        <v>96</v>
      </c>
      <c r="AH467" s="25">
        <v>756216.22916666663</v>
      </c>
      <c r="AI467" s="78">
        <v>18441915.291666668</v>
      </c>
      <c r="AJ467" s="78">
        <v>54154842.708333328</v>
      </c>
      <c r="AK467" s="27">
        <f t="shared" si="82"/>
        <v>756216.22916666663</v>
      </c>
      <c r="AL467" s="27">
        <f t="shared" si="74"/>
        <v>756216.22916666663</v>
      </c>
      <c r="AM467" s="27"/>
      <c r="AN467" s="27"/>
      <c r="AO467" s="27"/>
      <c r="AP467" s="27"/>
      <c r="AQ467" s="27"/>
      <c r="AR467" s="27"/>
      <c r="AS467" s="27"/>
      <c r="AT467" s="27"/>
      <c r="AU467" s="27"/>
      <c r="AV467" s="27"/>
      <c r="AW467" s="27">
        <f t="shared" si="77"/>
        <v>1512432.4583333333</v>
      </c>
      <c r="AX467" s="79">
        <f t="shared" si="78"/>
        <v>52642410.249999993</v>
      </c>
      <c r="AY467" s="79">
        <f t="shared" si="79"/>
        <v>19954347.75</v>
      </c>
      <c r="AZ467" s="25">
        <v>1</v>
      </c>
      <c r="BA467" s="62" t="s">
        <v>97</v>
      </c>
      <c r="BB467" s="66">
        <v>1</v>
      </c>
      <c r="BC467" s="66"/>
      <c r="BD467" s="66"/>
      <c r="BE467" s="67">
        <f t="shared" si="73"/>
        <v>756216.22916666663</v>
      </c>
      <c r="BF467" s="67">
        <f t="shared" si="76"/>
        <v>0</v>
      </c>
      <c r="BG467" s="67">
        <f t="shared" si="75"/>
        <v>0</v>
      </c>
      <c r="BH467" s="66"/>
      <c r="BI467" s="68" t="s">
        <v>57</v>
      </c>
      <c r="BJ467" s="68" t="s">
        <v>1297</v>
      </c>
      <c r="BK467" s="68" t="s">
        <v>1297</v>
      </c>
      <c r="BL467" s="29"/>
      <c r="BO467" s="35" t="s">
        <v>1801</v>
      </c>
      <c r="BP467" s="1" t="s">
        <v>1813</v>
      </c>
      <c r="BQ467" s="1" t="e">
        <v>#N/A</v>
      </c>
    </row>
    <row r="468" spans="3:69" ht="15" hidden="1" customHeight="1">
      <c r="C468" s="1" t="str">
        <f t="shared" si="80"/>
        <v>2612</v>
      </c>
      <c r="D468" s="1" t="str">
        <f t="shared" si="81"/>
        <v>2112</v>
      </c>
      <c r="E468" s="19" t="s">
        <v>1290</v>
      </c>
      <c r="F468" s="68" t="s">
        <v>1336</v>
      </c>
      <c r="G468" s="62">
        <v>2114</v>
      </c>
      <c r="H468" s="62" t="s">
        <v>1337</v>
      </c>
      <c r="I468" s="62" t="s">
        <v>1338</v>
      </c>
      <c r="J468" s="140">
        <v>1</v>
      </c>
      <c r="K468" s="119" t="s">
        <v>1192</v>
      </c>
      <c r="L468" s="138" t="s">
        <v>1339</v>
      </c>
      <c r="M468" s="120" t="s">
        <v>1340</v>
      </c>
      <c r="N468" s="65">
        <v>44553</v>
      </c>
      <c r="O468" s="24"/>
      <c r="P468" s="24"/>
      <c r="Q468" s="64">
        <v>66000000</v>
      </c>
      <c r="R468" s="64"/>
      <c r="S468" s="64"/>
      <c r="T468" s="130"/>
      <c r="U468" s="139"/>
      <c r="V468" s="121">
        <v>66000000</v>
      </c>
      <c r="W468" s="122">
        <v>0</v>
      </c>
      <c r="X468" s="64">
        <v>66000000</v>
      </c>
      <c r="Y468" s="121"/>
      <c r="Z468" s="121"/>
      <c r="AA468" s="128"/>
      <c r="AB468" s="121"/>
      <c r="AC468" s="64">
        <v>66000000</v>
      </c>
      <c r="AD468" s="63">
        <v>44553</v>
      </c>
      <c r="AE468" s="65">
        <v>46378</v>
      </c>
      <c r="AF468" s="62">
        <v>5</v>
      </c>
      <c r="AG468" s="119">
        <v>60</v>
      </c>
      <c r="AH468" s="25">
        <v>1100000</v>
      </c>
      <c r="AI468" s="78">
        <v>26719355</v>
      </c>
      <c r="AJ468" s="78">
        <v>39280645</v>
      </c>
      <c r="AK468" s="27">
        <f t="shared" si="82"/>
        <v>1100000</v>
      </c>
      <c r="AL468" s="27">
        <f t="shared" si="74"/>
        <v>1100000</v>
      </c>
      <c r="AM468" s="27"/>
      <c r="AN468" s="27"/>
      <c r="AO468" s="27"/>
      <c r="AP468" s="27"/>
      <c r="AQ468" s="27"/>
      <c r="AR468" s="27"/>
      <c r="AS468" s="27"/>
      <c r="AT468" s="27"/>
      <c r="AU468" s="27"/>
      <c r="AV468" s="27"/>
      <c r="AW468" s="27">
        <f t="shared" si="77"/>
        <v>2200000</v>
      </c>
      <c r="AX468" s="79">
        <f t="shared" si="78"/>
        <v>37080645</v>
      </c>
      <c r="AY468" s="79">
        <f t="shared" si="79"/>
        <v>28919355</v>
      </c>
      <c r="AZ468" s="25">
        <v>1</v>
      </c>
      <c r="BA468" s="62" t="s">
        <v>79</v>
      </c>
      <c r="BB468" s="66"/>
      <c r="BC468" s="66">
        <v>1</v>
      </c>
      <c r="BD468" s="66"/>
      <c r="BE468" s="67">
        <f t="shared" si="73"/>
        <v>0</v>
      </c>
      <c r="BF468" s="67">
        <f t="shared" si="76"/>
        <v>1100000</v>
      </c>
      <c r="BG468" s="67">
        <f t="shared" si="75"/>
        <v>0</v>
      </c>
      <c r="BH468" s="66"/>
      <c r="BI468" s="68" t="s">
        <v>1341</v>
      </c>
      <c r="BJ468" s="68" t="s">
        <v>58</v>
      </c>
      <c r="BK468" s="68" t="s">
        <v>58</v>
      </c>
      <c r="BL468" s="29"/>
      <c r="BO468" s="35" t="s">
        <v>1799</v>
      </c>
      <c r="BQ468" s="1" t="e">
        <v>#N/A</v>
      </c>
    </row>
    <row r="469" spans="3:69" ht="15" hidden="1" customHeight="1">
      <c r="C469" s="1" t="str">
        <f t="shared" si="80"/>
        <v>2612</v>
      </c>
      <c r="D469" s="1" t="str">
        <f t="shared" si="81"/>
        <v>2112</v>
      </c>
      <c r="E469" s="19" t="s">
        <v>1290</v>
      </c>
      <c r="F469" s="68" t="s">
        <v>1336</v>
      </c>
      <c r="G469" s="62">
        <v>2114</v>
      </c>
      <c r="H469" s="62" t="s">
        <v>1342</v>
      </c>
      <c r="I469" s="62" t="s">
        <v>1343</v>
      </c>
      <c r="J469" s="140">
        <v>1</v>
      </c>
      <c r="K469" s="119" t="s">
        <v>1192</v>
      </c>
      <c r="L469" s="138" t="s">
        <v>1339</v>
      </c>
      <c r="M469" s="120" t="s">
        <v>1340</v>
      </c>
      <c r="N469" s="65">
        <v>44553</v>
      </c>
      <c r="O469" s="24"/>
      <c r="P469" s="24"/>
      <c r="Q469" s="64">
        <v>38500000</v>
      </c>
      <c r="R469" s="64"/>
      <c r="S469" s="64"/>
      <c r="T469" s="130"/>
      <c r="U469" s="139"/>
      <c r="V469" s="121">
        <v>38500000</v>
      </c>
      <c r="W469" s="122">
        <v>0</v>
      </c>
      <c r="X469" s="64">
        <v>38500000</v>
      </c>
      <c r="Y469" s="121"/>
      <c r="Z469" s="121"/>
      <c r="AA469" s="128"/>
      <c r="AB469" s="121"/>
      <c r="AC469" s="64">
        <v>38500000</v>
      </c>
      <c r="AD469" s="63">
        <v>44553</v>
      </c>
      <c r="AE469" s="65">
        <v>46378</v>
      </c>
      <c r="AF469" s="62">
        <v>5</v>
      </c>
      <c r="AG469" s="119">
        <v>60</v>
      </c>
      <c r="AH469" s="25">
        <v>641666.66666666663</v>
      </c>
      <c r="AI469" s="78">
        <v>15586294.666666668</v>
      </c>
      <c r="AJ469" s="78">
        <v>22913705.333333332</v>
      </c>
      <c r="AK469" s="27">
        <f t="shared" si="82"/>
        <v>641666.66666666663</v>
      </c>
      <c r="AL469" s="27">
        <f t="shared" si="74"/>
        <v>641666.66666666663</v>
      </c>
      <c r="AM469" s="27"/>
      <c r="AN469" s="27"/>
      <c r="AO469" s="27"/>
      <c r="AP469" s="27"/>
      <c r="AQ469" s="27"/>
      <c r="AR469" s="27"/>
      <c r="AS469" s="27"/>
      <c r="AT469" s="27"/>
      <c r="AU469" s="27"/>
      <c r="AV469" s="27"/>
      <c r="AW469" s="27">
        <f t="shared" si="77"/>
        <v>1283333.3333333333</v>
      </c>
      <c r="AX469" s="79">
        <f t="shared" si="78"/>
        <v>21630372</v>
      </c>
      <c r="AY469" s="79">
        <f t="shared" si="79"/>
        <v>16869628</v>
      </c>
      <c r="AZ469" s="25">
        <v>1</v>
      </c>
      <c r="BA469" s="62" t="s">
        <v>79</v>
      </c>
      <c r="BB469" s="66"/>
      <c r="BC469" s="66">
        <v>1</v>
      </c>
      <c r="BD469" s="66"/>
      <c r="BE469" s="67">
        <f t="shared" ref="BE469:BE532" si="83">+$AL469*BB469</f>
        <v>0</v>
      </c>
      <c r="BF469" s="67">
        <f t="shared" si="76"/>
        <v>641666.66666666663</v>
      </c>
      <c r="BG469" s="67">
        <f t="shared" si="75"/>
        <v>0</v>
      </c>
      <c r="BH469" s="66"/>
      <c r="BI469" s="68" t="s">
        <v>1341</v>
      </c>
      <c r="BJ469" s="68" t="s">
        <v>58</v>
      </c>
      <c r="BK469" s="68" t="s">
        <v>58</v>
      </c>
      <c r="BL469" s="29"/>
      <c r="BO469" s="35" t="s">
        <v>1799</v>
      </c>
      <c r="BQ469" s="1" t="e">
        <v>#N/A</v>
      </c>
    </row>
    <row r="470" spans="3:69" ht="15" hidden="1" customHeight="1">
      <c r="C470" s="1" t="str">
        <f t="shared" si="80"/>
        <v>2612</v>
      </c>
      <c r="D470" s="1" t="str">
        <f t="shared" si="81"/>
        <v>2112</v>
      </c>
      <c r="E470" s="19" t="s">
        <v>1290</v>
      </c>
      <c r="F470" s="68" t="s">
        <v>1336</v>
      </c>
      <c r="G470" s="62">
        <v>2114</v>
      </c>
      <c r="H470" s="62" t="s">
        <v>1344</v>
      </c>
      <c r="I470" s="62" t="s">
        <v>1343</v>
      </c>
      <c r="J470" s="140">
        <v>1</v>
      </c>
      <c r="K470" s="119" t="s">
        <v>1192</v>
      </c>
      <c r="L470" s="138" t="s">
        <v>1339</v>
      </c>
      <c r="M470" s="120" t="s">
        <v>1340</v>
      </c>
      <c r="N470" s="65">
        <v>44553</v>
      </c>
      <c r="O470" s="24"/>
      <c r="P470" s="24"/>
      <c r="Q470" s="64">
        <v>38500000</v>
      </c>
      <c r="R470" s="64"/>
      <c r="S470" s="64"/>
      <c r="T470" s="130"/>
      <c r="U470" s="139"/>
      <c r="V470" s="121">
        <v>38500000</v>
      </c>
      <c r="W470" s="122">
        <v>0</v>
      </c>
      <c r="X470" s="64">
        <v>38500000</v>
      </c>
      <c r="Y470" s="121"/>
      <c r="Z470" s="121"/>
      <c r="AA470" s="128"/>
      <c r="AB470" s="121"/>
      <c r="AC470" s="64">
        <v>38500000</v>
      </c>
      <c r="AD470" s="63">
        <v>44553</v>
      </c>
      <c r="AE470" s="65">
        <v>46378</v>
      </c>
      <c r="AF470" s="62">
        <v>5</v>
      </c>
      <c r="AG470" s="119">
        <v>60</v>
      </c>
      <c r="AH470" s="25">
        <v>641666.66666666663</v>
      </c>
      <c r="AI470" s="78">
        <v>15586294.666666668</v>
      </c>
      <c r="AJ470" s="78">
        <v>22913705.333333332</v>
      </c>
      <c r="AK470" s="27">
        <f t="shared" si="82"/>
        <v>641666.66666666663</v>
      </c>
      <c r="AL470" s="27">
        <f t="shared" si="74"/>
        <v>641666.66666666663</v>
      </c>
      <c r="AM470" s="27"/>
      <c r="AN470" s="27"/>
      <c r="AO470" s="27"/>
      <c r="AP470" s="27"/>
      <c r="AQ470" s="27"/>
      <c r="AR470" s="27"/>
      <c r="AS470" s="27"/>
      <c r="AT470" s="27"/>
      <c r="AU470" s="27"/>
      <c r="AV470" s="27"/>
      <c r="AW470" s="27">
        <f t="shared" si="77"/>
        <v>1283333.3333333333</v>
      </c>
      <c r="AX470" s="79">
        <f t="shared" si="78"/>
        <v>21630372</v>
      </c>
      <c r="AY470" s="79">
        <f t="shared" si="79"/>
        <v>16869628</v>
      </c>
      <c r="AZ470" s="25">
        <v>1</v>
      </c>
      <c r="BA470" s="62" t="s">
        <v>79</v>
      </c>
      <c r="BB470" s="66"/>
      <c r="BC470" s="66">
        <v>1</v>
      </c>
      <c r="BD470" s="66"/>
      <c r="BE470" s="67">
        <f t="shared" si="83"/>
        <v>0</v>
      </c>
      <c r="BF470" s="67">
        <f t="shared" si="76"/>
        <v>641666.66666666663</v>
      </c>
      <c r="BG470" s="67">
        <f t="shared" si="75"/>
        <v>0</v>
      </c>
      <c r="BH470" s="66"/>
      <c r="BI470" s="68" t="s">
        <v>1341</v>
      </c>
      <c r="BJ470" s="68" t="s">
        <v>58</v>
      </c>
      <c r="BK470" s="68" t="s">
        <v>58</v>
      </c>
      <c r="BL470" s="29"/>
      <c r="BO470" s="35" t="s">
        <v>1799</v>
      </c>
      <c r="BQ470" s="1" t="e">
        <v>#N/A</v>
      </c>
    </row>
    <row r="471" spans="3:69" ht="15" hidden="1" customHeight="1">
      <c r="C471" s="1" t="str">
        <f t="shared" si="80"/>
        <v>2612</v>
      </c>
      <c r="D471" s="1" t="str">
        <f t="shared" si="81"/>
        <v>2112</v>
      </c>
      <c r="E471" s="19" t="s">
        <v>1290</v>
      </c>
      <c r="F471" s="68" t="s">
        <v>1336</v>
      </c>
      <c r="G471" s="62">
        <v>2114</v>
      </c>
      <c r="H471" s="62" t="s">
        <v>1345</v>
      </c>
      <c r="I471" s="62" t="s">
        <v>1343</v>
      </c>
      <c r="J471" s="140">
        <v>1</v>
      </c>
      <c r="K471" s="119" t="s">
        <v>1192</v>
      </c>
      <c r="L471" s="138" t="s">
        <v>1339</v>
      </c>
      <c r="M471" s="120" t="s">
        <v>1340</v>
      </c>
      <c r="N471" s="65">
        <v>44553</v>
      </c>
      <c r="O471" s="24"/>
      <c r="P471" s="24"/>
      <c r="Q471" s="64">
        <v>38500000</v>
      </c>
      <c r="R471" s="64"/>
      <c r="S471" s="64"/>
      <c r="T471" s="130"/>
      <c r="U471" s="139"/>
      <c r="V471" s="121">
        <v>38500000</v>
      </c>
      <c r="W471" s="122">
        <v>0</v>
      </c>
      <c r="X471" s="64">
        <v>38500000</v>
      </c>
      <c r="Y471" s="121"/>
      <c r="Z471" s="121"/>
      <c r="AA471" s="128"/>
      <c r="AB471" s="121"/>
      <c r="AC471" s="64">
        <v>38500000</v>
      </c>
      <c r="AD471" s="63">
        <v>44553</v>
      </c>
      <c r="AE471" s="65">
        <v>46378</v>
      </c>
      <c r="AF471" s="62">
        <v>5</v>
      </c>
      <c r="AG471" s="119">
        <v>60</v>
      </c>
      <c r="AH471" s="25">
        <v>641666.66666666663</v>
      </c>
      <c r="AI471" s="78">
        <v>15586294.666666668</v>
      </c>
      <c r="AJ471" s="78">
        <v>22913705.333333332</v>
      </c>
      <c r="AK471" s="27">
        <f t="shared" si="82"/>
        <v>641666.66666666663</v>
      </c>
      <c r="AL471" s="27">
        <f t="shared" si="74"/>
        <v>641666.66666666663</v>
      </c>
      <c r="AM471" s="27"/>
      <c r="AN471" s="27"/>
      <c r="AO471" s="27"/>
      <c r="AP471" s="27"/>
      <c r="AQ471" s="27"/>
      <c r="AR471" s="27"/>
      <c r="AS471" s="27"/>
      <c r="AT471" s="27"/>
      <c r="AU471" s="27"/>
      <c r="AV471" s="27"/>
      <c r="AW471" s="27">
        <f t="shared" si="77"/>
        <v>1283333.3333333333</v>
      </c>
      <c r="AX471" s="79">
        <f t="shared" si="78"/>
        <v>21630372</v>
      </c>
      <c r="AY471" s="79">
        <f t="shared" si="79"/>
        <v>16869628</v>
      </c>
      <c r="AZ471" s="25">
        <v>1</v>
      </c>
      <c r="BA471" s="62" t="s">
        <v>79</v>
      </c>
      <c r="BB471" s="66"/>
      <c r="BC471" s="66">
        <v>1</v>
      </c>
      <c r="BD471" s="66"/>
      <c r="BE471" s="67">
        <f t="shared" si="83"/>
        <v>0</v>
      </c>
      <c r="BF471" s="67">
        <f t="shared" si="76"/>
        <v>641666.66666666663</v>
      </c>
      <c r="BG471" s="67">
        <f t="shared" si="75"/>
        <v>0</v>
      </c>
      <c r="BH471" s="66"/>
      <c r="BI471" s="68" t="s">
        <v>1341</v>
      </c>
      <c r="BJ471" s="68" t="s">
        <v>58</v>
      </c>
      <c r="BK471" s="68" t="s">
        <v>58</v>
      </c>
      <c r="BL471" s="29"/>
      <c r="BO471" s="35" t="s">
        <v>1799</v>
      </c>
      <c r="BQ471" s="1" t="e">
        <v>#N/A</v>
      </c>
    </row>
    <row r="472" spans="3:69" ht="15" hidden="1" customHeight="1">
      <c r="C472" s="1" t="str">
        <f t="shared" si="80"/>
        <v>2612</v>
      </c>
      <c r="D472" s="1" t="str">
        <f t="shared" si="81"/>
        <v>2112</v>
      </c>
      <c r="E472" s="19" t="s">
        <v>1290</v>
      </c>
      <c r="F472" s="68" t="s">
        <v>1336</v>
      </c>
      <c r="G472" s="62">
        <v>2114</v>
      </c>
      <c r="H472" s="62" t="s">
        <v>1346</v>
      </c>
      <c r="I472" s="62" t="s">
        <v>1343</v>
      </c>
      <c r="J472" s="140">
        <v>1</v>
      </c>
      <c r="K472" s="119" t="s">
        <v>1192</v>
      </c>
      <c r="L472" s="138" t="s">
        <v>1339</v>
      </c>
      <c r="M472" s="120" t="s">
        <v>1340</v>
      </c>
      <c r="N472" s="65">
        <v>44553</v>
      </c>
      <c r="O472" s="24"/>
      <c r="P472" s="24"/>
      <c r="Q472" s="64">
        <v>38500000</v>
      </c>
      <c r="R472" s="64"/>
      <c r="S472" s="64"/>
      <c r="T472" s="130"/>
      <c r="U472" s="139"/>
      <c r="V472" s="121">
        <v>38500000</v>
      </c>
      <c r="W472" s="122">
        <v>0</v>
      </c>
      <c r="X472" s="64">
        <v>38500000</v>
      </c>
      <c r="Y472" s="121"/>
      <c r="Z472" s="121"/>
      <c r="AA472" s="128"/>
      <c r="AB472" s="121"/>
      <c r="AC472" s="64">
        <v>38500000</v>
      </c>
      <c r="AD472" s="63">
        <v>44553</v>
      </c>
      <c r="AE472" s="65">
        <v>46378</v>
      </c>
      <c r="AF472" s="62">
        <v>5</v>
      </c>
      <c r="AG472" s="119">
        <v>60</v>
      </c>
      <c r="AH472" s="25">
        <v>641666.66666666663</v>
      </c>
      <c r="AI472" s="78">
        <v>15586294.666666668</v>
      </c>
      <c r="AJ472" s="78">
        <v>22913705.333333332</v>
      </c>
      <c r="AK472" s="27">
        <f t="shared" si="82"/>
        <v>641666.66666666663</v>
      </c>
      <c r="AL472" s="27">
        <f t="shared" ref="AL472:AL535" si="84">+IF(AND(AL$3&gt;=$D472,AL$3&lt;$C472),$AH472,$AJ472-SUM(AJ472:AK472))</f>
        <v>641666.66666666663</v>
      </c>
      <c r="AM472" s="27"/>
      <c r="AN472" s="27"/>
      <c r="AO472" s="27"/>
      <c r="AP472" s="27"/>
      <c r="AQ472" s="27"/>
      <c r="AR472" s="27"/>
      <c r="AS472" s="27"/>
      <c r="AT472" s="27"/>
      <c r="AU472" s="27"/>
      <c r="AV472" s="27"/>
      <c r="AW472" s="27">
        <f t="shared" si="77"/>
        <v>1283333.3333333333</v>
      </c>
      <c r="AX472" s="79">
        <f t="shared" si="78"/>
        <v>21630372</v>
      </c>
      <c r="AY472" s="79">
        <f t="shared" si="79"/>
        <v>16869628</v>
      </c>
      <c r="AZ472" s="25">
        <v>1</v>
      </c>
      <c r="BA472" s="62" t="s">
        <v>79</v>
      </c>
      <c r="BB472" s="66"/>
      <c r="BC472" s="66">
        <v>1</v>
      </c>
      <c r="BD472" s="66"/>
      <c r="BE472" s="67">
        <f t="shared" si="83"/>
        <v>0</v>
      </c>
      <c r="BF472" s="67">
        <f t="shared" si="76"/>
        <v>641666.66666666663</v>
      </c>
      <c r="BG472" s="67">
        <f t="shared" si="75"/>
        <v>0</v>
      </c>
      <c r="BH472" s="66"/>
      <c r="BI472" s="68" t="s">
        <v>1341</v>
      </c>
      <c r="BJ472" s="68" t="s">
        <v>58</v>
      </c>
      <c r="BK472" s="68" t="s">
        <v>58</v>
      </c>
      <c r="BL472" s="29"/>
      <c r="BO472" s="35" t="s">
        <v>1799</v>
      </c>
      <c r="BQ472" s="1" t="e">
        <v>#N/A</v>
      </c>
    </row>
    <row r="473" spans="3:69" ht="15" hidden="1" customHeight="1">
      <c r="C473" s="1" t="str">
        <f t="shared" si="80"/>
        <v>2612</v>
      </c>
      <c r="D473" s="1" t="str">
        <f t="shared" si="81"/>
        <v>2112</v>
      </c>
      <c r="E473" s="19" t="s">
        <v>1290</v>
      </c>
      <c r="F473" s="68" t="s">
        <v>1336</v>
      </c>
      <c r="G473" s="62">
        <v>2114</v>
      </c>
      <c r="H473" s="62" t="s">
        <v>1347</v>
      </c>
      <c r="I473" s="62" t="s">
        <v>1348</v>
      </c>
      <c r="J473" s="140">
        <v>1</v>
      </c>
      <c r="K473" s="119" t="s">
        <v>1192</v>
      </c>
      <c r="L473" s="138" t="s">
        <v>1339</v>
      </c>
      <c r="M473" s="120" t="s">
        <v>1340</v>
      </c>
      <c r="N473" s="65">
        <v>44553</v>
      </c>
      <c r="O473" s="24"/>
      <c r="P473" s="24"/>
      <c r="Q473" s="64">
        <v>32500000</v>
      </c>
      <c r="R473" s="64"/>
      <c r="S473" s="64"/>
      <c r="T473" s="130"/>
      <c r="U473" s="139"/>
      <c r="V473" s="121">
        <v>32500000</v>
      </c>
      <c r="W473" s="122">
        <v>0</v>
      </c>
      <c r="X473" s="64">
        <v>32500000</v>
      </c>
      <c r="Y473" s="121"/>
      <c r="Z473" s="121"/>
      <c r="AA473" s="128"/>
      <c r="AB473" s="121"/>
      <c r="AC473" s="64">
        <v>32500000</v>
      </c>
      <c r="AD473" s="63">
        <v>44553</v>
      </c>
      <c r="AE473" s="65">
        <v>46378</v>
      </c>
      <c r="AF473" s="62">
        <v>5</v>
      </c>
      <c r="AG473" s="119">
        <v>60</v>
      </c>
      <c r="AH473" s="25">
        <v>541666.66666666663</v>
      </c>
      <c r="AI473" s="78">
        <v>13157262.666666668</v>
      </c>
      <c r="AJ473" s="78">
        <v>19342737.333333332</v>
      </c>
      <c r="AK473" s="27">
        <f t="shared" si="82"/>
        <v>541666.66666666663</v>
      </c>
      <c r="AL473" s="27">
        <f t="shared" si="84"/>
        <v>541666.66666666663</v>
      </c>
      <c r="AM473" s="27"/>
      <c r="AN473" s="27"/>
      <c r="AO473" s="27"/>
      <c r="AP473" s="27"/>
      <c r="AQ473" s="27"/>
      <c r="AR473" s="27"/>
      <c r="AS473" s="27"/>
      <c r="AT473" s="27"/>
      <c r="AU473" s="27"/>
      <c r="AV473" s="27"/>
      <c r="AW473" s="27">
        <f t="shared" si="77"/>
        <v>1083333.3333333333</v>
      </c>
      <c r="AX473" s="79">
        <f t="shared" si="78"/>
        <v>18259404</v>
      </c>
      <c r="AY473" s="79">
        <f t="shared" si="79"/>
        <v>14240596.000000002</v>
      </c>
      <c r="AZ473" s="25">
        <v>1</v>
      </c>
      <c r="BA473" s="62" t="s">
        <v>79</v>
      </c>
      <c r="BB473" s="66"/>
      <c r="BC473" s="66">
        <v>1</v>
      </c>
      <c r="BD473" s="66"/>
      <c r="BE473" s="67">
        <f t="shared" si="83"/>
        <v>0</v>
      </c>
      <c r="BF473" s="67">
        <f t="shared" si="76"/>
        <v>541666.66666666663</v>
      </c>
      <c r="BG473" s="67">
        <f t="shared" si="75"/>
        <v>0</v>
      </c>
      <c r="BH473" s="66"/>
      <c r="BI473" s="68" t="s">
        <v>1341</v>
      </c>
      <c r="BJ473" s="68" t="s">
        <v>58</v>
      </c>
      <c r="BK473" s="68" t="s">
        <v>58</v>
      </c>
      <c r="BL473" s="29"/>
      <c r="BO473" s="35" t="s">
        <v>1799</v>
      </c>
      <c r="BQ473" s="1" t="e">
        <v>#N/A</v>
      </c>
    </row>
    <row r="474" spans="3:69" ht="15" hidden="1" customHeight="1">
      <c r="C474" s="1" t="str">
        <f t="shared" si="80"/>
        <v>2801</v>
      </c>
      <c r="D474" s="1" t="str">
        <f t="shared" si="81"/>
        <v>2201</v>
      </c>
      <c r="E474" s="19" t="s">
        <v>1349</v>
      </c>
      <c r="F474" s="68" t="s">
        <v>49</v>
      </c>
      <c r="G474" s="62">
        <v>2112</v>
      </c>
      <c r="H474" s="62" t="s">
        <v>1350</v>
      </c>
      <c r="I474" s="62" t="s">
        <v>1351</v>
      </c>
      <c r="J474" s="140">
        <v>1</v>
      </c>
      <c r="K474" s="119" t="s">
        <v>619</v>
      </c>
      <c r="L474" s="138" t="s">
        <v>935</v>
      </c>
      <c r="M474" s="120" t="s">
        <v>1352</v>
      </c>
      <c r="N474" s="65" t="s">
        <v>1353</v>
      </c>
      <c r="O474" s="24">
        <v>23000</v>
      </c>
      <c r="P474" s="24">
        <v>22872</v>
      </c>
      <c r="Q474" s="64">
        <v>526056000</v>
      </c>
      <c r="R474" s="64"/>
      <c r="S474" s="64"/>
      <c r="T474" s="130">
        <v>19241051.206266318</v>
      </c>
      <c r="U474" s="139" t="s">
        <v>1354</v>
      </c>
      <c r="V474" s="121">
        <v>545297051</v>
      </c>
      <c r="W474" s="122">
        <v>0</v>
      </c>
      <c r="X474" s="64">
        <v>545297051</v>
      </c>
      <c r="Y474" s="121"/>
      <c r="Z474" s="121"/>
      <c r="AA474" s="128"/>
      <c r="AB474" s="121"/>
      <c r="AC474" s="64">
        <v>545297051</v>
      </c>
      <c r="AD474" s="63">
        <v>44581</v>
      </c>
      <c r="AE474" s="65">
        <v>46771</v>
      </c>
      <c r="AF474" s="62">
        <v>6</v>
      </c>
      <c r="AG474" s="119">
        <v>72</v>
      </c>
      <c r="AH474" s="25">
        <v>7573570.152777778</v>
      </c>
      <c r="AI474" s="78">
        <v>177123816.52777776</v>
      </c>
      <c r="AJ474" s="78">
        <v>368173234.47222221</v>
      </c>
      <c r="AK474" s="27">
        <f t="shared" si="82"/>
        <v>7573570.152777778</v>
      </c>
      <c r="AL474" s="27">
        <f t="shared" si="84"/>
        <v>7573570.152777778</v>
      </c>
      <c r="AM474" s="27"/>
      <c r="AN474" s="27"/>
      <c r="AO474" s="27"/>
      <c r="AP474" s="27"/>
      <c r="AQ474" s="27"/>
      <c r="AR474" s="27"/>
      <c r="AS474" s="27"/>
      <c r="AT474" s="27"/>
      <c r="AU474" s="27"/>
      <c r="AV474" s="27"/>
      <c r="AW474" s="27">
        <f t="shared" si="77"/>
        <v>15147140.305555556</v>
      </c>
      <c r="AX474" s="79">
        <f t="shared" si="78"/>
        <v>353026094.16666663</v>
      </c>
      <c r="AY474" s="79">
        <f t="shared" si="79"/>
        <v>192270956.83333331</v>
      </c>
      <c r="AZ474" s="25">
        <v>1</v>
      </c>
      <c r="BA474" s="62" t="s">
        <v>79</v>
      </c>
      <c r="BB474" s="66">
        <v>1</v>
      </c>
      <c r="BC474" s="66"/>
      <c r="BD474" s="66"/>
      <c r="BE474" s="67">
        <f t="shared" si="83"/>
        <v>7573570.152777778</v>
      </c>
      <c r="BF474" s="67">
        <f t="shared" si="76"/>
        <v>0</v>
      </c>
      <c r="BG474" s="67">
        <f t="shared" si="75"/>
        <v>0</v>
      </c>
      <c r="BH474" s="66"/>
      <c r="BI474" s="68" t="s">
        <v>57</v>
      </c>
      <c r="BJ474" s="68" t="s">
        <v>81</v>
      </c>
      <c r="BK474" s="68" t="s">
        <v>81</v>
      </c>
      <c r="BL474" s="29"/>
      <c r="BO474" s="35" t="s">
        <v>1801</v>
      </c>
      <c r="BP474" s="1" t="s">
        <v>1826</v>
      </c>
      <c r="BQ474" s="1" t="s">
        <v>1930</v>
      </c>
    </row>
    <row r="475" spans="3:69" ht="15" hidden="1" customHeight="1">
      <c r="C475" s="1" t="str">
        <f t="shared" si="80"/>
        <v>3001</v>
      </c>
      <c r="D475" s="1" t="str">
        <f t="shared" si="81"/>
        <v>2201</v>
      </c>
      <c r="E475" s="19" t="s">
        <v>1349</v>
      </c>
      <c r="F475" s="68" t="s">
        <v>49</v>
      </c>
      <c r="G475" s="62">
        <v>2112</v>
      </c>
      <c r="H475" s="62" t="s">
        <v>1355</v>
      </c>
      <c r="I475" s="62" t="s">
        <v>1356</v>
      </c>
      <c r="J475" s="140">
        <v>1</v>
      </c>
      <c r="K475" s="119" t="s">
        <v>619</v>
      </c>
      <c r="L475" s="138" t="s">
        <v>980</v>
      </c>
      <c r="M475" s="120" t="s">
        <v>1357</v>
      </c>
      <c r="N475" s="65" t="s">
        <v>1358</v>
      </c>
      <c r="O475" s="24">
        <v>287000</v>
      </c>
      <c r="P475" s="24">
        <v>22872</v>
      </c>
      <c r="Q475" s="64">
        <v>6564264000</v>
      </c>
      <c r="R475" s="64"/>
      <c r="S475" s="64"/>
      <c r="T475" s="130">
        <v>23346583.255004354</v>
      </c>
      <c r="U475" s="139" t="s">
        <v>1359</v>
      </c>
      <c r="V475" s="121">
        <v>6587610583</v>
      </c>
      <c r="W475" s="122">
        <v>0</v>
      </c>
      <c r="X475" s="64">
        <v>6587610583</v>
      </c>
      <c r="Y475" s="121"/>
      <c r="Z475" s="121"/>
      <c r="AA475" s="128"/>
      <c r="AB475" s="121"/>
      <c r="AC475" s="64">
        <v>6587610583</v>
      </c>
      <c r="AD475" s="63">
        <v>44581</v>
      </c>
      <c r="AE475" s="65">
        <v>47502</v>
      </c>
      <c r="AF475" s="62">
        <v>8</v>
      </c>
      <c r="AG475" s="119">
        <v>96</v>
      </c>
      <c r="AH475" s="25">
        <v>68620943.572916672</v>
      </c>
      <c r="AI475" s="78">
        <v>1604844653.7291665</v>
      </c>
      <c r="AJ475" s="78">
        <v>4982765929.270833</v>
      </c>
      <c r="AK475" s="27">
        <f t="shared" si="82"/>
        <v>68620943.572916672</v>
      </c>
      <c r="AL475" s="27">
        <f t="shared" si="84"/>
        <v>68620943.572916672</v>
      </c>
      <c r="AM475" s="27"/>
      <c r="AN475" s="27"/>
      <c r="AO475" s="27"/>
      <c r="AP475" s="27"/>
      <c r="AQ475" s="27"/>
      <c r="AR475" s="27"/>
      <c r="AS475" s="27"/>
      <c r="AT475" s="27"/>
      <c r="AU475" s="27"/>
      <c r="AV475" s="27"/>
      <c r="AW475" s="27">
        <f t="shared" si="77"/>
        <v>137241887.14583334</v>
      </c>
      <c r="AX475" s="79">
        <f t="shared" si="78"/>
        <v>4845524042.125001</v>
      </c>
      <c r="AY475" s="79">
        <f t="shared" si="79"/>
        <v>1742086540.8749998</v>
      </c>
      <c r="AZ475" s="25">
        <v>1</v>
      </c>
      <c r="BA475" s="62" t="s">
        <v>79</v>
      </c>
      <c r="BB475" s="66">
        <v>1</v>
      </c>
      <c r="BC475" s="66"/>
      <c r="BD475" s="66"/>
      <c r="BE475" s="67">
        <f t="shared" si="83"/>
        <v>68620943.572916672</v>
      </c>
      <c r="BF475" s="67">
        <f t="shared" si="76"/>
        <v>0</v>
      </c>
      <c r="BG475" s="67">
        <f t="shared" si="75"/>
        <v>0</v>
      </c>
      <c r="BH475" s="66"/>
      <c r="BI475" s="68" t="s">
        <v>57</v>
      </c>
      <c r="BJ475" s="68" t="s">
        <v>85</v>
      </c>
      <c r="BK475" s="68" t="s">
        <v>85</v>
      </c>
      <c r="BL475" s="29"/>
      <c r="BO475" s="35" t="s">
        <v>1801</v>
      </c>
      <c r="BP475" s="1" t="s">
        <v>1826</v>
      </c>
      <c r="BQ475" s="1" t="s">
        <v>1980</v>
      </c>
    </row>
    <row r="476" spans="3:69" ht="15" hidden="1" customHeight="1">
      <c r="C476" s="1" t="str">
        <f t="shared" si="80"/>
        <v>3001</v>
      </c>
      <c r="D476" s="1" t="str">
        <f t="shared" si="81"/>
        <v>2201</v>
      </c>
      <c r="E476" s="19" t="s">
        <v>1349</v>
      </c>
      <c r="F476" s="68" t="s">
        <v>49</v>
      </c>
      <c r="G476" s="62">
        <v>2112</v>
      </c>
      <c r="H476" s="62" t="s">
        <v>1360</v>
      </c>
      <c r="I476" s="62" t="s">
        <v>1361</v>
      </c>
      <c r="J476" s="140">
        <v>1</v>
      </c>
      <c r="K476" s="119" t="s">
        <v>619</v>
      </c>
      <c r="L476" s="138" t="s">
        <v>980</v>
      </c>
      <c r="M476" s="120" t="s">
        <v>1357</v>
      </c>
      <c r="N476" s="65" t="s">
        <v>1358</v>
      </c>
      <c r="O476" s="24">
        <v>73000</v>
      </c>
      <c r="P476" s="24">
        <v>22872</v>
      </c>
      <c r="Q476" s="64">
        <v>1669656000</v>
      </c>
      <c r="R476" s="64"/>
      <c r="S476" s="64"/>
      <c r="T476" s="130">
        <v>5938329.5387293277</v>
      </c>
      <c r="U476" s="139" t="s">
        <v>1359</v>
      </c>
      <c r="V476" s="121">
        <v>1675594330</v>
      </c>
      <c r="W476" s="122">
        <v>0</v>
      </c>
      <c r="X476" s="64">
        <v>1675594330</v>
      </c>
      <c r="Y476" s="121"/>
      <c r="Z476" s="121"/>
      <c r="AA476" s="128"/>
      <c r="AB476" s="121"/>
      <c r="AC476" s="64">
        <v>1675594330</v>
      </c>
      <c r="AD476" s="63">
        <v>44581</v>
      </c>
      <c r="AE476" s="65">
        <v>47502</v>
      </c>
      <c r="AF476" s="62">
        <v>8</v>
      </c>
      <c r="AG476" s="119">
        <v>96</v>
      </c>
      <c r="AH476" s="25">
        <v>17454107.604166668</v>
      </c>
      <c r="AI476" s="78">
        <v>408200909.04166663</v>
      </c>
      <c r="AJ476" s="78">
        <v>1267393420.9583333</v>
      </c>
      <c r="AK476" s="27">
        <f t="shared" si="82"/>
        <v>17454107.604166668</v>
      </c>
      <c r="AL476" s="27">
        <f t="shared" si="84"/>
        <v>17454107.604166668</v>
      </c>
      <c r="AM476" s="27"/>
      <c r="AN476" s="27"/>
      <c r="AO476" s="27"/>
      <c r="AP476" s="27"/>
      <c r="AQ476" s="27"/>
      <c r="AR476" s="27"/>
      <c r="AS476" s="27"/>
      <c r="AT476" s="27"/>
      <c r="AU476" s="27"/>
      <c r="AV476" s="27"/>
      <c r="AW476" s="27">
        <f t="shared" si="77"/>
        <v>34908215.208333336</v>
      </c>
      <c r="AX476" s="79">
        <f t="shared" si="78"/>
        <v>1232485205.7500002</v>
      </c>
      <c r="AY476" s="79">
        <f t="shared" si="79"/>
        <v>443109124.24999994</v>
      </c>
      <c r="AZ476" s="25">
        <v>1</v>
      </c>
      <c r="BA476" s="62" t="s">
        <v>79</v>
      </c>
      <c r="BB476" s="66">
        <v>1</v>
      </c>
      <c r="BC476" s="66"/>
      <c r="BD476" s="66"/>
      <c r="BE476" s="67">
        <f t="shared" si="83"/>
        <v>17454107.604166668</v>
      </c>
      <c r="BF476" s="67">
        <f t="shared" si="76"/>
        <v>0</v>
      </c>
      <c r="BG476" s="67">
        <f t="shared" si="75"/>
        <v>0</v>
      </c>
      <c r="BH476" s="66"/>
      <c r="BI476" s="68" t="s">
        <v>57</v>
      </c>
      <c r="BJ476" s="68" t="s">
        <v>81</v>
      </c>
      <c r="BK476" s="68" t="s">
        <v>81</v>
      </c>
      <c r="BL476" s="29"/>
      <c r="BO476" s="35" t="s">
        <v>1801</v>
      </c>
      <c r="BP476" s="1" t="s">
        <v>1826</v>
      </c>
      <c r="BQ476" s="1" t="s">
        <v>1930</v>
      </c>
    </row>
    <row r="477" spans="3:69" ht="15" hidden="1" customHeight="1">
      <c r="C477" s="1" t="str">
        <f t="shared" si="80"/>
        <v>3001</v>
      </c>
      <c r="D477" s="1" t="str">
        <f t="shared" si="81"/>
        <v>2201</v>
      </c>
      <c r="E477" s="19" t="s">
        <v>1349</v>
      </c>
      <c r="F477" s="68" t="s">
        <v>49</v>
      </c>
      <c r="G477" s="62">
        <v>2112</v>
      </c>
      <c r="H477" s="62" t="s">
        <v>1362</v>
      </c>
      <c r="I477" s="62" t="s">
        <v>1363</v>
      </c>
      <c r="J477" s="140">
        <v>1</v>
      </c>
      <c r="K477" s="119" t="s">
        <v>619</v>
      </c>
      <c r="L477" s="62" t="s">
        <v>77</v>
      </c>
      <c r="M477" s="120" t="s">
        <v>1325</v>
      </c>
      <c r="N477" s="65" t="s">
        <v>1326</v>
      </c>
      <c r="O477" s="24">
        <v>107000</v>
      </c>
      <c r="P477" s="24">
        <v>22790</v>
      </c>
      <c r="Q477" s="64">
        <v>2438530000</v>
      </c>
      <c r="R477" s="64"/>
      <c r="S477" s="64"/>
      <c r="T477" s="130">
        <v>10351801.02225809</v>
      </c>
      <c r="U477" s="139" t="s">
        <v>1327</v>
      </c>
      <c r="V477" s="121">
        <v>2448881801</v>
      </c>
      <c r="W477" s="122">
        <v>0</v>
      </c>
      <c r="X477" s="64">
        <v>2448881801</v>
      </c>
      <c r="Y477" s="121"/>
      <c r="Z477" s="121"/>
      <c r="AA477" s="128"/>
      <c r="AB477" s="121"/>
      <c r="AC477" s="64">
        <v>2448881801</v>
      </c>
      <c r="AD477" s="63">
        <v>44584</v>
      </c>
      <c r="AE477" s="65">
        <v>47505</v>
      </c>
      <c r="AF477" s="62">
        <v>8</v>
      </c>
      <c r="AG477" s="119">
        <v>96</v>
      </c>
      <c r="AH477" s="25">
        <v>25509185.427083332</v>
      </c>
      <c r="AI477" s="78">
        <v>594117151.27083325</v>
      </c>
      <c r="AJ477" s="78">
        <v>1854764649.7291667</v>
      </c>
      <c r="AK477" s="27">
        <f t="shared" si="82"/>
        <v>25509185.427083332</v>
      </c>
      <c r="AL477" s="27">
        <f t="shared" si="84"/>
        <v>25509185.427083332</v>
      </c>
      <c r="AM477" s="27"/>
      <c r="AN477" s="27"/>
      <c r="AO477" s="27"/>
      <c r="AP477" s="27"/>
      <c r="AQ477" s="27"/>
      <c r="AR477" s="27"/>
      <c r="AS477" s="27"/>
      <c r="AT477" s="27"/>
      <c r="AU477" s="27"/>
      <c r="AV477" s="27"/>
      <c r="AW477" s="27">
        <f t="shared" si="77"/>
        <v>51018370.854166664</v>
      </c>
      <c r="AX477" s="79">
        <f t="shared" si="78"/>
        <v>1803746278.875</v>
      </c>
      <c r="AY477" s="79">
        <f t="shared" si="79"/>
        <v>645135522.12499988</v>
      </c>
      <c r="AZ477" s="25">
        <v>1</v>
      </c>
      <c r="BA477" s="62" t="s">
        <v>79</v>
      </c>
      <c r="BB477" s="66">
        <v>1</v>
      </c>
      <c r="BC477" s="66"/>
      <c r="BD477" s="66"/>
      <c r="BE477" s="67">
        <f t="shared" si="83"/>
        <v>25509185.427083332</v>
      </c>
      <c r="BF477" s="67">
        <f t="shared" si="76"/>
        <v>0</v>
      </c>
      <c r="BG477" s="67">
        <f t="shared" si="75"/>
        <v>0</v>
      </c>
      <c r="BH477" s="66"/>
      <c r="BI477" s="68" t="s">
        <v>57</v>
      </c>
      <c r="BJ477" s="68" t="s">
        <v>121</v>
      </c>
      <c r="BK477" s="68" t="s">
        <v>121</v>
      </c>
      <c r="BL477" s="29"/>
      <c r="BO477" s="35" t="s">
        <v>1801</v>
      </c>
      <c r="BP477" s="1" t="s">
        <v>1826</v>
      </c>
      <c r="BQ477" s="1" t="s">
        <v>1979</v>
      </c>
    </row>
    <row r="478" spans="3:69" ht="15" hidden="1" customHeight="1">
      <c r="C478" s="1" t="str">
        <f t="shared" si="80"/>
        <v>3001</v>
      </c>
      <c r="D478" s="1" t="str">
        <f t="shared" si="81"/>
        <v>2201</v>
      </c>
      <c r="E478" s="19" t="s">
        <v>1349</v>
      </c>
      <c r="F478" s="68" t="s">
        <v>49</v>
      </c>
      <c r="G478" s="62">
        <v>2112</v>
      </c>
      <c r="H478" s="62" t="s">
        <v>1364</v>
      </c>
      <c r="I478" s="62" t="s">
        <v>1363</v>
      </c>
      <c r="J478" s="140">
        <v>1</v>
      </c>
      <c r="K478" s="119" t="s">
        <v>619</v>
      </c>
      <c r="L478" s="62" t="s">
        <v>77</v>
      </c>
      <c r="M478" s="120" t="s">
        <v>1325</v>
      </c>
      <c r="N478" s="65" t="s">
        <v>1326</v>
      </c>
      <c r="O478" s="24">
        <v>107000</v>
      </c>
      <c r="P478" s="24">
        <v>22790</v>
      </c>
      <c r="Q478" s="64">
        <v>2438530000</v>
      </c>
      <c r="R478" s="64"/>
      <c r="S478" s="64"/>
      <c r="T478" s="130">
        <v>10351801.02225809</v>
      </c>
      <c r="U478" s="139" t="s">
        <v>1327</v>
      </c>
      <c r="V478" s="121">
        <v>2448881801</v>
      </c>
      <c r="W478" s="122">
        <v>0</v>
      </c>
      <c r="X478" s="64">
        <v>2448881801</v>
      </c>
      <c r="Y478" s="121"/>
      <c r="Z478" s="121"/>
      <c r="AA478" s="128"/>
      <c r="AB478" s="121"/>
      <c r="AC478" s="64">
        <v>2448881801</v>
      </c>
      <c r="AD478" s="63">
        <v>44584</v>
      </c>
      <c r="AE478" s="65">
        <v>47505</v>
      </c>
      <c r="AF478" s="62">
        <v>8</v>
      </c>
      <c r="AG478" s="119">
        <v>96</v>
      </c>
      <c r="AH478" s="25">
        <v>25509185.427083332</v>
      </c>
      <c r="AI478" s="78">
        <v>594117151.27083325</v>
      </c>
      <c r="AJ478" s="78">
        <v>1854764649.7291667</v>
      </c>
      <c r="AK478" s="27">
        <f t="shared" si="82"/>
        <v>25509185.427083332</v>
      </c>
      <c r="AL478" s="27">
        <f t="shared" si="84"/>
        <v>25509185.427083332</v>
      </c>
      <c r="AM478" s="27"/>
      <c r="AN478" s="27"/>
      <c r="AO478" s="27"/>
      <c r="AP478" s="27"/>
      <c r="AQ478" s="27"/>
      <c r="AR478" s="27"/>
      <c r="AS478" s="27"/>
      <c r="AT478" s="27"/>
      <c r="AU478" s="27"/>
      <c r="AV478" s="27"/>
      <c r="AW478" s="27">
        <f t="shared" si="77"/>
        <v>51018370.854166664</v>
      </c>
      <c r="AX478" s="79">
        <f t="shared" si="78"/>
        <v>1803746278.875</v>
      </c>
      <c r="AY478" s="79">
        <f t="shared" si="79"/>
        <v>645135522.12499988</v>
      </c>
      <c r="AZ478" s="25">
        <v>1</v>
      </c>
      <c r="BA478" s="62" t="s">
        <v>79</v>
      </c>
      <c r="BB478" s="66">
        <v>1</v>
      </c>
      <c r="BC478" s="66"/>
      <c r="BD478" s="66"/>
      <c r="BE478" s="67">
        <f t="shared" si="83"/>
        <v>25509185.427083332</v>
      </c>
      <c r="BF478" s="67">
        <f t="shared" si="76"/>
        <v>0</v>
      </c>
      <c r="BG478" s="67">
        <f t="shared" si="75"/>
        <v>0</v>
      </c>
      <c r="BH478" s="66"/>
      <c r="BI478" s="68" t="s">
        <v>57</v>
      </c>
      <c r="BJ478" s="68" t="s">
        <v>121</v>
      </c>
      <c r="BK478" s="68" t="s">
        <v>121</v>
      </c>
      <c r="BL478" s="29"/>
      <c r="BO478" s="35" t="s">
        <v>1801</v>
      </c>
      <c r="BP478" s="1" t="s">
        <v>1826</v>
      </c>
      <c r="BQ478" s="1" t="s">
        <v>1979</v>
      </c>
    </row>
    <row r="479" spans="3:69" ht="15" hidden="1" customHeight="1">
      <c r="C479" s="1" t="str">
        <f t="shared" si="80"/>
        <v>2801</v>
      </c>
      <c r="D479" s="1" t="str">
        <f t="shared" si="81"/>
        <v>2201</v>
      </c>
      <c r="E479" s="19" t="s">
        <v>1349</v>
      </c>
      <c r="F479" s="68" t="s">
        <v>49</v>
      </c>
      <c r="G479" s="62">
        <v>2112</v>
      </c>
      <c r="H479" s="62" t="s">
        <v>1365</v>
      </c>
      <c r="I479" s="62" t="s">
        <v>1366</v>
      </c>
      <c r="J479" s="140">
        <v>1</v>
      </c>
      <c r="K479" s="119" t="s">
        <v>619</v>
      </c>
      <c r="L479" s="62" t="s">
        <v>77</v>
      </c>
      <c r="M479" s="120" t="s">
        <v>1325</v>
      </c>
      <c r="N479" s="65" t="s">
        <v>1326</v>
      </c>
      <c r="O479" s="24">
        <v>18900</v>
      </c>
      <c r="P479" s="24">
        <v>22790</v>
      </c>
      <c r="Q479" s="64">
        <v>430731000</v>
      </c>
      <c r="R479" s="64"/>
      <c r="S479" s="64"/>
      <c r="T479" s="130">
        <v>1828495.6945857748</v>
      </c>
      <c r="U479" s="139" t="s">
        <v>1327</v>
      </c>
      <c r="V479" s="121">
        <v>432559496</v>
      </c>
      <c r="W479" s="122">
        <v>0</v>
      </c>
      <c r="X479" s="64">
        <v>432559496</v>
      </c>
      <c r="Y479" s="121"/>
      <c r="Z479" s="121"/>
      <c r="AA479" s="128"/>
      <c r="AB479" s="121"/>
      <c r="AC479" s="64">
        <v>432559496</v>
      </c>
      <c r="AD479" s="63">
        <v>44581</v>
      </c>
      <c r="AE479" s="65">
        <v>46771</v>
      </c>
      <c r="AF479" s="62">
        <v>6</v>
      </c>
      <c r="AG479" s="119">
        <v>72</v>
      </c>
      <c r="AH479" s="25">
        <v>6007770.777777778</v>
      </c>
      <c r="AI479" s="78">
        <v>140504319.77777776</v>
      </c>
      <c r="AJ479" s="78">
        <v>292055176.22222221</v>
      </c>
      <c r="AK479" s="27">
        <f t="shared" si="82"/>
        <v>6007770.777777778</v>
      </c>
      <c r="AL479" s="27">
        <f t="shared" si="84"/>
        <v>6007770.777777778</v>
      </c>
      <c r="AM479" s="27"/>
      <c r="AN479" s="27"/>
      <c r="AO479" s="27"/>
      <c r="AP479" s="27"/>
      <c r="AQ479" s="27"/>
      <c r="AR479" s="27"/>
      <c r="AS479" s="27"/>
      <c r="AT479" s="27"/>
      <c r="AU479" s="27"/>
      <c r="AV479" s="27"/>
      <c r="AW479" s="27">
        <f t="shared" si="77"/>
        <v>12015541.555555556</v>
      </c>
      <c r="AX479" s="79">
        <f t="shared" si="78"/>
        <v>280039634.66666663</v>
      </c>
      <c r="AY479" s="79">
        <f t="shared" si="79"/>
        <v>152519861.33333331</v>
      </c>
      <c r="AZ479" s="25">
        <v>1</v>
      </c>
      <c r="BA479" s="62" t="s">
        <v>79</v>
      </c>
      <c r="BB479" s="66">
        <v>1</v>
      </c>
      <c r="BC479" s="66"/>
      <c r="BD479" s="66"/>
      <c r="BE479" s="67">
        <f t="shared" si="83"/>
        <v>6007770.777777778</v>
      </c>
      <c r="BF479" s="67">
        <f t="shared" si="76"/>
        <v>0</v>
      </c>
      <c r="BG479" s="67">
        <f t="shared" si="75"/>
        <v>0</v>
      </c>
      <c r="BH479" s="66"/>
      <c r="BI479" s="68" t="s">
        <v>57</v>
      </c>
      <c r="BJ479" s="68" t="s">
        <v>81</v>
      </c>
      <c r="BK479" s="68" t="s">
        <v>81</v>
      </c>
      <c r="BL479" s="29"/>
      <c r="BO479" s="35" t="s">
        <v>1801</v>
      </c>
      <c r="BP479" s="1" t="s">
        <v>1824</v>
      </c>
      <c r="BQ479" s="1" t="s">
        <v>1930</v>
      </c>
    </row>
    <row r="480" spans="3:69" ht="15" hidden="1" customHeight="1">
      <c r="C480" s="1" t="str">
        <f t="shared" si="80"/>
        <v>4701</v>
      </c>
      <c r="D480" s="1" t="str">
        <f t="shared" si="81"/>
        <v>2201</v>
      </c>
      <c r="E480" s="19" t="s">
        <v>1349</v>
      </c>
      <c r="F480" s="68" t="s">
        <v>1367</v>
      </c>
      <c r="G480" s="62">
        <v>2111</v>
      </c>
      <c r="H480" s="62" t="s">
        <v>1368</v>
      </c>
      <c r="I480" s="62" t="s">
        <v>1369</v>
      </c>
      <c r="J480" s="140">
        <v>1</v>
      </c>
      <c r="K480" s="119" t="s">
        <v>619</v>
      </c>
      <c r="L480" s="62" t="s">
        <v>62</v>
      </c>
      <c r="M480" s="120" t="s">
        <v>1370</v>
      </c>
      <c r="N480" s="65" t="s">
        <v>1371</v>
      </c>
      <c r="O480" s="24"/>
      <c r="P480" s="24"/>
      <c r="Q480" s="64">
        <v>5035105270</v>
      </c>
      <c r="R480" s="64"/>
      <c r="S480" s="64"/>
      <c r="T480" s="130"/>
      <c r="U480" s="139"/>
      <c r="V480" s="121">
        <v>5035105270</v>
      </c>
      <c r="W480" s="122">
        <v>0</v>
      </c>
      <c r="X480" s="64">
        <v>5035105270</v>
      </c>
      <c r="Y480" s="121"/>
      <c r="Z480" s="121"/>
      <c r="AA480" s="128"/>
      <c r="AB480" s="121"/>
      <c r="AC480" s="64">
        <v>5035105270</v>
      </c>
      <c r="AD480" s="63">
        <v>44578</v>
      </c>
      <c r="AE480" s="65">
        <v>53708</v>
      </c>
      <c r="AF480" s="62">
        <v>25</v>
      </c>
      <c r="AG480" s="119">
        <v>300</v>
      </c>
      <c r="AH480" s="25">
        <v>16783684.233333334</v>
      </c>
      <c r="AI480" s="78">
        <v>394145871.33333337</v>
      </c>
      <c r="AJ480" s="78">
        <v>4640959398.666667</v>
      </c>
      <c r="AK480" s="27">
        <f t="shared" si="82"/>
        <v>16783684.233333334</v>
      </c>
      <c r="AL480" s="27">
        <f t="shared" si="84"/>
        <v>16783684.233333334</v>
      </c>
      <c r="AM480" s="27"/>
      <c r="AN480" s="27"/>
      <c r="AO480" s="27"/>
      <c r="AP480" s="27"/>
      <c r="AQ480" s="27"/>
      <c r="AR480" s="27"/>
      <c r="AS480" s="27"/>
      <c r="AT480" s="27"/>
      <c r="AU480" s="27"/>
      <c r="AV480" s="27"/>
      <c r="AW480" s="27">
        <f t="shared" si="77"/>
        <v>33567368.466666669</v>
      </c>
      <c r="AX480" s="79">
        <f t="shared" si="78"/>
        <v>4607392030.2000008</v>
      </c>
      <c r="AY480" s="79">
        <f t="shared" si="79"/>
        <v>427713239.80000007</v>
      </c>
      <c r="AZ480" s="25">
        <v>1</v>
      </c>
      <c r="BA480" s="62" t="s">
        <v>56</v>
      </c>
      <c r="BB480" s="66"/>
      <c r="BC480" s="66">
        <v>1</v>
      </c>
      <c r="BD480" s="66"/>
      <c r="BE480" s="67">
        <f t="shared" si="83"/>
        <v>0</v>
      </c>
      <c r="BF480" s="67">
        <f t="shared" si="76"/>
        <v>16783684.233333334</v>
      </c>
      <c r="BG480" s="67">
        <f t="shared" si="75"/>
        <v>0</v>
      </c>
      <c r="BH480" s="62" t="s">
        <v>1668</v>
      </c>
      <c r="BI480" s="19" t="s">
        <v>1624</v>
      </c>
      <c r="BJ480" s="68" t="s">
        <v>1438</v>
      </c>
      <c r="BK480" s="68" t="s">
        <v>1438</v>
      </c>
      <c r="BL480" s="29"/>
      <c r="BM480" s="3" t="s">
        <v>1664</v>
      </c>
      <c r="BN480" s="1" t="s">
        <v>1666</v>
      </c>
      <c r="BO480" s="35" t="s">
        <v>1799</v>
      </c>
      <c r="BQ480" s="1" t="e">
        <v>#N/A</v>
      </c>
    </row>
    <row r="481" spans="3:69" ht="15" hidden="1" customHeight="1">
      <c r="C481" s="1" t="str">
        <f t="shared" si="80"/>
        <v>4701</v>
      </c>
      <c r="D481" s="1" t="str">
        <f t="shared" si="81"/>
        <v>2201</v>
      </c>
      <c r="E481" s="19" t="s">
        <v>1349</v>
      </c>
      <c r="F481" s="68" t="s">
        <v>1367</v>
      </c>
      <c r="G481" s="62">
        <v>2111</v>
      </c>
      <c r="H481" s="62" t="s">
        <v>1372</v>
      </c>
      <c r="I481" s="62" t="s">
        <v>1369</v>
      </c>
      <c r="J481" s="140">
        <v>1</v>
      </c>
      <c r="K481" s="119" t="s">
        <v>619</v>
      </c>
      <c r="L481" s="62" t="s">
        <v>62</v>
      </c>
      <c r="M481" s="120" t="s">
        <v>1370</v>
      </c>
      <c r="N481" s="65" t="s">
        <v>1371</v>
      </c>
      <c r="O481" s="24"/>
      <c r="P481" s="24"/>
      <c r="Q481" s="64">
        <v>6529096475</v>
      </c>
      <c r="R481" s="64"/>
      <c r="S481" s="64"/>
      <c r="T481" s="130"/>
      <c r="U481" s="139"/>
      <c r="V481" s="121">
        <v>6529096475</v>
      </c>
      <c r="W481" s="122">
        <v>0</v>
      </c>
      <c r="X481" s="64">
        <v>6529096475</v>
      </c>
      <c r="Y481" s="121"/>
      <c r="Z481" s="121"/>
      <c r="AA481" s="128"/>
      <c r="AB481" s="121"/>
      <c r="AC481" s="64">
        <v>6529096475</v>
      </c>
      <c r="AD481" s="63">
        <v>44578</v>
      </c>
      <c r="AE481" s="65">
        <v>53708</v>
      </c>
      <c r="AF481" s="62">
        <v>25</v>
      </c>
      <c r="AG481" s="119">
        <v>300</v>
      </c>
      <c r="AH481" s="25">
        <v>21763654.916666668</v>
      </c>
      <c r="AI481" s="78">
        <v>511094865.16666663</v>
      </c>
      <c r="AJ481" s="78">
        <v>6018001609.833333</v>
      </c>
      <c r="AK481" s="27">
        <f t="shared" si="82"/>
        <v>21763654.916666668</v>
      </c>
      <c r="AL481" s="27">
        <f t="shared" si="84"/>
        <v>21763654.916666668</v>
      </c>
      <c r="AM481" s="27"/>
      <c r="AN481" s="27"/>
      <c r="AO481" s="27"/>
      <c r="AP481" s="27"/>
      <c r="AQ481" s="27"/>
      <c r="AR481" s="27"/>
      <c r="AS481" s="27"/>
      <c r="AT481" s="27"/>
      <c r="AU481" s="27"/>
      <c r="AV481" s="27"/>
      <c r="AW481" s="27">
        <f t="shared" si="77"/>
        <v>43527309.833333336</v>
      </c>
      <c r="AX481" s="79">
        <f t="shared" si="78"/>
        <v>5974474300</v>
      </c>
      <c r="AY481" s="79">
        <f t="shared" si="79"/>
        <v>554622175</v>
      </c>
      <c r="AZ481" s="25">
        <v>1</v>
      </c>
      <c r="BA481" s="62" t="s">
        <v>56</v>
      </c>
      <c r="BB481" s="66"/>
      <c r="BC481" s="66">
        <v>1</v>
      </c>
      <c r="BD481" s="66"/>
      <c r="BE481" s="67">
        <f t="shared" si="83"/>
        <v>0</v>
      </c>
      <c r="BF481" s="67">
        <f t="shared" si="76"/>
        <v>21763654.916666668</v>
      </c>
      <c r="BG481" s="67">
        <f t="shared" si="75"/>
        <v>0</v>
      </c>
      <c r="BH481" s="66"/>
      <c r="BI481" s="68" t="s">
        <v>1367</v>
      </c>
      <c r="BJ481" s="68" t="s">
        <v>58</v>
      </c>
      <c r="BK481" s="68" t="s">
        <v>58</v>
      </c>
      <c r="BL481" s="29"/>
      <c r="BO481" s="35" t="s">
        <v>1799</v>
      </c>
      <c r="BQ481" s="1" t="e">
        <v>#N/A</v>
      </c>
    </row>
    <row r="482" spans="3:69" ht="15" hidden="1" customHeight="1">
      <c r="C482" s="1" t="str">
        <f t="shared" si="80"/>
        <v>4701</v>
      </c>
      <c r="D482" s="1" t="str">
        <f t="shared" si="81"/>
        <v>2201</v>
      </c>
      <c r="E482" s="19" t="s">
        <v>1349</v>
      </c>
      <c r="F482" s="68" t="s">
        <v>1367</v>
      </c>
      <c r="G482" s="62">
        <v>2111</v>
      </c>
      <c r="H482" s="62" t="s">
        <v>1373</v>
      </c>
      <c r="I482" s="62" t="s">
        <v>1369</v>
      </c>
      <c r="J482" s="140">
        <v>1</v>
      </c>
      <c r="K482" s="119" t="s">
        <v>619</v>
      </c>
      <c r="L482" s="62" t="s">
        <v>62</v>
      </c>
      <c r="M482" s="120" t="s">
        <v>1370</v>
      </c>
      <c r="N482" s="65" t="s">
        <v>1371</v>
      </c>
      <c r="O482" s="24"/>
      <c r="P482" s="24"/>
      <c r="Q482" s="64">
        <v>2019667176</v>
      </c>
      <c r="R482" s="64"/>
      <c r="S482" s="64"/>
      <c r="T482" s="130"/>
      <c r="U482" s="139"/>
      <c r="V482" s="121">
        <v>2019667176</v>
      </c>
      <c r="W482" s="122">
        <v>0</v>
      </c>
      <c r="X482" s="64">
        <v>2019667176</v>
      </c>
      <c r="Y482" s="121"/>
      <c r="Z482" s="121"/>
      <c r="AA482" s="128"/>
      <c r="AB482" s="121"/>
      <c r="AC482" s="64">
        <v>2019667176</v>
      </c>
      <c r="AD482" s="63">
        <v>44578</v>
      </c>
      <c r="AE482" s="65">
        <v>53708</v>
      </c>
      <c r="AF482" s="62">
        <v>25</v>
      </c>
      <c r="AG482" s="119">
        <v>300</v>
      </c>
      <c r="AH482" s="25">
        <v>6732223.9199999999</v>
      </c>
      <c r="AI482" s="78">
        <v>158098679.20000002</v>
      </c>
      <c r="AJ482" s="78">
        <v>1861568496.8</v>
      </c>
      <c r="AK482" s="27">
        <f t="shared" si="82"/>
        <v>6732223.9199999999</v>
      </c>
      <c r="AL482" s="27">
        <f t="shared" si="84"/>
        <v>6732223.9199999999</v>
      </c>
      <c r="AM482" s="27"/>
      <c r="AN482" s="27"/>
      <c r="AO482" s="27"/>
      <c r="AP482" s="27"/>
      <c r="AQ482" s="27"/>
      <c r="AR482" s="27"/>
      <c r="AS482" s="27"/>
      <c r="AT482" s="27"/>
      <c r="AU482" s="27"/>
      <c r="AV482" s="27"/>
      <c r="AW482" s="27">
        <f t="shared" si="77"/>
        <v>13464447.84</v>
      </c>
      <c r="AX482" s="79">
        <f t="shared" si="78"/>
        <v>1848104048.96</v>
      </c>
      <c r="AY482" s="79">
        <f t="shared" si="79"/>
        <v>171563127.04000002</v>
      </c>
      <c r="AZ482" s="25">
        <v>1</v>
      </c>
      <c r="BA482" s="62" t="s">
        <v>56</v>
      </c>
      <c r="BB482" s="66"/>
      <c r="BC482" s="66">
        <v>1</v>
      </c>
      <c r="BD482" s="66"/>
      <c r="BE482" s="67">
        <f t="shared" si="83"/>
        <v>0</v>
      </c>
      <c r="BF482" s="67">
        <f t="shared" si="76"/>
        <v>6732223.9199999999</v>
      </c>
      <c r="BG482" s="67">
        <f t="shared" si="75"/>
        <v>0</v>
      </c>
      <c r="BH482" s="62" t="s">
        <v>1669</v>
      </c>
      <c r="BI482" s="68" t="s">
        <v>1624</v>
      </c>
      <c r="BJ482" s="68" t="s">
        <v>1438</v>
      </c>
      <c r="BK482" s="68" t="s">
        <v>1438</v>
      </c>
      <c r="BL482" s="29"/>
      <c r="BM482" s="3" t="s">
        <v>1665</v>
      </c>
      <c r="BN482" s="1" t="s">
        <v>1667</v>
      </c>
      <c r="BO482" s="35" t="s">
        <v>1799</v>
      </c>
      <c r="BQ482" s="1" t="e">
        <v>#N/A</v>
      </c>
    </row>
    <row r="483" spans="3:69" ht="15" hidden="1" customHeight="1">
      <c r="C483" s="1" t="str">
        <f t="shared" si="80"/>
        <v>4201</v>
      </c>
      <c r="D483" s="1" t="str">
        <f t="shared" si="81"/>
        <v>2201</v>
      </c>
      <c r="E483" s="19" t="s">
        <v>1349</v>
      </c>
      <c r="F483" s="68" t="s">
        <v>1367</v>
      </c>
      <c r="G483" s="62">
        <v>2111</v>
      </c>
      <c r="H483" s="62" t="s">
        <v>1374</v>
      </c>
      <c r="I483" s="62" t="s">
        <v>1369</v>
      </c>
      <c r="J483" s="140">
        <v>1</v>
      </c>
      <c r="K483" s="119" t="s">
        <v>619</v>
      </c>
      <c r="L483" s="62" t="s">
        <v>62</v>
      </c>
      <c r="M483" s="120" t="s">
        <v>1370</v>
      </c>
      <c r="N483" s="65" t="s">
        <v>1371</v>
      </c>
      <c r="O483" s="24"/>
      <c r="P483" s="24"/>
      <c r="Q483" s="64">
        <v>496131079</v>
      </c>
      <c r="R483" s="64"/>
      <c r="S483" s="64"/>
      <c r="T483" s="130"/>
      <c r="U483" s="139"/>
      <c r="V483" s="121">
        <v>496131079</v>
      </c>
      <c r="W483" s="122">
        <v>0</v>
      </c>
      <c r="X483" s="64">
        <v>496131079</v>
      </c>
      <c r="Y483" s="121"/>
      <c r="Z483" s="121"/>
      <c r="AA483" s="128"/>
      <c r="AB483" s="121"/>
      <c r="AC483" s="64">
        <v>496131079</v>
      </c>
      <c r="AD483" s="63">
        <v>44578</v>
      </c>
      <c r="AE483" s="65">
        <v>51882</v>
      </c>
      <c r="AF483" s="62">
        <v>20</v>
      </c>
      <c r="AG483" s="119">
        <v>240</v>
      </c>
      <c r="AH483" s="25">
        <v>2067212.8291666666</v>
      </c>
      <c r="AI483" s="78">
        <v>48546161.291666657</v>
      </c>
      <c r="AJ483" s="78">
        <v>447584917.70833331</v>
      </c>
      <c r="AK483" s="27">
        <f t="shared" si="82"/>
        <v>2067212.8291666666</v>
      </c>
      <c r="AL483" s="27">
        <f t="shared" si="84"/>
        <v>2067212.8291666666</v>
      </c>
      <c r="AM483" s="27"/>
      <c r="AN483" s="27"/>
      <c r="AO483" s="27"/>
      <c r="AP483" s="27"/>
      <c r="AQ483" s="27"/>
      <c r="AR483" s="27"/>
      <c r="AS483" s="27"/>
      <c r="AT483" s="27"/>
      <c r="AU483" s="27"/>
      <c r="AV483" s="27"/>
      <c r="AW483" s="27">
        <f t="shared" si="77"/>
        <v>4134425.6583333332</v>
      </c>
      <c r="AX483" s="79">
        <f t="shared" si="78"/>
        <v>443450492.05000001</v>
      </c>
      <c r="AY483" s="79">
        <f t="shared" si="79"/>
        <v>52680586.949999988</v>
      </c>
      <c r="AZ483" s="25">
        <v>1</v>
      </c>
      <c r="BA483" s="62" t="s">
        <v>56</v>
      </c>
      <c r="BB483" s="66"/>
      <c r="BC483" s="66">
        <v>1</v>
      </c>
      <c r="BD483" s="66"/>
      <c r="BE483" s="67">
        <f t="shared" si="83"/>
        <v>0</v>
      </c>
      <c r="BF483" s="67">
        <f t="shared" si="76"/>
        <v>2067212.8291666666</v>
      </c>
      <c r="BG483" s="67">
        <f t="shared" si="75"/>
        <v>0</v>
      </c>
      <c r="BH483" s="66"/>
      <c r="BI483" s="68" t="s">
        <v>1367</v>
      </c>
      <c r="BJ483" s="68" t="s">
        <v>58</v>
      </c>
      <c r="BK483" s="68" t="s">
        <v>58</v>
      </c>
      <c r="BL483" s="29"/>
      <c r="BO483" s="35" t="s">
        <v>1799</v>
      </c>
      <c r="BQ483" s="1" t="e">
        <v>#N/A</v>
      </c>
    </row>
    <row r="484" spans="3:69" ht="15" hidden="1" customHeight="1">
      <c r="C484" s="1" t="str">
        <f t="shared" si="80"/>
        <v>4701</v>
      </c>
      <c r="D484" s="1" t="str">
        <f t="shared" si="81"/>
        <v>2201</v>
      </c>
      <c r="E484" s="19" t="s">
        <v>1349</v>
      </c>
      <c r="F484" s="68" t="s">
        <v>1367</v>
      </c>
      <c r="G484" s="62">
        <v>2111</v>
      </c>
      <c r="H484" s="62" t="s">
        <v>1375</v>
      </c>
      <c r="I484" s="62" t="s">
        <v>1376</v>
      </c>
      <c r="J484" s="140">
        <v>1</v>
      </c>
      <c r="K484" s="119" t="s">
        <v>619</v>
      </c>
      <c r="L484" s="138" t="s">
        <v>1377</v>
      </c>
      <c r="M484" s="120" t="s">
        <v>1378</v>
      </c>
      <c r="N484" s="65">
        <v>44377</v>
      </c>
      <c r="O484" s="24"/>
      <c r="P484" s="24"/>
      <c r="Q484" s="64">
        <v>301797200</v>
      </c>
      <c r="R484" s="64"/>
      <c r="S484" s="64"/>
      <c r="T484" s="130"/>
      <c r="U484" s="139"/>
      <c r="V484" s="121">
        <v>301797200</v>
      </c>
      <c r="W484" s="122">
        <v>0</v>
      </c>
      <c r="X484" s="64">
        <v>301797200</v>
      </c>
      <c r="Y484" s="121"/>
      <c r="Z484" s="121"/>
      <c r="AA484" s="128"/>
      <c r="AB484" s="121"/>
      <c r="AC484" s="64">
        <v>301797200</v>
      </c>
      <c r="AD484" s="63">
        <v>44578</v>
      </c>
      <c r="AE484" s="65">
        <v>53708</v>
      </c>
      <c r="AF484" s="62">
        <v>25</v>
      </c>
      <c r="AG484" s="119">
        <v>300</v>
      </c>
      <c r="AH484" s="25">
        <v>1005990.6666666666</v>
      </c>
      <c r="AI484" s="78">
        <v>23624559.666666664</v>
      </c>
      <c r="AJ484" s="78">
        <v>278172640.33333331</v>
      </c>
      <c r="AK484" s="27">
        <f t="shared" si="82"/>
        <v>1005990.6666666666</v>
      </c>
      <c r="AL484" s="27">
        <f t="shared" si="84"/>
        <v>1005990.6666666666</v>
      </c>
      <c r="AM484" s="27"/>
      <c r="AN484" s="27"/>
      <c r="AO484" s="27"/>
      <c r="AP484" s="27"/>
      <c r="AQ484" s="27"/>
      <c r="AR484" s="27"/>
      <c r="AS484" s="27"/>
      <c r="AT484" s="27"/>
      <c r="AU484" s="27"/>
      <c r="AV484" s="27"/>
      <c r="AW484" s="27">
        <f t="shared" si="77"/>
        <v>2011981.3333333333</v>
      </c>
      <c r="AX484" s="79">
        <f t="shared" si="78"/>
        <v>276160659</v>
      </c>
      <c r="AY484" s="79">
        <f t="shared" si="79"/>
        <v>25636540.999999996</v>
      </c>
      <c r="AZ484" s="25">
        <v>1</v>
      </c>
      <c r="BA484" s="62" t="s">
        <v>56</v>
      </c>
      <c r="BB484" s="66"/>
      <c r="BC484" s="66">
        <v>1</v>
      </c>
      <c r="BD484" s="66"/>
      <c r="BE484" s="67">
        <f t="shared" si="83"/>
        <v>0</v>
      </c>
      <c r="BF484" s="67">
        <f t="shared" si="76"/>
        <v>1005990.6666666666</v>
      </c>
      <c r="BG484" s="67">
        <f t="shared" si="75"/>
        <v>0</v>
      </c>
      <c r="BH484" s="66"/>
      <c r="BI484" s="68" t="s">
        <v>1367</v>
      </c>
      <c r="BJ484" s="68" t="s">
        <v>58</v>
      </c>
      <c r="BK484" s="68" t="s">
        <v>58</v>
      </c>
      <c r="BL484" s="29"/>
      <c r="BO484" s="35" t="s">
        <v>1799</v>
      </c>
      <c r="BQ484" s="1" t="e">
        <v>#N/A</v>
      </c>
    </row>
    <row r="485" spans="3:69" ht="15" hidden="1" customHeight="1">
      <c r="C485" s="1" t="str">
        <f t="shared" si="80"/>
        <v>2801</v>
      </c>
      <c r="D485" s="1" t="str">
        <f t="shared" si="81"/>
        <v>2201</v>
      </c>
      <c r="E485" s="19" t="s">
        <v>1349</v>
      </c>
      <c r="F485" s="68" t="s">
        <v>1367</v>
      </c>
      <c r="G485" s="62">
        <v>2114</v>
      </c>
      <c r="H485" s="62" t="s">
        <v>1379</v>
      </c>
      <c r="I485" s="62" t="s">
        <v>1380</v>
      </c>
      <c r="J485" s="140">
        <v>1</v>
      </c>
      <c r="K485" s="119" t="s">
        <v>619</v>
      </c>
      <c r="L485" s="138" t="s">
        <v>1377</v>
      </c>
      <c r="M485" s="120" t="s">
        <v>1378</v>
      </c>
      <c r="N485" s="65">
        <v>44377</v>
      </c>
      <c r="O485" s="24"/>
      <c r="P485" s="24"/>
      <c r="Q485" s="64">
        <v>160800000</v>
      </c>
      <c r="R485" s="64"/>
      <c r="S485" s="64"/>
      <c r="T485" s="130"/>
      <c r="U485" s="139"/>
      <c r="V485" s="121">
        <v>160800000</v>
      </c>
      <c r="W485" s="122">
        <v>0</v>
      </c>
      <c r="X485" s="64">
        <v>160800000</v>
      </c>
      <c r="Y485" s="121"/>
      <c r="Z485" s="121"/>
      <c r="AA485" s="128"/>
      <c r="AB485" s="121"/>
      <c r="AC485" s="64">
        <v>160800000</v>
      </c>
      <c r="AD485" s="63">
        <v>44578</v>
      </c>
      <c r="AE485" s="65">
        <v>46768</v>
      </c>
      <c r="AF485" s="62">
        <v>6</v>
      </c>
      <c r="AG485" s="119">
        <v>72</v>
      </c>
      <c r="AH485" s="25">
        <v>2233333.3333333335</v>
      </c>
      <c r="AI485" s="78">
        <v>52447307.333333328</v>
      </c>
      <c r="AJ485" s="78">
        <v>108352692.66666667</v>
      </c>
      <c r="AK485" s="27">
        <f t="shared" si="82"/>
        <v>2233333.3333333335</v>
      </c>
      <c r="AL485" s="27">
        <f t="shared" si="84"/>
        <v>2233333.3333333335</v>
      </c>
      <c r="AM485" s="27"/>
      <c r="AN485" s="27"/>
      <c r="AO485" s="27"/>
      <c r="AP485" s="27"/>
      <c r="AQ485" s="27"/>
      <c r="AR485" s="27"/>
      <c r="AS485" s="27"/>
      <c r="AT485" s="27"/>
      <c r="AU485" s="27"/>
      <c r="AV485" s="27"/>
      <c r="AW485" s="27">
        <f t="shared" si="77"/>
        <v>4466666.666666667</v>
      </c>
      <c r="AX485" s="79">
        <f t="shared" si="78"/>
        <v>103886026</v>
      </c>
      <c r="AY485" s="79">
        <f t="shared" si="79"/>
        <v>56913973.999999993</v>
      </c>
      <c r="AZ485" s="25">
        <v>1</v>
      </c>
      <c r="BA485" s="62" t="s">
        <v>56</v>
      </c>
      <c r="BB485" s="66"/>
      <c r="BC485" s="66">
        <v>1</v>
      </c>
      <c r="BD485" s="66"/>
      <c r="BE485" s="67">
        <f t="shared" si="83"/>
        <v>0</v>
      </c>
      <c r="BF485" s="67">
        <f t="shared" si="76"/>
        <v>2233333.3333333335</v>
      </c>
      <c r="BG485" s="67">
        <f t="shared" si="75"/>
        <v>0</v>
      </c>
      <c r="BH485" s="66"/>
      <c r="BI485" s="68" t="s">
        <v>1367</v>
      </c>
      <c r="BJ485" s="68" t="s">
        <v>58</v>
      </c>
      <c r="BK485" s="68" t="s">
        <v>58</v>
      </c>
      <c r="BL485" s="29"/>
      <c r="BO485" s="35" t="s">
        <v>1799</v>
      </c>
      <c r="BQ485" s="1" t="e">
        <v>#N/A</v>
      </c>
    </row>
    <row r="486" spans="3:69" ht="15" hidden="1" customHeight="1">
      <c r="C486" s="1" t="str">
        <f t="shared" si="80"/>
        <v>4701</v>
      </c>
      <c r="D486" s="1" t="str">
        <f t="shared" si="81"/>
        <v>2201</v>
      </c>
      <c r="E486" s="19" t="s">
        <v>1349</v>
      </c>
      <c r="F486" s="68" t="s">
        <v>1367</v>
      </c>
      <c r="G486" s="62">
        <v>2111</v>
      </c>
      <c r="H486" s="62" t="s">
        <v>1381</v>
      </c>
      <c r="I486" s="62" t="s">
        <v>1382</v>
      </c>
      <c r="J486" s="140">
        <v>1</v>
      </c>
      <c r="K486" s="119" t="s">
        <v>619</v>
      </c>
      <c r="L486" s="138" t="s">
        <v>1383</v>
      </c>
      <c r="M486" s="120" t="s">
        <v>1384</v>
      </c>
      <c r="N486" s="65">
        <v>44377</v>
      </c>
      <c r="O486" s="24"/>
      <c r="P486" s="24"/>
      <c r="Q486" s="64">
        <v>97717000</v>
      </c>
      <c r="R486" s="64"/>
      <c r="S486" s="64"/>
      <c r="T486" s="130"/>
      <c r="U486" s="139"/>
      <c r="V486" s="121">
        <v>97717000</v>
      </c>
      <c r="W486" s="122">
        <v>0</v>
      </c>
      <c r="X486" s="64">
        <v>97717000</v>
      </c>
      <c r="Y486" s="121"/>
      <c r="Z486" s="121"/>
      <c r="AA486" s="128"/>
      <c r="AB486" s="121"/>
      <c r="AC486" s="64">
        <v>97717000</v>
      </c>
      <c r="AD486" s="63">
        <v>44578</v>
      </c>
      <c r="AE486" s="65">
        <v>53708</v>
      </c>
      <c r="AF486" s="62">
        <v>25</v>
      </c>
      <c r="AG486" s="119">
        <v>300</v>
      </c>
      <c r="AH486" s="25">
        <v>325723.33333333331</v>
      </c>
      <c r="AI486" s="78">
        <v>7649240.333333334</v>
      </c>
      <c r="AJ486" s="78">
        <v>90067759.666666672</v>
      </c>
      <c r="AK486" s="27">
        <f t="shared" si="82"/>
        <v>325723.33333333331</v>
      </c>
      <c r="AL486" s="27">
        <f t="shared" si="84"/>
        <v>325723.33333333331</v>
      </c>
      <c r="AM486" s="27"/>
      <c r="AN486" s="27"/>
      <c r="AO486" s="27"/>
      <c r="AP486" s="27"/>
      <c r="AQ486" s="27"/>
      <c r="AR486" s="27"/>
      <c r="AS486" s="27"/>
      <c r="AT486" s="27"/>
      <c r="AU486" s="27"/>
      <c r="AV486" s="27"/>
      <c r="AW486" s="27">
        <f t="shared" si="77"/>
        <v>651446.66666666663</v>
      </c>
      <c r="AX486" s="79">
        <f t="shared" si="78"/>
        <v>89416313</v>
      </c>
      <c r="AY486" s="79">
        <f t="shared" si="79"/>
        <v>8300687.0000000009</v>
      </c>
      <c r="AZ486" s="25">
        <v>1</v>
      </c>
      <c r="BA486" s="62" t="s">
        <v>56</v>
      </c>
      <c r="BB486" s="66"/>
      <c r="BC486" s="66">
        <v>1</v>
      </c>
      <c r="BD486" s="66"/>
      <c r="BE486" s="67">
        <f t="shared" si="83"/>
        <v>0</v>
      </c>
      <c r="BF486" s="67">
        <f t="shared" si="76"/>
        <v>325723.33333333331</v>
      </c>
      <c r="BG486" s="67">
        <f t="shared" si="75"/>
        <v>0</v>
      </c>
      <c r="BH486" s="62" t="s">
        <v>1668</v>
      </c>
      <c r="BI486" s="19" t="s">
        <v>1624</v>
      </c>
      <c r="BJ486" s="68" t="s">
        <v>1438</v>
      </c>
      <c r="BK486" s="68" t="s">
        <v>1438</v>
      </c>
      <c r="BL486" s="29"/>
      <c r="BM486" s="3" t="s">
        <v>1664</v>
      </c>
      <c r="BN486" s="1" t="s">
        <v>1666</v>
      </c>
      <c r="BO486" s="35" t="s">
        <v>1799</v>
      </c>
      <c r="BQ486" s="1" t="e">
        <v>#N/A</v>
      </c>
    </row>
    <row r="487" spans="3:69" ht="15" hidden="1" customHeight="1">
      <c r="C487" s="1" t="str">
        <f t="shared" si="80"/>
        <v>2501</v>
      </c>
      <c r="D487" s="1" t="str">
        <f t="shared" si="81"/>
        <v>2201</v>
      </c>
      <c r="E487" s="19" t="s">
        <v>1349</v>
      </c>
      <c r="F487" s="68" t="s">
        <v>1385</v>
      </c>
      <c r="G487" s="62">
        <v>2112</v>
      </c>
      <c r="H487" s="62" t="s">
        <v>1386</v>
      </c>
      <c r="I487" s="62" t="s">
        <v>1387</v>
      </c>
      <c r="J487" s="140">
        <v>1</v>
      </c>
      <c r="K487" s="119" t="s">
        <v>619</v>
      </c>
      <c r="L487" s="138" t="s">
        <v>1388</v>
      </c>
      <c r="M487" s="120" t="s">
        <v>1389</v>
      </c>
      <c r="N487" s="65">
        <v>44590</v>
      </c>
      <c r="O487" s="24"/>
      <c r="P487" s="24"/>
      <c r="Q487" s="64">
        <v>83600000</v>
      </c>
      <c r="R487" s="64"/>
      <c r="S487" s="64"/>
      <c r="T487" s="130"/>
      <c r="U487" s="139"/>
      <c r="V487" s="121">
        <v>83600000</v>
      </c>
      <c r="W487" s="122">
        <v>0</v>
      </c>
      <c r="X487" s="64">
        <v>83600000</v>
      </c>
      <c r="Y487" s="121"/>
      <c r="Z487" s="121"/>
      <c r="AA487" s="128"/>
      <c r="AB487" s="121"/>
      <c r="AC487" s="64">
        <v>83600000</v>
      </c>
      <c r="AD487" s="63">
        <v>44590</v>
      </c>
      <c r="AE487" s="65">
        <v>45685</v>
      </c>
      <c r="AF487" s="62">
        <v>3</v>
      </c>
      <c r="AG487" s="119">
        <v>36</v>
      </c>
      <c r="AH487" s="25">
        <v>2322222.222222222</v>
      </c>
      <c r="AI487" s="78">
        <v>53635839.222222224</v>
      </c>
      <c r="AJ487" s="78">
        <v>29964160.777777776</v>
      </c>
      <c r="AK487" s="27">
        <f t="shared" si="82"/>
        <v>2322222.222222222</v>
      </c>
      <c r="AL487" s="27">
        <f t="shared" si="84"/>
        <v>2322222.222222222</v>
      </c>
      <c r="AM487" s="27"/>
      <c r="AN487" s="27"/>
      <c r="AO487" s="27"/>
      <c r="AP487" s="27"/>
      <c r="AQ487" s="27"/>
      <c r="AR487" s="27"/>
      <c r="AS487" s="27"/>
      <c r="AT487" s="27"/>
      <c r="AU487" s="27"/>
      <c r="AV487" s="27"/>
      <c r="AW487" s="27">
        <f t="shared" si="77"/>
        <v>4644444.444444444</v>
      </c>
      <c r="AX487" s="79">
        <f t="shared" si="78"/>
        <v>25319716.333333332</v>
      </c>
      <c r="AY487" s="79">
        <f t="shared" si="79"/>
        <v>58280283.666666672</v>
      </c>
      <c r="AZ487" s="25">
        <v>1</v>
      </c>
      <c r="BA487" s="62" t="s">
        <v>79</v>
      </c>
      <c r="BB487" s="66">
        <v>1</v>
      </c>
      <c r="BC487" s="66"/>
      <c r="BD487" s="66"/>
      <c r="BE487" s="67">
        <f t="shared" si="83"/>
        <v>2322222.222222222</v>
      </c>
      <c r="BF487" s="67">
        <f t="shared" si="76"/>
        <v>0</v>
      </c>
      <c r="BG487" s="67">
        <f t="shared" si="75"/>
        <v>0</v>
      </c>
      <c r="BH487" s="66"/>
      <c r="BI487" s="68" t="s">
        <v>1390</v>
      </c>
      <c r="BJ487" s="68" t="s">
        <v>117</v>
      </c>
      <c r="BK487" s="68" t="s">
        <v>117</v>
      </c>
      <c r="BL487" s="29"/>
      <c r="BO487" s="35" t="s">
        <v>1807</v>
      </c>
      <c r="BQ487" s="1" t="e">
        <v>#N/A</v>
      </c>
    </row>
    <row r="488" spans="3:69" ht="15" hidden="1" customHeight="1">
      <c r="C488" s="1" t="str">
        <f t="shared" si="80"/>
        <v>2501</v>
      </c>
      <c r="D488" s="1" t="str">
        <f t="shared" si="81"/>
        <v>2201</v>
      </c>
      <c r="E488" s="19" t="s">
        <v>1349</v>
      </c>
      <c r="F488" s="68" t="s">
        <v>1385</v>
      </c>
      <c r="G488" s="62">
        <v>2112</v>
      </c>
      <c r="H488" s="62" t="s">
        <v>1391</v>
      </c>
      <c r="I488" s="62" t="s">
        <v>1392</v>
      </c>
      <c r="J488" s="140">
        <v>1</v>
      </c>
      <c r="K488" s="119" t="s">
        <v>619</v>
      </c>
      <c r="L488" s="138" t="s">
        <v>1388</v>
      </c>
      <c r="M488" s="120" t="s">
        <v>1389</v>
      </c>
      <c r="N488" s="65">
        <v>44590</v>
      </c>
      <c r="O488" s="24"/>
      <c r="P488" s="24"/>
      <c r="Q488" s="64">
        <v>85000000</v>
      </c>
      <c r="R488" s="64"/>
      <c r="S488" s="64"/>
      <c r="T488" s="130"/>
      <c r="U488" s="139"/>
      <c r="V488" s="121">
        <v>85000000</v>
      </c>
      <c r="W488" s="122">
        <v>0</v>
      </c>
      <c r="X488" s="64">
        <v>85000000</v>
      </c>
      <c r="Y488" s="121"/>
      <c r="Z488" s="121"/>
      <c r="AA488" s="128"/>
      <c r="AB488" s="121"/>
      <c r="AC488" s="64">
        <v>85000000</v>
      </c>
      <c r="AD488" s="63">
        <v>44590</v>
      </c>
      <c r="AE488" s="65">
        <v>45685</v>
      </c>
      <c r="AF488" s="62">
        <v>3</v>
      </c>
      <c r="AG488" s="119">
        <v>36</v>
      </c>
      <c r="AH488" s="25">
        <v>2361111.111111111</v>
      </c>
      <c r="AI488" s="78">
        <v>54534049.111111119</v>
      </c>
      <c r="AJ488" s="78">
        <v>30465950.888888884</v>
      </c>
      <c r="AK488" s="27">
        <f t="shared" si="82"/>
        <v>2361111.111111111</v>
      </c>
      <c r="AL488" s="27">
        <f t="shared" si="84"/>
        <v>2361111.111111111</v>
      </c>
      <c r="AM488" s="27"/>
      <c r="AN488" s="27"/>
      <c r="AO488" s="27"/>
      <c r="AP488" s="27"/>
      <c r="AQ488" s="27"/>
      <c r="AR488" s="27"/>
      <c r="AS488" s="27"/>
      <c r="AT488" s="27"/>
      <c r="AU488" s="27"/>
      <c r="AV488" s="27"/>
      <c r="AW488" s="27">
        <f t="shared" si="77"/>
        <v>4722222.222222222</v>
      </c>
      <c r="AX488" s="79">
        <f t="shared" si="78"/>
        <v>25743728.666666657</v>
      </c>
      <c r="AY488" s="79">
        <f t="shared" si="79"/>
        <v>59256271.333333343</v>
      </c>
      <c r="AZ488" s="25">
        <v>1</v>
      </c>
      <c r="BA488" s="62" t="s">
        <v>79</v>
      </c>
      <c r="BB488" s="66">
        <v>1</v>
      </c>
      <c r="BC488" s="66"/>
      <c r="BD488" s="66"/>
      <c r="BE488" s="67">
        <f t="shared" si="83"/>
        <v>2361111.111111111</v>
      </c>
      <c r="BF488" s="67">
        <f t="shared" si="76"/>
        <v>0</v>
      </c>
      <c r="BG488" s="67">
        <f t="shared" si="75"/>
        <v>0</v>
      </c>
      <c r="BH488" s="66"/>
      <c r="BI488" s="68" t="s">
        <v>1390</v>
      </c>
      <c r="BJ488" s="68" t="s">
        <v>117</v>
      </c>
      <c r="BK488" s="68" t="s">
        <v>117</v>
      </c>
      <c r="BL488" s="29"/>
      <c r="BO488" s="35" t="s">
        <v>1807</v>
      </c>
      <c r="BQ488" s="1" t="e">
        <v>#N/A</v>
      </c>
    </row>
    <row r="489" spans="3:69" ht="15" hidden="1" customHeight="1">
      <c r="C489" s="1" t="str">
        <f t="shared" si="80"/>
        <v>2801</v>
      </c>
      <c r="D489" s="1" t="str">
        <f t="shared" si="81"/>
        <v>2201</v>
      </c>
      <c r="E489" s="19" t="s">
        <v>1349</v>
      </c>
      <c r="F489" s="68" t="s">
        <v>1367</v>
      </c>
      <c r="G489" s="62">
        <v>2113</v>
      </c>
      <c r="H489" s="62" t="s">
        <v>1393</v>
      </c>
      <c r="I489" s="62" t="s">
        <v>1394</v>
      </c>
      <c r="J489" s="140">
        <v>1</v>
      </c>
      <c r="K489" s="119" t="s">
        <v>619</v>
      </c>
      <c r="L489" s="138" t="s">
        <v>1395</v>
      </c>
      <c r="M489" s="120" t="s">
        <v>1396</v>
      </c>
      <c r="N489" s="65">
        <v>44574</v>
      </c>
      <c r="O489" s="24"/>
      <c r="P489" s="24"/>
      <c r="Q489" s="64">
        <v>414200000</v>
      </c>
      <c r="R489" s="64"/>
      <c r="S489" s="64"/>
      <c r="T489" s="130"/>
      <c r="U489" s="139"/>
      <c r="V489" s="121">
        <v>414200000</v>
      </c>
      <c r="W489" s="122">
        <v>0</v>
      </c>
      <c r="X489" s="64">
        <v>414200000</v>
      </c>
      <c r="Y489" s="121"/>
      <c r="Z489" s="121"/>
      <c r="AA489" s="128"/>
      <c r="AB489" s="121"/>
      <c r="AC489" s="64">
        <v>414200000</v>
      </c>
      <c r="AD489" s="63">
        <v>44574</v>
      </c>
      <c r="AE489" s="65">
        <v>46764</v>
      </c>
      <c r="AF489" s="62">
        <v>6</v>
      </c>
      <c r="AG489" s="119">
        <v>72</v>
      </c>
      <c r="AH489" s="25">
        <v>5752777.777777778</v>
      </c>
      <c r="AI489" s="78">
        <v>135839787.77777776</v>
      </c>
      <c r="AJ489" s="78">
        <v>278360212.22222221</v>
      </c>
      <c r="AK489" s="27">
        <f t="shared" si="82"/>
        <v>5752777.777777778</v>
      </c>
      <c r="AL489" s="27">
        <f t="shared" si="84"/>
        <v>5752777.777777778</v>
      </c>
      <c r="AM489" s="27"/>
      <c r="AN489" s="27"/>
      <c r="AO489" s="27"/>
      <c r="AP489" s="27"/>
      <c r="AQ489" s="27"/>
      <c r="AR489" s="27"/>
      <c r="AS489" s="27"/>
      <c r="AT489" s="27"/>
      <c r="AU489" s="27"/>
      <c r="AV489" s="27"/>
      <c r="AW489" s="27">
        <f t="shared" si="77"/>
        <v>11505555.555555556</v>
      </c>
      <c r="AX489" s="79">
        <f t="shared" si="78"/>
        <v>266854656.66666666</v>
      </c>
      <c r="AY489" s="79">
        <f t="shared" si="79"/>
        <v>147345343.33333331</v>
      </c>
      <c r="AZ489" s="25">
        <v>1</v>
      </c>
      <c r="BA489" s="62" t="s">
        <v>275</v>
      </c>
      <c r="BB489" s="66">
        <v>1</v>
      </c>
      <c r="BC489" s="66"/>
      <c r="BD489" s="66"/>
      <c r="BE489" s="67">
        <f t="shared" si="83"/>
        <v>5752777.777777778</v>
      </c>
      <c r="BF489" s="67">
        <f t="shared" si="76"/>
        <v>0</v>
      </c>
      <c r="BG489" s="67">
        <f t="shared" si="75"/>
        <v>0</v>
      </c>
      <c r="BH489" s="66"/>
      <c r="BI489" s="68" t="s">
        <v>1367</v>
      </c>
      <c r="BJ489" s="68" t="s">
        <v>117</v>
      </c>
      <c r="BK489" s="68" t="s">
        <v>117</v>
      </c>
      <c r="BL489" s="29"/>
      <c r="BO489" s="35" t="s">
        <v>1799</v>
      </c>
      <c r="BQ489" s="1" t="e">
        <v>#N/A</v>
      </c>
    </row>
    <row r="490" spans="3:69" ht="15" hidden="1" customHeight="1">
      <c r="C490" s="1" t="str">
        <f t="shared" si="80"/>
        <v>2812</v>
      </c>
      <c r="D490" s="1" t="str">
        <f t="shared" si="81"/>
        <v>2201</v>
      </c>
      <c r="E490" s="19" t="s">
        <v>1349</v>
      </c>
      <c r="F490" s="68" t="s">
        <v>515</v>
      </c>
      <c r="G490" s="62">
        <v>2112</v>
      </c>
      <c r="H490" s="62" t="s">
        <v>1397</v>
      </c>
      <c r="I490" s="62" t="s">
        <v>1398</v>
      </c>
      <c r="J490" s="140">
        <v>1</v>
      </c>
      <c r="K490" s="119"/>
      <c r="L490" s="62" t="s">
        <v>77</v>
      </c>
      <c r="M490" s="120" t="s">
        <v>320</v>
      </c>
      <c r="N490" s="65">
        <v>43565</v>
      </c>
      <c r="O490" s="24">
        <v>18011.22</v>
      </c>
      <c r="P490" s="24">
        <v>23251</v>
      </c>
      <c r="Q490" s="64">
        <v>418778876.22000003</v>
      </c>
      <c r="R490" s="64"/>
      <c r="S490" s="64"/>
      <c r="T490" s="130">
        <v>285990.39299999998</v>
      </c>
      <c r="U490" s="139" t="s">
        <v>321</v>
      </c>
      <c r="V490" s="121">
        <v>419064866.61299998</v>
      </c>
      <c r="W490" s="122">
        <v>0</v>
      </c>
      <c r="X490" s="64">
        <v>419064866.61300004</v>
      </c>
      <c r="Y490" s="121"/>
      <c r="Z490" s="121"/>
      <c r="AA490" s="128"/>
      <c r="AB490" s="121"/>
      <c r="AC490" s="64">
        <v>419064866.61300004</v>
      </c>
      <c r="AD490" s="63">
        <v>44562</v>
      </c>
      <c r="AE490" s="65">
        <v>47118</v>
      </c>
      <c r="AF490" s="62">
        <v>7</v>
      </c>
      <c r="AG490" s="119">
        <v>84</v>
      </c>
      <c r="AH490" s="25">
        <v>4988867.4596785717</v>
      </c>
      <c r="AI490" s="78">
        <v>119732812.59678574</v>
      </c>
      <c r="AJ490" s="78">
        <v>299332054.01621431</v>
      </c>
      <c r="AK490" s="27">
        <f t="shared" si="82"/>
        <v>4988867.4596785717</v>
      </c>
      <c r="AL490" s="27">
        <f t="shared" si="84"/>
        <v>4988867.4596785717</v>
      </c>
      <c r="AM490" s="27"/>
      <c r="AN490" s="27"/>
      <c r="AO490" s="27"/>
      <c r="AP490" s="27"/>
      <c r="AQ490" s="27"/>
      <c r="AR490" s="27"/>
      <c r="AS490" s="27"/>
      <c r="AT490" s="27"/>
      <c r="AU490" s="27"/>
      <c r="AV490" s="27"/>
      <c r="AW490" s="27">
        <f t="shared" si="77"/>
        <v>9977734.9193571433</v>
      </c>
      <c r="AX490" s="79">
        <f t="shared" si="78"/>
        <v>289354319.09685719</v>
      </c>
      <c r="AY490" s="79">
        <f t="shared" si="79"/>
        <v>129710547.51614287</v>
      </c>
      <c r="AZ490" s="25">
        <v>1</v>
      </c>
      <c r="BA490" s="62" t="s">
        <v>97</v>
      </c>
      <c r="BB490" s="66">
        <v>1</v>
      </c>
      <c r="BC490" s="66"/>
      <c r="BD490" s="66"/>
      <c r="BE490" s="67">
        <f t="shared" si="83"/>
        <v>4988867.4596785717</v>
      </c>
      <c r="BF490" s="67">
        <f t="shared" si="76"/>
        <v>0</v>
      </c>
      <c r="BG490" s="67">
        <f t="shared" si="75"/>
        <v>0</v>
      </c>
      <c r="BH490" s="66"/>
      <c r="BI490" s="68" t="s">
        <v>117</v>
      </c>
      <c r="BJ490" s="68" t="s">
        <v>117</v>
      </c>
      <c r="BK490" s="68" t="s">
        <v>117</v>
      </c>
      <c r="BL490" s="29"/>
      <c r="BO490" s="35" t="s">
        <v>1805</v>
      </c>
      <c r="BQ490" s="1">
        <v>0</v>
      </c>
    </row>
    <row r="491" spans="3:69" ht="15" hidden="1" customHeight="1">
      <c r="C491" s="1" t="str">
        <f t="shared" si="80"/>
        <v>2812</v>
      </c>
      <c r="D491" s="1" t="str">
        <f t="shared" si="81"/>
        <v>2201</v>
      </c>
      <c r="E491" s="19" t="s">
        <v>1349</v>
      </c>
      <c r="F491" s="68" t="s">
        <v>1399</v>
      </c>
      <c r="G491" s="62">
        <v>2112</v>
      </c>
      <c r="H491" s="62" t="s">
        <v>1400</v>
      </c>
      <c r="I491" s="62" t="s">
        <v>1401</v>
      </c>
      <c r="J491" s="140">
        <v>1</v>
      </c>
      <c r="K491" s="119" t="s">
        <v>619</v>
      </c>
      <c r="L491" s="62" t="s">
        <v>77</v>
      </c>
      <c r="M491" s="120" t="s">
        <v>751</v>
      </c>
      <c r="N491" s="65">
        <v>43929</v>
      </c>
      <c r="O491" s="24">
        <v>25000</v>
      </c>
      <c r="P491" s="24">
        <v>23525</v>
      </c>
      <c r="Q491" s="64">
        <v>588125000</v>
      </c>
      <c r="R491" s="64"/>
      <c r="S491" s="64"/>
      <c r="T491" s="130">
        <v>52675772</v>
      </c>
      <c r="U491" s="139" t="s">
        <v>752</v>
      </c>
      <c r="V491" s="121">
        <v>640800772</v>
      </c>
      <c r="W491" s="122">
        <v>0</v>
      </c>
      <c r="X491" s="64">
        <v>640800772</v>
      </c>
      <c r="Y491" s="121"/>
      <c r="Z491" s="121"/>
      <c r="AA491" s="128"/>
      <c r="AB491" s="121"/>
      <c r="AC491" s="64">
        <v>640800772</v>
      </c>
      <c r="AD491" s="63">
        <v>44562</v>
      </c>
      <c r="AE491" s="65">
        <v>47118</v>
      </c>
      <c r="AF491" s="62">
        <v>7</v>
      </c>
      <c r="AG491" s="119">
        <v>84</v>
      </c>
      <c r="AH491" s="25">
        <v>7628580.6190476194</v>
      </c>
      <c r="AI491" s="78">
        <v>183085940.19047618</v>
      </c>
      <c r="AJ491" s="78">
        <v>457714831.80952382</v>
      </c>
      <c r="AK491" s="27">
        <f t="shared" si="82"/>
        <v>7628580.6190476194</v>
      </c>
      <c r="AL491" s="27">
        <f t="shared" si="84"/>
        <v>7628580.6190476194</v>
      </c>
      <c r="AM491" s="27"/>
      <c r="AN491" s="27"/>
      <c r="AO491" s="27"/>
      <c r="AP491" s="27"/>
      <c r="AQ491" s="27"/>
      <c r="AR491" s="27"/>
      <c r="AS491" s="27"/>
      <c r="AT491" s="27"/>
      <c r="AU491" s="27"/>
      <c r="AV491" s="27"/>
      <c r="AW491" s="27">
        <f t="shared" si="77"/>
        <v>15257161.238095239</v>
      </c>
      <c r="AX491" s="79">
        <f t="shared" si="78"/>
        <v>442457670.5714286</v>
      </c>
      <c r="AY491" s="79">
        <f t="shared" si="79"/>
        <v>198343101.4285714</v>
      </c>
      <c r="AZ491" s="25">
        <v>1</v>
      </c>
      <c r="BA491" s="62" t="s">
        <v>97</v>
      </c>
      <c r="BB491" s="66">
        <v>1</v>
      </c>
      <c r="BC491" s="66"/>
      <c r="BD491" s="66"/>
      <c r="BE491" s="67">
        <f t="shared" si="83"/>
        <v>7628580.6190476194</v>
      </c>
      <c r="BF491" s="67">
        <f t="shared" si="76"/>
        <v>0</v>
      </c>
      <c r="BG491" s="67">
        <f t="shared" si="75"/>
        <v>0</v>
      </c>
      <c r="BH491" s="66"/>
      <c r="BI491" s="68" t="s">
        <v>1399</v>
      </c>
      <c r="BJ491" s="68" t="s">
        <v>98</v>
      </c>
      <c r="BK491" s="68" t="s">
        <v>98</v>
      </c>
      <c r="BL491" s="29"/>
      <c r="BO491" s="35" t="s">
        <v>1805</v>
      </c>
      <c r="BQ491" s="1" t="s">
        <v>1982</v>
      </c>
    </row>
    <row r="492" spans="3:69" ht="15" hidden="1" customHeight="1">
      <c r="C492" s="1" t="str">
        <f t="shared" si="80"/>
        <v>2812</v>
      </c>
      <c r="D492" s="1" t="str">
        <f t="shared" si="81"/>
        <v>2201</v>
      </c>
      <c r="E492" s="19" t="s">
        <v>1349</v>
      </c>
      <c r="F492" s="68" t="s">
        <v>1399</v>
      </c>
      <c r="G492" s="62">
        <v>2112</v>
      </c>
      <c r="H492" s="62" t="s">
        <v>1402</v>
      </c>
      <c r="I492" s="62" t="s">
        <v>1403</v>
      </c>
      <c r="J492" s="140">
        <v>1</v>
      </c>
      <c r="K492" s="119" t="s">
        <v>271</v>
      </c>
      <c r="L492" s="62" t="s">
        <v>77</v>
      </c>
      <c r="M492" s="120" t="s">
        <v>1004</v>
      </c>
      <c r="N492" s="65">
        <v>44161</v>
      </c>
      <c r="O492" s="24">
        <v>33500</v>
      </c>
      <c r="P492" s="24">
        <v>23265</v>
      </c>
      <c r="Q492" s="64">
        <v>779377500</v>
      </c>
      <c r="R492" s="64"/>
      <c r="S492" s="64"/>
      <c r="T492" s="130">
        <v>4499428</v>
      </c>
      <c r="U492" s="139" t="s">
        <v>1005</v>
      </c>
      <c r="V492" s="121">
        <v>783876928</v>
      </c>
      <c r="W492" s="122">
        <v>0</v>
      </c>
      <c r="X492" s="64">
        <v>783876928</v>
      </c>
      <c r="Y492" s="121"/>
      <c r="Z492" s="121"/>
      <c r="AA492" s="128"/>
      <c r="AB492" s="121"/>
      <c r="AC492" s="64">
        <v>783876928</v>
      </c>
      <c r="AD492" s="63">
        <v>44562</v>
      </c>
      <c r="AE492" s="65">
        <v>47118</v>
      </c>
      <c r="AF492" s="62">
        <v>7</v>
      </c>
      <c r="AG492" s="119">
        <v>84</v>
      </c>
      <c r="AH492" s="25">
        <v>9331868.1904761903</v>
      </c>
      <c r="AI492" s="78">
        <v>223964833.90476191</v>
      </c>
      <c r="AJ492" s="78">
        <v>559912094.09523809</v>
      </c>
      <c r="AK492" s="27">
        <f t="shared" si="82"/>
        <v>9331868.1904761903</v>
      </c>
      <c r="AL492" s="27">
        <f t="shared" si="84"/>
        <v>9331868.1904761903</v>
      </c>
      <c r="AM492" s="27"/>
      <c r="AN492" s="27"/>
      <c r="AO492" s="27"/>
      <c r="AP492" s="27"/>
      <c r="AQ492" s="27"/>
      <c r="AR492" s="27"/>
      <c r="AS492" s="27"/>
      <c r="AT492" s="27"/>
      <c r="AU492" s="27"/>
      <c r="AV492" s="27"/>
      <c r="AW492" s="27">
        <f t="shared" si="77"/>
        <v>18663736.380952381</v>
      </c>
      <c r="AX492" s="79">
        <f t="shared" si="78"/>
        <v>541248357.71428573</v>
      </c>
      <c r="AY492" s="79">
        <f t="shared" si="79"/>
        <v>242628570.2857143</v>
      </c>
      <c r="AZ492" s="25">
        <v>1</v>
      </c>
      <c r="BA492" s="62" t="s">
        <v>97</v>
      </c>
      <c r="BB492" s="66">
        <v>1</v>
      </c>
      <c r="BC492" s="66"/>
      <c r="BD492" s="66"/>
      <c r="BE492" s="67">
        <f t="shared" si="83"/>
        <v>9331868.1904761903</v>
      </c>
      <c r="BF492" s="67">
        <f t="shared" si="76"/>
        <v>0</v>
      </c>
      <c r="BG492" s="67">
        <f t="shared" si="75"/>
        <v>0</v>
      </c>
      <c r="BH492" s="66"/>
      <c r="BI492" s="68" t="s">
        <v>1399</v>
      </c>
      <c r="BJ492" s="68" t="s">
        <v>98</v>
      </c>
      <c r="BK492" s="68" t="s">
        <v>98</v>
      </c>
      <c r="BL492" s="29"/>
      <c r="BO492" s="35" t="s">
        <v>1805</v>
      </c>
      <c r="BQ492" s="1" t="s">
        <v>1982</v>
      </c>
    </row>
    <row r="493" spans="3:69" ht="15" hidden="1" customHeight="1">
      <c r="C493" s="1" t="str">
        <f t="shared" si="80"/>
        <v>2712</v>
      </c>
      <c r="D493" s="1" t="str">
        <f t="shared" si="81"/>
        <v>2201</v>
      </c>
      <c r="E493" s="19" t="s">
        <v>1349</v>
      </c>
      <c r="F493" s="68" t="s">
        <v>466</v>
      </c>
      <c r="G493" s="62">
        <v>2114</v>
      </c>
      <c r="H493" s="62" t="s">
        <v>1404</v>
      </c>
      <c r="I493" s="62" t="s">
        <v>1405</v>
      </c>
      <c r="J493" s="140">
        <v>1</v>
      </c>
      <c r="K493" s="119" t="s">
        <v>271</v>
      </c>
      <c r="L493" s="62" t="s">
        <v>77</v>
      </c>
      <c r="M493" s="120" t="s">
        <v>1406</v>
      </c>
      <c r="N493" s="65">
        <v>44211</v>
      </c>
      <c r="O493" s="24">
        <v>2000</v>
      </c>
      <c r="P493" s="24">
        <v>23166</v>
      </c>
      <c r="Q493" s="64">
        <v>46332000</v>
      </c>
      <c r="R493" s="64"/>
      <c r="S493" s="64"/>
      <c r="T493" s="130">
        <v>161789</v>
      </c>
      <c r="U493" s="139" t="s">
        <v>1407</v>
      </c>
      <c r="V493" s="121">
        <v>46493789</v>
      </c>
      <c r="W493" s="122">
        <v>0</v>
      </c>
      <c r="X493" s="64">
        <v>46493789</v>
      </c>
      <c r="Y493" s="121"/>
      <c r="Z493" s="121"/>
      <c r="AA493" s="128"/>
      <c r="AB493" s="121"/>
      <c r="AC493" s="64">
        <v>46493789</v>
      </c>
      <c r="AD493" s="63">
        <v>44562</v>
      </c>
      <c r="AE493" s="65">
        <v>46752</v>
      </c>
      <c r="AF493" s="62">
        <v>6</v>
      </c>
      <c r="AG493" s="119">
        <v>72</v>
      </c>
      <c r="AH493" s="25">
        <v>645747.0694444445</v>
      </c>
      <c r="AI493" s="78">
        <v>15497928.694444442</v>
      </c>
      <c r="AJ493" s="78">
        <v>30995860.30555556</v>
      </c>
      <c r="AK493" s="27">
        <f t="shared" si="82"/>
        <v>645747.0694444445</v>
      </c>
      <c r="AL493" s="27">
        <f t="shared" si="84"/>
        <v>645747.0694444445</v>
      </c>
      <c r="AM493" s="27"/>
      <c r="AN493" s="27"/>
      <c r="AO493" s="27"/>
      <c r="AP493" s="27"/>
      <c r="AQ493" s="27"/>
      <c r="AR493" s="27"/>
      <c r="AS493" s="27"/>
      <c r="AT493" s="27"/>
      <c r="AU493" s="27"/>
      <c r="AV493" s="27"/>
      <c r="AW493" s="27">
        <f t="shared" si="77"/>
        <v>1291494.138888889</v>
      </c>
      <c r="AX493" s="79">
        <f t="shared" si="78"/>
        <v>29704366.166666672</v>
      </c>
      <c r="AY493" s="79">
        <f t="shared" si="79"/>
        <v>16789422.833333332</v>
      </c>
      <c r="AZ493" s="25">
        <v>1</v>
      </c>
      <c r="BA493" s="62" t="s">
        <v>79</v>
      </c>
      <c r="BB493" s="66">
        <v>1</v>
      </c>
      <c r="BC493" s="66"/>
      <c r="BD493" s="66"/>
      <c r="BE493" s="67">
        <f t="shared" si="83"/>
        <v>645747.0694444445</v>
      </c>
      <c r="BF493" s="67">
        <f t="shared" si="76"/>
        <v>0</v>
      </c>
      <c r="BG493" s="67">
        <f t="shared" si="75"/>
        <v>0</v>
      </c>
      <c r="BH493" s="66"/>
      <c r="BI493" s="68" t="s">
        <v>466</v>
      </c>
      <c r="BJ493" s="68" t="s">
        <v>58</v>
      </c>
      <c r="BK493" s="68" t="s">
        <v>159</v>
      </c>
      <c r="BL493" s="29"/>
      <c r="BO493" s="35" t="s">
        <v>1804</v>
      </c>
      <c r="BQ493" s="1" t="e">
        <v>#N/A</v>
      </c>
    </row>
    <row r="494" spans="3:69" ht="15" hidden="1" customHeight="1">
      <c r="C494" s="1" t="str">
        <f t="shared" si="80"/>
        <v>3112</v>
      </c>
      <c r="D494" s="1" t="str">
        <f t="shared" si="81"/>
        <v>2201</v>
      </c>
      <c r="E494" s="19" t="s">
        <v>1349</v>
      </c>
      <c r="F494" s="68" t="s">
        <v>1399</v>
      </c>
      <c r="G494" s="62">
        <v>2112</v>
      </c>
      <c r="H494" s="62" t="s">
        <v>1408</v>
      </c>
      <c r="I494" s="62" t="s">
        <v>1409</v>
      </c>
      <c r="J494" s="140">
        <v>1</v>
      </c>
      <c r="K494" s="119" t="s">
        <v>619</v>
      </c>
      <c r="L494" s="62" t="s">
        <v>77</v>
      </c>
      <c r="M494" s="120" t="s">
        <v>1213</v>
      </c>
      <c r="N494" s="65">
        <v>44330</v>
      </c>
      <c r="O494" s="24">
        <v>281000</v>
      </c>
      <c r="P494" s="24">
        <v>23160</v>
      </c>
      <c r="Q494" s="64">
        <v>6507960000</v>
      </c>
      <c r="R494" s="64"/>
      <c r="S494" s="64"/>
      <c r="T494" s="130">
        <v>19019862</v>
      </c>
      <c r="U494" s="139" t="s">
        <v>1214</v>
      </c>
      <c r="V494" s="121">
        <v>6526979862</v>
      </c>
      <c r="W494" s="122">
        <v>0</v>
      </c>
      <c r="X494" s="64">
        <v>6526979862</v>
      </c>
      <c r="Y494" s="121"/>
      <c r="Z494" s="121"/>
      <c r="AA494" s="128"/>
      <c r="AB494" s="121"/>
      <c r="AC494" s="64">
        <v>6526979862</v>
      </c>
      <c r="AD494" s="63">
        <v>44562</v>
      </c>
      <c r="AE494" s="65">
        <v>48213</v>
      </c>
      <c r="AF494" s="62">
        <v>10</v>
      </c>
      <c r="AG494" s="119">
        <v>120</v>
      </c>
      <c r="AH494" s="25">
        <v>54391498.850000001</v>
      </c>
      <c r="AI494" s="78">
        <v>1305395974.5</v>
      </c>
      <c r="AJ494" s="78">
        <v>5221583887.5</v>
      </c>
      <c r="AK494" s="27">
        <f t="shared" si="82"/>
        <v>54391498.850000001</v>
      </c>
      <c r="AL494" s="27">
        <f t="shared" si="84"/>
        <v>54391498.850000001</v>
      </c>
      <c r="AM494" s="27"/>
      <c r="AN494" s="27"/>
      <c r="AO494" s="27"/>
      <c r="AP494" s="27"/>
      <c r="AQ494" s="27"/>
      <c r="AR494" s="27"/>
      <c r="AS494" s="27"/>
      <c r="AT494" s="27"/>
      <c r="AU494" s="27"/>
      <c r="AV494" s="27"/>
      <c r="AW494" s="27">
        <f t="shared" si="77"/>
        <v>108782997.7</v>
      </c>
      <c r="AX494" s="79">
        <f t="shared" si="78"/>
        <v>5112800889.8000002</v>
      </c>
      <c r="AY494" s="79">
        <f t="shared" si="79"/>
        <v>1414178972.2</v>
      </c>
      <c r="AZ494" s="25">
        <v>1</v>
      </c>
      <c r="BA494" s="62" t="s">
        <v>97</v>
      </c>
      <c r="BB494" s="66">
        <v>1</v>
      </c>
      <c r="BC494" s="66"/>
      <c r="BD494" s="66"/>
      <c r="BE494" s="67">
        <f t="shared" si="83"/>
        <v>54391498.850000001</v>
      </c>
      <c r="BF494" s="67">
        <f t="shared" si="76"/>
        <v>0</v>
      </c>
      <c r="BG494" s="67">
        <f t="shared" si="75"/>
        <v>0</v>
      </c>
      <c r="BH494" s="66"/>
      <c r="BI494" s="68" t="s">
        <v>1399</v>
      </c>
      <c r="BJ494" s="68" t="s">
        <v>85</v>
      </c>
      <c r="BK494" s="68" t="s">
        <v>85</v>
      </c>
      <c r="BL494" s="29"/>
      <c r="BO494" s="35" t="s">
        <v>1805</v>
      </c>
      <c r="BQ494" s="1" t="s">
        <v>1980</v>
      </c>
    </row>
    <row r="495" spans="3:69" ht="15" hidden="1" customHeight="1">
      <c r="C495" s="1" t="str">
        <f t="shared" si="80"/>
        <v>3112</v>
      </c>
      <c r="D495" s="1" t="str">
        <f t="shared" si="81"/>
        <v>2201</v>
      </c>
      <c r="E495" s="19" t="s">
        <v>1349</v>
      </c>
      <c r="F495" s="68" t="s">
        <v>515</v>
      </c>
      <c r="G495" s="62">
        <v>2112</v>
      </c>
      <c r="H495" s="62" t="s">
        <v>1410</v>
      </c>
      <c r="I495" s="62" t="s">
        <v>1411</v>
      </c>
      <c r="J495" s="140">
        <v>1</v>
      </c>
      <c r="K495" s="119" t="s">
        <v>619</v>
      </c>
      <c r="L495" s="62" t="s">
        <v>77</v>
      </c>
      <c r="M495" s="120" t="s">
        <v>1213</v>
      </c>
      <c r="N495" s="65">
        <v>44330</v>
      </c>
      <c r="O495" s="24">
        <v>265000</v>
      </c>
      <c r="P495" s="24">
        <v>23160</v>
      </c>
      <c r="Q495" s="64">
        <v>6137400000</v>
      </c>
      <c r="R495" s="64"/>
      <c r="S495" s="64"/>
      <c r="T495" s="130">
        <v>17936881</v>
      </c>
      <c r="U495" s="139" t="s">
        <v>1214</v>
      </c>
      <c r="V495" s="121">
        <v>6155336881</v>
      </c>
      <c r="W495" s="122">
        <v>0</v>
      </c>
      <c r="X495" s="64">
        <v>6155336881</v>
      </c>
      <c r="Y495" s="121"/>
      <c r="Z495" s="121"/>
      <c r="AA495" s="128"/>
      <c r="AB495" s="121"/>
      <c r="AC495" s="64">
        <v>6155336881</v>
      </c>
      <c r="AD495" s="63">
        <v>44562</v>
      </c>
      <c r="AE495" s="65">
        <v>48213</v>
      </c>
      <c r="AF495" s="62">
        <v>10</v>
      </c>
      <c r="AG495" s="119">
        <v>120</v>
      </c>
      <c r="AH495" s="25">
        <v>51294474.008333333</v>
      </c>
      <c r="AI495" s="78">
        <v>1231067376.0833333</v>
      </c>
      <c r="AJ495" s="78">
        <v>4924269504.916667</v>
      </c>
      <c r="AK495" s="27">
        <f t="shared" si="82"/>
        <v>51294474.008333333</v>
      </c>
      <c r="AL495" s="27">
        <f t="shared" si="84"/>
        <v>51294474.008333333</v>
      </c>
      <c r="AM495" s="27"/>
      <c r="AN495" s="27"/>
      <c r="AO495" s="27"/>
      <c r="AP495" s="27"/>
      <c r="AQ495" s="27"/>
      <c r="AR495" s="27"/>
      <c r="AS495" s="27"/>
      <c r="AT495" s="27"/>
      <c r="AU495" s="27"/>
      <c r="AV495" s="27"/>
      <c r="AW495" s="27">
        <f t="shared" si="77"/>
        <v>102588948.01666667</v>
      </c>
      <c r="AX495" s="79">
        <f t="shared" si="78"/>
        <v>4821680556.9000006</v>
      </c>
      <c r="AY495" s="79">
        <f t="shared" si="79"/>
        <v>1333656324.0999999</v>
      </c>
      <c r="AZ495" s="25">
        <v>1</v>
      </c>
      <c r="BA495" s="62" t="s">
        <v>97</v>
      </c>
      <c r="BB495" s="66">
        <v>1</v>
      </c>
      <c r="BC495" s="66"/>
      <c r="BD495" s="66"/>
      <c r="BE495" s="67">
        <f t="shared" si="83"/>
        <v>51294474.008333333</v>
      </c>
      <c r="BF495" s="67">
        <f t="shared" si="76"/>
        <v>0</v>
      </c>
      <c r="BG495" s="67">
        <f t="shared" si="75"/>
        <v>0</v>
      </c>
      <c r="BH495" s="66"/>
      <c r="BI495" s="68" t="s">
        <v>871</v>
      </c>
      <c r="BJ495" s="68" t="s">
        <v>85</v>
      </c>
      <c r="BK495" s="68" t="s">
        <v>85</v>
      </c>
      <c r="BL495" s="29"/>
      <c r="BO495" s="35" t="s">
        <v>1805</v>
      </c>
      <c r="BQ495" s="1" t="s">
        <v>1980</v>
      </c>
    </row>
    <row r="496" spans="3:69" ht="15" hidden="1" customHeight="1">
      <c r="C496" s="1" t="str">
        <f t="shared" si="80"/>
        <v>3112</v>
      </c>
      <c r="D496" s="1" t="str">
        <f t="shared" si="81"/>
        <v>2201</v>
      </c>
      <c r="E496" s="19" t="s">
        <v>1349</v>
      </c>
      <c r="F496" s="68" t="s">
        <v>515</v>
      </c>
      <c r="G496" s="62">
        <v>2112</v>
      </c>
      <c r="H496" s="62" t="s">
        <v>1412</v>
      </c>
      <c r="I496" s="62" t="s">
        <v>1413</v>
      </c>
      <c r="J496" s="140">
        <v>1</v>
      </c>
      <c r="K496" s="119" t="s">
        <v>619</v>
      </c>
      <c r="L496" s="62" t="s">
        <v>77</v>
      </c>
      <c r="M496" s="120" t="s">
        <v>1213</v>
      </c>
      <c r="N496" s="65">
        <v>44330</v>
      </c>
      <c r="O496" s="24">
        <v>247000</v>
      </c>
      <c r="P496" s="24">
        <v>23160</v>
      </c>
      <c r="Q496" s="64">
        <v>5720520000</v>
      </c>
      <c r="R496" s="64"/>
      <c r="S496" s="64"/>
      <c r="T496" s="130">
        <v>16718526</v>
      </c>
      <c r="U496" s="139" t="s">
        <v>1214</v>
      </c>
      <c r="V496" s="121">
        <v>5737238526</v>
      </c>
      <c r="W496" s="122">
        <v>0</v>
      </c>
      <c r="X496" s="64">
        <v>5737238526</v>
      </c>
      <c r="Y496" s="121"/>
      <c r="Z496" s="121"/>
      <c r="AA496" s="128"/>
      <c r="AB496" s="121"/>
      <c r="AC496" s="64">
        <v>5737238526</v>
      </c>
      <c r="AD496" s="63">
        <v>44562</v>
      </c>
      <c r="AE496" s="65">
        <v>48213</v>
      </c>
      <c r="AF496" s="62">
        <v>10</v>
      </c>
      <c r="AG496" s="119">
        <v>120</v>
      </c>
      <c r="AH496" s="25">
        <v>47810321.049999997</v>
      </c>
      <c r="AI496" s="78">
        <v>1147447704.5</v>
      </c>
      <c r="AJ496" s="78">
        <v>4589790821.5</v>
      </c>
      <c r="AK496" s="27">
        <f t="shared" si="82"/>
        <v>47810321.049999997</v>
      </c>
      <c r="AL496" s="27">
        <f t="shared" si="84"/>
        <v>47810321.049999997</v>
      </c>
      <c r="AM496" s="27"/>
      <c r="AN496" s="27"/>
      <c r="AO496" s="27"/>
      <c r="AP496" s="27"/>
      <c r="AQ496" s="27"/>
      <c r="AR496" s="27"/>
      <c r="AS496" s="27"/>
      <c r="AT496" s="27"/>
      <c r="AU496" s="27"/>
      <c r="AV496" s="27"/>
      <c r="AW496" s="27">
        <f t="shared" si="77"/>
        <v>95620642.099999994</v>
      </c>
      <c r="AX496" s="79">
        <f t="shared" si="78"/>
        <v>4494170179.3999996</v>
      </c>
      <c r="AY496" s="79">
        <f t="shared" si="79"/>
        <v>1243068346.5999999</v>
      </c>
      <c r="AZ496" s="25">
        <v>1</v>
      </c>
      <c r="BA496" s="62" t="s">
        <v>97</v>
      </c>
      <c r="BB496" s="66">
        <v>1</v>
      </c>
      <c r="BC496" s="66"/>
      <c r="BD496" s="66"/>
      <c r="BE496" s="67">
        <f t="shared" si="83"/>
        <v>47810321.049999997</v>
      </c>
      <c r="BF496" s="67">
        <f t="shared" si="76"/>
        <v>0</v>
      </c>
      <c r="BG496" s="67">
        <f t="shared" si="75"/>
        <v>0</v>
      </c>
      <c r="BH496" s="66"/>
      <c r="BI496" s="68" t="s">
        <v>871</v>
      </c>
      <c r="BJ496" s="68" t="s">
        <v>85</v>
      </c>
      <c r="BK496" s="68" t="s">
        <v>85</v>
      </c>
      <c r="BL496" s="29"/>
      <c r="BO496" s="35" t="s">
        <v>1805</v>
      </c>
      <c r="BQ496" s="1" t="s">
        <v>1980</v>
      </c>
    </row>
    <row r="497" spans="1:69" ht="15" hidden="1" customHeight="1">
      <c r="C497" s="1" t="str">
        <f t="shared" si="80"/>
        <v>3112</v>
      </c>
      <c r="D497" s="1" t="str">
        <f t="shared" si="81"/>
        <v>2201</v>
      </c>
      <c r="E497" s="19" t="s">
        <v>1349</v>
      </c>
      <c r="F497" s="68" t="s">
        <v>515</v>
      </c>
      <c r="G497" s="62">
        <v>2112</v>
      </c>
      <c r="H497" s="62" t="s">
        <v>1414</v>
      </c>
      <c r="I497" s="62" t="s">
        <v>1415</v>
      </c>
      <c r="J497" s="140">
        <v>1</v>
      </c>
      <c r="K497" s="119" t="s">
        <v>619</v>
      </c>
      <c r="L497" s="138" t="s">
        <v>1416</v>
      </c>
      <c r="M497" s="120" t="s">
        <v>1417</v>
      </c>
      <c r="N497" s="65">
        <v>44445</v>
      </c>
      <c r="O497" s="24">
        <v>435000</v>
      </c>
      <c r="P497" s="24">
        <v>23031.7</v>
      </c>
      <c r="Q497" s="64">
        <v>10018789500</v>
      </c>
      <c r="R497" s="64">
        <v>0</v>
      </c>
      <c r="S497" s="64"/>
      <c r="T497" s="130">
        <v>25105000</v>
      </c>
      <c r="U497" s="139" t="s">
        <v>1418</v>
      </c>
      <c r="V497" s="121">
        <v>10043894500</v>
      </c>
      <c r="W497" s="122"/>
      <c r="X497" s="64">
        <v>10043894500</v>
      </c>
      <c r="Y497" s="121"/>
      <c r="Z497" s="121"/>
      <c r="AA497" s="128"/>
      <c r="AB497" s="121"/>
      <c r="AC497" s="64">
        <v>10043894500</v>
      </c>
      <c r="AD497" s="63">
        <v>44562</v>
      </c>
      <c r="AE497" s="65">
        <v>48213</v>
      </c>
      <c r="AF497" s="62">
        <v>10</v>
      </c>
      <c r="AG497" s="119">
        <v>120</v>
      </c>
      <c r="AH497" s="25">
        <v>83699120.833333328</v>
      </c>
      <c r="AI497" s="78">
        <v>2008778902.3333335</v>
      </c>
      <c r="AJ497" s="78">
        <v>8035115597.666666</v>
      </c>
      <c r="AK497" s="27">
        <f t="shared" si="82"/>
        <v>83699120.833333328</v>
      </c>
      <c r="AL497" s="27">
        <f t="shared" si="84"/>
        <v>83699120.833333328</v>
      </c>
      <c r="AM497" s="27"/>
      <c r="AN497" s="27"/>
      <c r="AO497" s="27"/>
      <c r="AP497" s="27"/>
      <c r="AQ497" s="27"/>
      <c r="AR497" s="27"/>
      <c r="AS497" s="27"/>
      <c r="AT497" s="27"/>
      <c r="AU497" s="27"/>
      <c r="AV497" s="27"/>
      <c r="AW497" s="27">
        <f t="shared" si="77"/>
        <v>167398241.66666666</v>
      </c>
      <c r="AX497" s="79">
        <f t="shared" si="78"/>
        <v>7867717355.999999</v>
      </c>
      <c r="AY497" s="79">
        <f t="shared" si="79"/>
        <v>2176177144</v>
      </c>
      <c r="AZ497" s="25">
        <v>1</v>
      </c>
      <c r="BA497" s="62" t="s">
        <v>97</v>
      </c>
      <c r="BB497" s="66">
        <v>1</v>
      </c>
      <c r="BC497" s="66"/>
      <c r="BD497" s="66"/>
      <c r="BE497" s="67">
        <f t="shared" si="83"/>
        <v>83699120.833333328</v>
      </c>
      <c r="BF497" s="67">
        <f t="shared" si="76"/>
        <v>0</v>
      </c>
      <c r="BG497" s="67">
        <f t="shared" si="75"/>
        <v>0</v>
      </c>
      <c r="BH497" s="66"/>
      <c r="BI497" s="68"/>
      <c r="BJ497" s="68" t="s">
        <v>85</v>
      </c>
      <c r="BK497" s="68" t="s">
        <v>85</v>
      </c>
      <c r="BL497" s="29"/>
      <c r="BO497" s="35" t="s">
        <v>1805</v>
      </c>
      <c r="BQ497" s="1" t="s">
        <v>1980</v>
      </c>
    </row>
    <row r="498" spans="1:69" ht="15" hidden="1" customHeight="1">
      <c r="C498" s="1" t="str">
        <f t="shared" si="80"/>
        <v>3002</v>
      </c>
      <c r="D498" s="1" t="str">
        <f t="shared" si="81"/>
        <v>2202</v>
      </c>
      <c r="E498" s="19" t="s">
        <v>1419</v>
      </c>
      <c r="F498" s="68" t="s">
        <v>49</v>
      </c>
      <c r="G498" s="62">
        <v>2112</v>
      </c>
      <c r="H498" s="62" t="s">
        <v>1420</v>
      </c>
      <c r="I498" s="62" t="s">
        <v>1421</v>
      </c>
      <c r="J498" s="140">
        <v>1</v>
      </c>
      <c r="K498" s="119" t="s">
        <v>619</v>
      </c>
      <c r="L498" s="62" t="s">
        <v>77</v>
      </c>
      <c r="M498" s="120" t="s">
        <v>1325</v>
      </c>
      <c r="N498" s="65" t="s">
        <v>1326</v>
      </c>
      <c r="O498" s="24">
        <v>196500</v>
      </c>
      <c r="P498" s="24">
        <v>22790</v>
      </c>
      <c r="Q498" s="64">
        <v>4478235000</v>
      </c>
      <c r="R498" s="64"/>
      <c r="S498" s="64"/>
      <c r="T498" s="130">
        <v>19010550.47545528</v>
      </c>
      <c r="U498" s="139" t="s">
        <v>1327</v>
      </c>
      <c r="V498" s="121">
        <v>4497245550</v>
      </c>
      <c r="W498" s="122"/>
      <c r="X498" s="64">
        <v>4497245550</v>
      </c>
      <c r="Y498" s="121"/>
      <c r="Z498" s="121"/>
      <c r="AA498" s="128"/>
      <c r="AB498" s="121"/>
      <c r="AC498" s="64">
        <v>4497245550</v>
      </c>
      <c r="AD498" s="63">
        <v>44599</v>
      </c>
      <c r="AE498" s="65">
        <v>47520</v>
      </c>
      <c r="AF498" s="62">
        <v>8</v>
      </c>
      <c r="AG498" s="119">
        <v>96</v>
      </c>
      <c r="AH498" s="25">
        <v>46846307.8125</v>
      </c>
      <c r="AI498" s="78">
        <v>1067426587.125</v>
      </c>
      <c r="AJ498" s="78">
        <v>3429818962.875</v>
      </c>
      <c r="AK498" s="27">
        <f t="shared" si="82"/>
        <v>46846307.8125</v>
      </c>
      <c r="AL498" s="27">
        <f t="shared" si="84"/>
        <v>46846307.8125</v>
      </c>
      <c r="AM498" s="27"/>
      <c r="AN498" s="27"/>
      <c r="AO498" s="27"/>
      <c r="AP498" s="27"/>
      <c r="AQ498" s="27"/>
      <c r="AR498" s="27"/>
      <c r="AS498" s="27"/>
      <c r="AT498" s="27"/>
      <c r="AU498" s="27"/>
      <c r="AV498" s="27"/>
      <c r="AW498" s="27">
        <f t="shared" si="77"/>
        <v>93692615.625</v>
      </c>
      <c r="AX498" s="79">
        <f t="shared" si="78"/>
        <v>3336126347.25</v>
      </c>
      <c r="AY498" s="79">
        <f t="shared" si="79"/>
        <v>1161119202.75</v>
      </c>
      <c r="AZ498" s="25">
        <v>1</v>
      </c>
      <c r="BA498" s="62" t="s">
        <v>97</v>
      </c>
      <c r="BB498" s="66">
        <v>1</v>
      </c>
      <c r="BC498" s="66"/>
      <c r="BD498" s="66"/>
      <c r="BE498" s="67">
        <f t="shared" si="83"/>
        <v>46846307.8125</v>
      </c>
      <c r="BF498" s="67">
        <f t="shared" si="76"/>
        <v>0</v>
      </c>
      <c r="BG498" s="67">
        <f t="shared" si="75"/>
        <v>0</v>
      </c>
      <c r="BH498" s="66"/>
      <c r="BI498" s="68" t="s">
        <v>57</v>
      </c>
      <c r="BJ498" s="68" t="s">
        <v>1297</v>
      </c>
      <c r="BK498" s="68" t="s">
        <v>1297</v>
      </c>
      <c r="BL498" s="29"/>
      <c r="BO498" s="35" t="s">
        <v>1801</v>
      </c>
      <c r="BP498" s="1" t="s">
        <v>1824</v>
      </c>
      <c r="BQ498" s="1" t="s">
        <v>1989</v>
      </c>
    </row>
    <row r="499" spans="1:69" s="36" customFormat="1" ht="15" hidden="1" customHeight="1">
      <c r="A499" s="1"/>
      <c r="B499" s="1"/>
      <c r="C499" s="1" t="str">
        <f t="shared" si="80"/>
        <v>3001</v>
      </c>
      <c r="D499" s="1" t="str">
        <f t="shared" si="81"/>
        <v>2202</v>
      </c>
      <c r="E499" s="19" t="s">
        <v>1419</v>
      </c>
      <c r="F499" s="68" t="s">
        <v>49</v>
      </c>
      <c r="G499" s="62">
        <v>2112</v>
      </c>
      <c r="H499" s="62" t="s">
        <v>1422</v>
      </c>
      <c r="I499" s="62" t="s">
        <v>1423</v>
      </c>
      <c r="J499" s="140">
        <v>1</v>
      </c>
      <c r="K499" s="119" t="s">
        <v>619</v>
      </c>
      <c r="L499" s="62" t="s">
        <v>77</v>
      </c>
      <c r="M499" s="120" t="s">
        <v>1325</v>
      </c>
      <c r="N499" s="65" t="s">
        <v>1326</v>
      </c>
      <c r="O499" s="24">
        <v>182300</v>
      </c>
      <c r="P499" s="24">
        <v>22790</v>
      </c>
      <c r="Q499" s="64">
        <v>4154617000</v>
      </c>
      <c r="R499" s="64"/>
      <c r="S499" s="64"/>
      <c r="T499" s="130">
        <v>17636760.059417289</v>
      </c>
      <c r="U499" s="139" t="s">
        <v>1327</v>
      </c>
      <c r="V499" s="121">
        <v>4172253760</v>
      </c>
      <c r="W499" s="122"/>
      <c r="X499" s="64">
        <v>4172253760</v>
      </c>
      <c r="Y499" s="121"/>
      <c r="Z499" s="121"/>
      <c r="AA499" s="128"/>
      <c r="AB499" s="121"/>
      <c r="AC499" s="64">
        <v>4172253760</v>
      </c>
      <c r="AD499" s="63">
        <v>44593</v>
      </c>
      <c r="AE499" s="65">
        <v>47514</v>
      </c>
      <c r="AF499" s="62">
        <v>8</v>
      </c>
      <c r="AG499" s="119">
        <v>96</v>
      </c>
      <c r="AH499" s="25">
        <v>43460976.666666664</v>
      </c>
      <c r="AI499" s="78">
        <v>999602467.66666675</v>
      </c>
      <c r="AJ499" s="78">
        <v>3172651292.333333</v>
      </c>
      <c r="AK499" s="27">
        <f t="shared" si="82"/>
        <v>43460976.666666664</v>
      </c>
      <c r="AL499" s="27">
        <f t="shared" si="84"/>
        <v>43460976.666666664</v>
      </c>
      <c r="AM499" s="27"/>
      <c r="AN499" s="27"/>
      <c r="AO499" s="27"/>
      <c r="AP499" s="27"/>
      <c r="AQ499" s="27"/>
      <c r="AR499" s="27"/>
      <c r="AS499" s="27"/>
      <c r="AT499" s="27"/>
      <c r="AU499" s="27"/>
      <c r="AV499" s="27"/>
      <c r="AW499" s="27">
        <f t="shared" si="77"/>
        <v>86921953.333333328</v>
      </c>
      <c r="AX499" s="79">
        <f t="shared" si="78"/>
        <v>3085729338.9999995</v>
      </c>
      <c r="AY499" s="79">
        <f t="shared" si="79"/>
        <v>1086524421</v>
      </c>
      <c r="AZ499" s="25">
        <v>1</v>
      </c>
      <c r="BA499" s="62" t="s">
        <v>97</v>
      </c>
      <c r="BB499" s="66">
        <v>1</v>
      </c>
      <c r="BC499" s="66"/>
      <c r="BD499" s="66"/>
      <c r="BE499" s="67">
        <f t="shared" si="83"/>
        <v>43460976.666666664</v>
      </c>
      <c r="BF499" s="67">
        <f t="shared" si="76"/>
        <v>0</v>
      </c>
      <c r="BG499" s="67">
        <f t="shared" si="75"/>
        <v>0</v>
      </c>
      <c r="BH499" s="66" t="s">
        <v>1705</v>
      </c>
      <c r="BI499" s="68" t="s">
        <v>57</v>
      </c>
      <c r="BJ499" s="68" t="s">
        <v>1297</v>
      </c>
      <c r="BK499" s="68" t="s">
        <v>1297</v>
      </c>
      <c r="BL499" s="29"/>
      <c r="BM499" s="55" t="s">
        <v>1663</v>
      </c>
      <c r="BN499" s="61" t="s">
        <v>1706</v>
      </c>
      <c r="BO499" s="35" t="s">
        <v>1801</v>
      </c>
      <c r="BP499" s="1" t="s">
        <v>1813</v>
      </c>
      <c r="BQ499" s="1" t="s">
        <v>1989</v>
      </c>
    </row>
    <row r="500" spans="1:69" ht="15" hidden="1" customHeight="1">
      <c r="C500" s="1" t="str">
        <f t="shared" si="80"/>
        <v>2902</v>
      </c>
      <c r="D500" s="1" t="str">
        <f t="shared" si="81"/>
        <v>2202</v>
      </c>
      <c r="E500" s="19" t="s">
        <v>1419</v>
      </c>
      <c r="F500" s="68" t="s">
        <v>49</v>
      </c>
      <c r="G500" s="62">
        <v>2112</v>
      </c>
      <c r="H500" s="62" t="s">
        <v>1424</v>
      </c>
      <c r="I500" s="62" t="s">
        <v>1425</v>
      </c>
      <c r="J500" s="140">
        <v>1</v>
      </c>
      <c r="K500" s="119" t="s">
        <v>619</v>
      </c>
      <c r="L500" s="62" t="s">
        <v>77</v>
      </c>
      <c r="M500" s="120" t="s">
        <v>1325</v>
      </c>
      <c r="N500" s="65" t="s">
        <v>1326</v>
      </c>
      <c r="O500" s="24">
        <v>46900</v>
      </c>
      <c r="P500" s="24">
        <v>22790</v>
      </c>
      <c r="Q500" s="64">
        <v>1068851000</v>
      </c>
      <c r="R500" s="64"/>
      <c r="S500" s="64"/>
      <c r="T500" s="130">
        <v>4537378.2050832193</v>
      </c>
      <c r="U500" s="139" t="s">
        <v>1327</v>
      </c>
      <c r="V500" s="121">
        <v>1073388378</v>
      </c>
      <c r="W500" s="122"/>
      <c r="X500" s="64">
        <v>1073388378</v>
      </c>
      <c r="Y500" s="121"/>
      <c r="Z500" s="121"/>
      <c r="AA500" s="128"/>
      <c r="AB500" s="121"/>
      <c r="AC500" s="64">
        <v>1073388378</v>
      </c>
      <c r="AD500" s="63">
        <v>44599</v>
      </c>
      <c r="AE500" s="65">
        <v>47155</v>
      </c>
      <c r="AF500" s="62">
        <v>7</v>
      </c>
      <c r="AG500" s="119">
        <v>84</v>
      </c>
      <c r="AH500" s="25">
        <v>12778433.071428571</v>
      </c>
      <c r="AI500" s="78">
        <v>291165723.71428567</v>
      </c>
      <c r="AJ500" s="78">
        <v>782222654.28571439</v>
      </c>
      <c r="AK500" s="27">
        <f t="shared" si="82"/>
        <v>12778433.071428571</v>
      </c>
      <c r="AL500" s="27">
        <f t="shared" si="84"/>
        <v>12778433.071428571</v>
      </c>
      <c r="AM500" s="27"/>
      <c r="AN500" s="27"/>
      <c r="AO500" s="27"/>
      <c r="AP500" s="27"/>
      <c r="AQ500" s="27"/>
      <c r="AR500" s="27"/>
      <c r="AS500" s="27"/>
      <c r="AT500" s="27"/>
      <c r="AU500" s="27"/>
      <c r="AV500" s="27"/>
      <c r="AW500" s="27">
        <f t="shared" si="77"/>
        <v>25556866.142857142</v>
      </c>
      <c r="AX500" s="79">
        <f t="shared" si="78"/>
        <v>756665788.14285719</v>
      </c>
      <c r="AY500" s="79">
        <f t="shared" si="79"/>
        <v>316722589.85714281</v>
      </c>
      <c r="AZ500" s="25">
        <v>1</v>
      </c>
      <c r="BA500" s="62" t="s">
        <v>97</v>
      </c>
      <c r="BB500" s="66">
        <v>1</v>
      </c>
      <c r="BC500" s="66"/>
      <c r="BD500" s="66"/>
      <c r="BE500" s="67">
        <f t="shared" si="83"/>
        <v>12778433.071428571</v>
      </c>
      <c r="BF500" s="67">
        <f t="shared" si="76"/>
        <v>0</v>
      </c>
      <c r="BG500" s="67">
        <f t="shared" si="75"/>
        <v>0</v>
      </c>
      <c r="BH500" s="66"/>
      <c r="BI500" s="68" t="s">
        <v>57</v>
      </c>
      <c r="BJ500" s="68" t="s">
        <v>81</v>
      </c>
      <c r="BK500" s="68" t="s">
        <v>81</v>
      </c>
      <c r="BL500" s="29"/>
      <c r="BO500" s="35" t="s">
        <v>1801</v>
      </c>
      <c r="BP500" s="1" t="s">
        <v>1824</v>
      </c>
      <c r="BQ500" s="1" t="s">
        <v>1930</v>
      </c>
    </row>
    <row r="501" spans="1:69" ht="15" hidden="1" customHeight="1">
      <c r="C501" s="1" t="str">
        <f t="shared" si="80"/>
        <v>2801</v>
      </c>
      <c r="D501" s="1" t="str">
        <f t="shared" si="81"/>
        <v>2202</v>
      </c>
      <c r="E501" s="19" t="s">
        <v>1419</v>
      </c>
      <c r="F501" s="68" t="s">
        <v>1426</v>
      </c>
      <c r="G501" s="62">
        <v>2113</v>
      </c>
      <c r="H501" s="62" t="s">
        <v>1427</v>
      </c>
      <c r="I501" s="62" t="s">
        <v>1428</v>
      </c>
      <c r="J501" s="140" t="s">
        <v>1429</v>
      </c>
      <c r="K501" s="119" t="s">
        <v>619</v>
      </c>
      <c r="L501" s="138" t="s">
        <v>1430</v>
      </c>
      <c r="M501" s="120" t="s">
        <v>1431</v>
      </c>
      <c r="N501" s="65" t="s">
        <v>1432</v>
      </c>
      <c r="O501" s="24">
        <v>47533.29</v>
      </c>
      <c r="P501" s="24">
        <v>23079.5</v>
      </c>
      <c r="Q501" s="64">
        <v>1097044566.5550001</v>
      </c>
      <c r="R501" s="64"/>
      <c r="S501" s="64"/>
      <c r="T501" s="130">
        <v>23902600</v>
      </c>
      <c r="U501" s="139" t="s">
        <v>1433</v>
      </c>
      <c r="V501" s="121">
        <v>1120947167</v>
      </c>
      <c r="W501" s="122"/>
      <c r="X501" s="64">
        <v>1120947167</v>
      </c>
      <c r="Y501" s="121"/>
      <c r="Z501" s="121"/>
      <c r="AA501" s="128"/>
      <c r="AB501" s="121"/>
      <c r="AC501" s="64">
        <v>1120947167</v>
      </c>
      <c r="AD501" s="63">
        <v>44593</v>
      </c>
      <c r="AE501" s="65">
        <v>46783</v>
      </c>
      <c r="AF501" s="62">
        <v>6</v>
      </c>
      <c r="AG501" s="119">
        <v>72</v>
      </c>
      <c r="AH501" s="25">
        <v>15568710.652777778</v>
      </c>
      <c r="AI501" s="78">
        <v>358080349.52777779</v>
      </c>
      <c r="AJ501" s="78">
        <v>762866817.47222221</v>
      </c>
      <c r="AK501" s="27">
        <f t="shared" si="82"/>
        <v>15568710.652777778</v>
      </c>
      <c r="AL501" s="27">
        <f t="shared" si="84"/>
        <v>15568710.652777778</v>
      </c>
      <c r="AM501" s="27"/>
      <c r="AN501" s="27"/>
      <c r="AO501" s="27"/>
      <c r="AP501" s="27"/>
      <c r="AQ501" s="27"/>
      <c r="AR501" s="27"/>
      <c r="AS501" s="27"/>
      <c r="AT501" s="27"/>
      <c r="AU501" s="27"/>
      <c r="AV501" s="27"/>
      <c r="AW501" s="27">
        <f t="shared" si="77"/>
        <v>31137421.305555556</v>
      </c>
      <c r="AX501" s="79">
        <f t="shared" si="78"/>
        <v>731729396.16666663</v>
      </c>
      <c r="AY501" s="79">
        <f t="shared" si="79"/>
        <v>389217770.83333337</v>
      </c>
      <c r="AZ501" s="25">
        <v>1</v>
      </c>
      <c r="BA501" s="62" t="s">
        <v>97</v>
      </c>
      <c r="BB501" s="66"/>
      <c r="BC501" s="66">
        <v>1</v>
      </c>
      <c r="BD501" s="66"/>
      <c r="BE501" s="67">
        <f t="shared" si="83"/>
        <v>0</v>
      </c>
      <c r="BF501" s="67">
        <f t="shared" si="76"/>
        <v>15568710.652777778</v>
      </c>
      <c r="BG501" s="67">
        <f t="shared" si="75"/>
        <v>0</v>
      </c>
      <c r="BH501" s="62" t="s">
        <v>1668</v>
      </c>
      <c r="BI501" s="19" t="s">
        <v>1624</v>
      </c>
      <c r="BJ501" s="68" t="s">
        <v>1438</v>
      </c>
      <c r="BK501" s="68" t="s">
        <v>1438</v>
      </c>
      <c r="BL501" s="29"/>
      <c r="BM501" s="1" t="s">
        <v>1886</v>
      </c>
      <c r="BN501" s="1" t="s">
        <v>1666</v>
      </c>
      <c r="BO501" s="35" t="s">
        <v>1804</v>
      </c>
      <c r="BQ501" s="1" t="e">
        <v>#N/A</v>
      </c>
    </row>
    <row r="502" spans="1:69" ht="15" hidden="1" customHeight="1">
      <c r="C502" s="1" t="str">
        <f t="shared" si="80"/>
        <v>2802</v>
      </c>
      <c r="D502" s="1" t="str">
        <f t="shared" si="81"/>
        <v>2202</v>
      </c>
      <c r="E502" s="19" t="s">
        <v>1419</v>
      </c>
      <c r="F502" s="68" t="s">
        <v>515</v>
      </c>
      <c r="G502" s="62">
        <v>2114</v>
      </c>
      <c r="H502" s="62" t="s">
        <v>1434</v>
      </c>
      <c r="I502" s="62" t="s">
        <v>1435</v>
      </c>
      <c r="J502" s="140">
        <v>1</v>
      </c>
      <c r="K502" s="119" t="s">
        <v>619</v>
      </c>
      <c r="L502" s="138" t="s">
        <v>1436</v>
      </c>
      <c r="M502" s="120" t="s">
        <v>1437</v>
      </c>
      <c r="N502" s="65">
        <v>44618</v>
      </c>
      <c r="O502" s="24"/>
      <c r="P502" s="24"/>
      <c r="Q502" s="64">
        <v>53600000</v>
      </c>
      <c r="R502" s="64"/>
      <c r="S502" s="64"/>
      <c r="T502" s="130">
        <v>0</v>
      </c>
      <c r="U502" s="139" t="s">
        <v>1437</v>
      </c>
      <c r="V502" s="121">
        <v>53600000</v>
      </c>
      <c r="W502" s="122"/>
      <c r="X502" s="64">
        <v>53600000</v>
      </c>
      <c r="Y502" s="121"/>
      <c r="Z502" s="121"/>
      <c r="AA502" s="128"/>
      <c r="AB502" s="121"/>
      <c r="AC502" s="64">
        <v>53600000</v>
      </c>
      <c r="AD502" s="63">
        <v>44617</v>
      </c>
      <c r="AE502" s="65">
        <v>46807</v>
      </c>
      <c r="AF502" s="62">
        <v>6</v>
      </c>
      <c r="AG502" s="119">
        <v>72</v>
      </c>
      <c r="AH502" s="25">
        <v>744444.4444444445</v>
      </c>
      <c r="AI502" s="78">
        <v>16484121.444444442</v>
      </c>
      <c r="AJ502" s="78">
        <v>37115878.55555556</v>
      </c>
      <c r="AK502" s="27">
        <f t="shared" si="82"/>
        <v>744444.4444444445</v>
      </c>
      <c r="AL502" s="27">
        <f t="shared" si="84"/>
        <v>744444.4444444445</v>
      </c>
      <c r="AM502" s="27"/>
      <c r="AN502" s="27"/>
      <c r="AO502" s="27"/>
      <c r="AP502" s="27"/>
      <c r="AQ502" s="27"/>
      <c r="AR502" s="27"/>
      <c r="AS502" s="27"/>
      <c r="AT502" s="27"/>
      <c r="AU502" s="27"/>
      <c r="AV502" s="27"/>
      <c r="AW502" s="27">
        <f t="shared" si="77"/>
        <v>1488888.888888889</v>
      </c>
      <c r="AX502" s="79">
        <f t="shared" si="78"/>
        <v>35626989.666666672</v>
      </c>
      <c r="AY502" s="79">
        <f t="shared" si="79"/>
        <v>17973010.333333332</v>
      </c>
      <c r="AZ502" s="25">
        <v>1</v>
      </c>
      <c r="BA502" s="62" t="s">
        <v>79</v>
      </c>
      <c r="BB502" s="66">
        <v>1</v>
      </c>
      <c r="BC502" s="66"/>
      <c r="BD502" s="66"/>
      <c r="BE502" s="67">
        <f t="shared" si="83"/>
        <v>744444.4444444445</v>
      </c>
      <c r="BF502" s="67">
        <f t="shared" si="76"/>
        <v>0</v>
      </c>
      <c r="BG502" s="67">
        <f t="shared" si="75"/>
        <v>0</v>
      </c>
      <c r="BH502" s="66"/>
      <c r="BI502" s="68" t="s">
        <v>1195</v>
      </c>
      <c r="BJ502" s="68" t="s">
        <v>644</v>
      </c>
      <c r="BK502" s="68" t="s">
        <v>644</v>
      </c>
      <c r="BL502" s="29"/>
      <c r="BO502" s="35" t="s">
        <v>1802</v>
      </c>
      <c r="BQ502" s="1" t="e">
        <v>#N/A</v>
      </c>
    </row>
    <row r="503" spans="1:69" ht="15" hidden="1" customHeight="1">
      <c r="C503" s="1" t="str">
        <f t="shared" si="80"/>
        <v>2902</v>
      </c>
      <c r="D503" s="1" t="str">
        <f t="shared" si="81"/>
        <v>2202</v>
      </c>
      <c r="E503" s="19" t="s">
        <v>1419</v>
      </c>
      <c r="F503" s="68" t="s">
        <v>1438</v>
      </c>
      <c r="G503" s="62">
        <v>2113</v>
      </c>
      <c r="H503" s="62" t="s">
        <v>1439</v>
      </c>
      <c r="I503" s="62" t="s">
        <v>1440</v>
      </c>
      <c r="J503" s="140">
        <v>1</v>
      </c>
      <c r="K503" s="119" t="s">
        <v>619</v>
      </c>
      <c r="L503" s="138" t="s">
        <v>1441</v>
      </c>
      <c r="M503" s="120" t="s">
        <v>1442</v>
      </c>
      <c r="N503" s="65">
        <v>44620</v>
      </c>
      <c r="O503" s="24"/>
      <c r="P503" s="24"/>
      <c r="Q503" s="64">
        <v>490000000</v>
      </c>
      <c r="R503" s="64"/>
      <c r="S503" s="64"/>
      <c r="T503" s="130"/>
      <c r="U503" s="139"/>
      <c r="V503" s="121">
        <v>490000000</v>
      </c>
      <c r="W503" s="122"/>
      <c r="X503" s="64">
        <v>490000000</v>
      </c>
      <c r="Y503" s="121"/>
      <c r="Z503" s="121"/>
      <c r="AA503" s="128"/>
      <c r="AB503" s="121"/>
      <c r="AC503" s="64">
        <v>490000000</v>
      </c>
      <c r="AD503" s="63">
        <v>44620</v>
      </c>
      <c r="AE503" s="65">
        <v>47176</v>
      </c>
      <c r="AF503" s="62">
        <v>7</v>
      </c>
      <c r="AG503" s="119">
        <v>84</v>
      </c>
      <c r="AH503" s="25">
        <v>5833333.333333333</v>
      </c>
      <c r="AI503" s="78">
        <v>128541662.33333334</v>
      </c>
      <c r="AJ503" s="78">
        <v>361458337.66666663</v>
      </c>
      <c r="AK503" s="27">
        <f t="shared" si="82"/>
        <v>5833333.333333333</v>
      </c>
      <c r="AL503" s="27">
        <f t="shared" si="84"/>
        <v>5833333.333333333</v>
      </c>
      <c r="AM503" s="27"/>
      <c r="AN503" s="27"/>
      <c r="AO503" s="27"/>
      <c r="AP503" s="27"/>
      <c r="AQ503" s="27"/>
      <c r="AR503" s="27"/>
      <c r="AS503" s="27"/>
      <c r="AT503" s="27"/>
      <c r="AU503" s="27"/>
      <c r="AV503" s="27"/>
      <c r="AW503" s="27">
        <f t="shared" si="77"/>
        <v>11666666.666666666</v>
      </c>
      <c r="AX503" s="79">
        <f t="shared" si="78"/>
        <v>349791670.99999994</v>
      </c>
      <c r="AY503" s="79">
        <f t="shared" si="79"/>
        <v>140208329</v>
      </c>
      <c r="AZ503" s="25">
        <v>1</v>
      </c>
      <c r="BA503" s="62" t="s">
        <v>97</v>
      </c>
      <c r="BB503" s="66">
        <v>1</v>
      </c>
      <c r="BC503" s="66"/>
      <c r="BD503" s="66"/>
      <c r="BE503" s="67">
        <f t="shared" si="83"/>
        <v>5833333.333333333</v>
      </c>
      <c r="BF503" s="67">
        <f t="shared" si="76"/>
        <v>0</v>
      </c>
      <c r="BG503" s="67">
        <f t="shared" si="75"/>
        <v>0</v>
      </c>
      <c r="BH503" s="66"/>
      <c r="BI503" s="68" t="s">
        <v>1438</v>
      </c>
      <c r="BJ503" s="68" t="s">
        <v>58</v>
      </c>
      <c r="BK503" s="68" t="s">
        <v>59</v>
      </c>
      <c r="BL503" s="29"/>
      <c r="BO503" s="35" t="s">
        <v>1799</v>
      </c>
      <c r="BQ503" s="1" t="e">
        <v>#N/A</v>
      </c>
    </row>
    <row r="504" spans="1:69" s="49" customFormat="1" ht="15" hidden="1" customHeight="1">
      <c r="C504" s="1" t="str">
        <f t="shared" si="80"/>
        <v>3001</v>
      </c>
      <c r="D504" s="1" t="str">
        <f t="shared" si="81"/>
        <v>2202</v>
      </c>
      <c r="E504" s="19" t="s">
        <v>1419</v>
      </c>
      <c r="F504" s="68" t="s">
        <v>49</v>
      </c>
      <c r="G504" s="129">
        <v>2114</v>
      </c>
      <c r="H504" s="62" t="s">
        <v>1443</v>
      </c>
      <c r="I504" s="62" t="s">
        <v>1444</v>
      </c>
      <c r="J504" s="118">
        <v>1</v>
      </c>
      <c r="K504" s="119" t="s">
        <v>619</v>
      </c>
      <c r="L504" s="62" t="s">
        <v>601</v>
      </c>
      <c r="M504" s="120" t="s">
        <v>1445</v>
      </c>
      <c r="N504" s="65" t="s">
        <v>1446</v>
      </c>
      <c r="O504" s="24">
        <v>2050</v>
      </c>
      <c r="P504" s="24">
        <v>22920</v>
      </c>
      <c r="Q504" s="64">
        <v>46986000</v>
      </c>
      <c r="R504" s="64"/>
      <c r="S504" s="64"/>
      <c r="T504" s="130">
        <v>2459819</v>
      </c>
      <c r="U504" s="139" t="s">
        <v>1447</v>
      </c>
      <c r="V504" s="121">
        <v>49445819</v>
      </c>
      <c r="W504" s="122"/>
      <c r="X504" s="64">
        <v>49445819</v>
      </c>
      <c r="Y504" s="121"/>
      <c r="Z504" s="121"/>
      <c r="AA504" s="128"/>
      <c r="AB504" s="121"/>
      <c r="AC504" s="64">
        <v>49445819</v>
      </c>
      <c r="AD504" s="63">
        <v>44593</v>
      </c>
      <c r="AE504" s="65">
        <v>47514</v>
      </c>
      <c r="AF504" s="62">
        <v>8</v>
      </c>
      <c r="AG504" s="119">
        <v>96</v>
      </c>
      <c r="AH504" s="25">
        <v>515060.61458333331</v>
      </c>
      <c r="AI504" s="78">
        <v>11846399.145833332</v>
      </c>
      <c r="AJ504" s="78">
        <v>37599419.854166664</v>
      </c>
      <c r="AK504" s="27">
        <f t="shared" si="82"/>
        <v>515060.61458333331</v>
      </c>
      <c r="AL504" s="27">
        <f t="shared" si="84"/>
        <v>515060.61458333331</v>
      </c>
      <c r="AM504" s="27"/>
      <c r="AN504" s="27"/>
      <c r="AO504" s="27"/>
      <c r="AP504" s="27"/>
      <c r="AQ504" s="27"/>
      <c r="AR504" s="27"/>
      <c r="AS504" s="27"/>
      <c r="AT504" s="27"/>
      <c r="AU504" s="27"/>
      <c r="AV504" s="27"/>
      <c r="AW504" s="27">
        <f t="shared" si="77"/>
        <v>1030121.2291666666</v>
      </c>
      <c r="AX504" s="79">
        <f t="shared" si="78"/>
        <v>36569298.625000007</v>
      </c>
      <c r="AY504" s="79">
        <f t="shared" si="79"/>
        <v>12876520.374999998</v>
      </c>
      <c r="AZ504" s="25">
        <v>1</v>
      </c>
      <c r="BA504" s="62" t="s">
        <v>97</v>
      </c>
      <c r="BB504" s="66">
        <v>1</v>
      </c>
      <c r="BC504" s="66"/>
      <c r="BD504" s="66"/>
      <c r="BE504" s="67">
        <f t="shared" si="83"/>
        <v>515060.61458333331</v>
      </c>
      <c r="BF504" s="67">
        <f t="shared" si="76"/>
        <v>0</v>
      </c>
      <c r="BG504" s="67">
        <f t="shared" si="75"/>
        <v>0</v>
      </c>
      <c r="BH504" s="66"/>
      <c r="BI504" s="68" t="s">
        <v>695</v>
      </c>
      <c r="BJ504" s="68" t="s">
        <v>58</v>
      </c>
      <c r="BK504" s="68" t="s">
        <v>59</v>
      </c>
      <c r="BL504" s="48"/>
      <c r="BM504" s="1"/>
      <c r="BO504" s="35" t="s">
        <v>1800</v>
      </c>
      <c r="BP504" s="1" t="s">
        <v>1814</v>
      </c>
      <c r="BQ504" s="1" t="e">
        <v>#N/A</v>
      </c>
    </row>
    <row r="505" spans="1:69" s="49" customFormat="1" ht="15" hidden="1" customHeight="1">
      <c r="C505" s="1" t="str">
        <f t="shared" si="80"/>
        <v>3001</v>
      </c>
      <c r="D505" s="1" t="str">
        <f t="shared" si="81"/>
        <v>2202</v>
      </c>
      <c r="E505" s="19" t="s">
        <v>1419</v>
      </c>
      <c r="F505" s="68" t="s">
        <v>49</v>
      </c>
      <c r="G505" s="129">
        <v>2114</v>
      </c>
      <c r="H505" s="62" t="s">
        <v>1448</v>
      </c>
      <c r="I505" s="62" t="s">
        <v>1444</v>
      </c>
      <c r="J505" s="118">
        <v>1</v>
      </c>
      <c r="K505" s="119" t="s">
        <v>619</v>
      </c>
      <c r="L505" s="62" t="s">
        <v>601</v>
      </c>
      <c r="M505" s="120" t="s">
        <v>1445</v>
      </c>
      <c r="N505" s="65" t="s">
        <v>1446</v>
      </c>
      <c r="O505" s="24">
        <v>2050</v>
      </c>
      <c r="P505" s="24">
        <v>22920</v>
      </c>
      <c r="Q505" s="64">
        <v>46986000</v>
      </c>
      <c r="R505" s="64"/>
      <c r="S505" s="64"/>
      <c r="T505" s="130">
        <v>2459818</v>
      </c>
      <c r="U505" s="139" t="s">
        <v>1447</v>
      </c>
      <c r="V505" s="121">
        <v>49445818</v>
      </c>
      <c r="W505" s="122"/>
      <c r="X505" s="64">
        <v>49445818</v>
      </c>
      <c r="Y505" s="121"/>
      <c r="Z505" s="121"/>
      <c r="AA505" s="128"/>
      <c r="AB505" s="121"/>
      <c r="AC505" s="64">
        <v>49445818</v>
      </c>
      <c r="AD505" s="63">
        <v>44593</v>
      </c>
      <c r="AE505" s="65">
        <v>47514</v>
      </c>
      <c r="AF505" s="62">
        <v>8</v>
      </c>
      <c r="AG505" s="119">
        <v>96</v>
      </c>
      <c r="AH505" s="25">
        <v>515060.60416666669</v>
      </c>
      <c r="AI505" s="78">
        <v>11846399.041666668</v>
      </c>
      <c r="AJ505" s="78">
        <v>37599418.958333336</v>
      </c>
      <c r="AK505" s="27">
        <f t="shared" si="82"/>
        <v>515060.60416666669</v>
      </c>
      <c r="AL505" s="27">
        <f t="shared" si="84"/>
        <v>515060.60416666669</v>
      </c>
      <c r="AM505" s="27"/>
      <c r="AN505" s="27"/>
      <c r="AO505" s="27"/>
      <c r="AP505" s="27"/>
      <c r="AQ505" s="27"/>
      <c r="AR505" s="27"/>
      <c r="AS505" s="27"/>
      <c r="AT505" s="27"/>
      <c r="AU505" s="27"/>
      <c r="AV505" s="27"/>
      <c r="AW505" s="27">
        <f t="shared" si="77"/>
        <v>1030121.2083333334</v>
      </c>
      <c r="AX505" s="79">
        <f t="shared" si="78"/>
        <v>36569297.749999993</v>
      </c>
      <c r="AY505" s="79">
        <f t="shared" si="79"/>
        <v>12876520.250000002</v>
      </c>
      <c r="AZ505" s="25">
        <v>1</v>
      </c>
      <c r="BA505" s="62" t="s">
        <v>97</v>
      </c>
      <c r="BB505" s="66">
        <v>1</v>
      </c>
      <c r="BC505" s="66"/>
      <c r="BD505" s="66"/>
      <c r="BE505" s="67">
        <f t="shared" si="83"/>
        <v>515060.60416666669</v>
      </c>
      <c r="BF505" s="67">
        <f t="shared" si="76"/>
        <v>0</v>
      </c>
      <c r="BG505" s="67">
        <f t="shared" si="75"/>
        <v>0</v>
      </c>
      <c r="BH505" s="66"/>
      <c r="BI505" s="68" t="s">
        <v>1449</v>
      </c>
      <c r="BJ505" s="68" t="s">
        <v>58</v>
      </c>
      <c r="BK505" s="68" t="s">
        <v>59</v>
      </c>
      <c r="BL505" s="48"/>
      <c r="BM505" s="1"/>
      <c r="BO505" s="35" t="s">
        <v>1801</v>
      </c>
      <c r="BP505" s="1" t="s">
        <v>1813</v>
      </c>
      <c r="BQ505" s="1" t="s">
        <v>1989</v>
      </c>
    </row>
    <row r="506" spans="1:69" s="49" customFormat="1" ht="15" hidden="1" customHeight="1">
      <c r="C506" s="1" t="str">
        <f t="shared" si="80"/>
        <v>3001</v>
      </c>
      <c r="D506" s="1" t="str">
        <f t="shared" si="81"/>
        <v>2202</v>
      </c>
      <c r="E506" s="19" t="s">
        <v>1419</v>
      </c>
      <c r="F506" s="68" t="s">
        <v>49</v>
      </c>
      <c r="G506" s="129">
        <v>2114</v>
      </c>
      <c r="H506" s="62" t="s">
        <v>1450</v>
      </c>
      <c r="I506" s="62" t="s">
        <v>1444</v>
      </c>
      <c r="J506" s="118">
        <v>1</v>
      </c>
      <c r="K506" s="119" t="s">
        <v>619</v>
      </c>
      <c r="L506" s="62" t="s">
        <v>601</v>
      </c>
      <c r="M506" s="120" t="s">
        <v>1445</v>
      </c>
      <c r="N506" s="65" t="s">
        <v>1446</v>
      </c>
      <c r="O506" s="24">
        <v>2050</v>
      </c>
      <c r="P506" s="24">
        <v>22920</v>
      </c>
      <c r="Q506" s="64">
        <v>46986000</v>
      </c>
      <c r="R506" s="64"/>
      <c r="S506" s="64"/>
      <c r="T506" s="130">
        <v>2459818</v>
      </c>
      <c r="U506" s="139" t="s">
        <v>1447</v>
      </c>
      <c r="V506" s="121">
        <v>49445818</v>
      </c>
      <c r="W506" s="122"/>
      <c r="X506" s="64">
        <v>49445818</v>
      </c>
      <c r="Y506" s="121"/>
      <c r="Z506" s="121"/>
      <c r="AA506" s="128"/>
      <c r="AB506" s="121"/>
      <c r="AC506" s="64">
        <v>49445818</v>
      </c>
      <c r="AD506" s="63">
        <v>44593</v>
      </c>
      <c r="AE506" s="65">
        <v>47514</v>
      </c>
      <c r="AF506" s="62">
        <v>8</v>
      </c>
      <c r="AG506" s="119">
        <v>96</v>
      </c>
      <c r="AH506" s="25">
        <v>515060.60416666669</v>
      </c>
      <c r="AI506" s="78">
        <v>11846399.041666668</v>
      </c>
      <c r="AJ506" s="78">
        <v>37599418.958333336</v>
      </c>
      <c r="AK506" s="27">
        <f t="shared" si="82"/>
        <v>515060.60416666669</v>
      </c>
      <c r="AL506" s="27">
        <f t="shared" si="84"/>
        <v>515060.60416666669</v>
      </c>
      <c r="AM506" s="27"/>
      <c r="AN506" s="27"/>
      <c r="AO506" s="27"/>
      <c r="AP506" s="27"/>
      <c r="AQ506" s="27"/>
      <c r="AR506" s="27"/>
      <c r="AS506" s="27"/>
      <c r="AT506" s="27"/>
      <c r="AU506" s="27"/>
      <c r="AV506" s="27"/>
      <c r="AW506" s="27">
        <f t="shared" si="77"/>
        <v>1030121.2083333334</v>
      </c>
      <c r="AX506" s="79">
        <f t="shared" si="78"/>
        <v>36569297.749999993</v>
      </c>
      <c r="AY506" s="79">
        <f t="shared" si="79"/>
        <v>12876520.250000002</v>
      </c>
      <c r="AZ506" s="25">
        <v>1</v>
      </c>
      <c r="BA506" s="62" t="s">
        <v>97</v>
      </c>
      <c r="BB506" s="66">
        <v>1</v>
      </c>
      <c r="BC506" s="66"/>
      <c r="BD506" s="66"/>
      <c r="BE506" s="67">
        <f t="shared" si="83"/>
        <v>515060.60416666669</v>
      </c>
      <c r="BF506" s="67">
        <f t="shared" si="76"/>
        <v>0</v>
      </c>
      <c r="BG506" s="67">
        <f t="shared" si="75"/>
        <v>0</v>
      </c>
      <c r="BH506" s="66"/>
      <c r="BI506" s="68" t="s">
        <v>1451</v>
      </c>
      <c r="BJ506" s="68" t="s">
        <v>58</v>
      </c>
      <c r="BK506" s="68" t="s">
        <v>59</v>
      </c>
      <c r="BL506" s="48"/>
      <c r="BM506" s="1"/>
      <c r="BO506" s="35" t="s">
        <v>1801</v>
      </c>
      <c r="BP506" s="1" t="s">
        <v>1826</v>
      </c>
      <c r="BQ506" s="1" t="s">
        <v>1989</v>
      </c>
    </row>
    <row r="507" spans="1:69" ht="15" hidden="1" customHeight="1">
      <c r="C507" s="1" t="str">
        <f t="shared" si="80"/>
        <v>2802</v>
      </c>
      <c r="D507" s="1" t="str">
        <f t="shared" si="81"/>
        <v>2203</v>
      </c>
      <c r="E507" s="19" t="s">
        <v>1452</v>
      </c>
      <c r="F507" s="68" t="s">
        <v>49</v>
      </c>
      <c r="G507" s="62">
        <v>2112</v>
      </c>
      <c r="H507" s="62" t="s">
        <v>1453</v>
      </c>
      <c r="I507" s="62" t="s">
        <v>1454</v>
      </c>
      <c r="J507" s="118">
        <v>1</v>
      </c>
      <c r="K507" s="119" t="s">
        <v>619</v>
      </c>
      <c r="L507" s="62" t="s">
        <v>1455</v>
      </c>
      <c r="M507" s="120" t="s">
        <v>1456</v>
      </c>
      <c r="N507" s="65" t="s">
        <v>1457</v>
      </c>
      <c r="O507" s="24">
        <v>24000</v>
      </c>
      <c r="P507" s="24">
        <v>22970</v>
      </c>
      <c r="Q507" s="64">
        <v>551280000</v>
      </c>
      <c r="R507" s="64"/>
      <c r="S507" s="64"/>
      <c r="T507" s="130">
        <v>5724944</v>
      </c>
      <c r="U507" s="139" t="s">
        <v>1458</v>
      </c>
      <c r="V507" s="121">
        <v>557004944</v>
      </c>
      <c r="W507" s="122"/>
      <c r="X507" s="64">
        <v>557004944</v>
      </c>
      <c r="Y507" s="121"/>
      <c r="Z507" s="121"/>
      <c r="AA507" s="128"/>
      <c r="AB507" s="121"/>
      <c r="AC507" s="64">
        <v>557004944</v>
      </c>
      <c r="AD507" s="63">
        <v>44621</v>
      </c>
      <c r="AE507" s="65">
        <v>46812</v>
      </c>
      <c r="AF507" s="62">
        <v>6</v>
      </c>
      <c r="AG507" s="119">
        <v>72</v>
      </c>
      <c r="AH507" s="25">
        <v>7736179.777777778</v>
      </c>
      <c r="AI507" s="78">
        <v>170195957.77777776</v>
      </c>
      <c r="AJ507" s="78">
        <v>386808986.22222221</v>
      </c>
      <c r="AK507" s="27">
        <f t="shared" si="82"/>
        <v>7736179.777777778</v>
      </c>
      <c r="AL507" s="27">
        <f t="shared" si="84"/>
        <v>7736179.777777778</v>
      </c>
      <c r="AM507" s="27"/>
      <c r="AN507" s="27"/>
      <c r="AO507" s="27"/>
      <c r="AP507" s="27"/>
      <c r="AQ507" s="27"/>
      <c r="AR507" s="27"/>
      <c r="AS507" s="27"/>
      <c r="AT507" s="27"/>
      <c r="AU507" s="27"/>
      <c r="AV507" s="27"/>
      <c r="AW507" s="27">
        <f t="shared" si="77"/>
        <v>15472359.555555556</v>
      </c>
      <c r="AX507" s="79">
        <f t="shared" si="78"/>
        <v>371336626.66666663</v>
      </c>
      <c r="AY507" s="79">
        <f t="shared" si="79"/>
        <v>185668317.33333331</v>
      </c>
      <c r="AZ507" s="25">
        <v>1</v>
      </c>
      <c r="BA507" s="62" t="s">
        <v>97</v>
      </c>
      <c r="BB507" s="66"/>
      <c r="BC507" s="66">
        <v>1</v>
      </c>
      <c r="BD507" s="66"/>
      <c r="BE507" s="67">
        <f t="shared" si="83"/>
        <v>0</v>
      </c>
      <c r="BF507" s="67">
        <f t="shared" si="76"/>
        <v>7736179.777777778</v>
      </c>
      <c r="BG507" s="67">
        <f t="shared" si="75"/>
        <v>0</v>
      </c>
      <c r="BH507" s="62" t="s">
        <v>1668</v>
      </c>
      <c r="BI507" s="19" t="s">
        <v>1624</v>
      </c>
      <c r="BJ507" s="68" t="s">
        <v>1438</v>
      </c>
      <c r="BK507" s="68" t="s">
        <v>1438</v>
      </c>
      <c r="BL507" s="29"/>
      <c r="BM507" s="1" t="s">
        <v>1886</v>
      </c>
      <c r="BN507" s="1" t="s">
        <v>1666</v>
      </c>
      <c r="BO507" s="35" t="s">
        <v>1804</v>
      </c>
      <c r="BQ507" s="1" t="e">
        <v>#N/A</v>
      </c>
    </row>
    <row r="508" spans="1:69" ht="15" hidden="1" customHeight="1">
      <c r="C508" s="1" t="str">
        <f t="shared" si="80"/>
        <v>2802</v>
      </c>
      <c r="D508" s="1" t="str">
        <f t="shared" si="81"/>
        <v>2203</v>
      </c>
      <c r="E508" s="19" t="s">
        <v>1452</v>
      </c>
      <c r="F508" s="68" t="s">
        <v>49</v>
      </c>
      <c r="G508" s="62">
        <v>2112</v>
      </c>
      <c r="H508" s="62" t="s">
        <v>1459</v>
      </c>
      <c r="I508" s="62" t="s">
        <v>1454</v>
      </c>
      <c r="J508" s="118">
        <v>1</v>
      </c>
      <c r="K508" s="119" t="s">
        <v>619</v>
      </c>
      <c r="L508" s="62" t="s">
        <v>1455</v>
      </c>
      <c r="M508" s="120" t="s">
        <v>1456</v>
      </c>
      <c r="N508" s="65" t="s">
        <v>1457</v>
      </c>
      <c r="O508" s="24">
        <v>24000</v>
      </c>
      <c r="P508" s="24">
        <v>22970</v>
      </c>
      <c r="Q508" s="64">
        <v>551280000</v>
      </c>
      <c r="R508" s="64"/>
      <c r="S508" s="64"/>
      <c r="T508" s="130">
        <v>5724944</v>
      </c>
      <c r="U508" s="139" t="s">
        <v>1458</v>
      </c>
      <c r="V508" s="121">
        <v>557004944</v>
      </c>
      <c r="W508" s="122"/>
      <c r="X508" s="64">
        <v>557004944</v>
      </c>
      <c r="Y508" s="121"/>
      <c r="Z508" s="121"/>
      <c r="AA508" s="128"/>
      <c r="AB508" s="121"/>
      <c r="AC508" s="64">
        <v>557004944</v>
      </c>
      <c r="AD508" s="63">
        <v>44621</v>
      </c>
      <c r="AE508" s="65">
        <v>46812</v>
      </c>
      <c r="AF508" s="62">
        <v>6</v>
      </c>
      <c r="AG508" s="119">
        <v>72</v>
      </c>
      <c r="AH508" s="25">
        <v>7736179.777777778</v>
      </c>
      <c r="AI508" s="78">
        <v>170195957.77777776</v>
      </c>
      <c r="AJ508" s="78">
        <v>386808986.22222221</v>
      </c>
      <c r="AK508" s="27">
        <f t="shared" si="82"/>
        <v>7736179.777777778</v>
      </c>
      <c r="AL508" s="27">
        <f t="shared" si="84"/>
        <v>7736179.777777778</v>
      </c>
      <c r="AM508" s="27"/>
      <c r="AN508" s="27"/>
      <c r="AO508" s="27"/>
      <c r="AP508" s="27"/>
      <c r="AQ508" s="27"/>
      <c r="AR508" s="27"/>
      <c r="AS508" s="27"/>
      <c r="AT508" s="27"/>
      <c r="AU508" s="27"/>
      <c r="AV508" s="27"/>
      <c r="AW508" s="27">
        <f t="shared" si="77"/>
        <v>15472359.555555556</v>
      </c>
      <c r="AX508" s="79">
        <f t="shared" si="78"/>
        <v>371336626.66666663</v>
      </c>
      <c r="AY508" s="79">
        <f t="shared" si="79"/>
        <v>185668317.33333331</v>
      </c>
      <c r="AZ508" s="25">
        <v>1</v>
      </c>
      <c r="BA508" s="62" t="s">
        <v>97</v>
      </c>
      <c r="BB508" s="66"/>
      <c r="BC508" s="66">
        <v>1</v>
      </c>
      <c r="BD508" s="66"/>
      <c r="BE508" s="67">
        <f t="shared" si="83"/>
        <v>0</v>
      </c>
      <c r="BF508" s="67">
        <f t="shared" si="76"/>
        <v>7736179.777777778</v>
      </c>
      <c r="BG508" s="67">
        <f t="shared" si="75"/>
        <v>0</v>
      </c>
      <c r="BH508" s="62" t="s">
        <v>1668</v>
      </c>
      <c r="BI508" s="19" t="s">
        <v>1624</v>
      </c>
      <c r="BJ508" s="68" t="s">
        <v>1438</v>
      </c>
      <c r="BK508" s="68" t="s">
        <v>1438</v>
      </c>
      <c r="BL508" s="29"/>
      <c r="BM508" s="1" t="s">
        <v>1886</v>
      </c>
      <c r="BN508" s="1" t="s">
        <v>1666</v>
      </c>
      <c r="BO508" s="35" t="s">
        <v>1804</v>
      </c>
      <c r="BQ508" s="1" t="e">
        <v>#N/A</v>
      </c>
    </row>
    <row r="509" spans="1:69" ht="15" hidden="1" customHeight="1">
      <c r="C509" s="1" t="str">
        <f t="shared" si="80"/>
        <v>3003</v>
      </c>
      <c r="D509" s="1" t="str">
        <f t="shared" si="81"/>
        <v>2203</v>
      </c>
      <c r="E509" s="19" t="s">
        <v>1452</v>
      </c>
      <c r="F509" s="68" t="s">
        <v>515</v>
      </c>
      <c r="G509" s="62">
        <v>2112</v>
      </c>
      <c r="H509" s="62" t="s">
        <v>1460</v>
      </c>
      <c r="I509" s="62" t="s">
        <v>1461</v>
      </c>
      <c r="J509" s="118">
        <v>1</v>
      </c>
      <c r="K509" s="119" t="s">
        <v>619</v>
      </c>
      <c r="L509" s="62" t="s">
        <v>1416</v>
      </c>
      <c r="M509" s="120" t="s">
        <v>1462</v>
      </c>
      <c r="N509" s="65" t="s">
        <v>1463</v>
      </c>
      <c r="O509" s="24">
        <v>55000</v>
      </c>
      <c r="P509" s="24">
        <v>22882</v>
      </c>
      <c r="Q509" s="64">
        <v>1258510000</v>
      </c>
      <c r="R509" s="64"/>
      <c r="S509" s="64"/>
      <c r="T509" s="130">
        <v>36123929</v>
      </c>
      <c r="U509" s="139"/>
      <c r="V509" s="121">
        <v>1294633929</v>
      </c>
      <c r="W509" s="122"/>
      <c r="X509" s="64">
        <v>1294633929</v>
      </c>
      <c r="Y509" s="121"/>
      <c r="Z509" s="121"/>
      <c r="AA509" s="128"/>
      <c r="AB509" s="121"/>
      <c r="AC509" s="64">
        <v>1294633929</v>
      </c>
      <c r="AD509" s="63">
        <v>44648</v>
      </c>
      <c r="AE509" s="65">
        <v>47569</v>
      </c>
      <c r="AF509" s="62">
        <v>8</v>
      </c>
      <c r="AG509" s="119">
        <v>96</v>
      </c>
      <c r="AH509" s="25">
        <v>13485770.09375</v>
      </c>
      <c r="AI509" s="78">
        <v>284941269.9375</v>
      </c>
      <c r="AJ509" s="78">
        <v>1009692659.0625</v>
      </c>
      <c r="AK509" s="27">
        <f t="shared" si="82"/>
        <v>13485770.09375</v>
      </c>
      <c r="AL509" s="27">
        <f t="shared" si="84"/>
        <v>13485770.09375</v>
      </c>
      <c r="AM509" s="27"/>
      <c r="AN509" s="27"/>
      <c r="AO509" s="27"/>
      <c r="AP509" s="27"/>
      <c r="AQ509" s="27"/>
      <c r="AR509" s="27"/>
      <c r="AS509" s="27"/>
      <c r="AT509" s="27"/>
      <c r="AU509" s="27"/>
      <c r="AV509" s="27"/>
      <c r="AW509" s="27">
        <f t="shared" si="77"/>
        <v>26971540.1875</v>
      </c>
      <c r="AX509" s="79">
        <f t="shared" si="78"/>
        <v>982721118.875</v>
      </c>
      <c r="AY509" s="79">
        <f t="shared" si="79"/>
        <v>311912810.125</v>
      </c>
      <c r="AZ509" s="25">
        <v>1</v>
      </c>
      <c r="BA509" s="62" t="s">
        <v>97</v>
      </c>
      <c r="BB509" s="66">
        <v>1</v>
      </c>
      <c r="BC509" s="66"/>
      <c r="BD509" s="66"/>
      <c r="BE509" s="67">
        <f t="shared" si="83"/>
        <v>13485770.09375</v>
      </c>
      <c r="BF509" s="67">
        <f t="shared" si="76"/>
        <v>0</v>
      </c>
      <c r="BG509" s="67">
        <f t="shared" si="75"/>
        <v>0</v>
      </c>
      <c r="BH509" s="66"/>
      <c r="BI509" s="68" t="s">
        <v>871</v>
      </c>
      <c r="BJ509" s="68" t="s">
        <v>98</v>
      </c>
      <c r="BK509" s="68" t="s">
        <v>98</v>
      </c>
      <c r="BL509" s="29"/>
      <c r="BO509" s="35" t="s">
        <v>1805</v>
      </c>
      <c r="BQ509" s="1" t="e">
        <v>#N/A</v>
      </c>
    </row>
    <row r="510" spans="1:69" ht="15" hidden="1" customHeight="1">
      <c r="C510" s="1" t="str">
        <f t="shared" si="80"/>
        <v>3003</v>
      </c>
      <c r="D510" s="1" t="str">
        <f t="shared" si="81"/>
        <v>2203</v>
      </c>
      <c r="E510" s="19" t="s">
        <v>1452</v>
      </c>
      <c r="F510" s="68" t="s">
        <v>515</v>
      </c>
      <c r="G510" s="62">
        <v>2112</v>
      </c>
      <c r="H510" s="62" t="s">
        <v>1464</v>
      </c>
      <c r="I510" s="62" t="s">
        <v>1465</v>
      </c>
      <c r="J510" s="118">
        <v>1</v>
      </c>
      <c r="K510" s="119" t="s">
        <v>619</v>
      </c>
      <c r="L510" s="62" t="s">
        <v>1416</v>
      </c>
      <c r="M510" s="120" t="s">
        <v>1462</v>
      </c>
      <c r="N510" s="65" t="s">
        <v>1463</v>
      </c>
      <c r="O510" s="24">
        <v>45000</v>
      </c>
      <c r="P510" s="24">
        <v>22882</v>
      </c>
      <c r="Q510" s="64">
        <v>1029690000</v>
      </c>
      <c r="R510" s="64"/>
      <c r="S510" s="64"/>
      <c r="T510" s="130">
        <v>29555943</v>
      </c>
      <c r="U510" s="139"/>
      <c r="V510" s="121">
        <v>1059245943</v>
      </c>
      <c r="W510" s="122"/>
      <c r="X510" s="64">
        <v>1059245943</v>
      </c>
      <c r="Y510" s="121"/>
      <c r="Z510" s="121"/>
      <c r="AA510" s="128"/>
      <c r="AB510" s="121"/>
      <c r="AC510" s="64">
        <v>1059245943</v>
      </c>
      <c r="AD510" s="63">
        <v>44648</v>
      </c>
      <c r="AE510" s="65">
        <v>47569</v>
      </c>
      <c r="AF510" s="62">
        <v>8</v>
      </c>
      <c r="AG510" s="119">
        <v>96</v>
      </c>
      <c r="AH510" s="25">
        <v>11033811.90625</v>
      </c>
      <c r="AI510" s="78">
        <v>233133769.0625</v>
      </c>
      <c r="AJ510" s="78">
        <v>826112173.9375</v>
      </c>
      <c r="AK510" s="27">
        <f t="shared" si="82"/>
        <v>11033811.90625</v>
      </c>
      <c r="AL510" s="27">
        <f t="shared" si="84"/>
        <v>11033811.90625</v>
      </c>
      <c r="AM510" s="27"/>
      <c r="AN510" s="27"/>
      <c r="AO510" s="27"/>
      <c r="AP510" s="27"/>
      <c r="AQ510" s="27"/>
      <c r="AR510" s="27"/>
      <c r="AS510" s="27"/>
      <c r="AT510" s="27"/>
      <c r="AU510" s="27"/>
      <c r="AV510" s="27"/>
      <c r="AW510" s="27">
        <f t="shared" si="77"/>
        <v>22067623.8125</v>
      </c>
      <c r="AX510" s="79">
        <f t="shared" si="78"/>
        <v>804044550.125</v>
      </c>
      <c r="AY510" s="79">
        <f t="shared" si="79"/>
        <v>255201392.875</v>
      </c>
      <c r="AZ510" s="25">
        <v>1</v>
      </c>
      <c r="BA510" s="62" t="s">
        <v>97</v>
      </c>
      <c r="BB510" s="66">
        <v>1</v>
      </c>
      <c r="BC510" s="66"/>
      <c r="BD510" s="66"/>
      <c r="BE510" s="67">
        <f t="shared" si="83"/>
        <v>11033811.90625</v>
      </c>
      <c r="BF510" s="67">
        <f t="shared" si="76"/>
        <v>0</v>
      </c>
      <c r="BG510" s="67">
        <f t="shared" si="75"/>
        <v>0</v>
      </c>
      <c r="BH510" s="66"/>
      <c r="BI510" s="68" t="s">
        <v>871</v>
      </c>
      <c r="BJ510" s="68" t="s">
        <v>81</v>
      </c>
      <c r="BK510" s="68" t="s">
        <v>81</v>
      </c>
      <c r="BL510" s="29"/>
      <c r="BO510" s="35" t="s">
        <v>1805</v>
      </c>
      <c r="BQ510" s="1" t="e">
        <v>#N/A</v>
      </c>
    </row>
    <row r="511" spans="1:69" ht="15" hidden="1" customHeight="1">
      <c r="C511" s="1" t="str">
        <f t="shared" si="80"/>
        <v>2802</v>
      </c>
      <c r="D511" s="1" t="str">
        <f t="shared" si="81"/>
        <v>2203</v>
      </c>
      <c r="E511" s="19" t="s">
        <v>1452</v>
      </c>
      <c r="F511" s="68" t="s">
        <v>49</v>
      </c>
      <c r="G511" s="62">
        <v>2112</v>
      </c>
      <c r="H511" s="62" t="s">
        <v>1466</v>
      </c>
      <c r="I511" s="62" t="s">
        <v>1467</v>
      </c>
      <c r="J511" s="118">
        <v>1</v>
      </c>
      <c r="K511" s="119" t="s">
        <v>619</v>
      </c>
      <c r="L511" s="62" t="s">
        <v>218</v>
      </c>
      <c r="M511" s="120" t="s">
        <v>1468</v>
      </c>
      <c r="N511" s="65" t="s">
        <v>1469</v>
      </c>
      <c r="O511" s="24">
        <v>2500</v>
      </c>
      <c r="P511" s="24">
        <v>22980</v>
      </c>
      <c r="Q511" s="64">
        <v>57450000</v>
      </c>
      <c r="R511" s="64"/>
      <c r="S511" s="64"/>
      <c r="T511" s="130">
        <v>7741000</v>
      </c>
      <c r="U511" s="139" t="s">
        <v>1470</v>
      </c>
      <c r="V511" s="121">
        <v>65191000</v>
      </c>
      <c r="W511" s="122"/>
      <c r="X511" s="64">
        <v>65191000</v>
      </c>
      <c r="Y511" s="121"/>
      <c r="Z511" s="121"/>
      <c r="AA511" s="128"/>
      <c r="AB511" s="121"/>
      <c r="AC511" s="64">
        <v>65191000</v>
      </c>
      <c r="AD511" s="63">
        <v>44621</v>
      </c>
      <c r="AE511" s="65">
        <v>46812</v>
      </c>
      <c r="AF511" s="62">
        <v>6</v>
      </c>
      <c r="AG511" s="119">
        <v>72</v>
      </c>
      <c r="AH511" s="25">
        <v>905430.5555555555</v>
      </c>
      <c r="AI511" s="78">
        <v>19919477.55555556</v>
      </c>
      <c r="AJ511" s="78">
        <v>45271522.44444444</v>
      </c>
      <c r="AK511" s="27">
        <f t="shared" si="82"/>
        <v>905430.5555555555</v>
      </c>
      <c r="AL511" s="27">
        <f t="shared" si="84"/>
        <v>905430.5555555555</v>
      </c>
      <c r="AM511" s="27"/>
      <c r="AN511" s="27"/>
      <c r="AO511" s="27"/>
      <c r="AP511" s="27"/>
      <c r="AQ511" s="27"/>
      <c r="AR511" s="27"/>
      <c r="AS511" s="27"/>
      <c r="AT511" s="27"/>
      <c r="AU511" s="27"/>
      <c r="AV511" s="27"/>
      <c r="AW511" s="27">
        <f t="shared" si="77"/>
        <v>1810861.111111111</v>
      </c>
      <c r="AX511" s="79">
        <f t="shared" si="78"/>
        <v>43460661.333333328</v>
      </c>
      <c r="AY511" s="79">
        <f t="shared" si="79"/>
        <v>21730338.666666672</v>
      </c>
      <c r="AZ511" s="25">
        <v>1</v>
      </c>
      <c r="BA511" s="62" t="s">
        <v>97</v>
      </c>
      <c r="BB511" s="66">
        <v>1</v>
      </c>
      <c r="BC511" s="66"/>
      <c r="BD511" s="66"/>
      <c r="BE511" s="67">
        <f t="shared" si="83"/>
        <v>905430.5555555555</v>
      </c>
      <c r="BF511" s="67">
        <f t="shared" si="76"/>
        <v>0</v>
      </c>
      <c r="BG511" s="67">
        <f t="shared" si="75"/>
        <v>0</v>
      </c>
      <c r="BH511" s="66"/>
      <c r="BI511" s="68" t="s">
        <v>466</v>
      </c>
      <c r="BJ511" s="69" t="s">
        <v>1471</v>
      </c>
      <c r="BK511" s="68" t="s">
        <v>159</v>
      </c>
      <c r="BL511" s="29"/>
      <c r="BO511" s="35" t="s">
        <v>1804</v>
      </c>
      <c r="BQ511" s="1" t="e">
        <v>#N/A</v>
      </c>
    </row>
    <row r="512" spans="1:69" ht="15" hidden="1" customHeight="1">
      <c r="C512" s="1" t="str">
        <f t="shared" si="80"/>
        <v>3204</v>
      </c>
      <c r="D512" s="1" t="str">
        <f t="shared" si="81"/>
        <v>2204</v>
      </c>
      <c r="E512" s="19" t="s">
        <v>1472</v>
      </c>
      <c r="F512" s="68" t="s">
        <v>515</v>
      </c>
      <c r="G512" s="62">
        <v>2112</v>
      </c>
      <c r="H512" s="62" t="s">
        <v>1473</v>
      </c>
      <c r="I512" s="62" t="s">
        <v>1474</v>
      </c>
      <c r="J512" s="118">
        <v>1</v>
      </c>
      <c r="K512" s="119" t="s">
        <v>619</v>
      </c>
      <c r="L512" s="62" t="s">
        <v>1475</v>
      </c>
      <c r="M512" s="120" t="s">
        <v>1476</v>
      </c>
      <c r="N512" s="65">
        <v>44657</v>
      </c>
      <c r="O512" s="24">
        <v>425000000</v>
      </c>
      <c r="P512" s="24">
        <v>1</v>
      </c>
      <c r="Q512" s="64">
        <v>425000000</v>
      </c>
      <c r="R512" s="64"/>
      <c r="S512" s="64"/>
      <c r="T512" s="130">
        <v>0</v>
      </c>
      <c r="U512" s="139">
        <v>0</v>
      </c>
      <c r="V512" s="121">
        <v>425000000</v>
      </c>
      <c r="W512" s="122"/>
      <c r="X512" s="64">
        <v>425000000</v>
      </c>
      <c r="Y512" s="121"/>
      <c r="Z512" s="121"/>
      <c r="AA512" s="128"/>
      <c r="AB512" s="121"/>
      <c r="AC512" s="64">
        <v>425000000</v>
      </c>
      <c r="AD512" s="63">
        <v>44661</v>
      </c>
      <c r="AE512" s="65">
        <v>48313</v>
      </c>
      <c r="AF512" s="62">
        <v>10</v>
      </c>
      <c r="AG512" s="119">
        <v>120</v>
      </c>
      <c r="AH512" s="25">
        <v>3541666.6666666665</v>
      </c>
      <c r="AI512" s="78">
        <v>73312503.666666657</v>
      </c>
      <c r="AJ512" s="78">
        <v>351687496.33333331</v>
      </c>
      <c r="AK512" s="27">
        <f t="shared" si="82"/>
        <v>3541666.6666666665</v>
      </c>
      <c r="AL512" s="27">
        <f t="shared" si="84"/>
        <v>3541666.6666666665</v>
      </c>
      <c r="AM512" s="27"/>
      <c r="AN512" s="27"/>
      <c r="AO512" s="27"/>
      <c r="AP512" s="27"/>
      <c r="AQ512" s="27"/>
      <c r="AR512" s="27"/>
      <c r="AS512" s="27"/>
      <c r="AT512" s="27"/>
      <c r="AU512" s="27"/>
      <c r="AV512" s="27"/>
      <c r="AW512" s="27">
        <f t="shared" si="77"/>
        <v>7083333.333333333</v>
      </c>
      <c r="AX512" s="79">
        <f t="shared" si="78"/>
        <v>344604163.00000006</v>
      </c>
      <c r="AY512" s="79">
        <f t="shared" si="79"/>
        <v>80395836.999999985</v>
      </c>
      <c r="AZ512" s="25">
        <v>1</v>
      </c>
      <c r="BA512" s="62" t="s">
        <v>97</v>
      </c>
      <c r="BB512" s="66">
        <v>1</v>
      </c>
      <c r="BC512" s="66"/>
      <c r="BD512" s="66"/>
      <c r="BE512" s="67">
        <f t="shared" si="83"/>
        <v>3541666.6666666665</v>
      </c>
      <c r="BF512" s="67">
        <f t="shared" si="76"/>
        <v>0</v>
      </c>
      <c r="BG512" s="67">
        <f t="shared" si="75"/>
        <v>0</v>
      </c>
      <c r="BH512" s="66"/>
      <c r="BI512" s="68" t="s">
        <v>871</v>
      </c>
      <c r="BJ512" s="68" t="s">
        <v>81</v>
      </c>
      <c r="BK512" s="68" t="s">
        <v>81</v>
      </c>
      <c r="BL512" s="29"/>
      <c r="BO512" s="35" t="s">
        <v>1801</v>
      </c>
      <c r="BP512" s="1" t="s">
        <v>1825</v>
      </c>
      <c r="BQ512" s="1" t="s">
        <v>1930</v>
      </c>
    </row>
    <row r="513" spans="3:69" ht="15" hidden="1" customHeight="1">
      <c r="C513" s="1" t="str">
        <f t="shared" si="80"/>
        <v>3204</v>
      </c>
      <c r="D513" s="1" t="str">
        <f t="shared" si="81"/>
        <v>2204</v>
      </c>
      <c r="E513" s="19" t="s">
        <v>1472</v>
      </c>
      <c r="F513" s="68" t="s">
        <v>515</v>
      </c>
      <c r="G513" s="62">
        <v>2112</v>
      </c>
      <c r="H513" s="62" t="s">
        <v>1477</v>
      </c>
      <c r="I513" s="62" t="s">
        <v>1474</v>
      </c>
      <c r="J513" s="118">
        <v>1</v>
      </c>
      <c r="K513" s="119" t="s">
        <v>619</v>
      </c>
      <c r="L513" s="62" t="s">
        <v>1475</v>
      </c>
      <c r="M513" s="120" t="s">
        <v>1476</v>
      </c>
      <c r="N513" s="65">
        <v>44657</v>
      </c>
      <c r="O513" s="24">
        <v>425000000</v>
      </c>
      <c r="P513" s="24">
        <v>1</v>
      </c>
      <c r="Q513" s="64">
        <v>425000000</v>
      </c>
      <c r="R513" s="64"/>
      <c r="S513" s="64"/>
      <c r="T513" s="130">
        <v>0</v>
      </c>
      <c r="U513" s="139">
        <v>0</v>
      </c>
      <c r="V513" s="121">
        <v>425000000</v>
      </c>
      <c r="W513" s="122"/>
      <c r="X513" s="64">
        <v>425000000</v>
      </c>
      <c r="Y513" s="121"/>
      <c r="Z513" s="121"/>
      <c r="AA513" s="128"/>
      <c r="AB513" s="121"/>
      <c r="AC513" s="64">
        <v>425000000</v>
      </c>
      <c r="AD513" s="63">
        <v>44661</v>
      </c>
      <c r="AE513" s="65">
        <v>48313</v>
      </c>
      <c r="AF513" s="62">
        <v>10</v>
      </c>
      <c r="AG513" s="119">
        <v>120</v>
      </c>
      <c r="AH513" s="25">
        <v>3541666.6666666665</v>
      </c>
      <c r="AI513" s="78">
        <v>73312503.666666657</v>
      </c>
      <c r="AJ513" s="78">
        <v>351687496.33333331</v>
      </c>
      <c r="AK513" s="27">
        <f t="shared" si="82"/>
        <v>3541666.6666666665</v>
      </c>
      <c r="AL513" s="27">
        <f t="shared" si="84"/>
        <v>3541666.6666666665</v>
      </c>
      <c r="AM513" s="27"/>
      <c r="AN513" s="27"/>
      <c r="AO513" s="27"/>
      <c r="AP513" s="27"/>
      <c r="AQ513" s="27"/>
      <c r="AR513" s="27"/>
      <c r="AS513" s="27"/>
      <c r="AT513" s="27"/>
      <c r="AU513" s="27"/>
      <c r="AV513" s="27"/>
      <c r="AW513" s="27">
        <f t="shared" si="77"/>
        <v>7083333.333333333</v>
      </c>
      <c r="AX513" s="79">
        <f t="shared" si="78"/>
        <v>344604163.00000006</v>
      </c>
      <c r="AY513" s="79">
        <f t="shared" si="79"/>
        <v>80395836.999999985</v>
      </c>
      <c r="AZ513" s="25">
        <v>1</v>
      </c>
      <c r="BA513" s="62" t="s">
        <v>97</v>
      </c>
      <c r="BB513" s="66">
        <v>1</v>
      </c>
      <c r="BC513" s="66"/>
      <c r="BD513" s="66"/>
      <c r="BE513" s="67">
        <f t="shared" si="83"/>
        <v>3541666.6666666665</v>
      </c>
      <c r="BF513" s="67">
        <f t="shared" si="76"/>
        <v>0</v>
      </c>
      <c r="BG513" s="67">
        <f t="shared" si="75"/>
        <v>0</v>
      </c>
      <c r="BH513" s="66"/>
      <c r="BI513" s="68" t="s">
        <v>871</v>
      </c>
      <c r="BJ513" s="68" t="s">
        <v>81</v>
      </c>
      <c r="BK513" s="68" t="s">
        <v>81</v>
      </c>
      <c r="BL513" s="29"/>
      <c r="BO513" s="35" t="s">
        <v>1801</v>
      </c>
      <c r="BP513" s="1" t="s">
        <v>1813</v>
      </c>
      <c r="BQ513" s="1" t="s">
        <v>1930</v>
      </c>
    </row>
    <row r="514" spans="3:69" ht="15" hidden="1" customHeight="1">
      <c r="C514" s="1" t="str">
        <f t="shared" si="80"/>
        <v>2804</v>
      </c>
      <c r="D514" s="1" t="str">
        <f t="shared" si="81"/>
        <v>2204</v>
      </c>
      <c r="E514" s="19" t="s">
        <v>1472</v>
      </c>
      <c r="F514" s="68" t="s">
        <v>49</v>
      </c>
      <c r="G514" s="62">
        <v>2112</v>
      </c>
      <c r="H514" s="62" t="s">
        <v>1478</v>
      </c>
      <c r="I514" s="62" t="s">
        <v>1479</v>
      </c>
      <c r="J514" s="118">
        <v>1</v>
      </c>
      <c r="K514" s="119" t="s">
        <v>271</v>
      </c>
      <c r="L514" s="62" t="s">
        <v>1480</v>
      </c>
      <c r="M514" s="120" t="s">
        <v>1481</v>
      </c>
      <c r="N514" s="65">
        <v>44679</v>
      </c>
      <c r="O514" s="24">
        <v>127821000</v>
      </c>
      <c r="P514" s="24">
        <v>1</v>
      </c>
      <c r="Q514" s="64">
        <v>127821000</v>
      </c>
      <c r="R514" s="64"/>
      <c r="S514" s="64"/>
      <c r="T514" s="130">
        <v>0</v>
      </c>
      <c r="U514" s="139"/>
      <c r="V514" s="121">
        <v>127821000</v>
      </c>
      <c r="W514" s="122"/>
      <c r="X514" s="64">
        <v>127821000</v>
      </c>
      <c r="Y514" s="121"/>
      <c r="Z514" s="121"/>
      <c r="AA514" s="128"/>
      <c r="AB514" s="121"/>
      <c r="AC514" s="64">
        <v>127821000</v>
      </c>
      <c r="AD514" s="63">
        <v>44671</v>
      </c>
      <c r="AE514" s="65">
        <v>46862</v>
      </c>
      <c r="AF514" s="62">
        <v>6</v>
      </c>
      <c r="AG514" s="119">
        <v>72</v>
      </c>
      <c r="AH514" s="25">
        <v>1775291.6666666667</v>
      </c>
      <c r="AI514" s="78">
        <v>36156776.666666672</v>
      </c>
      <c r="AJ514" s="78">
        <v>91664223.333333328</v>
      </c>
      <c r="AK514" s="27">
        <f t="shared" si="82"/>
        <v>1775291.6666666667</v>
      </c>
      <c r="AL514" s="27">
        <f t="shared" si="84"/>
        <v>1775291.6666666667</v>
      </c>
      <c r="AM514" s="27"/>
      <c r="AN514" s="27"/>
      <c r="AO514" s="27"/>
      <c r="AP514" s="27"/>
      <c r="AQ514" s="27"/>
      <c r="AR514" s="27"/>
      <c r="AS514" s="27"/>
      <c r="AT514" s="27"/>
      <c r="AU514" s="27"/>
      <c r="AV514" s="27"/>
      <c r="AW514" s="27">
        <f t="shared" si="77"/>
        <v>3550583.3333333335</v>
      </c>
      <c r="AX514" s="79">
        <f t="shared" si="78"/>
        <v>88113640</v>
      </c>
      <c r="AY514" s="79">
        <f t="shared" si="79"/>
        <v>39707360.000000007</v>
      </c>
      <c r="AZ514" s="25">
        <v>1</v>
      </c>
      <c r="BA514" s="62" t="s">
        <v>97</v>
      </c>
      <c r="BB514" s="66">
        <v>1</v>
      </c>
      <c r="BC514" s="66"/>
      <c r="BD514" s="66"/>
      <c r="BE514" s="67">
        <f t="shared" si="83"/>
        <v>1775291.6666666667</v>
      </c>
      <c r="BF514" s="67">
        <f t="shared" si="76"/>
        <v>0</v>
      </c>
      <c r="BG514" s="67">
        <f t="shared" si="75"/>
        <v>0</v>
      </c>
      <c r="BH514" s="66"/>
      <c r="BI514" s="68" t="s">
        <v>57</v>
      </c>
      <c r="BJ514" s="68" t="s">
        <v>98</v>
      </c>
      <c r="BK514" s="68" t="s">
        <v>98</v>
      </c>
      <c r="BL514" s="29"/>
      <c r="BO514" s="35" t="s">
        <v>1800</v>
      </c>
      <c r="BP514" s="1" t="s">
        <v>1822</v>
      </c>
      <c r="BQ514" s="1" t="e">
        <v>#N/A</v>
      </c>
    </row>
    <row r="515" spans="3:69" ht="15" hidden="1" customHeight="1">
      <c r="C515" s="1" t="str">
        <f t="shared" si="80"/>
        <v>3004</v>
      </c>
      <c r="D515" s="1" t="str">
        <f t="shared" si="81"/>
        <v>2204</v>
      </c>
      <c r="E515" s="19" t="s">
        <v>1472</v>
      </c>
      <c r="F515" s="68" t="s">
        <v>49</v>
      </c>
      <c r="G515" s="62">
        <v>2112</v>
      </c>
      <c r="H515" s="62" t="s">
        <v>1482</v>
      </c>
      <c r="I515" s="62" t="s">
        <v>1483</v>
      </c>
      <c r="J515" s="118">
        <v>1</v>
      </c>
      <c r="K515" s="119" t="s">
        <v>619</v>
      </c>
      <c r="L515" s="62" t="s">
        <v>980</v>
      </c>
      <c r="M515" s="120" t="s">
        <v>1484</v>
      </c>
      <c r="N515" s="65" t="s">
        <v>1485</v>
      </c>
      <c r="O515" s="24">
        <v>70000</v>
      </c>
      <c r="P515" s="24">
        <v>22974</v>
      </c>
      <c r="Q515" s="64">
        <v>1608180000</v>
      </c>
      <c r="R515" s="64"/>
      <c r="S515" s="64"/>
      <c r="T515" s="130">
        <v>19745516</v>
      </c>
      <c r="U515" s="139" t="s">
        <v>1486</v>
      </c>
      <c r="V515" s="121">
        <v>1627925516</v>
      </c>
      <c r="W515" s="122"/>
      <c r="X515" s="64">
        <v>1627925516</v>
      </c>
      <c r="Y515" s="121"/>
      <c r="Z515" s="121"/>
      <c r="AA515" s="128"/>
      <c r="AB515" s="121"/>
      <c r="AC515" s="64">
        <v>1627925516</v>
      </c>
      <c r="AD515" s="63">
        <v>44661</v>
      </c>
      <c r="AE515" s="65">
        <v>47582</v>
      </c>
      <c r="AF515" s="62">
        <v>8</v>
      </c>
      <c r="AG515" s="119">
        <v>96</v>
      </c>
      <c r="AH515" s="25">
        <v>16957557.458333332</v>
      </c>
      <c r="AI515" s="78">
        <v>351021434.58333337</v>
      </c>
      <c r="AJ515" s="78">
        <v>1276904081.4166667</v>
      </c>
      <c r="AK515" s="27">
        <f t="shared" si="82"/>
        <v>16957557.458333332</v>
      </c>
      <c r="AL515" s="27">
        <f t="shared" si="84"/>
        <v>16957557.458333332</v>
      </c>
      <c r="AM515" s="27"/>
      <c r="AN515" s="27"/>
      <c r="AO515" s="27"/>
      <c r="AP515" s="27"/>
      <c r="AQ515" s="27"/>
      <c r="AR515" s="27"/>
      <c r="AS515" s="27"/>
      <c r="AT515" s="27"/>
      <c r="AU515" s="27"/>
      <c r="AV515" s="27"/>
      <c r="AW515" s="27">
        <f t="shared" si="77"/>
        <v>33915114.916666664</v>
      </c>
      <c r="AX515" s="79">
        <f t="shared" si="78"/>
        <v>1242988966.4999998</v>
      </c>
      <c r="AY515" s="79">
        <f t="shared" si="79"/>
        <v>384936549.50000006</v>
      </c>
      <c r="AZ515" s="25">
        <v>1</v>
      </c>
      <c r="BA515" s="62" t="s">
        <v>97</v>
      </c>
      <c r="BB515" s="66">
        <v>1</v>
      </c>
      <c r="BC515" s="66"/>
      <c r="BD515" s="66"/>
      <c r="BE515" s="67">
        <f t="shared" si="83"/>
        <v>16957557.458333332</v>
      </c>
      <c r="BF515" s="67">
        <f t="shared" si="76"/>
        <v>0</v>
      </c>
      <c r="BG515" s="67">
        <f t="shared" si="75"/>
        <v>0</v>
      </c>
      <c r="BH515" s="66"/>
      <c r="BI515" s="68" t="s">
        <v>695</v>
      </c>
      <c r="BJ515" s="68" t="s">
        <v>81</v>
      </c>
      <c r="BK515" s="68" t="s">
        <v>81</v>
      </c>
      <c r="BL515" s="29"/>
      <c r="BO515" s="35" t="s">
        <v>1801</v>
      </c>
      <c r="BP515" s="1" t="s">
        <v>1825</v>
      </c>
      <c r="BQ515" s="1" t="s">
        <v>1930</v>
      </c>
    </row>
    <row r="516" spans="3:69" ht="15" hidden="1" customHeight="1">
      <c r="C516" s="1" t="str">
        <f t="shared" si="80"/>
        <v>3004</v>
      </c>
      <c r="D516" s="1" t="str">
        <f t="shared" si="81"/>
        <v>2204</v>
      </c>
      <c r="E516" s="19" t="s">
        <v>1472</v>
      </c>
      <c r="F516" s="68" t="s">
        <v>49</v>
      </c>
      <c r="G516" s="62">
        <v>2112</v>
      </c>
      <c r="H516" s="62" t="s">
        <v>1487</v>
      </c>
      <c r="I516" s="62" t="s">
        <v>1483</v>
      </c>
      <c r="J516" s="118">
        <v>1</v>
      </c>
      <c r="K516" s="119" t="s">
        <v>619</v>
      </c>
      <c r="L516" s="62" t="s">
        <v>980</v>
      </c>
      <c r="M516" s="120" t="s">
        <v>1484</v>
      </c>
      <c r="N516" s="65" t="s">
        <v>1485</v>
      </c>
      <c r="O516" s="24">
        <v>73000</v>
      </c>
      <c r="P516" s="24">
        <v>22974.034520547946</v>
      </c>
      <c r="Q516" s="64">
        <v>1677104520</v>
      </c>
      <c r="R516" s="64"/>
      <c r="S516" s="64"/>
      <c r="T516" s="130">
        <v>20591784</v>
      </c>
      <c r="U516" s="139" t="s">
        <v>1486</v>
      </c>
      <c r="V516" s="121">
        <v>1697696304</v>
      </c>
      <c r="W516" s="122"/>
      <c r="X516" s="64">
        <v>1697696304</v>
      </c>
      <c r="Y516" s="121"/>
      <c r="Z516" s="121"/>
      <c r="AA516" s="128"/>
      <c r="AB516" s="121"/>
      <c r="AC516" s="64">
        <v>1697696304</v>
      </c>
      <c r="AD516" s="63">
        <v>44663</v>
      </c>
      <c r="AE516" s="65">
        <v>47584</v>
      </c>
      <c r="AF516" s="62">
        <v>8</v>
      </c>
      <c r="AG516" s="119">
        <v>96</v>
      </c>
      <c r="AH516" s="25">
        <v>17684336.5</v>
      </c>
      <c r="AI516" s="78">
        <v>364886815</v>
      </c>
      <c r="AJ516" s="78">
        <v>1332809489</v>
      </c>
      <c r="AK516" s="27">
        <f t="shared" si="82"/>
        <v>17684336.5</v>
      </c>
      <c r="AL516" s="27">
        <f t="shared" si="84"/>
        <v>17684336.5</v>
      </c>
      <c r="AM516" s="27"/>
      <c r="AN516" s="27"/>
      <c r="AO516" s="27"/>
      <c r="AP516" s="27"/>
      <c r="AQ516" s="27"/>
      <c r="AR516" s="27"/>
      <c r="AS516" s="27"/>
      <c r="AT516" s="27"/>
      <c r="AU516" s="27"/>
      <c r="AV516" s="27"/>
      <c r="AW516" s="27">
        <f t="shared" si="77"/>
        <v>35368673</v>
      </c>
      <c r="AX516" s="79">
        <f t="shared" si="78"/>
        <v>1297440816</v>
      </c>
      <c r="AY516" s="79">
        <f t="shared" si="79"/>
        <v>400255488</v>
      </c>
      <c r="AZ516" s="25">
        <v>1</v>
      </c>
      <c r="BA516" s="62" t="s">
        <v>97</v>
      </c>
      <c r="BB516" s="66">
        <v>1</v>
      </c>
      <c r="BC516" s="66"/>
      <c r="BD516" s="66"/>
      <c r="BE516" s="67">
        <f t="shared" si="83"/>
        <v>17684336.5</v>
      </c>
      <c r="BF516" s="67">
        <f t="shared" si="76"/>
        <v>0</v>
      </c>
      <c r="BG516" s="67">
        <f t="shared" si="75"/>
        <v>0</v>
      </c>
      <c r="BH516" s="66"/>
      <c r="BI516" s="68" t="s">
        <v>932</v>
      </c>
      <c r="BJ516" s="68" t="s">
        <v>81</v>
      </c>
      <c r="BK516" s="68" t="s">
        <v>81</v>
      </c>
      <c r="BL516" s="29"/>
      <c r="BO516" s="35" t="s">
        <v>1801</v>
      </c>
      <c r="BP516" s="1" t="s">
        <v>1813</v>
      </c>
      <c r="BQ516" s="1" t="e">
        <v>#N/A</v>
      </c>
    </row>
    <row r="517" spans="3:69" ht="15" hidden="1" customHeight="1">
      <c r="C517" s="1" t="str">
        <f t="shared" si="80"/>
        <v>3205</v>
      </c>
      <c r="D517" s="1" t="str">
        <f t="shared" si="81"/>
        <v>2205</v>
      </c>
      <c r="E517" s="19" t="s">
        <v>1488</v>
      </c>
      <c r="F517" s="68" t="s">
        <v>49</v>
      </c>
      <c r="G517" s="62">
        <v>2112</v>
      </c>
      <c r="H517" s="62" t="s">
        <v>1489</v>
      </c>
      <c r="I517" s="62" t="s">
        <v>1490</v>
      </c>
      <c r="J517" s="118">
        <v>1</v>
      </c>
      <c r="K517" s="119" t="s">
        <v>619</v>
      </c>
      <c r="L517" s="62" t="s">
        <v>77</v>
      </c>
      <c r="M517" s="120" t="s">
        <v>1491</v>
      </c>
      <c r="N517" s="65" t="s">
        <v>1492</v>
      </c>
      <c r="O517" s="24">
        <v>73660.350000000006</v>
      </c>
      <c r="P517" s="24">
        <v>23010</v>
      </c>
      <c r="Q517" s="64">
        <v>1694924653.5000002</v>
      </c>
      <c r="R517" s="64"/>
      <c r="S517" s="64"/>
      <c r="T517" s="130">
        <v>21368243</v>
      </c>
      <c r="U517" s="139" t="s">
        <v>1493</v>
      </c>
      <c r="V517" s="121">
        <v>1716292897</v>
      </c>
      <c r="W517" s="122"/>
      <c r="X517" s="64">
        <v>1716292897</v>
      </c>
      <c r="Y517" s="121"/>
      <c r="Z517" s="121"/>
      <c r="AA517" s="128"/>
      <c r="AB517" s="121"/>
      <c r="AC517" s="64">
        <v>1716292897</v>
      </c>
      <c r="AD517" s="63">
        <v>44686</v>
      </c>
      <c r="AE517" s="65">
        <v>48338</v>
      </c>
      <c r="AF517" s="62">
        <v>10</v>
      </c>
      <c r="AG517" s="119">
        <v>120</v>
      </c>
      <c r="AH517" s="25">
        <v>14302440.808333334</v>
      </c>
      <c r="AI517" s="78">
        <v>284203342.08333337</v>
      </c>
      <c r="AJ517" s="78">
        <v>1432089554.9166665</v>
      </c>
      <c r="AK517" s="27">
        <f t="shared" si="82"/>
        <v>14302440.808333334</v>
      </c>
      <c r="AL517" s="27">
        <f t="shared" si="84"/>
        <v>14302440.808333334</v>
      </c>
      <c r="AM517" s="27"/>
      <c r="AN517" s="27"/>
      <c r="AO517" s="27"/>
      <c r="AP517" s="27"/>
      <c r="AQ517" s="27"/>
      <c r="AR517" s="27"/>
      <c r="AS517" s="27"/>
      <c r="AT517" s="27"/>
      <c r="AU517" s="27"/>
      <c r="AV517" s="27"/>
      <c r="AW517" s="27">
        <f t="shared" si="77"/>
        <v>28604881.616666667</v>
      </c>
      <c r="AX517" s="79">
        <f t="shared" si="78"/>
        <v>1403484673.3</v>
      </c>
      <c r="AY517" s="79">
        <f t="shared" si="79"/>
        <v>312808223.70000005</v>
      </c>
      <c r="AZ517" s="25">
        <v>1</v>
      </c>
      <c r="BA517" s="62" t="s">
        <v>97</v>
      </c>
      <c r="BB517" s="66"/>
      <c r="BC517" s="66">
        <v>1</v>
      </c>
      <c r="BD517" s="66"/>
      <c r="BE517" s="67">
        <f t="shared" si="83"/>
        <v>0</v>
      </c>
      <c r="BF517" s="67">
        <f t="shared" si="76"/>
        <v>14302440.808333334</v>
      </c>
      <c r="BG517" s="67">
        <f t="shared" si="75"/>
        <v>0</v>
      </c>
      <c r="BH517" s="62" t="s">
        <v>1668</v>
      </c>
      <c r="BI517" s="19" t="s">
        <v>1624</v>
      </c>
      <c r="BJ517" s="68" t="s">
        <v>1438</v>
      </c>
      <c r="BK517" s="68" t="s">
        <v>1438</v>
      </c>
      <c r="BL517" s="29"/>
      <c r="BM517" s="1" t="s">
        <v>1886</v>
      </c>
      <c r="BN517" s="1" t="s">
        <v>1666</v>
      </c>
      <c r="BO517" s="35" t="s">
        <v>1804</v>
      </c>
      <c r="BQ517" s="1" t="e">
        <v>#N/A</v>
      </c>
    </row>
    <row r="518" spans="3:69" ht="15" hidden="1" customHeight="1">
      <c r="C518" s="1" t="str">
        <f t="shared" si="80"/>
        <v>2905</v>
      </c>
      <c r="D518" s="1" t="str">
        <f t="shared" si="81"/>
        <v>2205</v>
      </c>
      <c r="E518" s="19" t="s">
        <v>1488</v>
      </c>
      <c r="F518" s="68" t="s">
        <v>49</v>
      </c>
      <c r="G518" s="62">
        <v>2112</v>
      </c>
      <c r="H518" s="62" t="s">
        <v>1494</v>
      </c>
      <c r="I518" s="62" t="s">
        <v>1495</v>
      </c>
      <c r="J518" s="118">
        <v>1</v>
      </c>
      <c r="K518" s="119" t="s">
        <v>619</v>
      </c>
      <c r="L518" s="62" t="s">
        <v>924</v>
      </c>
      <c r="M518" s="120" t="s">
        <v>1496</v>
      </c>
      <c r="N518" s="65" t="s">
        <v>1497</v>
      </c>
      <c r="O518" s="24">
        <v>35030</v>
      </c>
      <c r="P518" s="24">
        <v>23030</v>
      </c>
      <c r="Q518" s="64">
        <v>806740900</v>
      </c>
      <c r="R518" s="64"/>
      <c r="S518" s="64"/>
      <c r="T518" s="130">
        <v>15613079</v>
      </c>
      <c r="U518" s="139" t="s">
        <v>1498</v>
      </c>
      <c r="V518" s="121">
        <v>822353979</v>
      </c>
      <c r="W518" s="122"/>
      <c r="X518" s="64">
        <v>822353979</v>
      </c>
      <c r="Y518" s="121"/>
      <c r="Z518" s="121"/>
      <c r="AA518" s="128"/>
      <c r="AB518" s="121"/>
      <c r="AC518" s="64">
        <v>822353979</v>
      </c>
      <c r="AD518" s="63">
        <v>44688</v>
      </c>
      <c r="AE518" s="65">
        <v>47244</v>
      </c>
      <c r="AF518" s="62">
        <v>7</v>
      </c>
      <c r="AG518" s="119">
        <v>84</v>
      </c>
      <c r="AH518" s="25">
        <v>9789928.3214285709</v>
      </c>
      <c r="AI518" s="78">
        <v>193903738.21428567</v>
      </c>
      <c r="AJ518" s="78">
        <v>628450240.78571427</v>
      </c>
      <c r="AK518" s="27">
        <f t="shared" si="82"/>
        <v>9789928.3214285709</v>
      </c>
      <c r="AL518" s="27">
        <f t="shared" si="84"/>
        <v>9789928.3214285709</v>
      </c>
      <c r="AM518" s="27"/>
      <c r="AN518" s="27"/>
      <c r="AO518" s="27"/>
      <c r="AP518" s="27"/>
      <c r="AQ518" s="27"/>
      <c r="AR518" s="27"/>
      <c r="AS518" s="27"/>
      <c r="AT518" s="27"/>
      <c r="AU518" s="27"/>
      <c r="AV518" s="27"/>
      <c r="AW518" s="27">
        <f t="shared" si="77"/>
        <v>19579856.642857142</v>
      </c>
      <c r="AX518" s="79">
        <f t="shared" si="78"/>
        <v>608870384.14285719</v>
      </c>
      <c r="AY518" s="79">
        <f t="shared" si="79"/>
        <v>213483594.85714281</v>
      </c>
      <c r="AZ518" s="25">
        <v>1</v>
      </c>
      <c r="BA518" s="62" t="s">
        <v>97</v>
      </c>
      <c r="BB518" s="66">
        <v>1</v>
      </c>
      <c r="BC518" s="66"/>
      <c r="BD518" s="66"/>
      <c r="BE518" s="67">
        <f t="shared" si="83"/>
        <v>9789928.3214285709</v>
      </c>
      <c r="BF518" s="67">
        <f t="shared" si="76"/>
        <v>0</v>
      </c>
      <c r="BG518" s="67">
        <f t="shared" si="75"/>
        <v>0</v>
      </c>
      <c r="BH518" s="66"/>
      <c r="BI518" s="68" t="s">
        <v>57</v>
      </c>
      <c r="BJ518" s="68" t="s">
        <v>121</v>
      </c>
      <c r="BK518" s="68" t="s">
        <v>121</v>
      </c>
      <c r="BL518" s="29"/>
      <c r="BO518" s="35" t="s">
        <v>1800</v>
      </c>
      <c r="BP518" s="1" t="s">
        <v>1812</v>
      </c>
      <c r="BQ518" s="1" t="e">
        <v>#N/A</v>
      </c>
    </row>
    <row r="519" spans="3:69" ht="15" hidden="1" customHeight="1">
      <c r="C519" s="1" t="str">
        <f t="shared" si="80"/>
        <v>2905</v>
      </c>
      <c r="D519" s="1" t="str">
        <f t="shared" si="81"/>
        <v>2205</v>
      </c>
      <c r="E519" s="19" t="s">
        <v>1488</v>
      </c>
      <c r="F519" s="68" t="s">
        <v>49</v>
      </c>
      <c r="G519" s="62">
        <v>2112</v>
      </c>
      <c r="H519" s="62" t="s">
        <v>1499</v>
      </c>
      <c r="I519" s="62" t="s">
        <v>1495</v>
      </c>
      <c r="J519" s="118">
        <v>1</v>
      </c>
      <c r="K519" s="119" t="s">
        <v>619</v>
      </c>
      <c r="L519" s="62" t="s">
        <v>924</v>
      </c>
      <c r="M519" s="120" t="s">
        <v>1496</v>
      </c>
      <c r="N519" s="65" t="s">
        <v>1497</v>
      </c>
      <c r="O519" s="24">
        <v>35030</v>
      </c>
      <c r="P519" s="24">
        <v>23030</v>
      </c>
      <c r="Q519" s="64">
        <v>806740900</v>
      </c>
      <c r="R519" s="64"/>
      <c r="S519" s="64"/>
      <c r="T519" s="130">
        <v>15613080</v>
      </c>
      <c r="U519" s="139" t="s">
        <v>1498</v>
      </c>
      <c r="V519" s="121">
        <v>822353980</v>
      </c>
      <c r="W519" s="122"/>
      <c r="X519" s="64">
        <v>822353980</v>
      </c>
      <c r="Y519" s="121"/>
      <c r="Z519" s="121"/>
      <c r="AA519" s="128"/>
      <c r="AB519" s="121"/>
      <c r="AC519" s="64">
        <v>822353980</v>
      </c>
      <c r="AD519" s="63">
        <v>44688</v>
      </c>
      <c r="AE519" s="65">
        <v>47244</v>
      </c>
      <c r="AF519" s="62">
        <v>7</v>
      </c>
      <c r="AG519" s="119">
        <v>84</v>
      </c>
      <c r="AH519" s="25">
        <v>9789928.333333334</v>
      </c>
      <c r="AI519" s="78">
        <v>193903738.33333331</v>
      </c>
      <c r="AJ519" s="78">
        <v>628450241.66666675</v>
      </c>
      <c r="AK519" s="27">
        <f t="shared" si="82"/>
        <v>9789928.333333334</v>
      </c>
      <c r="AL519" s="27">
        <f t="shared" si="84"/>
        <v>9789928.333333334</v>
      </c>
      <c r="AM519" s="27"/>
      <c r="AN519" s="27"/>
      <c r="AO519" s="27"/>
      <c r="AP519" s="27"/>
      <c r="AQ519" s="27"/>
      <c r="AR519" s="27"/>
      <c r="AS519" s="27"/>
      <c r="AT519" s="27"/>
      <c r="AU519" s="27"/>
      <c r="AV519" s="27"/>
      <c r="AW519" s="27">
        <f t="shared" si="77"/>
        <v>19579856.666666668</v>
      </c>
      <c r="AX519" s="79">
        <f t="shared" si="78"/>
        <v>608870385.00000012</v>
      </c>
      <c r="AY519" s="79">
        <f t="shared" si="79"/>
        <v>213483594.99999997</v>
      </c>
      <c r="AZ519" s="25">
        <v>1</v>
      </c>
      <c r="BA519" s="62" t="s">
        <v>97</v>
      </c>
      <c r="BB519" s="66">
        <v>1</v>
      </c>
      <c r="BC519" s="66"/>
      <c r="BD519" s="66"/>
      <c r="BE519" s="67">
        <f t="shared" si="83"/>
        <v>9789928.333333334</v>
      </c>
      <c r="BF519" s="67">
        <f t="shared" si="76"/>
        <v>0</v>
      </c>
      <c r="BG519" s="67">
        <f t="shared" si="75"/>
        <v>0</v>
      </c>
      <c r="BH519" s="66"/>
      <c r="BI519" s="68" t="s">
        <v>57</v>
      </c>
      <c r="BJ519" s="68" t="s">
        <v>121</v>
      </c>
      <c r="BK519" s="68" t="s">
        <v>121</v>
      </c>
      <c r="BL519" s="29"/>
      <c r="BO519" s="35" t="s">
        <v>1801</v>
      </c>
      <c r="BP519" s="1" t="s">
        <v>1825</v>
      </c>
      <c r="BQ519" s="1" t="s">
        <v>1979</v>
      </c>
    </row>
    <row r="520" spans="3:69" ht="15" hidden="1" customHeight="1">
      <c r="C520" s="1" t="str">
        <f t="shared" si="80"/>
        <v>3205</v>
      </c>
      <c r="D520" s="1" t="str">
        <f t="shared" si="81"/>
        <v>2205</v>
      </c>
      <c r="E520" s="19" t="s">
        <v>1488</v>
      </c>
      <c r="F520" s="68" t="s">
        <v>49</v>
      </c>
      <c r="G520" s="62">
        <v>2112</v>
      </c>
      <c r="H520" s="62" t="s">
        <v>1500</v>
      </c>
      <c r="I520" s="62" t="s">
        <v>1501</v>
      </c>
      <c r="J520" s="118">
        <v>1</v>
      </c>
      <c r="K520" s="119" t="s">
        <v>619</v>
      </c>
      <c r="L520" s="62" t="s">
        <v>742</v>
      </c>
      <c r="M520" s="120" t="s">
        <v>1502</v>
      </c>
      <c r="N520" s="65" t="s">
        <v>1503</v>
      </c>
      <c r="O520" s="24">
        <v>172690</v>
      </c>
      <c r="P520" s="24">
        <v>23105</v>
      </c>
      <c r="Q520" s="64">
        <v>3990002450</v>
      </c>
      <c r="R520" s="64"/>
      <c r="S520" s="64"/>
      <c r="T520" s="130">
        <v>37409350</v>
      </c>
      <c r="U520" s="139" t="s">
        <v>1504</v>
      </c>
      <c r="V520" s="121">
        <v>4027411800</v>
      </c>
      <c r="W520" s="122"/>
      <c r="X520" s="64">
        <v>4027411800</v>
      </c>
      <c r="Y520" s="121"/>
      <c r="Z520" s="121"/>
      <c r="AA520" s="128"/>
      <c r="AB520" s="121"/>
      <c r="AC520" s="64">
        <v>4027411800</v>
      </c>
      <c r="AD520" s="63">
        <v>44696</v>
      </c>
      <c r="AE520" s="65">
        <v>48348</v>
      </c>
      <c r="AF520" s="62">
        <v>10</v>
      </c>
      <c r="AG520" s="119">
        <v>120</v>
      </c>
      <c r="AH520" s="25">
        <v>33561765</v>
      </c>
      <c r="AI520" s="78">
        <v>656078374</v>
      </c>
      <c r="AJ520" s="78">
        <v>3371333426</v>
      </c>
      <c r="AK520" s="27">
        <f t="shared" si="82"/>
        <v>33561765</v>
      </c>
      <c r="AL520" s="27">
        <f t="shared" si="84"/>
        <v>33561765</v>
      </c>
      <c r="AM520" s="27"/>
      <c r="AN520" s="27"/>
      <c r="AO520" s="27"/>
      <c r="AP520" s="27"/>
      <c r="AQ520" s="27"/>
      <c r="AR520" s="27"/>
      <c r="AS520" s="27"/>
      <c r="AT520" s="27"/>
      <c r="AU520" s="27"/>
      <c r="AV520" s="27"/>
      <c r="AW520" s="27">
        <f t="shared" si="77"/>
        <v>67123530</v>
      </c>
      <c r="AX520" s="79">
        <f t="shared" si="78"/>
        <v>3304209896</v>
      </c>
      <c r="AY520" s="79">
        <f t="shared" si="79"/>
        <v>723201904</v>
      </c>
      <c r="AZ520" s="25">
        <v>1</v>
      </c>
      <c r="BA520" s="62" t="s">
        <v>97</v>
      </c>
      <c r="BB520" s="66">
        <v>1</v>
      </c>
      <c r="BC520" s="66"/>
      <c r="BD520" s="66"/>
      <c r="BE520" s="67">
        <f t="shared" si="83"/>
        <v>33561765</v>
      </c>
      <c r="BF520" s="67">
        <f t="shared" si="76"/>
        <v>0</v>
      </c>
      <c r="BG520" s="67">
        <f t="shared" si="75"/>
        <v>0</v>
      </c>
      <c r="BH520" s="66"/>
      <c r="BI520" s="68" t="s">
        <v>57</v>
      </c>
      <c r="BJ520" s="68" t="s">
        <v>85</v>
      </c>
      <c r="BK520" s="68" t="s">
        <v>85</v>
      </c>
      <c r="BL520" s="29"/>
      <c r="BO520" s="35" t="s">
        <v>1801</v>
      </c>
      <c r="BP520" s="1" t="s">
        <v>1825</v>
      </c>
      <c r="BQ520" s="1" t="s">
        <v>1980</v>
      </c>
    </row>
    <row r="521" spans="3:69" ht="15" hidden="1" customHeight="1">
      <c r="C521" s="1" t="str">
        <f t="shared" si="80"/>
        <v>2705</v>
      </c>
      <c r="D521" s="1" t="str">
        <f t="shared" si="81"/>
        <v>2205</v>
      </c>
      <c r="E521" s="19" t="s">
        <v>1488</v>
      </c>
      <c r="F521" s="68" t="s">
        <v>515</v>
      </c>
      <c r="G521" s="62">
        <v>2112</v>
      </c>
      <c r="H521" s="62" t="s">
        <v>1505</v>
      </c>
      <c r="I521" s="62" t="s">
        <v>1506</v>
      </c>
      <c r="J521" s="118">
        <v>4</v>
      </c>
      <c r="K521" s="119" t="s">
        <v>619</v>
      </c>
      <c r="L521" s="62" t="s">
        <v>1507</v>
      </c>
      <c r="M521" s="120" t="s">
        <v>1508</v>
      </c>
      <c r="N521" s="65">
        <v>44706</v>
      </c>
      <c r="O521" s="24"/>
      <c r="P521" s="24"/>
      <c r="Q521" s="64">
        <v>198360000</v>
      </c>
      <c r="R521" s="64"/>
      <c r="S521" s="64"/>
      <c r="T521" s="130"/>
      <c r="U521" s="139"/>
      <c r="V521" s="121">
        <v>198360000</v>
      </c>
      <c r="W521" s="122"/>
      <c r="X521" s="64">
        <v>198360000</v>
      </c>
      <c r="Y521" s="121"/>
      <c r="Z521" s="121"/>
      <c r="AA521" s="128"/>
      <c r="AB521" s="121"/>
      <c r="AC521" s="64">
        <v>198360000</v>
      </c>
      <c r="AD521" s="63">
        <v>44703</v>
      </c>
      <c r="AE521" s="65">
        <v>46528</v>
      </c>
      <c r="AF521" s="62">
        <v>5</v>
      </c>
      <c r="AG521" s="119">
        <v>60</v>
      </c>
      <c r="AH521" s="25">
        <v>3306000</v>
      </c>
      <c r="AI521" s="78">
        <v>63880452</v>
      </c>
      <c r="AJ521" s="78">
        <v>134479548</v>
      </c>
      <c r="AK521" s="27">
        <f t="shared" si="82"/>
        <v>3306000</v>
      </c>
      <c r="AL521" s="27">
        <f t="shared" si="84"/>
        <v>3306000</v>
      </c>
      <c r="AM521" s="27"/>
      <c r="AN521" s="27"/>
      <c r="AO521" s="27"/>
      <c r="AP521" s="27"/>
      <c r="AQ521" s="27"/>
      <c r="AR521" s="27"/>
      <c r="AS521" s="27"/>
      <c r="AT521" s="27"/>
      <c r="AU521" s="27"/>
      <c r="AV521" s="27"/>
      <c r="AW521" s="27">
        <f t="shared" si="77"/>
        <v>6612000</v>
      </c>
      <c r="AX521" s="79">
        <f t="shared" si="78"/>
        <v>127867548</v>
      </c>
      <c r="AY521" s="79">
        <f t="shared" si="79"/>
        <v>70492452</v>
      </c>
      <c r="AZ521" s="25">
        <v>4</v>
      </c>
      <c r="BA521" s="62" t="s">
        <v>97</v>
      </c>
      <c r="BB521" s="66">
        <v>1</v>
      </c>
      <c r="BC521" s="66"/>
      <c r="BD521" s="66"/>
      <c r="BE521" s="67">
        <f t="shared" si="83"/>
        <v>3306000</v>
      </c>
      <c r="BF521" s="67">
        <f t="shared" si="76"/>
        <v>0</v>
      </c>
      <c r="BG521" s="67">
        <f t="shared" si="75"/>
        <v>0</v>
      </c>
      <c r="BH521" s="66"/>
      <c r="BI521" s="68" t="s">
        <v>871</v>
      </c>
      <c r="BJ521" s="68" t="s">
        <v>1509</v>
      </c>
      <c r="BK521" s="68" t="s">
        <v>1509</v>
      </c>
      <c r="BL521" s="29"/>
      <c r="BO521" s="35" t="s">
        <v>1802</v>
      </c>
      <c r="BQ521" s="1" t="e">
        <v>#N/A</v>
      </c>
    </row>
    <row r="522" spans="3:69" ht="15" hidden="1" customHeight="1">
      <c r="C522" s="1" t="str">
        <f t="shared" si="80"/>
        <v>2706</v>
      </c>
      <c r="D522" s="1" t="str">
        <f t="shared" si="81"/>
        <v>2206</v>
      </c>
      <c r="E522" s="19" t="s">
        <v>1510</v>
      </c>
      <c r="F522" s="68" t="s">
        <v>515</v>
      </c>
      <c r="G522" s="62">
        <v>2112</v>
      </c>
      <c r="H522" s="62" t="s">
        <v>1511</v>
      </c>
      <c r="I522" s="62" t="s">
        <v>1512</v>
      </c>
      <c r="J522" s="118">
        <v>1</v>
      </c>
      <c r="K522" s="119" t="s">
        <v>619</v>
      </c>
      <c r="L522" s="62" t="s">
        <v>1507</v>
      </c>
      <c r="M522" s="137" t="s">
        <v>1513</v>
      </c>
      <c r="N522" s="65">
        <v>44718</v>
      </c>
      <c r="O522" s="19"/>
      <c r="P522" s="19"/>
      <c r="Q522" s="64">
        <v>52345000</v>
      </c>
      <c r="R522" s="19"/>
      <c r="S522" s="19"/>
      <c r="T522" s="19"/>
      <c r="U522" s="19"/>
      <c r="V522" s="121">
        <v>52345000</v>
      </c>
      <c r="W522" s="19"/>
      <c r="X522" s="64">
        <v>52345000</v>
      </c>
      <c r="Y522" s="19"/>
      <c r="Z522" s="19"/>
      <c r="AA522" s="128"/>
      <c r="AB522" s="19"/>
      <c r="AC522" s="64">
        <v>52345000</v>
      </c>
      <c r="AD522" s="63">
        <v>44727</v>
      </c>
      <c r="AE522" s="65">
        <v>46552</v>
      </c>
      <c r="AF522" s="62">
        <v>5</v>
      </c>
      <c r="AG522" s="119">
        <v>60</v>
      </c>
      <c r="AH522" s="25">
        <v>872416.66666666663</v>
      </c>
      <c r="AI522" s="78">
        <v>16168791.666666666</v>
      </c>
      <c r="AJ522" s="92">
        <v>36176208.333333336</v>
      </c>
      <c r="AK522" s="27">
        <f t="shared" si="82"/>
        <v>872416.66666666663</v>
      </c>
      <c r="AL522" s="27">
        <f t="shared" si="84"/>
        <v>872416.66666666663</v>
      </c>
      <c r="AM522" s="27"/>
      <c r="AN522" s="27"/>
      <c r="AO522" s="27"/>
      <c r="AP522" s="27"/>
      <c r="AQ522" s="27"/>
      <c r="AR522" s="27"/>
      <c r="AS522" s="27"/>
      <c r="AT522" s="27"/>
      <c r="AU522" s="27"/>
      <c r="AV522" s="27"/>
      <c r="AW522" s="27">
        <f t="shared" si="77"/>
        <v>1744833.3333333333</v>
      </c>
      <c r="AX522" s="79">
        <f t="shared" si="78"/>
        <v>34431375</v>
      </c>
      <c r="AY522" s="79">
        <f t="shared" si="79"/>
        <v>17913625</v>
      </c>
      <c r="AZ522" s="25">
        <v>1</v>
      </c>
      <c r="BA522" s="62" t="s">
        <v>97</v>
      </c>
      <c r="BB522" s="66">
        <v>1</v>
      </c>
      <c r="BC522" s="19"/>
      <c r="BD522" s="19"/>
      <c r="BE522" s="67">
        <f t="shared" si="83"/>
        <v>872416.66666666663</v>
      </c>
      <c r="BF522" s="67">
        <f t="shared" si="76"/>
        <v>0</v>
      </c>
      <c r="BG522" s="67">
        <f t="shared" ref="BG522:BG585" si="85">+$AL522*BD522</f>
        <v>0</v>
      </c>
      <c r="BH522" s="19"/>
      <c r="BI522" s="68" t="s">
        <v>871</v>
      </c>
      <c r="BJ522" s="68" t="s">
        <v>1509</v>
      </c>
      <c r="BK522" s="68" t="s">
        <v>1509</v>
      </c>
      <c r="BO522" s="35" t="s">
        <v>1802</v>
      </c>
      <c r="BQ522" s="1" t="e">
        <v>#N/A</v>
      </c>
    </row>
    <row r="523" spans="3:69" ht="15" hidden="1" customHeight="1">
      <c r="C523" s="1" t="str">
        <f t="shared" si="80"/>
        <v>2706</v>
      </c>
      <c r="D523" s="1" t="str">
        <f t="shared" si="81"/>
        <v>2206</v>
      </c>
      <c r="E523" s="19" t="s">
        <v>1510</v>
      </c>
      <c r="F523" s="68" t="s">
        <v>515</v>
      </c>
      <c r="G523" s="62">
        <v>2112</v>
      </c>
      <c r="H523" s="62" t="s">
        <v>1514</v>
      </c>
      <c r="I523" s="62" t="s">
        <v>1512</v>
      </c>
      <c r="J523" s="118">
        <v>1</v>
      </c>
      <c r="K523" s="119" t="s">
        <v>619</v>
      </c>
      <c r="L523" s="62" t="s">
        <v>1507</v>
      </c>
      <c r="M523" s="137" t="s">
        <v>1513</v>
      </c>
      <c r="N523" s="65">
        <v>44718</v>
      </c>
      <c r="O523" s="19"/>
      <c r="P523" s="19"/>
      <c r="Q523" s="64">
        <v>52345000</v>
      </c>
      <c r="R523" s="19"/>
      <c r="S523" s="19"/>
      <c r="T523" s="19"/>
      <c r="U523" s="19"/>
      <c r="V523" s="121">
        <v>52345000</v>
      </c>
      <c r="W523" s="19"/>
      <c r="X523" s="64">
        <v>52345000</v>
      </c>
      <c r="Y523" s="19"/>
      <c r="Z523" s="19"/>
      <c r="AA523" s="128"/>
      <c r="AB523" s="19"/>
      <c r="AC523" s="64">
        <v>52345000</v>
      </c>
      <c r="AD523" s="63">
        <v>44727</v>
      </c>
      <c r="AE523" s="65">
        <v>46552</v>
      </c>
      <c r="AF523" s="62">
        <v>5</v>
      </c>
      <c r="AG523" s="119">
        <v>60</v>
      </c>
      <c r="AH523" s="25">
        <v>872416.66666666663</v>
      </c>
      <c r="AI523" s="78">
        <v>16168791.666666666</v>
      </c>
      <c r="AJ523" s="92">
        <v>36176208.333333336</v>
      </c>
      <c r="AK523" s="27">
        <f t="shared" si="82"/>
        <v>872416.66666666663</v>
      </c>
      <c r="AL523" s="27">
        <f t="shared" si="84"/>
        <v>872416.66666666663</v>
      </c>
      <c r="AM523" s="27"/>
      <c r="AN523" s="27"/>
      <c r="AO523" s="27"/>
      <c r="AP523" s="27"/>
      <c r="AQ523" s="27"/>
      <c r="AR523" s="27"/>
      <c r="AS523" s="27"/>
      <c r="AT523" s="27"/>
      <c r="AU523" s="27"/>
      <c r="AV523" s="27"/>
      <c r="AW523" s="27">
        <f t="shared" si="77"/>
        <v>1744833.3333333333</v>
      </c>
      <c r="AX523" s="79">
        <f t="shared" si="78"/>
        <v>34431375</v>
      </c>
      <c r="AY523" s="79">
        <f t="shared" si="79"/>
        <v>17913625</v>
      </c>
      <c r="AZ523" s="25">
        <v>1</v>
      </c>
      <c r="BA523" s="62" t="s">
        <v>97</v>
      </c>
      <c r="BB523" s="66">
        <v>1</v>
      </c>
      <c r="BC523" s="19"/>
      <c r="BD523" s="19"/>
      <c r="BE523" s="67">
        <f t="shared" si="83"/>
        <v>872416.66666666663</v>
      </c>
      <c r="BF523" s="67">
        <f t="shared" ref="BF523:BF586" si="86">+$AL523*BC523</f>
        <v>0</v>
      </c>
      <c r="BG523" s="67">
        <f t="shared" si="85"/>
        <v>0</v>
      </c>
      <c r="BH523" s="19"/>
      <c r="BI523" s="68" t="s">
        <v>871</v>
      </c>
      <c r="BJ523" s="68" t="s">
        <v>1509</v>
      </c>
      <c r="BK523" s="68" t="s">
        <v>1509</v>
      </c>
      <c r="BO523" s="35" t="s">
        <v>1802</v>
      </c>
      <c r="BQ523" s="1" t="e">
        <v>#N/A</v>
      </c>
    </row>
    <row r="524" spans="3:69" ht="15" hidden="1" customHeight="1">
      <c r="C524" s="1" t="str">
        <f t="shared" si="80"/>
        <v>2706</v>
      </c>
      <c r="D524" s="1" t="str">
        <f t="shared" si="81"/>
        <v>2206</v>
      </c>
      <c r="E524" s="19" t="s">
        <v>1510</v>
      </c>
      <c r="F524" s="68" t="s">
        <v>515</v>
      </c>
      <c r="G524" s="62">
        <v>2112</v>
      </c>
      <c r="H524" s="62" t="s">
        <v>1515</v>
      </c>
      <c r="I524" s="62" t="s">
        <v>1512</v>
      </c>
      <c r="J524" s="118">
        <v>1</v>
      </c>
      <c r="K524" s="119" t="s">
        <v>619</v>
      </c>
      <c r="L524" s="62" t="s">
        <v>1507</v>
      </c>
      <c r="M524" s="137" t="s">
        <v>1513</v>
      </c>
      <c r="N524" s="65">
        <v>44718</v>
      </c>
      <c r="O524" s="19"/>
      <c r="P524" s="19"/>
      <c r="Q524" s="64">
        <v>52345000</v>
      </c>
      <c r="R524" s="19"/>
      <c r="S524" s="19"/>
      <c r="T524" s="19"/>
      <c r="U524" s="19"/>
      <c r="V524" s="121">
        <v>52345000</v>
      </c>
      <c r="W524" s="19"/>
      <c r="X524" s="64">
        <v>52345000</v>
      </c>
      <c r="Y524" s="19"/>
      <c r="Z524" s="19"/>
      <c r="AA524" s="128"/>
      <c r="AB524" s="19"/>
      <c r="AC524" s="64">
        <v>52345000</v>
      </c>
      <c r="AD524" s="63">
        <v>44727</v>
      </c>
      <c r="AE524" s="65">
        <v>46552</v>
      </c>
      <c r="AF524" s="62">
        <v>5</v>
      </c>
      <c r="AG524" s="119">
        <v>60</v>
      </c>
      <c r="AH524" s="25">
        <v>872416.66666666663</v>
      </c>
      <c r="AI524" s="78">
        <v>16168791.666666666</v>
      </c>
      <c r="AJ524" s="92">
        <v>36176208.333333336</v>
      </c>
      <c r="AK524" s="27">
        <f t="shared" si="82"/>
        <v>872416.66666666663</v>
      </c>
      <c r="AL524" s="27">
        <f t="shared" si="84"/>
        <v>872416.66666666663</v>
      </c>
      <c r="AM524" s="27"/>
      <c r="AN524" s="27"/>
      <c r="AO524" s="27"/>
      <c r="AP524" s="27"/>
      <c r="AQ524" s="27"/>
      <c r="AR524" s="27"/>
      <c r="AS524" s="27"/>
      <c r="AT524" s="27"/>
      <c r="AU524" s="27"/>
      <c r="AV524" s="27"/>
      <c r="AW524" s="27">
        <f t="shared" si="77"/>
        <v>1744833.3333333333</v>
      </c>
      <c r="AX524" s="79">
        <f t="shared" si="78"/>
        <v>34431375</v>
      </c>
      <c r="AY524" s="79">
        <f t="shared" si="79"/>
        <v>17913625</v>
      </c>
      <c r="AZ524" s="25">
        <v>1</v>
      </c>
      <c r="BA524" s="62" t="s">
        <v>97</v>
      </c>
      <c r="BB524" s="66">
        <v>1</v>
      </c>
      <c r="BC524" s="19"/>
      <c r="BD524" s="19"/>
      <c r="BE524" s="67">
        <f t="shared" si="83"/>
        <v>872416.66666666663</v>
      </c>
      <c r="BF524" s="67">
        <f t="shared" si="86"/>
        <v>0</v>
      </c>
      <c r="BG524" s="67">
        <f t="shared" si="85"/>
        <v>0</v>
      </c>
      <c r="BH524" s="19"/>
      <c r="BI524" s="68" t="s">
        <v>871</v>
      </c>
      <c r="BJ524" s="68" t="s">
        <v>1509</v>
      </c>
      <c r="BK524" s="68" t="s">
        <v>1509</v>
      </c>
      <c r="BO524" s="35" t="s">
        <v>1802</v>
      </c>
      <c r="BQ524" s="1" t="e">
        <v>#N/A</v>
      </c>
    </row>
    <row r="525" spans="3:69" ht="15" hidden="1" customHeight="1">
      <c r="C525" s="1" t="str">
        <f t="shared" si="80"/>
        <v>2706</v>
      </c>
      <c r="D525" s="1" t="str">
        <f t="shared" si="81"/>
        <v>2206</v>
      </c>
      <c r="E525" s="19" t="s">
        <v>1510</v>
      </c>
      <c r="F525" s="68" t="s">
        <v>515</v>
      </c>
      <c r="G525" s="62">
        <v>2112</v>
      </c>
      <c r="H525" s="62" t="s">
        <v>1516</v>
      </c>
      <c r="I525" s="62" t="s">
        <v>1512</v>
      </c>
      <c r="J525" s="118">
        <v>1</v>
      </c>
      <c r="K525" s="119" t="s">
        <v>619</v>
      </c>
      <c r="L525" s="62" t="s">
        <v>1507</v>
      </c>
      <c r="M525" s="137" t="s">
        <v>1513</v>
      </c>
      <c r="N525" s="65">
        <v>44718</v>
      </c>
      <c r="O525" s="19"/>
      <c r="P525" s="19"/>
      <c r="Q525" s="64">
        <v>52345000</v>
      </c>
      <c r="R525" s="19"/>
      <c r="S525" s="19"/>
      <c r="T525" s="19"/>
      <c r="U525" s="19"/>
      <c r="V525" s="121">
        <v>52345000</v>
      </c>
      <c r="W525" s="19"/>
      <c r="X525" s="64">
        <v>52345000</v>
      </c>
      <c r="Y525" s="19"/>
      <c r="Z525" s="19"/>
      <c r="AA525" s="128"/>
      <c r="AB525" s="19"/>
      <c r="AC525" s="64">
        <v>52345000</v>
      </c>
      <c r="AD525" s="63">
        <v>44727</v>
      </c>
      <c r="AE525" s="65">
        <v>46552</v>
      </c>
      <c r="AF525" s="62">
        <v>5</v>
      </c>
      <c r="AG525" s="119">
        <v>60</v>
      </c>
      <c r="AH525" s="25">
        <v>872416.66666666663</v>
      </c>
      <c r="AI525" s="78">
        <v>16168791.666666666</v>
      </c>
      <c r="AJ525" s="92">
        <v>36176208.333333336</v>
      </c>
      <c r="AK525" s="27">
        <f t="shared" si="82"/>
        <v>872416.66666666663</v>
      </c>
      <c r="AL525" s="27">
        <f t="shared" si="84"/>
        <v>872416.66666666663</v>
      </c>
      <c r="AM525" s="27"/>
      <c r="AN525" s="27"/>
      <c r="AO525" s="27"/>
      <c r="AP525" s="27"/>
      <c r="AQ525" s="27"/>
      <c r="AR525" s="27"/>
      <c r="AS525" s="27"/>
      <c r="AT525" s="27"/>
      <c r="AU525" s="27"/>
      <c r="AV525" s="27"/>
      <c r="AW525" s="27">
        <f t="shared" si="77"/>
        <v>1744833.3333333333</v>
      </c>
      <c r="AX525" s="79">
        <f t="shared" si="78"/>
        <v>34431375</v>
      </c>
      <c r="AY525" s="79">
        <f t="shared" si="79"/>
        <v>17913625</v>
      </c>
      <c r="AZ525" s="25">
        <v>1</v>
      </c>
      <c r="BA525" s="62" t="s">
        <v>97</v>
      </c>
      <c r="BB525" s="66">
        <v>1</v>
      </c>
      <c r="BC525" s="19"/>
      <c r="BD525" s="19"/>
      <c r="BE525" s="67">
        <f t="shared" si="83"/>
        <v>872416.66666666663</v>
      </c>
      <c r="BF525" s="67">
        <f t="shared" si="86"/>
        <v>0</v>
      </c>
      <c r="BG525" s="67">
        <f t="shared" si="85"/>
        <v>0</v>
      </c>
      <c r="BH525" s="19"/>
      <c r="BI525" s="68" t="s">
        <v>871</v>
      </c>
      <c r="BJ525" s="68" t="s">
        <v>1509</v>
      </c>
      <c r="BK525" s="68" t="s">
        <v>1509</v>
      </c>
      <c r="BO525" s="35" t="s">
        <v>1802</v>
      </c>
      <c r="BQ525" s="1" t="e">
        <v>#N/A</v>
      </c>
    </row>
    <row r="526" spans="3:69" ht="15" hidden="1" customHeight="1">
      <c r="C526" s="1" t="str">
        <f t="shared" si="80"/>
        <v>2905</v>
      </c>
      <c r="D526" s="1" t="str">
        <f t="shared" si="81"/>
        <v>2206</v>
      </c>
      <c r="E526" s="19" t="s">
        <v>1510</v>
      </c>
      <c r="F526" s="68" t="s">
        <v>49</v>
      </c>
      <c r="G526" s="62">
        <v>2112</v>
      </c>
      <c r="H526" s="19" t="s">
        <v>1517</v>
      </c>
      <c r="I526" s="19" t="s">
        <v>1518</v>
      </c>
      <c r="J526" s="86">
        <v>1</v>
      </c>
      <c r="K526" s="19" t="s">
        <v>619</v>
      </c>
      <c r="L526" s="62" t="s">
        <v>77</v>
      </c>
      <c r="M526" s="19" t="s">
        <v>1519</v>
      </c>
      <c r="N526" s="19" t="s">
        <v>1497</v>
      </c>
      <c r="O526" s="24">
        <v>3868.55</v>
      </c>
      <c r="P526" s="24">
        <v>23000</v>
      </c>
      <c r="Q526" s="64">
        <v>88976650</v>
      </c>
      <c r="R526" s="64">
        <v>4390804</v>
      </c>
      <c r="S526" s="27"/>
      <c r="T526" s="25">
        <v>2967358</v>
      </c>
      <c r="U526" s="33" t="s">
        <v>1520</v>
      </c>
      <c r="V526" s="121">
        <v>96334812</v>
      </c>
      <c r="W526" s="19"/>
      <c r="X526" s="64">
        <v>96334812</v>
      </c>
      <c r="Y526" s="19"/>
      <c r="Z526" s="19"/>
      <c r="AA526" s="128"/>
      <c r="AB526" s="19"/>
      <c r="AC526" s="64">
        <v>96334812</v>
      </c>
      <c r="AD526" s="63">
        <v>44713</v>
      </c>
      <c r="AE526" s="65">
        <v>47269</v>
      </c>
      <c r="AF526" s="19">
        <v>7</v>
      </c>
      <c r="AG526" s="19">
        <v>84</v>
      </c>
      <c r="AH526" s="25">
        <v>1146843</v>
      </c>
      <c r="AI526" s="78">
        <v>21790017</v>
      </c>
      <c r="AJ526" s="92">
        <v>74544795</v>
      </c>
      <c r="AK526" s="27">
        <f t="shared" si="82"/>
        <v>1146843</v>
      </c>
      <c r="AL526" s="27">
        <f t="shared" si="84"/>
        <v>1146843</v>
      </c>
      <c r="AM526" s="27"/>
      <c r="AN526" s="27"/>
      <c r="AO526" s="27"/>
      <c r="AP526" s="27"/>
      <c r="AQ526" s="27"/>
      <c r="AR526" s="27"/>
      <c r="AS526" s="27"/>
      <c r="AT526" s="27"/>
      <c r="AU526" s="27"/>
      <c r="AV526" s="27"/>
      <c r="AW526" s="27">
        <f t="shared" si="77"/>
        <v>2293686</v>
      </c>
      <c r="AX526" s="79">
        <f t="shared" si="78"/>
        <v>72251109</v>
      </c>
      <c r="AY526" s="79">
        <f t="shared" si="79"/>
        <v>24083703</v>
      </c>
      <c r="AZ526" s="25">
        <v>1</v>
      </c>
      <c r="BA526" s="62" t="s">
        <v>97</v>
      </c>
      <c r="BB526" s="66">
        <v>1</v>
      </c>
      <c r="BC526" s="19"/>
      <c r="BD526" s="19"/>
      <c r="BE526" s="67">
        <f t="shared" si="83"/>
        <v>1146843</v>
      </c>
      <c r="BF526" s="67">
        <f t="shared" si="86"/>
        <v>0</v>
      </c>
      <c r="BG526" s="67">
        <f t="shared" si="85"/>
        <v>0</v>
      </c>
      <c r="BH526" s="19"/>
      <c r="BI526" s="68" t="s">
        <v>57</v>
      </c>
      <c r="BJ526" s="68" t="s">
        <v>85</v>
      </c>
      <c r="BK526" s="68" t="s">
        <v>85</v>
      </c>
      <c r="BO526" s="35" t="s">
        <v>1801</v>
      </c>
      <c r="BP526" s="1" t="s">
        <v>1826</v>
      </c>
      <c r="BQ526" s="1" t="s">
        <v>1980</v>
      </c>
    </row>
    <row r="527" spans="3:69" ht="15" hidden="1" customHeight="1">
      <c r="C527" s="1" t="str">
        <f t="shared" si="80"/>
        <v>2905</v>
      </c>
      <c r="D527" s="1" t="str">
        <f t="shared" si="81"/>
        <v>2206</v>
      </c>
      <c r="E527" s="19" t="s">
        <v>1510</v>
      </c>
      <c r="F527" s="68" t="s">
        <v>49</v>
      </c>
      <c r="G527" s="62">
        <v>2112</v>
      </c>
      <c r="H527" s="19" t="s">
        <v>1521</v>
      </c>
      <c r="I527" s="19" t="s">
        <v>1522</v>
      </c>
      <c r="J527" s="86">
        <v>1</v>
      </c>
      <c r="K527" s="19" t="s">
        <v>619</v>
      </c>
      <c r="L527" s="62" t="s">
        <v>77</v>
      </c>
      <c r="M527" s="19" t="s">
        <v>1523</v>
      </c>
      <c r="N527" s="19" t="s">
        <v>1524</v>
      </c>
      <c r="O527" s="24">
        <v>6059.93</v>
      </c>
      <c r="P527" s="24">
        <v>23100</v>
      </c>
      <c r="Q527" s="64">
        <v>139984383</v>
      </c>
      <c r="R527" s="19"/>
      <c r="S527" s="19"/>
      <c r="T527" s="25">
        <v>2433772</v>
      </c>
      <c r="U527" s="19" t="s">
        <v>1525</v>
      </c>
      <c r="V527" s="121">
        <v>142418155</v>
      </c>
      <c r="W527" s="19"/>
      <c r="X527" s="64">
        <v>142418155</v>
      </c>
      <c r="Y527" s="19"/>
      <c r="Z527" s="19"/>
      <c r="AA527" s="128"/>
      <c r="AB527" s="19"/>
      <c r="AC527" s="64">
        <v>142418155</v>
      </c>
      <c r="AD527" s="63">
        <v>44713</v>
      </c>
      <c r="AE527" s="65">
        <v>47269</v>
      </c>
      <c r="AF527" s="19">
        <v>7</v>
      </c>
      <c r="AG527" s="19">
        <v>84</v>
      </c>
      <c r="AH527" s="25">
        <v>1695454.2261904762</v>
      </c>
      <c r="AI527" s="78">
        <v>32213628.261904761</v>
      </c>
      <c r="AJ527" s="92">
        <v>110204526.73809524</v>
      </c>
      <c r="AK527" s="27">
        <f t="shared" si="82"/>
        <v>1695454.2261904762</v>
      </c>
      <c r="AL527" s="27">
        <f t="shared" si="84"/>
        <v>1695454.2261904762</v>
      </c>
      <c r="AM527" s="27"/>
      <c r="AN527" s="27"/>
      <c r="AO527" s="27"/>
      <c r="AP527" s="27"/>
      <c r="AQ527" s="27"/>
      <c r="AR527" s="27"/>
      <c r="AS527" s="27"/>
      <c r="AT527" s="27"/>
      <c r="AU527" s="27"/>
      <c r="AV527" s="27"/>
      <c r="AW527" s="27">
        <f t="shared" si="77"/>
        <v>3390908.4523809524</v>
      </c>
      <c r="AX527" s="79">
        <f t="shared" si="78"/>
        <v>106813618.28571428</v>
      </c>
      <c r="AY527" s="79">
        <f t="shared" si="79"/>
        <v>35604536.714285716</v>
      </c>
      <c r="AZ527" s="25">
        <v>1</v>
      </c>
      <c r="BA527" s="62" t="s">
        <v>97</v>
      </c>
      <c r="BB527" s="66">
        <v>1</v>
      </c>
      <c r="BC527" s="19"/>
      <c r="BD527" s="19"/>
      <c r="BE527" s="67">
        <f t="shared" si="83"/>
        <v>1695454.2261904762</v>
      </c>
      <c r="BF527" s="67">
        <f t="shared" si="86"/>
        <v>0</v>
      </c>
      <c r="BG527" s="67">
        <f t="shared" si="85"/>
        <v>0</v>
      </c>
      <c r="BH527" s="19"/>
      <c r="BI527" s="68" t="s">
        <v>57</v>
      </c>
      <c r="BJ527" s="68" t="s">
        <v>58</v>
      </c>
      <c r="BK527" s="68" t="s">
        <v>159</v>
      </c>
      <c r="BO527" s="35" t="s">
        <v>1804</v>
      </c>
      <c r="BQ527" s="1" t="e">
        <v>#N/A</v>
      </c>
    </row>
    <row r="528" spans="3:69" ht="15" hidden="1" customHeight="1">
      <c r="C528" s="1" t="str">
        <f t="shared" si="80"/>
        <v>2905</v>
      </c>
      <c r="D528" s="1" t="str">
        <f t="shared" si="81"/>
        <v>2206</v>
      </c>
      <c r="E528" s="19" t="s">
        <v>1510</v>
      </c>
      <c r="F528" s="68" t="s">
        <v>49</v>
      </c>
      <c r="G528" s="62">
        <v>2112</v>
      </c>
      <c r="H528" s="19" t="s">
        <v>1526</v>
      </c>
      <c r="I528" s="19" t="s">
        <v>1522</v>
      </c>
      <c r="J528" s="86">
        <v>1</v>
      </c>
      <c r="K528" s="19" t="s">
        <v>619</v>
      </c>
      <c r="L528" s="62" t="s">
        <v>77</v>
      </c>
      <c r="M528" s="19" t="s">
        <v>1523</v>
      </c>
      <c r="N528" s="19" t="s">
        <v>1524</v>
      </c>
      <c r="O528" s="24">
        <v>6059.93</v>
      </c>
      <c r="P528" s="24">
        <v>23100</v>
      </c>
      <c r="Q528" s="64">
        <v>139984383</v>
      </c>
      <c r="R528" s="19"/>
      <c r="S528" s="19"/>
      <c r="T528" s="25">
        <v>2433772</v>
      </c>
      <c r="U528" s="19" t="s">
        <v>1525</v>
      </c>
      <c r="V528" s="121">
        <v>142418155</v>
      </c>
      <c r="W528" s="19"/>
      <c r="X528" s="64">
        <v>142418155</v>
      </c>
      <c r="Y528" s="19"/>
      <c r="Z528" s="19"/>
      <c r="AA528" s="128"/>
      <c r="AB528" s="19"/>
      <c r="AC528" s="64">
        <v>142418155</v>
      </c>
      <c r="AD528" s="63">
        <v>44713</v>
      </c>
      <c r="AE528" s="65">
        <v>47269</v>
      </c>
      <c r="AF528" s="19">
        <v>7</v>
      </c>
      <c r="AG528" s="19">
        <v>84</v>
      </c>
      <c r="AH528" s="25">
        <v>1695454.2261904762</v>
      </c>
      <c r="AI528" s="78">
        <v>32213628.261904761</v>
      </c>
      <c r="AJ528" s="92">
        <v>110204526.73809524</v>
      </c>
      <c r="AK528" s="27">
        <f t="shared" si="82"/>
        <v>1695454.2261904762</v>
      </c>
      <c r="AL528" s="27">
        <f t="shared" si="84"/>
        <v>1695454.2261904762</v>
      </c>
      <c r="AM528" s="27"/>
      <c r="AN528" s="27"/>
      <c r="AO528" s="27"/>
      <c r="AP528" s="27"/>
      <c r="AQ528" s="27"/>
      <c r="AR528" s="27"/>
      <c r="AS528" s="27"/>
      <c r="AT528" s="27"/>
      <c r="AU528" s="27"/>
      <c r="AV528" s="27"/>
      <c r="AW528" s="27">
        <f t="shared" si="77"/>
        <v>3390908.4523809524</v>
      </c>
      <c r="AX528" s="79">
        <f t="shared" si="78"/>
        <v>106813618.28571428</v>
      </c>
      <c r="AY528" s="79">
        <f t="shared" si="79"/>
        <v>35604536.714285716</v>
      </c>
      <c r="AZ528" s="25">
        <v>1</v>
      </c>
      <c r="BA528" s="62" t="s">
        <v>97</v>
      </c>
      <c r="BB528" s="66">
        <v>1</v>
      </c>
      <c r="BC528" s="19"/>
      <c r="BD528" s="19"/>
      <c r="BE528" s="67">
        <f t="shared" si="83"/>
        <v>1695454.2261904762</v>
      </c>
      <c r="BF528" s="67">
        <f t="shared" si="86"/>
        <v>0</v>
      </c>
      <c r="BG528" s="67">
        <f t="shared" si="85"/>
        <v>0</v>
      </c>
      <c r="BH528" s="19"/>
      <c r="BI528" s="68" t="s">
        <v>57</v>
      </c>
      <c r="BJ528" s="68" t="s">
        <v>58</v>
      </c>
      <c r="BK528" s="68" t="s">
        <v>159</v>
      </c>
      <c r="BO528" s="35" t="s">
        <v>1804</v>
      </c>
      <c r="BQ528" s="1" t="e">
        <v>#N/A</v>
      </c>
    </row>
    <row r="529" spans="3:69" ht="15" hidden="1" customHeight="1">
      <c r="C529" s="1" t="str">
        <f t="shared" si="80"/>
        <v>3006</v>
      </c>
      <c r="D529" s="1" t="str">
        <f t="shared" si="81"/>
        <v>2207</v>
      </c>
      <c r="E529" s="19" t="s">
        <v>1527</v>
      </c>
      <c r="F529" s="68" t="s">
        <v>1426</v>
      </c>
      <c r="G529" s="62">
        <v>2112</v>
      </c>
      <c r="H529" s="19" t="s">
        <v>1528</v>
      </c>
      <c r="I529" s="19" t="s">
        <v>1529</v>
      </c>
      <c r="J529" s="86">
        <v>1</v>
      </c>
      <c r="K529" s="19" t="s">
        <v>619</v>
      </c>
      <c r="L529" s="62" t="s">
        <v>77</v>
      </c>
      <c r="M529" s="19" t="s">
        <v>1523</v>
      </c>
      <c r="N529" s="19" t="s">
        <v>1524</v>
      </c>
      <c r="O529" s="24">
        <v>17909.22</v>
      </c>
      <c r="P529" s="24">
        <v>23100</v>
      </c>
      <c r="Q529" s="64">
        <v>413702982</v>
      </c>
      <c r="R529" s="19"/>
      <c r="S529" s="19"/>
      <c r="T529" s="25"/>
      <c r="U529" s="19"/>
      <c r="V529" s="121">
        <v>413702982</v>
      </c>
      <c r="W529" s="19"/>
      <c r="X529" s="64">
        <v>413702982</v>
      </c>
      <c r="Y529" s="19"/>
      <c r="Z529" s="19"/>
      <c r="AA529" s="128"/>
      <c r="AB529" s="19"/>
      <c r="AC529" s="64">
        <v>413702982</v>
      </c>
      <c r="AD529" s="63">
        <v>44743</v>
      </c>
      <c r="AE529" s="65">
        <v>47664</v>
      </c>
      <c r="AF529" s="19">
        <v>8</v>
      </c>
      <c r="AG529" s="19">
        <v>96</v>
      </c>
      <c r="AH529" s="25">
        <v>4309406.0625</v>
      </c>
      <c r="AI529" s="78">
        <v>77569308.625</v>
      </c>
      <c r="AJ529" s="92">
        <v>336133673.375</v>
      </c>
      <c r="AK529" s="27">
        <f t="shared" si="82"/>
        <v>4309406.0625</v>
      </c>
      <c r="AL529" s="27">
        <f t="shared" si="84"/>
        <v>4309406.0625</v>
      </c>
      <c r="AM529" s="27"/>
      <c r="AN529" s="27"/>
      <c r="AO529" s="27"/>
      <c r="AP529" s="27"/>
      <c r="AQ529" s="27"/>
      <c r="AR529" s="27"/>
      <c r="AS529" s="27"/>
      <c r="AT529" s="27"/>
      <c r="AU529" s="27"/>
      <c r="AV529" s="27"/>
      <c r="AW529" s="27">
        <f t="shared" ref="AW529:AW564" si="87">+SUM(AK529:AV529)</f>
        <v>8618812.125</v>
      </c>
      <c r="AX529" s="79">
        <f t="shared" ref="AX529:AX564" si="88">AC529-AI529-AW529</f>
        <v>327514861.25</v>
      </c>
      <c r="AY529" s="79">
        <f t="shared" ref="AY529:AY564" si="89">AW529+AI529</f>
        <v>86188120.75</v>
      </c>
      <c r="AZ529" s="25">
        <v>1</v>
      </c>
      <c r="BA529" s="62" t="s">
        <v>97</v>
      </c>
      <c r="BB529" s="66"/>
      <c r="BC529" s="66">
        <v>1</v>
      </c>
      <c r="BD529" s="66"/>
      <c r="BE529" s="67">
        <f t="shared" si="83"/>
        <v>0</v>
      </c>
      <c r="BF529" s="67">
        <f t="shared" si="86"/>
        <v>4309406.0625</v>
      </c>
      <c r="BG529" s="67">
        <f t="shared" si="85"/>
        <v>0</v>
      </c>
      <c r="BH529" s="62" t="s">
        <v>1668</v>
      </c>
      <c r="BI529" s="19" t="s">
        <v>1624</v>
      </c>
      <c r="BJ529" s="68" t="s">
        <v>1438</v>
      </c>
      <c r="BK529" s="68" t="s">
        <v>1438</v>
      </c>
      <c r="BM529" s="1" t="s">
        <v>1886</v>
      </c>
      <c r="BN529" s="1" t="s">
        <v>1666</v>
      </c>
      <c r="BO529" s="35" t="s">
        <v>1804</v>
      </c>
      <c r="BQ529" s="1" t="e">
        <v>#N/A</v>
      </c>
    </row>
    <row r="530" spans="3:69" ht="15" hidden="1" customHeight="1">
      <c r="C530" s="1" t="str">
        <f t="shared" ref="C530:C564" si="90">+RIGHT(YEAR(AE530),2)&amp;IF(LEN(MONTH(AE530))=2,MONTH(AE530),"0"&amp;MONTH(AE530))</f>
        <v>2906</v>
      </c>
      <c r="D530" s="1" t="str">
        <f t="shared" ref="D530:D564" si="91">+RIGHT(YEAR(AD530),2)&amp;IF(LEN(MONTH(AD530))=2,MONTH(AD530),"0"&amp;MONTH(AD530))</f>
        <v>2207</v>
      </c>
      <c r="E530" s="19" t="s">
        <v>1527</v>
      </c>
      <c r="F530" s="68" t="s">
        <v>1426</v>
      </c>
      <c r="G530" s="62">
        <v>2112</v>
      </c>
      <c r="H530" s="19" t="s">
        <v>1530</v>
      </c>
      <c r="I530" s="19" t="s">
        <v>1531</v>
      </c>
      <c r="J530" s="86">
        <v>1</v>
      </c>
      <c r="K530" s="19" t="s">
        <v>619</v>
      </c>
      <c r="L530" s="62" t="s">
        <v>77</v>
      </c>
      <c r="M530" s="19" t="s">
        <v>1523</v>
      </c>
      <c r="N530" s="19" t="s">
        <v>1524</v>
      </c>
      <c r="O530" s="24">
        <v>5210.0600000000004</v>
      </c>
      <c r="P530" s="24">
        <v>23100</v>
      </c>
      <c r="Q530" s="64">
        <v>120352386.00000001</v>
      </c>
      <c r="R530" s="19"/>
      <c r="S530" s="19"/>
      <c r="T530" s="25"/>
      <c r="U530" s="19"/>
      <c r="V530" s="121">
        <v>120352386</v>
      </c>
      <c r="W530" s="19"/>
      <c r="X530" s="64">
        <v>120352386</v>
      </c>
      <c r="Y530" s="19"/>
      <c r="Z530" s="19"/>
      <c r="AA530" s="128"/>
      <c r="AB530" s="19"/>
      <c r="AC530" s="64">
        <v>120352386</v>
      </c>
      <c r="AD530" s="63">
        <v>44743</v>
      </c>
      <c r="AE530" s="65">
        <v>47299</v>
      </c>
      <c r="AF530" s="19">
        <v>7</v>
      </c>
      <c r="AG530" s="19">
        <v>84</v>
      </c>
      <c r="AH530" s="25">
        <v>1432766.5</v>
      </c>
      <c r="AI530" s="78">
        <v>25789801</v>
      </c>
      <c r="AJ530" s="92">
        <v>94562585</v>
      </c>
      <c r="AK530" s="27">
        <f t="shared" ref="AK530:AK593" si="92">+IF(AND(AK$3&gt;=$D530,AK$3&lt;$C530),$AH530,$AJ530)</f>
        <v>1432766.5</v>
      </c>
      <c r="AL530" s="27">
        <f t="shared" si="84"/>
        <v>1432766.5</v>
      </c>
      <c r="AM530" s="27"/>
      <c r="AN530" s="27"/>
      <c r="AO530" s="27"/>
      <c r="AP530" s="27"/>
      <c r="AQ530" s="27"/>
      <c r="AR530" s="27"/>
      <c r="AS530" s="27"/>
      <c r="AT530" s="27"/>
      <c r="AU530" s="27"/>
      <c r="AV530" s="27"/>
      <c r="AW530" s="27">
        <f t="shared" si="87"/>
        <v>2865533</v>
      </c>
      <c r="AX530" s="79">
        <f t="shared" si="88"/>
        <v>91697052</v>
      </c>
      <c r="AY530" s="79">
        <f t="shared" si="89"/>
        <v>28655334</v>
      </c>
      <c r="AZ530" s="25">
        <v>1</v>
      </c>
      <c r="BA530" s="62" t="s">
        <v>97</v>
      </c>
      <c r="BB530" s="66"/>
      <c r="BC530" s="66">
        <v>1</v>
      </c>
      <c r="BD530" s="66"/>
      <c r="BE530" s="67">
        <f t="shared" si="83"/>
        <v>0</v>
      </c>
      <c r="BF530" s="67">
        <f t="shared" si="86"/>
        <v>1432766.5</v>
      </c>
      <c r="BG530" s="67">
        <f t="shared" si="85"/>
        <v>0</v>
      </c>
      <c r="BH530" s="62" t="s">
        <v>1668</v>
      </c>
      <c r="BI530" s="19" t="s">
        <v>1624</v>
      </c>
      <c r="BJ530" s="68" t="s">
        <v>1438</v>
      </c>
      <c r="BK530" s="68" t="s">
        <v>1438</v>
      </c>
      <c r="BM530" s="1" t="s">
        <v>1886</v>
      </c>
      <c r="BN530" s="1" t="s">
        <v>1666</v>
      </c>
      <c r="BO530" s="35" t="s">
        <v>1804</v>
      </c>
      <c r="BQ530" s="1" t="e">
        <v>#N/A</v>
      </c>
    </row>
    <row r="531" spans="3:69" ht="15" hidden="1" customHeight="1">
      <c r="C531" s="1" t="str">
        <f t="shared" si="90"/>
        <v>2906</v>
      </c>
      <c r="D531" s="1" t="str">
        <f t="shared" si="91"/>
        <v>2207</v>
      </c>
      <c r="E531" s="19" t="s">
        <v>1527</v>
      </c>
      <c r="F531" s="68" t="s">
        <v>1426</v>
      </c>
      <c r="G531" s="62">
        <v>2112</v>
      </c>
      <c r="H531" s="19" t="s">
        <v>1532</v>
      </c>
      <c r="I531" s="19" t="s">
        <v>1531</v>
      </c>
      <c r="J531" s="86">
        <v>1</v>
      </c>
      <c r="K531" s="19" t="s">
        <v>619</v>
      </c>
      <c r="L531" s="62" t="s">
        <v>77</v>
      </c>
      <c r="M531" s="19" t="s">
        <v>1523</v>
      </c>
      <c r="N531" s="19" t="s">
        <v>1524</v>
      </c>
      <c r="O531" s="24">
        <v>5835.27</v>
      </c>
      <c r="P531" s="24">
        <v>23100</v>
      </c>
      <c r="Q531" s="64">
        <v>134794737</v>
      </c>
      <c r="R531" s="19"/>
      <c r="S531" s="19"/>
      <c r="T531" s="25"/>
      <c r="U531" s="19"/>
      <c r="V531" s="121">
        <v>134794737</v>
      </c>
      <c r="W531" s="19"/>
      <c r="X531" s="64">
        <v>134794737</v>
      </c>
      <c r="Y531" s="19"/>
      <c r="Z531" s="19"/>
      <c r="AA531" s="128"/>
      <c r="AB531" s="19"/>
      <c r="AC531" s="64">
        <v>134794737</v>
      </c>
      <c r="AD531" s="63">
        <v>44743</v>
      </c>
      <c r="AE531" s="65">
        <v>47299</v>
      </c>
      <c r="AF531" s="19">
        <v>7</v>
      </c>
      <c r="AG531" s="19">
        <v>84</v>
      </c>
      <c r="AH531" s="25">
        <v>1604699.25</v>
      </c>
      <c r="AI531" s="78">
        <v>28884584.5</v>
      </c>
      <c r="AJ531" s="92">
        <v>105910152.5</v>
      </c>
      <c r="AK531" s="27">
        <f t="shared" si="92"/>
        <v>1604699.25</v>
      </c>
      <c r="AL531" s="27">
        <f t="shared" si="84"/>
        <v>1604699.25</v>
      </c>
      <c r="AM531" s="27"/>
      <c r="AN531" s="27"/>
      <c r="AO531" s="27"/>
      <c r="AP531" s="27"/>
      <c r="AQ531" s="27"/>
      <c r="AR531" s="27"/>
      <c r="AS531" s="27"/>
      <c r="AT531" s="27"/>
      <c r="AU531" s="27"/>
      <c r="AV531" s="27"/>
      <c r="AW531" s="27">
        <f t="shared" si="87"/>
        <v>3209398.5</v>
      </c>
      <c r="AX531" s="79">
        <f t="shared" si="88"/>
        <v>102700754</v>
      </c>
      <c r="AY531" s="79">
        <f t="shared" si="89"/>
        <v>32093983</v>
      </c>
      <c r="AZ531" s="25">
        <v>1</v>
      </c>
      <c r="BA531" s="62" t="s">
        <v>97</v>
      </c>
      <c r="BB531" s="66"/>
      <c r="BC531" s="66">
        <v>1</v>
      </c>
      <c r="BD531" s="66"/>
      <c r="BE531" s="67">
        <f t="shared" si="83"/>
        <v>0</v>
      </c>
      <c r="BF531" s="67">
        <f t="shared" si="86"/>
        <v>1604699.25</v>
      </c>
      <c r="BG531" s="67">
        <f t="shared" si="85"/>
        <v>0</v>
      </c>
      <c r="BH531" s="62" t="s">
        <v>1668</v>
      </c>
      <c r="BI531" s="19" t="s">
        <v>1624</v>
      </c>
      <c r="BJ531" s="68" t="s">
        <v>1438</v>
      </c>
      <c r="BK531" s="68" t="s">
        <v>1438</v>
      </c>
      <c r="BM531" s="1" t="s">
        <v>1886</v>
      </c>
      <c r="BN531" s="1" t="s">
        <v>1666</v>
      </c>
      <c r="BO531" s="35" t="s">
        <v>1804</v>
      </c>
      <c r="BQ531" s="1">
        <v>0</v>
      </c>
    </row>
    <row r="532" spans="3:69" ht="15" hidden="1" customHeight="1">
      <c r="C532" s="1" t="str">
        <f t="shared" si="90"/>
        <v>3207</v>
      </c>
      <c r="D532" s="1" t="str">
        <f t="shared" si="91"/>
        <v>2207</v>
      </c>
      <c r="E532" s="19" t="s">
        <v>1527</v>
      </c>
      <c r="F532" s="68" t="s">
        <v>49</v>
      </c>
      <c r="G532" s="62">
        <v>2112</v>
      </c>
      <c r="H532" s="19" t="s">
        <v>1533</v>
      </c>
      <c r="I532" s="19" t="s">
        <v>1534</v>
      </c>
      <c r="J532" s="86">
        <v>1</v>
      </c>
      <c r="K532" s="19" t="s">
        <v>619</v>
      </c>
      <c r="L532" s="62" t="s">
        <v>77</v>
      </c>
      <c r="M532" s="19" t="s">
        <v>1535</v>
      </c>
      <c r="N532" s="19" t="s">
        <v>1536</v>
      </c>
      <c r="O532" s="24">
        <v>184900</v>
      </c>
      <c r="P532" s="24">
        <v>23380</v>
      </c>
      <c r="Q532" s="64">
        <v>4322962000</v>
      </c>
      <c r="R532" s="19"/>
      <c r="S532" s="19"/>
      <c r="T532" s="25">
        <v>12217042.057638049</v>
      </c>
      <c r="U532" s="19" t="s">
        <v>1537</v>
      </c>
      <c r="V532" s="121">
        <v>4335179042</v>
      </c>
      <c r="W532" s="19"/>
      <c r="X532" s="64">
        <v>4335179042</v>
      </c>
      <c r="Y532" s="19"/>
      <c r="Z532" s="19"/>
      <c r="AA532" s="128"/>
      <c r="AB532" s="19"/>
      <c r="AC532" s="64">
        <v>4335179042</v>
      </c>
      <c r="AD532" s="63">
        <v>44753</v>
      </c>
      <c r="AE532" s="65">
        <v>48405</v>
      </c>
      <c r="AF532" s="19">
        <v>10</v>
      </c>
      <c r="AG532" s="19">
        <v>120</v>
      </c>
      <c r="AH532" s="25">
        <v>36126492.016666666</v>
      </c>
      <c r="AI532" s="78">
        <v>638623149.16666651</v>
      </c>
      <c r="AJ532" s="92">
        <v>3696555892.8333335</v>
      </c>
      <c r="AK532" s="27">
        <f t="shared" si="92"/>
        <v>36126492.016666666</v>
      </c>
      <c r="AL532" s="27">
        <f t="shared" si="84"/>
        <v>36126492.016666666</v>
      </c>
      <c r="AM532" s="27"/>
      <c r="AN532" s="27"/>
      <c r="AO532" s="27"/>
      <c r="AP532" s="27"/>
      <c r="AQ532" s="27"/>
      <c r="AR532" s="27"/>
      <c r="AS532" s="27"/>
      <c r="AT532" s="27"/>
      <c r="AU532" s="27"/>
      <c r="AV532" s="27"/>
      <c r="AW532" s="27">
        <f t="shared" si="87"/>
        <v>72252984.033333331</v>
      </c>
      <c r="AX532" s="79">
        <f t="shared" si="88"/>
        <v>3624302908.8000002</v>
      </c>
      <c r="AY532" s="79">
        <f t="shared" si="89"/>
        <v>710876133.19999981</v>
      </c>
      <c r="AZ532" s="25">
        <v>1</v>
      </c>
      <c r="BA532" s="62" t="s">
        <v>97</v>
      </c>
      <c r="BB532" s="66">
        <v>1</v>
      </c>
      <c r="BC532" s="19"/>
      <c r="BD532" s="19"/>
      <c r="BE532" s="67">
        <f t="shared" si="83"/>
        <v>36126492.016666666</v>
      </c>
      <c r="BF532" s="67">
        <f t="shared" si="86"/>
        <v>0</v>
      </c>
      <c r="BG532" s="67">
        <f t="shared" si="85"/>
        <v>0</v>
      </c>
      <c r="BH532" s="19"/>
      <c r="BI532" s="68" t="s">
        <v>57</v>
      </c>
      <c r="BJ532" s="68" t="s">
        <v>1297</v>
      </c>
      <c r="BK532" s="68" t="s">
        <v>1538</v>
      </c>
      <c r="BO532" s="35" t="s">
        <v>1800</v>
      </c>
      <c r="BP532" s="1" t="s">
        <v>1815</v>
      </c>
      <c r="BQ532" s="1" t="e">
        <v>#N/A</v>
      </c>
    </row>
    <row r="533" spans="3:69" ht="15" hidden="1" customHeight="1">
      <c r="C533" s="1" t="str">
        <f t="shared" si="90"/>
        <v>3007</v>
      </c>
      <c r="D533" s="1" t="str">
        <f t="shared" si="91"/>
        <v>2207</v>
      </c>
      <c r="E533" s="19" t="s">
        <v>1527</v>
      </c>
      <c r="F533" s="68" t="s">
        <v>49</v>
      </c>
      <c r="G533" s="62">
        <v>2112</v>
      </c>
      <c r="H533" s="19" t="s">
        <v>1539</v>
      </c>
      <c r="I533" s="19" t="s">
        <v>1540</v>
      </c>
      <c r="J533" s="86">
        <v>1</v>
      </c>
      <c r="K533" s="19" t="s">
        <v>619</v>
      </c>
      <c r="L533" s="62" t="s">
        <v>77</v>
      </c>
      <c r="M533" s="19" t="s">
        <v>1535</v>
      </c>
      <c r="N533" s="19" t="s">
        <v>1536</v>
      </c>
      <c r="O533" s="24">
        <v>63200</v>
      </c>
      <c r="P533" s="24">
        <v>23380</v>
      </c>
      <c r="Q533" s="64">
        <v>1477616000</v>
      </c>
      <c r="R533" s="19"/>
      <c r="S533" s="19"/>
      <c r="T533" s="25">
        <v>4175862.9423619513</v>
      </c>
      <c r="U533" s="19" t="s">
        <v>1537</v>
      </c>
      <c r="V533" s="121">
        <v>1481791863</v>
      </c>
      <c r="W533" s="19"/>
      <c r="X533" s="64">
        <v>1481791863</v>
      </c>
      <c r="Y533" s="19"/>
      <c r="Z533" s="19"/>
      <c r="AA533" s="128"/>
      <c r="AB533" s="19"/>
      <c r="AC533" s="64">
        <v>1481791863</v>
      </c>
      <c r="AD533" s="63">
        <v>44753</v>
      </c>
      <c r="AE533" s="65">
        <v>47674</v>
      </c>
      <c r="AF533" s="19">
        <v>8</v>
      </c>
      <c r="AG533" s="19">
        <v>96</v>
      </c>
      <c r="AH533" s="25">
        <v>15435331.90625</v>
      </c>
      <c r="AI533" s="78">
        <v>272856836.0625</v>
      </c>
      <c r="AJ533" s="92">
        <v>1208935026.9375</v>
      </c>
      <c r="AK533" s="27">
        <f t="shared" si="92"/>
        <v>15435331.90625</v>
      </c>
      <c r="AL533" s="27">
        <f t="shared" si="84"/>
        <v>15435331.90625</v>
      </c>
      <c r="AM533" s="27"/>
      <c r="AN533" s="27"/>
      <c r="AO533" s="27"/>
      <c r="AP533" s="27"/>
      <c r="AQ533" s="27"/>
      <c r="AR533" s="27"/>
      <c r="AS533" s="27"/>
      <c r="AT533" s="27"/>
      <c r="AU533" s="27"/>
      <c r="AV533" s="27"/>
      <c r="AW533" s="27">
        <f t="shared" si="87"/>
        <v>30870663.8125</v>
      </c>
      <c r="AX533" s="79">
        <f t="shared" si="88"/>
        <v>1178064363.125</v>
      </c>
      <c r="AY533" s="79">
        <f t="shared" si="89"/>
        <v>303727499.875</v>
      </c>
      <c r="AZ533" s="25">
        <v>1</v>
      </c>
      <c r="BA533" s="62" t="s">
        <v>97</v>
      </c>
      <c r="BB533" s="66">
        <v>1</v>
      </c>
      <c r="BC533" s="19"/>
      <c r="BD533" s="19"/>
      <c r="BE533" s="67">
        <f t="shared" ref="BE533:BE596" si="93">+$AL533*BB533</f>
        <v>15435331.90625</v>
      </c>
      <c r="BF533" s="67">
        <f t="shared" si="86"/>
        <v>0</v>
      </c>
      <c r="BG533" s="67">
        <f t="shared" si="85"/>
        <v>0</v>
      </c>
      <c r="BH533" s="19"/>
      <c r="BI533" s="68" t="s">
        <v>57</v>
      </c>
      <c r="BJ533" s="68" t="s">
        <v>81</v>
      </c>
      <c r="BK533" s="68" t="s">
        <v>1538</v>
      </c>
      <c r="BO533" s="35" t="s">
        <v>1800</v>
      </c>
      <c r="BP533" s="1" t="s">
        <v>1815</v>
      </c>
      <c r="BQ533" s="1" t="e">
        <v>#N/A</v>
      </c>
    </row>
    <row r="534" spans="3:69" ht="15" hidden="1" customHeight="1">
      <c r="C534" s="1" t="str">
        <f t="shared" si="90"/>
        <v>3007</v>
      </c>
      <c r="D534" s="1" t="str">
        <f t="shared" si="91"/>
        <v>2207</v>
      </c>
      <c r="E534" s="19" t="s">
        <v>1527</v>
      </c>
      <c r="F534" s="68" t="s">
        <v>49</v>
      </c>
      <c r="G534" s="62">
        <v>2112</v>
      </c>
      <c r="H534" s="19" t="s">
        <v>1541</v>
      </c>
      <c r="I534" s="19" t="s">
        <v>1542</v>
      </c>
      <c r="J534" s="86">
        <v>1</v>
      </c>
      <c r="K534" s="19" t="s">
        <v>619</v>
      </c>
      <c r="L534" s="62" t="s">
        <v>77</v>
      </c>
      <c r="M534" s="19" t="s">
        <v>1543</v>
      </c>
      <c r="N534" s="141" t="s">
        <v>1544</v>
      </c>
      <c r="O534" s="24">
        <v>49650</v>
      </c>
      <c r="P534" s="24">
        <v>23440</v>
      </c>
      <c r="Q534" s="64">
        <v>1163796000</v>
      </c>
      <c r="R534" s="19"/>
      <c r="S534" s="19"/>
      <c r="T534" s="25">
        <v>8932897.4732998628</v>
      </c>
      <c r="U534" s="19" t="s">
        <v>1545</v>
      </c>
      <c r="V534" s="121">
        <v>1172728897</v>
      </c>
      <c r="W534" s="19"/>
      <c r="X534" s="64">
        <v>1172728897</v>
      </c>
      <c r="Y534" s="19"/>
      <c r="Z534" s="19"/>
      <c r="AA534" s="128"/>
      <c r="AB534" s="19"/>
      <c r="AC534" s="64">
        <v>1172728897</v>
      </c>
      <c r="AD534" s="63">
        <v>44753</v>
      </c>
      <c r="AE534" s="65">
        <v>47674</v>
      </c>
      <c r="AF534" s="19">
        <v>8</v>
      </c>
      <c r="AG534" s="19">
        <v>96</v>
      </c>
      <c r="AH534" s="25">
        <v>12215926.010416666</v>
      </c>
      <c r="AI534" s="78">
        <v>215946047.10416666</v>
      </c>
      <c r="AJ534" s="92">
        <v>956782849.89583337</v>
      </c>
      <c r="AK534" s="27">
        <f t="shared" si="92"/>
        <v>12215926.010416666</v>
      </c>
      <c r="AL534" s="27">
        <f t="shared" si="84"/>
        <v>12215926.010416666</v>
      </c>
      <c r="AM534" s="27"/>
      <c r="AN534" s="27"/>
      <c r="AO534" s="27"/>
      <c r="AP534" s="27"/>
      <c r="AQ534" s="27"/>
      <c r="AR534" s="27"/>
      <c r="AS534" s="27"/>
      <c r="AT534" s="27"/>
      <c r="AU534" s="27"/>
      <c r="AV534" s="27"/>
      <c r="AW534" s="27">
        <f t="shared" si="87"/>
        <v>24431852.020833332</v>
      </c>
      <c r="AX534" s="79">
        <f t="shared" si="88"/>
        <v>932350997.875</v>
      </c>
      <c r="AY534" s="79">
        <f t="shared" si="89"/>
        <v>240377899.125</v>
      </c>
      <c r="AZ534" s="25">
        <v>1</v>
      </c>
      <c r="BA534" s="62" t="s">
        <v>97</v>
      </c>
      <c r="BB534" s="66">
        <v>1</v>
      </c>
      <c r="BC534" s="19"/>
      <c r="BD534" s="19"/>
      <c r="BE534" s="67">
        <f t="shared" si="93"/>
        <v>12215926.010416666</v>
      </c>
      <c r="BF534" s="67">
        <f t="shared" si="86"/>
        <v>0</v>
      </c>
      <c r="BG534" s="67">
        <f t="shared" si="85"/>
        <v>0</v>
      </c>
      <c r="BH534" s="19"/>
      <c r="BI534" s="68" t="s">
        <v>57</v>
      </c>
      <c r="BJ534" s="68" t="s">
        <v>121</v>
      </c>
      <c r="BK534" s="68" t="s">
        <v>1538</v>
      </c>
      <c r="BO534" s="35" t="s">
        <v>1800</v>
      </c>
      <c r="BP534" s="1" t="s">
        <v>1817</v>
      </c>
      <c r="BQ534" s="1" t="e">
        <v>#N/A</v>
      </c>
    </row>
    <row r="535" spans="3:69" ht="15" hidden="1" customHeight="1">
      <c r="C535" s="1" t="str">
        <f t="shared" si="90"/>
        <v>3007</v>
      </c>
      <c r="D535" s="1" t="str">
        <f t="shared" si="91"/>
        <v>2207</v>
      </c>
      <c r="E535" s="19" t="s">
        <v>1527</v>
      </c>
      <c r="F535" s="68" t="s">
        <v>515</v>
      </c>
      <c r="G535" s="62">
        <v>2112</v>
      </c>
      <c r="H535" s="19" t="s">
        <v>1546</v>
      </c>
      <c r="I535" s="19" t="s">
        <v>1547</v>
      </c>
      <c r="J535" s="86">
        <v>1</v>
      </c>
      <c r="K535" s="19" t="s">
        <v>619</v>
      </c>
      <c r="L535" s="62" t="s">
        <v>77</v>
      </c>
      <c r="M535" s="19" t="s">
        <v>1543</v>
      </c>
      <c r="N535" s="141" t="s">
        <v>1544</v>
      </c>
      <c r="O535" s="24">
        <v>59900</v>
      </c>
      <c r="P535" s="24">
        <v>23440</v>
      </c>
      <c r="Q535" s="64">
        <v>1404056000</v>
      </c>
      <c r="R535" s="19"/>
      <c r="S535" s="19"/>
      <c r="T535" s="25">
        <v>10777050.526700137</v>
      </c>
      <c r="U535" s="19" t="s">
        <v>1545</v>
      </c>
      <c r="V535" s="121">
        <v>1414833051</v>
      </c>
      <c r="W535" s="19"/>
      <c r="X535" s="64">
        <v>1414833051</v>
      </c>
      <c r="Y535" s="19"/>
      <c r="Z535" s="19"/>
      <c r="AA535" s="128"/>
      <c r="AB535" s="19"/>
      <c r="AC535" s="64">
        <v>1414833051</v>
      </c>
      <c r="AD535" s="63">
        <v>44757</v>
      </c>
      <c r="AE535" s="65">
        <v>47678</v>
      </c>
      <c r="AF535" s="19">
        <v>8</v>
      </c>
      <c r="AG535" s="19">
        <v>96</v>
      </c>
      <c r="AH535" s="25">
        <v>14737844.28125</v>
      </c>
      <c r="AI535" s="78">
        <v>258625393.8125</v>
      </c>
      <c r="AJ535" s="92">
        <v>1156207657.1875</v>
      </c>
      <c r="AK535" s="27">
        <f t="shared" si="92"/>
        <v>14737844.28125</v>
      </c>
      <c r="AL535" s="27">
        <f t="shared" si="84"/>
        <v>14737844.28125</v>
      </c>
      <c r="AM535" s="27"/>
      <c r="AN535" s="27"/>
      <c r="AO535" s="27"/>
      <c r="AP535" s="27"/>
      <c r="AQ535" s="27"/>
      <c r="AR535" s="27"/>
      <c r="AS535" s="27"/>
      <c r="AT535" s="27"/>
      <c r="AU535" s="27"/>
      <c r="AV535" s="27"/>
      <c r="AW535" s="27">
        <f t="shared" si="87"/>
        <v>29475688.5625</v>
      </c>
      <c r="AX535" s="79">
        <f t="shared" si="88"/>
        <v>1126731968.625</v>
      </c>
      <c r="AY535" s="79">
        <f t="shared" si="89"/>
        <v>288101082.375</v>
      </c>
      <c r="AZ535" s="25">
        <v>1</v>
      </c>
      <c r="BA535" s="62" t="s">
        <v>97</v>
      </c>
      <c r="BB535" s="66">
        <v>1</v>
      </c>
      <c r="BC535" s="19"/>
      <c r="BD535" s="19"/>
      <c r="BE535" s="67">
        <f t="shared" si="93"/>
        <v>14737844.28125</v>
      </c>
      <c r="BF535" s="67">
        <f t="shared" si="86"/>
        <v>0</v>
      </c>
      <c r="BG535" s="67">
        <f t="shared" si="85"/>
        <v>0</v>
      </c>
      <c r="BH535" s="19"/>
      <c r="BI535" s="68" t="s">
        <v>871</v>
      </c>
      <c r="BJ535" s="68" t="s">
        <v>1548</v>
      </c>
      <c r="BK535" s="68" t="s">
        <v>1549</v>
      </c>
      <c r="BO535" s="35" t="s">
        <v>1805</v>
      </c>
      <c r="BQ535" s="1" t="s">
        <v>1989</v>
      </c>
    </row>
    <row r="536" spans="3:69" ht="15" hidden="1" customHeight="1">
      <c r="C536" s="1" t="str">
        <f t="shared" si="90"/>
        <v>3208</v>
      </c>
      <c r="D536" s="1" t="str">
        <f t="shared" si="91"/>
        <v>2208</v>
      </c>
      <c r="E536" s="19" t="s">
        <v>1550</v>
      </c>
      <c r="F536" s="68" t="s">
        <v>49</v>
      </c>
      <c r="G536" s="62">
        <v>2112</v>
      </c>
      <c r="H536" s="19" t="s">
        <v>1551</v>
      </c>
      <c r="I536" s="19" t="s">
        <v>1534</v>
      </c>
      <c r="J536" s="86">
        <v>1</v>
      </c>
      <c r="K536" s="19" t="s">
        <v>619</v>
      </c>
      <c r="L536" s="62" t="s">
        <v>77</v>
      </c>
      <c r="M536" s="142" t="s">
        <v>1552</v>
      </c>
      <c r="N536" s="143">
        <v>44739</v>
      </c>
      <c r="O536" s="70">
        <v>188560</v>
      </c>
      <c r="P536" s="70">
        <v>23440</v>
      </c>
      <c r="Q536" s="144">
        <v>4419846400</v>
      </c>
      <c r="R536" s="19"/>
      <c r="S536" s="19"/>
      <c r="T536" s="25">
        <v>14899136.68</v>
      </c>
      <c r="U536" s="144">
        <v>1.1778040005181399E+34</v>
      </c>
      <c r="V536" s="121">
        <v>4434745537</v>
      </c>
      <c r="W536" s="19"/>
      <c r="X536" s="64">
        <v>4434745537</v>
      </c>
      <c r="Y536" s="19"/>
      <c r="Z536" s="19"/>
      <c r="AA536" s="128"/>
      <c r="AB536" s="19"/>
      <c r="AC536" s="64">
        <v>4434745537</v>
      </c>
      <c r="AD536" s="63">
        <v>44779</v>
      </c>
      <c r="AE536" s="65">
        <v>48431</v>
      </c>
      <c r="AF536" s="19">
        <v>10</v>
      </c>
      <c r="AG536" s="19">
        <v>120</v>
      </c>
      <c r="AH536" s="25">
        <v>36956212.80833333</v>
      </c>
      <c r="AI536" s="78">
        <v>622294939.08333337</v>
      </c>
      <c r="AJ536" s="92">
        <v>3812450597.9166665</v>
      </c>
      <c r="AK536" s="27">
        <f t="shared" si="92"/>
        <v>36956212.80833333</v>
      </c>
      <c r="AL536" s="27">
        <f t="shared" ref="AL536:AL599" si="94">+IF(AND(AL$3&gt;=$D536,AL$3&lt;$C536),$AH536,$AJ536-SUM(AJ536:AK536))</f>
        <v>36956212.80833333</v>
      </c>
      <c r="AM536" s="27"/>
      <c r="AN536" s="27"/>
      <c r="AO536" s="27"/>
      <c r="AP536" s="27"/>
      <c r="AQ536" s="27"/>
      <c r="AR536" s="27"/>
      <c r="AS536" s="27"/>
      <c r="AT536" s="27"/>
      <c r="AU536" s="27"/>
      <c r="AV536" s="27"/>
      <c r="AW536" s="27">
        <f t="shared" si="87"/>
        <v>73912425.61666666</v>
      </c>
      <c r="AX536" s="79">
        <f t="shared" si="88"/>
        <v>3738538172.2999997</v>
      </c>
      <c r="AY536" s="79">
        <f t="shared" si="89"/>
        <v>696207364.70000005</v>
      </c>
      <c r="AZ536" s="25">
        <v>1</v>
      </c>
      <c r="BA536" s="62" t="s">
        <v>97</v>
      </c>
      <c r="BB536" s="66">
        <v>1</v>
      </c>
      <c r="BC536" s="19"/>
      <c r="BD536" s="19"/>
      <c r="BE536" s="67">
        <f t="shared" si="93"/>
        <v>36956212.80833333</v>
      </c>
      <c r="BF536" s="67">
        <f t="shared" si="86"/>
        <v>0</v>
      </c>
      <c r="BG536" s="67">
        <f t="shared" si="85"/>
        <v>0</v>
      </c>
      <c r="BH536" s="19"/>
      <c r="BI536" s="68" t="s">
        <v>57</v>
      </c>
      <c r="BJ536" s="68" t="s">
        <v>85</v>
      </c>
      <c r="BK536" s="68" t="s">
        <v>1553</v>
      </c>
      <c r="BO536" s="35" t="s">
        <v>1800</v>
      </c>
      <c r="BP536" s="1" t="s">
        <v>1817</v>
      </c>
      <c r="BQ536" s="1" t="e">
        <v>#N/A</v>
      </c>
    </row>
    <row r="537" spans="3:69" ht="15" hidden="1" customHeight="1">
      <c r="C537" s="1" t="str">
        <f t="shared" si="90"/>
        <v>3007</v>
      </c>
      <c r="D537" s="1" t="str">
        <f t="shared" si="91"/>
        <v>2208</v>
      </c>
      <c r="E537" s="19" t="s">
        <v>1550</v>
      </c>
      <c r="F537" s="68" t="s">
        <v>49</v>
      </c>
      <c r="G537" s="62">
        <v>2112</v>
      </c>
      <c r="H537" s="19" t="s">
        <v>1554</v>
      </c>
      <c r="I537" s="19" t="s">
        <v>1555</v>
      </c>
      <c r="J537" s="86">
        <v>1</v>
      </c>
      <c r="K537" s="19" t="s">
        <v>619</v>
      </c>
      <c r="L537" s="62" t="s">
        <v>77</v>
      </c>
      <c r="M537" s="142" t="s">
        <v>1552</v>
      </c>
      <c r="N537" s="143">
        <v>44739</v>
      </c>
      <c r="O537" s="70">
        <v>64400</v>
      </c>
      <c r="P537" s="70">
        <v>23440</v>
      </c>
      <c r="Q537" s="144">
        <v>1509536000</v>
      </c>
      <c r="R537" s="19"/>
      <c r="S537" s="19"/>
      <c r="T537" s="25">
        <v>5088589.32</v>
      </c>
      <c r="U537" s="144">
        <v>1.1778040005181399E+34</v>
      </c>
      <c r="V537" s="121">
        <v>1514624589</v>
      </c>
      <c r="W537" s="19"/>
      <c r="X537" s="64">
        <v>1514624589</v>
      </c>
      <c r="Y537" s="19"/>
      <c r="Z537" s="19"/>
      <c r="AA537" s="128"/>
      <c r="AB537" s="19"/>
      <c r="AC537" s="64">
        <v>1514624589</v>
      </c>
      <c r="AD537" s="63">
        <v>44774</v>
      </c>
      <c r="AE537" s="65">
        <v>47695</v>
      </c>
      <c r="AF537" s="19">
        <v>8</v>
      </c>
      <c r="AG537" s="19">
        <v>96</v>
      </c>
      <c r="AH537" s="25">
        <v>15777339.46875</v>
      </c>
      <c r="AI537" s="78">
        <v>268214767.6875</v>
      </c>
      <c r="AJ537" s="92">
        <v>1246409821.3125</v>
      </c>
      <c r="AK537" s="27">
        <f t="shared" si="92"/>
        <v>15777339.46875</v>
      </c>
      <c r="AL537" s="27">
        <f t="shared" si="94"/>
        <v>15777339.46875</v>
      </c>
      <c r="AM537" s="27"/>
      <c r="AN537" s="27"/>
      <c r="AO537" s="27"/>
      <c r="AP537" s="27"/>
      <c r="AQ537" s="27"/>
      <c r="AR537" s="27"/>
      <c r="AS537" s="27"/>
      <c r="AT537" s="27"/>
      <c r="AU537" s="27"/>
      <c r="AV537" s="27"/>
      <c r="AW537" s="27">
        <f t="shared" si="87"/>
        <v>31554678.9375</v>
      </c>
      <c r="AX537" s="79">
        <f t="shared" si="88"/>
        <v>1214855142.375</v>
      </c>
      <c r="AY537" s="79">
        <f t="shared" si="89"/>
        <v>299769446.625</v>
      </c>
      <c r="AZ537" s="25">
        <v>1</v>
      </c>
      <c r="BA537" s="62" t="s">
        <v>97</v>
      </c>
      <c r="BB537" s="66">
        <v>1</v>
      </c>
      <c r="BC537" s="19"/>
      <c r="BD537" s="19"/>
      <c r="BE537" s="67">
        <f t="shared" si="93"/>
        <v>15777339.46875</v>
      </c>
      <c r="BF537" s="67">
        <f t="shared" si="86"/>
        <v>0</v>
      </c>
      <c r="BG537" s="67">
        <f t="shared" si="85"/>
        <v>0</v>
      </c>
      <c r="BH537" s="19"/>
      <c r="BI537" s="68" t="s">
        <v>57</v>
      </c>
      <c r="BJ537" s="68" t="s">
        <v>81</v>
      </c>
      <c r="BK537" s="68" t="s">
        <v>1553</v>
      </c>
      <c r="BO537" s="35" t="s">
        <v>1800</v>
      </c>
      <c r="BP537" s="1" t="s">
        <v>1817</v>
      </c>
      <c r="BQ537" s="1" t="e">
        <v>#N/A</v>
      </c>
    </row>
    <row r="538" spans="3:69" ht="15" hidden="1" customHeight="1">
      <c r="C538" s="1" t="str">
        <f t="shared" si="90"/>
        <v>3208</v>
      </c>
      <c r="D538" s="1" t="str">
        <f t="shared" si="91"/>
        <v>2208</v>
      </c>
      <c r="E538" s="19" t="s">
        <v>1550</v>
      </c>
      <c r="F538" s="68" t="s">
        <v>49</v>
      </c>
      <c r="G538" s="62">
        <v>2112</v>
      </c>
      <c r="H538" s="19" t="s">
        <v>1556</v>
      </c>
      <c r="I538" s="19" t="s">
        <v>1557</v>
      </c>
      <c r="J538" s="86">
        <v>1</v>
      </c>
      <c r="K538" s="19" t="s">
        <v>619</v>
      </c>
      <c r="L538" s="19" t="s">
        <v>858</v>
      </c>
      <c r="M538" s="145">
        <v>104827852840</v>
      </c>
      <c r="N538" s="143">
        <v>44747</v>
      </c>
      <c r="O538" s="70">
        <v>26500</v>
      </c>
      <c r="P538" s="70">
        <v>23505</v>
      </c>
      <c r="Q538" s="144">
        <v>622882500</v>
      </c>
      <c r="R538" s="19"/>
      <c r="S538" s="19"/>
      <c r="T538" s="25">
        <v>13260643.5</v>
      </c>
      <c r="U538" s="144">
        <v>1.18513614638E+35</v>
      </c>
      <c r="V538" s="121">
        <v>636143144</v>
      </c>
      <c r="W538" s="19"/>
      <c r="X538" s="64">
        <v>636143144</v>
      </c>
      <c r="Y538" s="19"/>
      <c r="Z538" s="19"/>
      <c r="AA538" s="128"/>
      <c r="AB538" s="19"/>
      <c r="AC538" s="64">
        <v>636143144</v>
      </c>
      <c r="AD538" s="63">
        <v>44781</v>
      </c>
      <c r="AE538" s="65">
        <v>48433</v>
      </c>
      <c r="AF538" s="62">
        <v>10</v>
      </c>
      <c r="AG538" s="19">
        <v>120</v>
      </c>
      <c r="AH538" s="25">
        <v>5301192.8666666662</v>
      </c>
      <c r="AI538" s="78">
        <v>88923235.666666672</v>
      </c>
      <c r="AJ538" s="92">
        <v>547219908.33333337</v>
      </c>
      <c r="AK538" s="27">
        <f t="shared" si="92"/>
        <v>5301192.8666666662</v>
      </c>
      <c r="AL538" s="27">
        <f t="shared" si="94"/>
        <v>5301192.8666666662</v>
      </c>
      <c r="AM538" s="27"/>
      <c r="AN538" s="27"/>
      <c r="AO538" s="27"/>
      <c r="AP538" s="27"/>
      <c r="AQ538" s="27"/>
      <c r="AR538" s="27"/>
      <c r="AS538" s="27"/>
      <c r="AT538" s="27"/>
      <c r="AU538" s="27"/>
      <c r="AV538" s="27"/>
      <c r="AW538" s="27">
        <f t="shared" si="87"/>
        <v>10602385.733333332</v>
      </c>
      <c r="AX538" s="79">
        <f t="shared" si="88"/>
        <v>536617522.60000002</v>
      </c>
      <c r="AY538" s="79">
        <f t="shared" si="89"/>
        <v>99525621.400000006</v>
      </c>
      <c r="AZ538" s="25">
        <v>1</v>
      </c>
      <c r="BA538" s="62" t="s">
        <v>97</v>
      </c>
      <c r="BB538" s="66">
        <v>1</v>
      </c>
      <c r="BC538" s="19"/>
      <c r="BD538" s="19"/>
      <c r="BE538" s="67">
        <f t="shared" si="93"/>
        <v>5301192.8666666662</v>
      </c>
      <c r="BF538" s="67">
        <f t="shared" si="86"/>
        <v>0</v>
      </c>
      <c r="BG538" s="67">
        <f t="shared" si="85"/>
        <v>0</v>
      </c>
      <c r="BH538" s="19"/>
      <c r="BI538" s="68" t="s">
        <v>57</v>
      </c>
      <c r="BJ538" s="68" t="s">
        <v>58</v>
      </c>
      <c r="BK538" s="68" t="s">
        <v>1558</v>
      </c>
      <c r="BO538" s="35" t="s">
        <v>1800</v>
      </c>
      <c r="BQ538" s="1" t="e">
        <v>#N/A</v>
      </c>
    </row>
    <row r="539" spans="3:69" ht="15" hidden="1" customHeight="1">
      <c r="C539" s="1" t="str">
        <f t="shared" si="90"/>
        <v>3208</v>
      </c>
      <c r="D539" s="1" t="str">
        <f t="shared" si="91"/>
        <v>2208</v>
      </c>
      <c r="E539" s="19" t="s">
        <v>1550</v>
      </c>
      <c r="F539" s="68" t="s">
        <v>49</v>
      </c>
      <c r="G539" s="62">
        <v>2112</v>
      </c>
      <c r="H539" s="19" t="s">
        <v>1559</v>
      </c>
      <c r="I539" s="19" t="s">
        <v>1560</v>
      </c>
      <c r="J539" s="86">
        <v>1</v>
      </c>
      <c r="K539" s="19" t="s">
        <v>619</v>
      </c>
      <c r="L539" s="19" t="s">
        <v>858</v>
      </c>
      <c r="M539" s="145">
        <v>104827852840</v>
      </c>
      <c r="N539" s="143">
        <v>44747</v>
      </c>
      <c r="O539" s="70">
        <v>26500</v>
      </c>
      <c r="P539" s="70">
        <v>23505</v>
      </c>
      <c r="Q539" s="144">
        <v>622882500</v>
      </c>
      <c r="R539" s="19"/>
      <c r="S539" s="19"/>
      <c r="T539" s="25">
        <v>13260643.5</v>
      </c>
      <c r="U539" s="144">
        <v>1.18513614638E+35</v>
      </c>
      <c r="V539" s="121">
        <v>636143144</v>
      </c>
      <c r="W539" s="19"/>
      <c r="X539" s="64">
        <v>636143144</v>
      </c>
      <c r="Y539" s="19"/>
      <c r="Z539" s="19"/>
      <c r="AA539" s="128"/>
      <c r="AB539" s="19"/>
      <c r="AC539" s="64">
        <v>636143144</v>
      </c>
      <c r="AD539" s="63">
        <v>44781</v>
      </c>
      <c r="AE539" s="65">
        <v>48433</v>
      </c>
      <c r="AF539" s="62">
        <v>10</v>
      </c>
      <c r="AG539" s="19">
        <v>120</v>
      </c>
      <c r="AH539" s="25">
        <v>5301192.8666666662</v>
      </c>
      <c r="AI539" s="78">
        <v>88923235.666666672</v>
      </c>
      <c r="AJ539" s="92">
        <v>547219908.33333337</v>
      </c>
      <c r="AK539" s="27">
        <f t="shared" si="92"/>
        <v>5301192.8666666662</v>
      </c>
      <c r="AL539" s="27">
        <f t="shared" si="94"/>
        <v>5301192.8666666662</v>
      </c>
      <c r="AM539" s="27"/>
      <c r="AN539" s="27"/>
      <c r="AO539" s="27"/>
      <c r="AP539" s="27"/>
      <c r="AQ539" s="27"/>
      <c r="AR539" s="27"/>
      <c r="AS539" s="27"/>
      <c r="AT539" s="27"/>
      <c r="AU539" s="27"/>
      <c r="AV539" s="27"/>
      <c r="AW539" s="27">
        <f t="shared" si="87"/>
        <v>10602385.733333332</v>
      </c>
      <c r="AX539" s="79">
        <f t="shared" si="88"/>
        <v>536617522.60000002</v>
      </c>
      <c r="AY539" s="79">
        <f t="shared" si="89"/>
        <v>99525621.400000006</v>
      </c>
      <c r="AZ539" s="25">
        <v>1</v>
      </c>
      <c r="BA539" s="62" t="s">
        <v>97</v>
      </c>
      <c r="BB539" s="66">
        <v>1</v>
      </c>
      <c r="BC539" s="19"/>
      <c r="BD539" s="19"/>
      <c r="BE539" s="67">
        <f t="shared" si="93"/>
        <v>5301192.8666666662</v>
      </c>
      <c r="BF539" s="67">
        <f t="shared" si="86"/>
        <v>0</v>
      </c>
      <c r="BG539" s="67">
        <f t="shared" si="85"/>
        <v>0</v>
      </c>
      <c r="BH539" s="19"/>
      <c r="BI539" s="68" t="s">
        <v>57</v>
      </c>
      <c r="BJ539" s="68" t="s">
        <v>58</v>
      </c>
      <c r="BK539" s="68" t="s">
        <v>1558</v>
      </c>
      <c r="BO539" s="35" t="s">
        <v>1800</v>
      </c>
      <c r="BQ539" s="1" t="e">
        <v>#N/A</v>
      </c>
    </row>
    <row r="540" spans="3:69" s="35" customFormat="1" ht="15" hidden="1" customHeight="1">
      <c r="C540" s="1" t="str">
        <f t="shared" si="90"/>
        <v>3208</v>
      </c>
      <c r="D540" s="1" t="str">
        <f t="shared" si="91"/>
        <v>2208</v>
      </c>
      <c r="E540" s="19" t="s">
        <v>1550</v>
      </c>
      <c r="F540" s="68" t="s">
        <v>49</v>
      </c>
      <c r="G540" s="62">
        <v>2112</v>
      </c>
      <c r="H540" s="19" t="s">
        <v>1561</v>
      </c>
      <c r="I540" s="19" t="s">
        <v>1562</v>
      </c>
      <c r="J540" s="86">
        <v>1</v>
      </c>
      <c r="K540" s="19" t="s">
        <v>619</v>
      </c>
      <c r="L540" s="19" t="s">
        <v>608</v>
      </c>
      <c r="M540" s="145">
        <v>104830963860</v>
      </c>
      <c r="N540" s="143">
        <v>44714</v>
      </c>
      <c r="O540" s="70">
        <v>207090</v>
      </c>
      <c r="P540" s="70">
        <v>23295.905595730572</v>
      </c>
      <c r="Q540" s="144">
        <v>4824349090</v>
      </c>
      <c r="R540" s="19"/>
      <c r="S540" s="19"/>
      <c r="T540" s="25">
        <v>310300257.36199999</v>
      </c>
      <c r="U540" s="144">
        <v>1.20635000027582E+58</v>
      </c>
      <c r="V540" s="121">
        <v>5134649347.3619995</v>
      </c>
      <c r="W540" s="19"/>
      <c r="X540" s="64">
        <v>5134649347.3619995</v>
      </c>
      <c r="Y540" s="19"/>
      <c r="Z540" s="19"/>
      <c r="AA540" s="128"/>
      <c r="AB540" s="19"/>
      <c r="AC540" s="64">
        <v>5134649347.3619995</v>
      </c>
      <c r="AD540" s="63">
        <v>44781</v>
      </c>
      <c r="AE540" s="65">
        <v>48433</v>
      </c>
      <c r="AF540" s="62">
        <v>10</v>
      </c>
      <c r="AG540" s="19">
        <v>120</v>
      </c>
      <c r="AH540" s="25">
        <v>42788744.561349995</v>
      </c>
      <c r="AI540" s="78">
        <v>717746683.84188056</v>
      </c>
      <c r="AJ540" s="92">
        <v>4416902663.5201197</v>
      </c>
      <c r="AK540" s="27">
        <f t="shared" si="92"/>
        <v>42788744.561349995</v>
      </c>
      <c r="AL540" s="27">
        <f t="shared" si="94"/>
        <v>42788744.561349995</v>
      </c>
      <c r="AM540" s="27"/>
      <c r="AN540" s="27"/>
      <c r="AO540" s="27"/>
      <c r="AP540" s="27"/>
      <c r="AQ540" s="27"/>
      <c r="AR540" s="27"/>
      <c r="AS540" s="27"/>
      <c r="AT540" s="27"/>
      <c r="AU540" s="27"/>
      <c r="AV540" s="27"/>
      <c r="AW540" s="27">
        <f t="shared" si="87"/>
        <v>85577489.122699991</v>
      </c>
      <c r="AX540" s="79">
        <f t="shared" si="88"/>
        <v>4331325174.397419</v>
      </c>
      <c r="AY540" s="79">
        <f t="shared" si="89"/>
        <v>803324172.96458054</v>
      </c>
      <c r="AZ540" s="25">
        <v>1</v>
      </c>
      <c r="BA540" s="62" t="s">
        <v>97</v>
      </c>
      <c r="BB540" s="66">
        <v>1</v>
      </c>
      <c r="BC540" s="19"/>
      <c r="BD540" s="19"/>
      <c r="BE540" s="67">
        <f t="shared" si="93"/>
        <v>42788744.561349995</v>
      </c>
      <c r="BF540" s="67">
        <f t="shared" si="86"/>
        <v>0</v>
      </c>
      <c r="BG540" s="67">
        <f t="shared" si="85"/>
        <v>0</v>
      </c>
      <c r="BH540" s="19"/>
      <c r="BI540" s="68" t="s">
        <v>57</v>
      </c>
      <c r="BJ540" s="68" t="s">
        <v>58</v>
      </c>
      <c r="BK540" s="68" t="s">
        <v>1563</v>
      </c>
      <c r="BM540" s="1"/>
      <c r="BO540" s="35" t="s">
        <v>1804</v>
      </c>
      <c r="BP540" s="1"/>
      <c r="BQ540" s="1" t="e">
        <v>#N/A</v>
      </c>
    </row>
    <row r="541" spans="3:69" s="35" customFormat="1" ht="15" hidden="1" customHeight="1">
      <c r="C541" s="1" t="str">
        <f t="shared" si="90"/>
        <v>3208</v>
      </c>
      <c r="D541" s="1" t="str">
        <f t="shared" si="91"/>
        <v>2208</v>
      </c>
      <c r="E541" s="19" t="s">
        <v>1550</v>
      </c>
      <c r="F541" s="68" t="s">
        <v>49</v>
      </c>
      <c r="G541" s="62">
        <v>2112</v>
      </c>
      <c r="H541" s="19" t="s">
        <v>1564</v>
      </c>
      <c r="I541" s="19" t="s">
        <v>1565</v>
      </c>
      <c r="J541" s="86">
        <v>1</v>
      </c>
      <c r="K541" s="19" t="s">
        <v>619</v>
      </c>
      <c r="L541" s="19" t="s">
        <v>608</v>
      </c>
      <c r="M541" s="145">
        <v>104830963860</v>
      </c>
      <c r="N541" s="143">
        <v>44714</v>
      </c>
      <c r="O541" s="70">
        <v>109580</v>
      </c>
      <c r="P541" s="70">
        <v>23295.905595730572</v>
      </c>
      <c r="Q541" s="144">
        <v>2552765335</v>
      </c>
      <c r="R541" s="19"/>
      <c r="S541" s="19"/>
      <c r="T541" s="25">
        <v>164192873.63800001</v>
      </c>
      <c r="U541" s="144">
        <v>1.20635000027582E+58</v>
      </c>
      <c r="V541" s="121">
        <v>2716958208.638</v>
      </c>
      <c r="W541" s="19"/>
      <c r="X541" s="64">
        <v>2716958208.638</v>
      </c>
      <c r="Y541" s="19"/>
      <c r="Z541" s="19"/>
      <c r="AA541" s="128"/>
      <c r="AB541" s="19"/>
      <c r="AC541" s="64">
        <v>2716958208.638</v>
      </c>
      <c r="AD541" s="63">
        <v>44786</v>
      </c>
      <c r="AE541" s="65">
        <v>48438</v>
      </c>
      <c r="AF541" s="62">
        <v>10</v>
      </c>
      <c r="AG541" s="19">
        <v>120</v>
      </c>
      <c r="AH541" s="25">
        <v>22641318.405316666</v>
      </c>
      <c r="AI541" s="78">
        <v>376138030.76156282</v>
      </c>
      <c r="AJ541" s="92">
        <v>2340820177.8764372</v>
      </c>
      <c r="AK541" s="27">
        <f t="shared" si="92"/>
        <v>22641318.405316666</v>
      </c>
      <c r="AL541" s="27">
        <f t="shared" si="94"/>
        <v>22641318.405316666</v>
      </c>
      <c r="AM541" s="27"/>
      <c r="AN541" s="27"/>
      <c r="AO541" s="27"/>
      <c r="AP541" s="27"/>
      <c r="AQ541" s="27"/>
      <c r="AR541" s="27"/>
      <c r="AS541" s="27"/>
      <c r="AT541" s="27"/>
      <c r="AU541" s="27"/>
      <c r="AV541" s="27"/>
      <c r="AW541" s="27">
        <f t="shared" si="87"/>
        <v>45282636.810633332</v>
      </c>
      <c r="AX541" s="79">
        <f t="shared" si="88"/>
        <v>2295537541.065804</v>
      </c>
      <c r="AY541" s="79">
        <f t="shared" si="89"/>
        <v>421420667.57219613</v>
      </c>
      <c r="AZ541" s="25">
        <v>1</v>
      </c>
      <c r="BA541" s="62" t="s">
        <v>97</v>
      </c>
      <c r="BB541" s="66">
        <v>1</v>
      </c>
      <c r="BC541" s="19"/>
      <c r="BD541" s="19"/>
      <c r="BE541" s="67">
        <f t="shared" si="93"/>
        <v>22641318.405316666</v>
      </c>
      <c r="BF541" s="67">
        <f t="shared" si="86"/>
        <v>0</v>
      </c>
      <c r="BG541" s="67">
        <f t="shared" si="85"/>
        <v>0</v>
      </c>
      <c r="BH541" s="19"/>
      <c r="BI541" s="68" t="s">
        <v>57</v>
      </c>
      <c r="BJ541" s="68" t="s">
        <v>58</v>
      </c>
      <c r="BK541" s="68" t="s">
        <v>1563</v>
      </c>
      <c r="BM541" s="1"/>
      <c r="BO541" s="35" t="s">
        <v>1804</v>
      </c>
      <c r="BP541" s="1"/>
      <c r="BQ541" s="1" t="e">
        <v>#N/A</v>
      </c>
    </row>
    <row r="542" spans="3:69" ht="15" hidden="1" customHeight="1">
      <c r="C542" s="1" t="str">
        <f t="shared" si="90"/>
        <v>3008</v>
      </c>
      <c r="D542" s="1" t="str">
        <f t="shared" si="91"/>
        <v>2208</v>
      </c>
      <c r="E542" s="19" t="s">
        <v>1550</v>
      </c>
      <c r="F542" s="68" t="s">
        <v>49</v>
      </c>
      <c r="G542" s="62">
        <v>2112</v>
      </c>
      <c r="H542" s="19" t="s">
        <v>1566</v>
      </c>
      <c r="I542" s="19" t="s">
        <v>1567</v>
      </c>
      <c r="J542" s="86">
        <v>1</v>
      </c>
      <c r="K542" s="19" t="s">
        <v>619</v>
      </c>
      <c r="L542" s="19" t="s">
        <v>980</v>
      </c>
      <c r="M542" s="145">
        <v>104858647611</v>
      </c>
      <c r="N542" s="143">
        <v>44753</v>
      </c>
      <c r="O542" s="70">
        <v>8310</v>
      </c>
      <c r="P542" s="70">
        <v>23580</v>
      </c>
      <c r="Q542" s="144">
        <v>195949800</v>
      </c>
      <c r="R542" s="19"/>
      <c r="S542" s="19"/>
      <c r="T542" s="25">
        <v>3417955.952</v>
      </c>
      <c r="U542" s="144">
        <v>3.0750000219599999E+19</v>
      </c>
      <c r="V542" s="121">
        <v>199367756</v>
      </c>
      <c r="W542" s="19"/>
      <c r="X542" s="64">
        <v>199367756</v>
      </c>
      <c r="Y542" s="19"/>
      <c r="Z542" s="19"/>
      <c r="AA542" s="128"/>
      <c r="AB542" s="19"/>
      <c r="AC542" s="64">
        <v>199367756</v>
      </c>
      <c r="AD542" s="63">
        <v>44776</v>
      </c>
      <c r="AE542" s="65">
        <v>47697</v>
      </c>
      <c r="AF542" s="19">
        <v>8</v>
      </c>
      <c r="AG542" s="19">
        <v>96</v>
      </c>
      <c r="AH542" s="25">
        <v>2076747.4583333333</v>
      </c>
      <c r="AI542" s="78">
        <v>35170719.583333328</v>
      </c>
      <c r="AJ542" s="92">
        <v>164197036.41666666</v>
      </c>
      <c r="AK542" s="27">
        <f t="shared" si="92"/>
        <v>2076747.4583333333</v>
      </c>
      <c r="AL542" s="27">
        <f t="shared" si="94"/>
        <v>2076747.4583333333</v>
      </c>
      <c r="AM542" s="27"/>
      <c r="AN542" s="27"/>
      <c r="AO542" s="27"/>
      <c r="AP542" s="27"/>
      <c r="AQ542" s="27"/>
      <c r="AR542" s="27"/>
      <c r="AS542" s="27"/>
      <c r="AT542" s="27"/>
      <c r="AU542" s="27"/>
      <c r="AV542" s="27"/>
      <c r="AW542" s="27">
        <f t="shared" si="87"/>
        <v>4153494.9166666665</v>
      </c>
      <c r="AX542" s="79">
        <f t="shared" si="88"/>
        <v>160043541.50000003</v>
      </c>
      <c r="AY542" s="79">
        <f t="shared" si="89"/>
        <v>39324214.499999993</v>
      </c>
      <c r="AZ542" s="25">
        <v>1</v>
      </c>
      <c r="BA542" s="62" t="s">
        <v>97</v>
      </c>
      <c r="BB542" s="66">
        <v>1</v>
      </c>
      <c r="BC542" s="19"/>
      <c r="BD542" s="19"/>
      <c r="BE542" s="67">
        <f t="shared" si="93"/>
        <v>2076747.4583333333</v>
      </c>
      <c r="BF542" s="67">
        <f t="shared" si="86"/>
        <v>0</v>
      </c>
      <c r="BG542" s="67">
        <f t="shared" si="85"/>
        <v>0</v>
      </c>
      <c r="BH542" s="19"/>
      <c r="BI542" s="68" t="s">
        <v>57</v>
      </c>
      <c r="BJ542" s="68" t="s">
        <v>81</v>
      </c>
      <c r="BK542" s="68" t="s">
        <v>1568</v>
      </c>
      <c r="BO542" s="35" t="s">
        <v>1800</v>
      </c>
      <c r="BP542" s="1" t="s">
        <v>1810</v>
      </c>
      <c r="BQ542" s="1" t="e">
        <v>#N/A</v>
      </c>
    </row>
    <row r="543" spans="3:69" ht="15" hidden="1" customHeight="1">
      <c r="C543" s="1" t="str">
        <f t="shared" si="90"/>
        <v>3008</v>
      </c>
      <c r="D543" s="1" t="str">
        <f t="shared" si="91"/>
        <v>2208</v>
      </c>
      <c r="E543" s="19" t="s">
        <v>1550</v>
      </c>
      <c r="F543" s="68" t="s">
        <v>49</v>
      </c>
      <c r="G543" s="62">
        <v>2112</v>
      </c>
      <c r="H543" s="19" t="s">
        <v>1569</v>
      </c>
      <c r="I543" s="19" t="s">
        <v>1570</v>
      </c>
      <c r="J543" s="86">
        <v>1</v>
      </c>
      <c r="K543" s="19" t="s">
        <v>619</v>
      </c>
      <c r="L543" s="19" t="s">
        <v>980</v>
      </c>
      <c r="M543" s="145">
        <v>104858647611</v>
      </c>
      <c r="N543" s="143">
        <v>44753</v>
      </c>
      <c r="O543" s="70">
        <v>6595</v>
      </c>
      <c r="P543" s="70">
        <v>23580</v>
      </c>
      <c r="Q543" s="144">
        <v>155510100</v>
      </c>
      <c r="R543" s="19"/>
      <c r="S543" s="19"/>
      <c r="T543" s="25">
        <v>2712565.5240000002</v>
      </c>
      <c r="U543" s="144">
        <v>3.0750000219599999E+19</v>
      </c>
      <c r="V543" s="121">
        <v>158222666</v>
      </c>
      <c r="W543" s="19"/>
      <c r="X543" s="64">
        <v>158222666</v>
      </c>
      <c r="Y543" s="19"/>
      <c r="Z543" s="19"/>
      <c r="AA543" s="128"/>
      <c r="AB543" s="19"/>
      <c r="AC543" s="64">
        <v>158222666</v>
      </c>
      <c r="AD543" s="63">
        <v>44776</v>
      </c>
      <c r="AE543" s="65">
        <v>47697</v>
      </c>
      <c r="AF543" s="19">
        <v>8</v>
      </c>
      <c r="AG543" s="19">
        <v>96</v>
      </c>
      <c r="AH543" s="25">
        <v>1648152.7708333333</v>
      </c>
      <c r="AI543" s="78">
        <v>27912266.708333332</v>
      </c>
      <c r="AJ543" s="92">
        <v>130310399.29166667</v>
      </c>
      <c r="AK543" s="27">
        <f t="shared" si="92"/>
        <v>1648152.7708333333</v>
      </c>
      <c r="AL543" s="27">
        <f t="shared" si="94"/>
        <v>1648152.7708333333</v>
      </c>
      <c r="AM543" s="27"/>
      <c r="AN543" s="27"/>
      <c r="AO543" s="27"/>
      <c r="AP543" s="27"/>
      <c r="AQ543" s="27"/>
      <c r="AR543" s="27"/>
      <c r="AS543" s="27"/>
      <c r="AT543" s="27"/>
      <c r="AU543" s="27"/>
      <c r="AV543" s="27"/>
      <c r="AW543" s="27">
        <f t="shared" si="87"/>
        <v>3296305.5416666665</v>
      </c>
      <c r="AX543" s="79">
        <f t="shared" si="88"/>
        <v>127014093.75</v>
      </c>
      <c r="AY543" s="79">
        <f t="shared" si="89"/>
        <v>31208572.25</v>
      </c>
      <c r="AZ543" s="25">
        <v>1</v>
      </c>
      <c r="BA543" s="62" t="s">
        <v>97</v>
      </c>
      <c r="BB543" s="66">
        <v>1</v>
      </c>
      <c r="BC543" s="19"/>
      <c r="BD543" s="19"/>
      <c r="BE543" s="67">
        <f t="shared" si="93"/>
        <v>1648152.7708333333</v>
      </c>
      <c r="BF543" s="67">
        <f t="shared" si="86"/>
        <v>0</v>
      </c>
      <c r="BG543" s="67">
        <f t="shared" si="85"/>
        <v>0</v>
      </c>
      <c r="BH543" s="19"/>
      <c r="BI543" s="68" t="s">
        <v>57</v>
      </c>
      <c r="BJ543" s="68" t="s">
        <v>81</v>
      </c>
      <c r="BK543" s="68" t="s">
        <v>1571</v>
      </c>
      <c r="BO543" s="35" t="s">
        <v>1800</v>
      </c>
      <c r="BP543" s="1" t="s">
        <v>1810</v>
      </c>
      <c r="BQ543" s="1" t="e">
        <v>#N/A</v>
      </c>
    </row>
    <row r="544" spans="3:69" ht="15" hidden="1" customHeight="1">
      <c r="C544" s="1" t="str">
        <f t="shared" si="90"/>
        <v>3008</v>
      </c>
      <c r="D544" s="1" t="str">
        <f t="shared" si="91"/>
        <v>2208</v>
      </c>
      <c r="E544" s="19" t="s">
        <v>1550</v>
      </c>
      <c r="F544" s="68" t="s">
        <v>49</v>
      </c>
      <c r="G544" s="62">
        <v>2112</v>
      </c>
      <c r="H544" s="19" t="s">
        <v>1572</v>
      </c>
      <c r="I544" s="19" t="s">
        <v>1570</v>
      </c>
      <c r="J544" s="86">
        <v>1</v>
      </c>
      <c r="K544" s="19" t="s">
        <v>619</v>
      </c>
      <c r="L544" s="19" t="s">
        <v>980</v>
      </c>
      <c r="M544" s="145">
        <v>104858647611</v>
      </c>
      <c r="N544" s="143">
        <v>44753</v>
      </c>
      <c r="O544" s="70">
        <v>6595</v>
      </c>
      <c r="P544" s="70">
        <v>23580</v>
      </c>
      <c r="Q544" s="144">
        <v>155510100</v>
      </c>
      <c r="R544" s="19"/>
      <c r="S544" s="19"/>
      <c r="T544" s="25">
        <v>2712565.5240000002</v>
      </c>
      <c r="U544" s="144">
        <v>3.0750000219599999E+19</v>
      </c>
      <c r="V544" s="121">
        <v>158222666</v>
      </c>
      <c r="W544" s="19"/>
      <c r="X544" s="64">
        <v>158222666</v>
      </c>
      <c r="Y544" s="19"/>
      <c r="Z544" s="19"/>
      <c r="AA544" s="128"/>
      <c r="AB544" s="19"/>
      <c r="AC544" s="64">
        <v>158222666</v>
      </c>
      <c r="AD544" s="63">
        <v>44776</v>
      </c>
      <c r="AE544" s="65">
        <v>47697</v>
      </c>
      <c r="AF544" s="19">
        <v>8</v>
      </c>
      <c r="AG544" s="19">
        <v>96</v>
      </c>
      <c r="AH544" s="25">
        <v>1648152.7708333333</v>
      </c>
      <c r="AI544" s="78">
        <v>27912266.708333332</v>
      </c>
      <c r="AJ544" s="92">
        <v>130310399.29166667</v>
      </c>
      <c r="AK544" s="27">
        <f t="shared" si="92"/>
        <v>1648152.7708333333</v>
      </c>
      <c r="AL544" s="27">
        <f t="shared" si="94"/>
        <v>1648152.7708333333</v>
      </c>
      <c r="AM544" s="27"/>
      <c r="AN544" s="27"/>
      <c r="AO544" s="27"/>
      <c r="AP544" s="27"/>
      <c r="AQ544" s="27"/>
      <c r="AR544" s="27"/>
      <c r="AS544" s="27"/>
      <c r="AT544" s="27"/>
      <c r="AU544" s="27"/>
      <c r="AV544" s="27"/>
      <c r="AW544" s="27">
        <f t="shared" si="87"/>
        <v>3296305.5416666665</v>
      </c>
      <c r="AX544" s="79">
        <f t="shared" si="88"/>
        <v>127014093.75</v>
      </c>
      <c r="AY544" s="79">
        <f t="shared" si="89"/>
        <v>31208572.25</v>
      </c>
      <c r="AZ544" s="25">
        <v>1</v>
      </c>
      <c r="BA544" s="62" t="s">
        <v>97</v>
      </c>
      <c r="BB544" s="66">
        <v>1</v>
      </c>
      <c r="BC544" s="19"/>
      <c r="BD544" s="19"/>
      <c r="BE544" s="67">
        <f t="shared" si="93"/>
        <v>1648152.7708333333</v>
      </c>
      <c r="BF544" s="67">
        <f t="shared" si="86"/>
        <v>0</v>
      </c>
      <c r="BG544" s="67">
        <f t="shared" si="85"/>
        <v>0</v>
      </c>
      <c r="BH544" s="19"/>
      <c r="BI544" s="68" t="s">
        <v>57</v>
      </c>
      <c r="BJ544" s="68" t="s">
        <v>81</v>
      </c>
      <c r="BK544" s="68" t="s">
        <v>1573</v>
      </c>
      <c r="BO544" s="35" t="s">
        <v>1800</v>
      </c>
      <c r="BP544" s="1" t="s">
        <v>1823</v>
      </c>
      <c r="BQ544" s="1" t="e">
        <v>#N/A</v>
      </c>
    </row>
    <row r="545" spans="1:69" ht="15" hidden="1" customHeight="1">
      <c r="C545" s="1" t="str">
        <f t="shared" si="90"/>
        <v>2808</v>
      </c>
      <c r="D545" s="1" t="str">
        <f t="shared" si="91"/>
        <v>2208</v>
      </c>
      <c r="E545" s="19" t="s">
        <v>1550</v>
      </c>
      <c r="F545" s="68" t="s">
        <v>49</v>
      </c>
      <c r="G545" s="62">
        <v>2114</v>
      </c>
      <c r="H545" s="19" t="s">
        <v>1574</v>
      </c>
      <c r="I545" s="19" t="s">
        <v>1575</v>
      </c>
      <c r="J545" s="86">
        <v>1</v>
      </c>
      <c r="K545" s="19" t="s">
        <v>1226</v>
      </c>
      <c r="L545" s="19" t="s">
        <v>773</v>
      </c>
      <c r="M545" s="145">
        <v>7</v>
      </c>
      <c r="N545" s="143">
        <v>44770</v>
      </c>
      <c r="O545" s="19"/>
      <c r="P545" s="19"/>
      <c r="Q545" s="144">
        <v>35000000</v>
      </c>
      <c r="R545" s="19"/>
      <c r="S545" s="19"/>
      <c r="T545" s="25"/>
      <c r="U545" s="19"/>
      <c r="V545" s="121">
        <v>35000000</v>
      </c>
      <c r="W545" s="19"/>
      <c r="X545" s="64">
        <v>35000000</v>
      </c>
      <c r="Y545" s="19"/>
      <c r="Z545" s="19"/>
      <c r="AA545" s="128"/>
      <c r="AB545" s="19"/>
      <c r="AC545" s="64">
        <v>35000000</v>
      </c>
      <c r="AD545" s="63">
        <v>44788</v>
      </c>
      <c r="AE545" s="65">
        <v>46979</v>
      </c>
      <c r="AF545" s="19">
        <v>6</v>
      </c>
      <c r="AG545" s="19">
        <v>72</v>
      </c>
      <c r="AH545" s="25">
        <v>486111.11111111112</v>
      </c>
      <c r="AI545" s="78">
        <v>8044354.1111111101</v>
      </c>
      <c r="AJ545" s="92">
        <v>26955645.888888888</v>
      </c>
      <c r="AK545" s="27">
        <f t="shared" si="92"/>
        <v>486111.11111111112</v>
      </c>
      <c r="AL545" s="27">
        <f t="shared" si="94"/>
        <v>486111.11111111112</v>
      </c>
      <c r="AM545" s="27"/>
      <c r="AN545" s="27"/>
      <c r="AO545" s="27"/>
      <c r="AP545" s="27"/>
      <c r="AQ545" s="27"/>
      <c r="AR545" s="27"/>
      <c r="AS545" s="27"/>
      <c r="AT545" s="27"/>
      <c r="AU545" s="27"/>
      <c r="AV545" s="27"/>
      <c r="AW545" s="27">
        <f t="shared" si="87"/>
        <v>972222.22222222225</v>
      </c>
      <c r="AX545" s="79">
        <f t="shared" si="88"/>
        <v>25983423.666666664</v>
      </c>
      <c r="AY545" s="79">
        <f t="shared" si="89"/>
        <v>9016576.3333333321</v>
      </c>
      <c r="AZ545" s="25">
        <v>1</v>
      </c>
      <c r="BA545" s="62" t="s">
        <v>79</v>
      </c>
      <c r="BB545" s="66">
        <v>1</v>
      </c>
      <c r="BC545" s="19"/>
      <c r="BD545" s="19"/>
      <c r="BE545" s="67">
        <f t="shared" si="93"/>
        <v>486111.11111111112</v>
      </c>
      <c r="BF545" s="67">
        <f t="shared" si="86"/>
        <v>0</v>
      </c>
      <c r="BG545" s="67">
        <f t="shared" si="85"/>
        <v>0</v>
      </c>
      <c r="BH545" s="19"/>
      <c r="BI545" s="68" t="s">
        <v>57</v>
      </c>
      <c r="BJ545" s="68" t="s">
        <v>1576</v>
      </c>
      <c r="BK545" s="68" t="s">
        <v>1576</v>
      </c>
      <c r="BO545" s="35" t="s">
        <v>1801</v>
      </c>
      <c r="BQ545" s="1" t="e">
        <v>#N/A</v>
      </c>
    </row>
    <row r="546" spans="1:69" ht="15" hidden="1" customHeight="1">
      <c r="C546" s="1" t="str">
        <f t="shared" si="90"/>
        <v>3008</v>
      </c>
      <c r="D546" s="1" t="str">
        <f t="shared" si="91"/>
        <v>2208</v>
      </c>
      <c r="E546" s="19" t="s">
        <v>1550</v>
      </c>
      <c r="F546" s="68" t="s">
        <v>49</v>
      </c>
      <c r="G546" s="62">
        <v>2112</v>
      </c>
      <c r="H546" s="19" t="s">
        <v>1577</v>
      </c>
      <c r="I546" s="19" t="s">
        <v>1578</v>
      </c>
      <c r="J546" s="86">
        <v>1</v>
      </c>
      <c r="K546" s="19" t="s">
        <v>619</v>
      </c>
      <c r="L546" s="62" t="s">
        <v>77</v>
      </c>
      <c r="M546" s="142" t="s">
        <v>1579</v>
      </c>
      <c r="N546" s="143">
        <v>44789</v>
      </c>
      <c r="O546" s="70">
        <v>49650</v>
      </c>
      <c r="P546" s="70">
        <v>23530</v>
      </c>
      <c r="Q546" s="144">
        <v>1168264500</v>
      </c>
      <c r="R546" s="19"/>
      <c r="S546" s="19"/>
      <c r="T546" s="25">
        <v>9887519.1530000009</v>
      </c>
      <c r="U546" s="19" t="s">
        <v>1580</v>
      </c>
      <c r="V546" s="121">
        <v>1178152019</v>
      </c>
      <c r="W546" s="19"/>
      <c r="X546" s="64">
        <v>1178152019</v>
      </c>
      <c r="Y546" s="19"/>
      <c r="Z546" s="19"/>
      <c r="AA546" s="128"/>
      <c r="AB546" s="19"/>
      <c r="AC546" s="64">
        <v>1178152019</v>
      </c>
      <c r="AD546" s="63">
        <v>44793</v>
      </c>
      <c r="AE546" s="65">
        <v>47714</v>
      </c>
      <c r="AF546" s="19">
        <v>8</v>
      </c>
      <c r="AG546" s="19">
        <v>96</v>
      </c>
      <c r="AH546" s="25">
        <v>12272416.864583334</v>
      </c>
      <c r="AI546" s="78">
        <v>201109283.64583334</v>
      </c>
      <c r="AJ546" s="92">
        <v>977042735.35416663</v>
      </c>
      <c r="AK546" s="27">
        <f t="shared" si="92"/>
        <v>12272416.864583334</v>
      </c>
      <c r="AL546" s="27">
        <f t="shared" si="94"/>
        <v>12272416.864583334</v>
      </c>
      <c r="AM546" s="27"/>
      <c r="AN546" s="27"/>
      <c r="AO546" s="27"/>
      <c r="AP546" s="27"/>
      <c r="AQ546" s="27"/>
      <c r="AR546" s="27"/>
      <c r="AS546" s="27"/>
      <c r="AT546" s="27"/>
      <c r="AU546" s="27"/>
      <c r="AV546" s="27"/>
      <c r="AW546" s="27">
        <f t="shared" si="87"/>
        <v>24544833.729166668</v>
      </c>
      <c r="AX546" s="79">
        <f t="shared" si="88"/>
        <v>952497901.625</v>
      </c>
      <c r="AY546" s="79">
        <f t="shared" si="89"/>
        <v>225654117.375</v>
      </c>
      <c r="AZ546" s="25">
        <v>1</v>
      </c>
      <c r="BA546" s="62" t="s">
        <v>97</v>
      </c>
      <c r="BB546" s="66">
        <v>1</v>
      </c>
      <c r="BC546" s="19"/>
      <c r="BD546" s="19"/>
      <c r="BE546" s="67">
        <f t="shared" si="93"/>
        <v>12272416.864583334</v>
      </c>
      <c r="BF546" s="67">
        <f t="shared" si="86"/>
        <v>0</v>
      </c>
      <c r="BG546" s="67">
        <f t="shared" si="85"/>
        <v>0</v>
      </c>
      <c r="BH546" s="19"/>
      <c r="BI546" s="68" t="s">
        <v>57</v>
      </c>
      <c r="BJ546" s="68" t="s">
        <v>121</v>
      </c>
      <c r="BK546" s="68" t="s">
        <v>1553</v>
      </c>
      <c r="BO546" s="35" t="s">
        <v>1800</v>
      </c>
      <c r="BP546" s="1" t="s">
        <v>1815</v>
      </c>
      <c r="BQ546" s="1" t="e">
        <v>#N/A</v>
      </c>
    </row>
    <row r="547" spans="1:69" ht="15" hidden="1" customHeight="1">
      <c r="C547" s="1" t="str">
        <f t="shared" si="90"/>
        <v>3008</v>
      </c>
      <c r="D547" s="1" t="str">
        <f t="shared" si="91"/>
        <v>2208</v>
      </c>
      <c r="E547" s="19" t="s">
        <v>1550</v>
      </c>
      <c r="F547" s="68" t="s">
        <v>515</v>
      </c>
      <c r="G547" s="62">
        <v>2112</v>
      </c>
      <c r="H547" s="19" t="s">
        <v>1581</v>
      </c>
      <c r="I547" s="19" t="s">
        <v>1547</v>
      </c>
      <c r="J547" s="86">
        <v>1</v>
      </c>
      <c r="K547" s="19" t="s">
        <v>619</v>
      </c>
      <c r="L547" s="62" t="s">
        <v>77</v>
      </c>
      <c r="M547" s="142" t="s">
        <v>1579</v>
      </c>
      <c r="N547" s="143">
        <v>44789</v>
      </c>
      <c r="O547" s="70">
        <v>59900</v>
      </c>
      <c r="P547" s="70">
        <v>23530</v>
      </c>
      <c r="Q547" s="144">
        <v>1409447000</v>
      </c>
      <c r="R547" s="19"/>
      <c r="S547" s="19"/>
      <c r="T547" s="25">
        <v>11928749.189999999</v>
      </c>
      <c r="U547" s="19" t="s">
        <v>1580</v>
      </c>
      <c r="V547" s="121">
        <v>1421375749</v>
      </c>
      <c r="W547" s="19"/>
      <c r="X547" s="64">
        <v>1421375749</v>
      </c>
      <c r="Y547" s="19"/>
      <c r="Z547" s="19"/>
      <c r="AA547" s="128"/>
      <c r="AB547" s="19"/>
      <c r="AC547" s="64">
        <v>1421375749</v>
      </c>
      <c r="AD547" s="63">
        <v>44793</v>
      </c>
      <c r="AE547" s="65">
        <v>47714</v>
      </c>
      <c r="AF547" s="19">
        <v>8</v>
      </c>
      <c r="AG547" s="19">
        <v>96</v>
      </c>
      <c r="AH547" s="25">
        <v>14805997.385416666</v>
      </c>
      <c r="AI547" s="78">
        <v>242627309.85416666</v>
      </c>
      <c r="AJ547" s="92">
        <v>1178748439.1458333</v>
      </c>
      <c r="AK547" s="27">
        <f t="shared" si="92"/>
        <v>14805997.385416666</v>
      </c>
      <c r="AL547" s="27">
        <f t="shared" si="94"/>
        <v>14805997.385416666</v>
      </c>
      <c r="AM547" s="27"/>
      <c r="AN547" s="27"/>
      <c r="AO547" s="27"/>
      <c r="AP547" s="27"/>
      <c r="AQ547" s="27"/>
      <c r="AR547" s="27"/>
      <c r="AS547" s="27"/>
      <c r="AT547" s="27"/>
      <c r="AU547" s="27"/>
      <c r="AV547" s="27"/>
      <c r="AW547" s="27">
        <f t="shared" si="87"/>
        <v>29611994.770833332</v>
      </c>
      <c r="AX547" s="79">
        <f t="shared" si="88"/>
        <v>1149136444.375</v>
      </c>
      <c r="AY547" s="79">
        <f t="shared" si="89"/>
        <v>272239304.625</v>
      </c>
      <c r="AZ547" s="25">
        <v>1</v>
      </c>
      <c r="BA547" s="62" t="s">
        <v>97</v>
      </c>
      <c r="BB547" s="66">
        <v>1</v>
      </c>
      <c r="BC547" s="19"/>
      <c r="BD547" s="19"/>
      <c r="BE547" s="67">
        <f t="shared" si="93"/>
        <v>14805997.385416666</v>
      </c>
      <c r="BF547" s="67">
        <f t="shared" si="86"/>
        <v>0</v>
      </c>
      <c r="BG547" s="67">
        <f t="shared" si="85"/>
        <v>0</v>
      </c>
      <c r="BH547" s="19"/>
      <c r="BI547" s="68" t="s">
        <v>871</v>
      </c>
      <c r="BJ547" s="68" t="s">
        <v>98</v>
      </c>
      <c r="BK547" s="68" t="s">
        <v>1582</v>
      </c>
      <c r="BO547" s="35" t="s">
        <v>1805</v>
      </c>
      <c r="BQ547" s="1" t="s">
        <v>1982</v>
      </c>
    </row>
    <row r="548" spans="1:69" ht="15" hidden="1" customHeight="1">
      <c r="C548" s="1" t="str">
        <f t="shared" si="90"/>
        <v>2908</v>
      </c>
      <c r="D548" s="1" t="str">
        <f t="shared" si="91"/>
        <v>2208</v>
      </c>
      <c r="E548" s="19" t="s">
        <v>1550</v>
      </c>
      <c r="F548" s="68" t="s">
        <v>49</v>
      </c>
      <c r="G548" s="62">
        <v>2112</v>
      </c>
      <c r="H548" s="19" t="s">
        <v>1583</v>
      </c>
      <c r="I548" s="19" t="s">
        <v>1584</v>
      </c>
      <c r="J548" s="86">
        <v>1</v>
      </c>
      <c r="K548" s="19" t="s">
        <v>619</v>
      </c>
      <c r="L548" s="62" t="s">
        <v>77</v>
      </c>
      <c r="M548" s="142" t="s">
        <v>1579</v>
      </c>
      <c r="N548" s="143">
        <v>44789</v>
      </c>
      <c r="O548" s="70">
        <v>38613.96</v>
      </c>
      <c r="P548" s="70">
        <v>23530</v>
      </c>
      <c r="Q548" s="144">
        <v>908586479</v>
      </c>
      <c r="R548" s="19"/>
      <c r="S548" s="19"/>
      <c r="T548" s="25">
        <v>7689753.6569999997</v>
      </c>
      <c r="U548" s="19" t="s">
        <v>1580</v>
      </c>
      <c r="V548" s="121">
        <v>916276232</v>
      </c>
      <c r="W548" s="19"/>
      <c r="X548" s="64">
        <v>916276232</v>
      </c>
      <c r="Y548" s="19"/>
      <c r="Z548" s="19"/>
      <c r="AA548" s="128"/>
      <c r="AB548" s="19"/>
      <c r="AC548" s="64">
        <v>916276232</v>
      </c>
      <c r="AD548" s="63">
        <v>44798</v>
      </c>
      <c r="AE548" s="65">
        <v>47354</v>
      </c>
      <c r="AF548" s="19">
        <v>7</v>
      </c>
      <c r="AG548" s="19">
        <v>84</v>
      </c>
      <c r="AH548" s="25">
        <v>10908050.380952381</v>
      </c>
      <c r="AI548" s="78">
        <v>176991911.80952385</v>
      </c>
      <c r="AJ548" s="92">
        <v>739284320.19047618</v>
      </c>
      <c r="AK548" s="27">
        <f t="shared" si="92"/>
        <v>10908050.380952381</v>
      </c>
      <c r="AL548" s="27">
        <f t="shared" si="94"/>
        <v>10908050.380952381</v>
      </c>
      <c r="AM548" s="27"/>
      <c r="AN548" s="27"/>
      <c r="AO548" s="27"/>
      <c r="AP548" s="27"/>
      <c r="AQ548" s="27"/>
      <c r="AR548" s="27"/>
      <c r="AS548" s="27"/>
      <c r="AT548" s="27"/>
      <c r="AU548" s="27"/>
      <c r="AV548" s="27"/>
      <c r="AW548" s="27">
        <f t="shared" si="87"/>
        <v>21816100.761904761</v>
      </c>
      <c r="AX548" s="79">
        <f t="shared" si="88"/>
        <v>717468219.42857146</v>
      </c>
      <c r="AY548" s="79">
        <f t="shared" si="89"/>
        <v>198808012.5714286</v>
      </c>
      <c r="AZ548" s="25">
        <v>1</v>
      </c>
      <c r="BA548" s="62" t="s">
        <v>97</v>
      </c>
      <c r="BB548" s="66">
        <v>1</v>
      </c>
      <c r="BC548" s="19"/>
      <c r="BD548" s="19"/>
      <c r="BE548" s="67">
        <f t="shared" si="93"/>
        <v>10908050.380952381</v>
      </c>
      <c r="BF548" s="67">
        <f t="shared" si="86"/>
        <v>0</v>
      </c>
      <c r="BG548" s="67">
        <f t="shared" si="85"/>
        <v>0</v>
      </c>
      <c r="BH548" s="19"/>
      <c r="BI548" s="68" t="s">
        <v>57</v>
      </c>
      <c r="BJ548" s="68" t="s">
        <v>121</v>
      </c>
      <c r="BK548" s="68" t="s">
        <v>1585</v>
      </c>
      <c r="BO548" s="35" t="s">
        <v>1801</v>
      </c>
      <c r="BP548" s="1" t="s">
        <v>1820</v>
      </c>
      <c r="BQ548" s="1" t="e">
        <v>#N/A</v>
      </c>
    </row>
    <row r="549" spans="1:69" s="41" customFormat="1" ht="15" hidden="1" customHeight="1">
      <c r="A549" s="1"/>
      <c r="C549" s="1" t="str">
        <f t="shared" si="90"/>
        <v>3208</v>
      </c>
      <c r="D549" s="1" t="str">
        <f t="shared" si="91"/>
        <v>2208</v>
      </c>
      <c r="E549" s="19" t="s">
        <v>1550</v>
      </c>
      <c r="F549" s="68" t="s">
        <v>1586</v>
      </c>
      <c r="G549" s="62">
        <v>2114</v>
      </c>
      <c r="H549" s="19" t="s">
        <v>1587</v>
      </c>
      <c r="I549" s="19" t="s">
        <v>1588</v>
      </c>
      <c r="J549" s="86">
        <v>1</v>
      </c>
      <c r="K549" s="19" t="s">
        <v>619</v>
      </c>
      <c r="L549" s="19" t="s">
        <v>1145</v>
      </c>
      <c r="M549" s="19">
        <v>204</v>
      </c>
      <c r="N549" s="143">
        <v>44777</v>
      </c>
      <c r="O549" s="19"/>
      <c r="P549" s="19"/>
      <c r="Q549" s="144">
        <v>207720000</v>
      </c>
      <c r="R549" s="19"/>
      <c r="S549" s="19"/>
      <c r="T549" s="25"/>
      <c r="U549" s="19"/>
      <c r="V549" s="121">
        <v>207720000</v>
      </c>
      <c r="W549" s="19"/>
      <c r="X549" s="64">
        <v>207720000</v>
      </c>
      <c r="Y549" s="19"/>
      <c r="Z549" s="19"/>
      <c r="AA549" s="128"/>
      <c r="AB549" s="19"/>
      <c r="AC549" s="64">
        <v>207720000</v>
      </c>
      <c r="AD549" s="63">
        <v>44786</v>
      </c>
      <c r="AE549" s="65">
        <v>48438</v>
      </c>
      <c r="AF549" s="19">
        <v>10</v>
      </c>
      <c r="AG549" s="19">
        <v>120</v>
      </c>
      <c r="AH549" s="25">
        <v>1731000</v>
      </c>
      <c r="AI549" s="78">
        <v>28756935</v>
      </c>
      <c r="AJ549" s="92">
        <v>178963065</v>
      </c>
      <c r="AK549" s="27">
        <f t="shared" si="92"/>
        <v>1731000</v>
      </c>
      <c r="AL549" s="27">
        <f t="shared" si="94"/>
        <v>1731000</v>
      </c>
      <c r="AM549" s="27"/>
      <c r="AN549" s="27"/>
      <c r="AO549" s="27"/>
      <c r="AP549" s="27"/>
      <c r="AQ549" s="27"/>
      <c r="AR549" s="27"/>
      <c r="AS549" s="27"/>
      <c r="AT549" s="27"/>
      <c r="AU549" s="27"/>
      <c r="AV549" s="27"/>
      <c r="AW549" s="27">
        <f t="shared" si="87"/>
        <v>3462000</v>
      </c>
      <c r="AX549" s="79">
        <f t="shared" si="88"/>
        <v>175501065</v>
      </c>
      <c r="AY549" s="79">
        <f t="shared" si="89"/>
        <v>32218935</v>
      </c>
      <c r="AZ549" s="25">
        <v>1</v>
      </c>
      <c r="BA549" s="62" t="s">
        <v>79</v>
      </c>
      <c r="BB549" s="66"/>
      <c r="BC549" s="66">
        <v>1</v>
      </c>
      <c r="BD549" s="66"/>
      <c r="BE549" s="67">
        <f t="shared" si="93"/>
        <v>0</v>
      </c>
      <c r="BF549" s="67">
        <f t="shared" si="86"/>
        <v>1731000</v>
      </c>
      <c r="BG549" s="67">
        <f t="shared" si="85"/>
        <v>0</v>
      </c>
      <c r="BH549" s="62" t="s">
        <v>1668</v>
      </c>
      <c r="BI549" s="19" t="s">
        <v>1624</v>
      </c>
      <c r="BJ549" s="68" t="s">
        <v>1438</v>
      </c>
      <c r="BK549" s="68" t="s">
        <v>1438</v>
      </c>
      <c r="BL549" s="1"/>
      <c r="BM549" s="1" t="s">
        <v>1886</v>
      </c>
      <c r="BN549" s="1" t="s">
        <v>1666</v>
      </c>
      <c r="BO549" s="35" t="s">
        <v>1804</v>
      </c>
      <c r="BP549" s="1"/>
      <c r="BQ549" s="1" t="e">
        <v>#N/A</v>
      </c>
    </row>
    <row r="550" spans="1:69" ht="15" hidden="1" customHeight="1">
      <c r="C550" s="1" t="str">
        <f t="shared" si="90"/>
        <v>2708</v>
      </c>
      <c r="D550" s="1" t="str">
        <f t="shared" si="91"/>
        <v>2208</v>
      </c>
      <c r="E550" s="19" t="s">
        <v>1550</v>
      </c>
      <c r="F550" s="68" t="s">
        <v>49</v>
      </c>
      <c r="G550" s="62">
        <v>2114</v>
      </c>
      <c r="H550" s="19" t="s">
        <v>1589</v>
      </c>
      <c r="I550" s="19" t="s">
        <v>1590</v>
      </c>
      <c r="J550" s="86">
        <v>1</v>
      </c>
      <c r="K550" s="19" t="s">
        <v>619</v>
      </c>
      <c r="L550" s="19" t="s">
        <v>1591</v>
      </c>
      <c r="M550" s="19">
        <v>474</v>
      </c>
      <c r="N550" s="143">
        <v>44792</v>
      </c>
      <c r="O550" s="19"/>
      <c r="P550" s="19"/>
      <c r="Q550" s="144">
        <v>82400000</v>
      </c>
      <c r="R550" s="19"/>
      <c r="S550" s="144">
        <v>5500000</v>
      </c>
      <c r="T550" s="25"/>
      <c r="U550" s="19" t="s">
        <v>1592</v>
      </c>
      <c r="V550" s="121">
        <v>87900000</v>
      </c>
      <c r="W550" s="19"/>
      <c r="X550" s="64">
        <v>87900000</v>
      </c>
      <c r="Y550" s="19"/>
      <c r="Z550" s="19"/>
      <c r="AA550" s="128"/>
      <c r="AB550" s="19"/>
      <c r="AC550" s="64">
        <v>87900000</v>
      </c>
      <c r="AD550" s="63">
        <v>44783</v>
      </c>
      <c r="AE550" s="65">
        <v>46608</v>
      </c>
      <c r="AF550" s="19">
        <v>5</v>
      </c>
      <c r="AG550" s="19">
        <v>60</v>
      </c>
      <c r="AH550" s="25">
        <v>1465000</v>
      </c>
      <c r="AI550" s="78">
        <v>24479677</v>
      </c>
      <c r="AJ550" s="92">
        <v>63420323</v>
      </c>
      <c r="AK550" s="27">
        <f t="shared" si="92"/>
        <v>1465000</v>
      </c>
      <c r="AL550" s="27">
        <f t="shared" si="94"/>
        <v>1465000</v>
      </c>
      <c r="AM550" s="27"/>
      <c r="AN550" s="27"/>
      <c r="AO550" s="27"/>
      <c r="AP550" s="27"/>
      <c r="AQ550" s="27"/>
      <c r="AR550" s="27"/>
      <c r="AS550" s="27"/>
      <c r="AT550" s="27"/>
      <c r="AU550" s="27"/>
      <c r="AV550" s="27"/>
      <c r="AW550" s="27">
        <f t="shared" si="87"/>
        <v>2930000</v>
      </c>
      <c r="AX550" s="79">
        <f t="shared" si="88"/>
        <v>60490323</v>
      </c>
      <c r="AY550" s="79">
        <f t="shared" si="89"/>
        <v>27409677</v>
      </c>
      <c r="AZ550" s="25">
        <v>1</v>
      </c>
      <c r="BA550" s="62" t="s">
        <v>79</v>
      </c>
      <c r="BB550" s="66">
        <v>1</v>
      </c>
      <c r="BC550" s="19"/>
      <c r="BD550" s="19"/>
      <c r="BE550" s="67">
        <f t="shared" si="93"/>
        <v>1465000</v>
      </c>
      <c r="BF550" s="67">
        <f t="shared" si="86"/>
        <v>0</v>
      </c>
      <c r="BG550" s="67">
        <f t="shared" si="85"/>
        <v>0</v>
      </c>
      <c r="BH550" s="19"/>
      <c r="BI550" s="68" t="s">
        <v>57</v>
      </c>
      <c r="BJ550" s="68" t="s">
        <v>58</v>
      </c>
      <c r="BK550" s="68" t="s">
        <v>1563</v>
      </c>
      <c r="BO550" s="35" t="s">
        <v>1804</v>
      </c>
      <c r="BQ550" s="1" t="e">
        <v>#N/A</v>
      </c>
    </row>
    <row r="551" spans="1:69" ht="15" hidden="1" customHeight="1">
      <c r="C551" s="1" t="str">
        <f t="shared" si="90"/>
        <v>2708</v>
      </c>
      <c r="D551" s="1" t="str">
        <f t="shared" si="91"/>
        <v>2208</v>
      </c>
      <c r="E551" s="19" t="s">
        <v>1550</v>
      </c>
      <c r="F551" s="68" t="s">
        <v>49</v>
      </c>
      <c r="G551" s="62">
        <v>2114</v>
      </c>
      <c r="H551" s="19" t="s">
        <v>1593</v>
      </c>
      <c r="I551" s="19" t="s">
        <v>1594</v>
      </c>
      <c r="J551" s="86">
        <v>1</v>
      </c>
      <c r="K551" s="19" t="s">
        <v>619</v>
      </c>
      <c r="L551" s="19" t="s">
        <v>1591</v>
      </c>
      <c r="M551" s="19">
        <v>474</v>
      </c>
      <c r="N551" s="143">
        <v>44792</v>
      </c>
      <c r="O551" s="19"/>
      <c r="P551" s="19"/>
      <c r="Q551" s="144">
        <v>80800000</v>
      </c>
      <c r="R551" s="19"/>
      <c r="S551" s="144">
        <v>5500000</v>
      </c>
      <c r="T551" s="25"/>
      <c r="U551" s="19" t="s">
        <v>1592</v>
      </c>
      <c r="V551" s="121">
        <v>86300000</v>
      </c>
      <c r="W551" s="19"/>
      <c r="X551" s="64">
        <v>86300000</v>
      </c>
      <c r="Y551" s="19"/>
      <c r="Z551" s="19"/>
      <c r="AA551" s="128"/>
      <c r="AB551" s="19"/>
      <c r="AC551" s="64">
        <v>86300000</v>
      </c>
      <c r="AD551" s="63">
        <v>44783</v>
      </c>
      <c r="AE551" s="65">
        <v>46608</v>
      </c>
      <c r="AF551" s="19">
        <v>5</v>
      </c>
      <c r="AG551" s="19">
        <v>60</v>
      </c>
      <c r="AH551" s="25">
        <v>1438333.3333333333</v>
      </c>
      <c r="AI551" s="78">
        <v>24034083.333333336</v>
      </c>
      <c r="AJ551" s="92">
        <v>62265916.666666664</v>
      </c>
      <c r="AK551" s="27">
        <f t="shared" si="92"/>
        <v>1438333.3333333333</v>
      </c>
      <c r="AL551" s="27">
        <f t="shared" si="94"/>
        <v>1438333.3333333333</v>
      </c>
      <c r="AM551" s="27"/>
      <c r="AN551" s="27"/>
      <c r="AO551" s="27"/>
      <c r="AP551" s="27"/>
      <c r="AQ551" s="27"/>
      <c r="AR551" s="27"/>
      <c r="AS551" s="27"/>
      <c r="AT551" s="27"/>
      <c r="AU551" s="27"/>
      <c r="AV551" s="27"/>
      <c r="AW551" s="27">
        <f t="shared" si="87"/>
        <v>2876666.6666666665</v>
      </c>
      <c r="AX551" s="79">
        <f t="shared" si="88"/>
        <v>59389250</v>
      </c>
      <c r="AY551" s="79">
        <f t="shared" si="89"/>
        <v>26910750.000000004</v>
      </c>
      <c r="AZ551" s="25">
        <v>1</v>
      </c>
      <c r="BA551" s="62" t="s">
        <v>79</v>
      </c>
      <c r="BB551" s="66">
        <v>1</v>
      </c>
      <c r="BC551" s="19"/>
      <c r="BD551" s="19"/>
      <c r="BE551" s="67">
        <f t="shared" si="93"/>
        <v>1438333.3333333333</v>
      </c>
      <c r="BF551" s="67">
        <f t="shared" si="86"/>
        <v>0</v>
      </c>
      <c r="BG551" s="67">
        <f t="shared" si="85"/>
        <v>0</v>
      </c>
      <c r="BH551" s="19"/>
      <c r="BI551" s="68" t="s">
        <v>57</v>
      </c>
      <c r="BJ551" s="68" t="s">
        <v>58</v>
      </c>
      <c r="BK551" s="68" t="s">
        <v>1563</v>
      </c>
      <c r="BO551" s="35" t="s">
        <v>1804</v>
      </c>
      <c r="BQ551" s="1" t="e">
        <v>#N/A</v>
      </c>
    </row>
    <row r="552" spans="1:69" ht="15" hidden="1" customHeight="1">
      <c r="C552" s="1" t="str">
        <f t="shared" si="90"/>
        <v>2708</v>
      </c>
      <c r="D552" s="1" t="str">
        <f t="shared" si="91"/>
        <v>2208</v>
      </c>
      <c r="E552" s="19" t="s">
        <v>1550</v>
      </c>
      <c r="F552" s="68" t="s">
        <v>515</v>
      </c>
      <c r="G552" s="62">
        <v>2114</v>
      </c>
      <c r="H552" s="19" t="s">
        <v>1595</v>
      </c>
      <c r="I552" s="19" t="s">
        <v>1596</v>
      </c>
      <c r="J552" s="86">
        <v>1</v>
      </c>
      <c r="K552" s="19" t="s">
        <v>619</v>
      </c>
      <c r="L552" s="19" t="s">
        <v>1591</v>
      </c>
      <c r="M552" s="19">
        <v>474</v>
      </c>
      <c r="N552" s="143">
        <v>44792</v>
      </c>
      <c r="O552" s="19"/>
      <c r="P552" s="19"/>
      <c r="Q552" s="144">
        <v>68400000</v>
      </c>
      <c r="R552" s="19"/>
      <c r="S552" s="144">
        <v>5500000</v>
      </c>
      <c r="T552" s="25"/>
      <c r="U552" s="19" t="s">
        <v>1592</v>
      </c>
      <c r="V552" s="121">
        <v>73900000</v>
      </c>
      <c r="W552" s="19"/>
      <c r="X552" s="64">
        <v>73900000</v>
      </c>
      <c r="Y552" s="19"/>
      <c r="Z552" s="19"/>
      <c r="AA552" s="128"/>
      <c r="AB552" s="19"/>
      <c r="AC552" s="64">
        <v>73900000</v>
      </c>
      <c r="AD552" s="63">
        <v>44783</v>
      </c>
      <c r="AE552" s="65">
        <v>46608</v>
      </c>
      <c r="AF552" s="19">
        <v>5</v>
      </c>
      <c r="AG552" s="19">
        <v>60</v>
      </c>
      <c r="AH552" s="25">
        <v>1231666.6666666667</v>
      </c>
      <c r="AI552" s="78">
        <v>20580754.666666664</v>
      </c>
      <c r="AJ552" s="92">
        <v>53319245.333333336</v>
      </c>
      <c r="AK552" s="27">
        <f t="shared" si="92"/>
        <v>1231666.6666666667</v>
      </c>
      <c r="AL552" s="27">
        <f t="shared" si="94"/>
        <v>1231666.6666666667</v>
      </c>
      <c r="AM552" s="27"/>
      <c r="AN552" s="27"/>
      <c r="AO552" s="27"/>
      <c r="AP552" s="27"/>
      <c r="AQ552" s="27"/>
      <c r="AR552" s="27"/>
      <c r="AS552" s="27"/>
      <c r="AT552" s="27"/>
      <c r="AU552" s="27"/>
      <c r="AV552" s="27"/>
      <c r="AW552" s="27">
        <f t="shared" si="87"/>
        <v>2463333.3333333335</v>
      </c>
      <c r="AX552" s="79">
        <f t="shared" si="88"/>
        <v>50855912</v>
      </c>
      <c r="AY552" s="79">
        <f t="shared" si="89"/>
        <v>23044087.999999996</v>
      </c>
      <c r="AZ552" s="25">
        <v>1</v>
      </c>
      <c r="BA552" s="62" t="s">
        <v>79</v>
      </c>
      <c r="BB552" s="66">
        <v>1</v>
      </c>
      <c r="BC552" s="19"/>
      <c r="BD552" s="19"/>
      <c r="BE552" s="67">
        <f t="shared" si="93"/>
        <v>1231666.6666666667</v>
      </c>
      <c r="BF552" s="67">
        <f t="shared" si="86"/>
        <v>0</v>
      </c>
      <c r="BG552" s="67">
        <f t="shared" si="85"/>
        <v>0</v>
      </c>
      <c r="BH552" s="19"/>
      <c r="BI552" s="68" t="s">
        <v>871</v>
      </c>
      <c r="BJ552" s="68" t="s">
        <v>58</v>
      </c>
      <c r="BK552" s="68" t="s">
        <v>1563</v>
      </c>
      <c r="BO552" s="35" t="s">
        <v>1802</v>
      </c>
      <c r="BQ552" s="1" t="e">
        <v>#N/A</v>
      </c>
    </row>
    <row r="553" spans="1:69" ht="15" hidden="1" customHeight="1">
      <c r="C553" s="1" t="str">
        <f t="shared" si="90"/>
        <v>3009</v>
      </c>
      <c r="D553" s="1" t="str">
        <f t="shared" si="91"/>
        <v>2209</v>
      </c>
      <c r="E553" s="19" t="s">
        <v>1597</v>
      </c>
      <c r="F553" s="68" t="s">
        <v>49</v>
      </c>
      <c r="G553" s="62">
        <v>2112</v>
      </c>
      <c r="H553" s="19" t="s">
        <v>1598</v>
      </c>
      <c r="I553" s="19" t="s">
        <v>1599</v>
      </c>
      <c r="J553" s="86">
        <v>1</v>
      </c>
      <c r="K553" s="19" t="s">
        <v>619</v>
      </c>
      <c r="L553" s="19" t="s">
        <v>1600</v>
      </c>
      <c r="M553" s="19" t="s">
        <v>1601</v>
      </c>
      <c r="N553" s="143">
        <v>44823</v>
      </c>
      <c r="O553" s="19"/>
      <c r="P553" s="19"/>
      <c r="Q553" s="25">
        <v>148380000</v>
      </c>
      <c r="R553" s="19"/>
      <c r="S553" s="19"/>
      <c r="T553" s="25"/>
      <c r="U553" s="19"/>
      <c r="V553" s="121">
        <v>148380000</v>
      </c>
      <c r="W553" s="19"/>
      <c r="X553" s="64">
        <v>148380000</v>
      </c>
      <c r="Y553" s="19"/>
      <c r="Z553" s="19"/>
      <c r="AA553" s="128"/>
      <c r="AB553" s="19"/>
      <c r="AC553" s="64">
        <v>148380000</v>
      </c>
      <c r="AD553" s="63">
        <v>44824</v>
      </c>
      <c r="AE553" s="65">
        <v>47745</v>
      </c>
      <c r="AF553" s="19">
        <v>8</v>
      </c>
      <c r="AG553" s="19">
        <v>96</v>
      </c>
      <c r="AH553" s="25">
        <v>1545625</v>
      </c>
      <c r="AI553" s="78">
        <v>23751104</v>
      </c>
      <c r="AJ553" s="92">
        <v>124628896</v>
      </c>
      <c r="AK553" s="27">
        <f t="shared" si="92"/>
        <v>1545625</v>
      </c>
      <c r="AL553" s="27">
        <f t="shared" si="94"/>
        <v>1545625</v>
      </c>
      <c r="AM553" s="27"/>
      <c r="AN553" s="27"/>
      <c r="AO553" s="27"/>
      <c r="AP553" s="27"/>
      <c r="AQ553" s="27"/>
      <c r="AR553" s="27"/>
      <c r="AS553" s="27"/>
      <c r="AT553" s="27"/>
      <c r="AU553" s="27"/>
      <c r="AV553" s="27"/>
      <c r="AW553" s="27">
        <f t="shared" si="87"/>
        <v>3091250</v>
      </c>
      <c r="AX553" s="79">
        <f t="shared" si="88"/>
        <v>121537646</v>
      </c>
      <c r="AY553" s="79">
        <f t="shared" si="89"/>
        <v>26842354</v>
      </c>
      <c r="AZ553" s="25">
        <v>1</v>
      </c>
      <c r="BA553" s="62" t="s">
        <v>97</v>
      </c>
      <c r="BB553" s="66">
        <v>1</v>
      </c>
      <c r="BC553" s="19"/>
      <c r="BD553" s="19"/>
      <c r="BE553" s="67">
        <f t="shared" si="93"/>
        <v>1545625</v>
      </c>
      <c r="BF553" s="67">
        <f t="shared" si="86"/>
        <v>0</v>
      </c>
      <c r="BG553" s="67">
        <f t="shared" si="85"/>
        <v>0</v>
      </c>
      <c r="BH553" s="19"/>
      <c r="BI553" s="68" t="s">
        <v>57</v>
      </c>
      <c r="BJ553" s="71" t="s">
        <v>58</v>
      </c>
      <c r="BK553" s="71" t="s">
        <v>59</v>
      </c>
      <c r="BO553" s="35" t="s">
        <v>1804</v>
      </c>
      <c r="BQ553" s="1" t="e">
        <v>#N/A</v>
      </c>
    </row>
    <row r="554" spans="1:69" ht="15" hidden="1" customHeight="1">
      <c r="C554" s="1" t="str">
        <f t="shared" si="90"/>
        <v>2709</v>
      </c>
      <c r="D554" s="1" t="str">
        <f t="shared" si="91"/>
        <v>2209</v>
      </c>
      <c r="E554" s="19" t="s">
        <v>1597</v>
      </c>
      <c r="F554" s="68" t="s">
        <v>515</v>
      </c>
      <c r="G554" s="62">
        <v>2113</v>
      </c>
      <c r="H554" s="19" t="s">
        <v>1602</v>
      </c>
      <c r="I554" s="19" t="s">
        <v>1603</v>
      </c>
      <c r="J554" s="86">
        <v>1</v>
      </c>
      <c r="K554" s="19" t="s">
        <v>619</v>
      </c>
      <c r="L554" s="19" t="s">
        <v>1027</v>
      </c>
      <c r="M554" s="19" t="s">
        <v>1604</v>
      </c>
      <c r="N554" s="143">
        <v>44828</v>
      </c>
      <c r="O554" s="27"/>
      <c r="P554" s="19"/>
      <c r="Q554" s="25">
        <v>37919123</v>
      </c>
      <c r="R554" s="19"/>
      <c r="S554" s="25">
        <v>15080877</v>
      </c>
      <c r="T554" s="25"/>
      <c r="U554" s="19"/>
      <c r="V554" s="121">
        <v>53000000</v>
      </c>
      <c r="W554" s="19"/>
      <c r="X554" s="64">
        <v>53000000</v>
      </c>
      <c r="Y554" s="19"/>
      <c r="Z554" s="19"/>
      <c r="AA554" s="128"/>
      <c r="AB554" s="19"/>
      <c r="AC554" s="64">
        <v>53000000</v>
      </c>
      <c r="AD554" s="63">
        <v>44829</v>
      </c>
      <c r="AE554" s="65">
        <v>46654</v>
      </c>
      <c r="AF554" s="19">
        <v>5</v>
      </c>
      <c r="AG554" s="19">
        <v>60</v>
      </c>
      <c r="AH554" s="25">
        <v>883333.33333333337</v>
      </c>
      <c r="AI554" s="78">
        <v>13426666.333333334</v>
      </c>
      <c r="AJ554" s="92">
        <v>39573333.666666664</v>
      </c>
      <c r="AK554" s="27">
        <f t="shared" si="92"/>
        <v>883333.33333333337</v>
      </c>
      <c r="AL554" s="27">
        <f t="shared" si="94"/>
        <v>883333.33333333337</v>
      </c>
      <c r="AM554" s="27"/>
      <c r="AN554" s="27"/>
      <c r="AO554" s="27"/>
      <c r="AP554" s="27"/>
      <c r="AQ554" s="27"/>
      <c r="AR554" s="27"/>
      <c r="AS554" s="27"/>
      <c r="AT554" s="27"/>
      <c r="AU554" s="27"/>
      <c r="AV554" s="27"/>
      <c r="AW554" s="27">
        <f t="shared" si="87"/>
        <v>1766666.6666666667</v>
      </c>
      <c r="AX554" s="79">
        <f t="shared" si="88"/>
        <v>37806667</v>
      </c>
      <c r="AY554" s="79">
        <f t="shared" si="89"/>
        <v>15193333</v>
      </c>
      <c r="AZ554" s="25">
        <v>1</v>
      </c>
      <c r="BA554" s="62" t="s">
        <v>275</v>
      </c>
      <c r="BB554" s="66">
        <v>1</v>
      </c>
      <c r="BC554" s="19"/>
      <c r="BD554" s="19"/>
      <c r="BE554" s="67">
        <f t="shared" si="93"/>
        <v>883333.33333333337</v>
      </c>
      <c r="BF554" s="67">
        <f t="shared" si="86"/>
        <v>0</v>
      </c>
      <c r="BG554" s="67">
        <f t="shared" si="85"/>
        <v>0</v>
      </c>
      <c r="BH554" s="19"/>
      <c r="BI554" s="68" t="s">
        <v>871</v>
      </c>
      <c r="BJ554" s="71" t="s">
        <v>644</v>
      </c>
      <c r="BK554" s="71" t="s">
        <v>644</v>
      </c>
      <c r="BO554" s="35" t="s">
        <v>1804</v>
      </c>
      <c r="BQ554" s="1" t="e">
        <v>#N/A</v>
      </c>
    </row>
    <row r="555" spans="1:69" ht="15" hidden="1" customHeight="1">
      <c r="C555" s="1" t="str">
        <f t="shared" si="90"/>
        <v>3009</v>
      </c>
      <c r="D555" s="1" t="str">
        <f t="shared" si="91"/>
        <v>2210</v>
      </c>
      <c r="E555" s="19" t="s">
        <v>1622</v>
      </c>
      <c r="F555" s="68" t="s">
        <v>49</v>
      </c>
      <c r="G555" s="62">
        <v>2112</v>
      </c>
      <c r="H555" s="19" t="s">
        <v>1605</v>
      </c>
      <c r="I555" s="19" t="s">
        <v>1606</v>
      </c>
      <c r="J555" s="86">
        <v>1</v>
      </c>
      <c r="K555" s="19" t="s">
        <v>619</v>
      </c>
      <c r="L555" s="19" t="s">
        <v>742</v>
      </c>
      <c r="M555" s="19" t="s">
        <v>1607</v>
      </c>
      <c r="N555" s="143">
        <v>44666</v>
      </c>
      <c r="O555" s="43">
        <v>4800</v>
      </c>
      <c r="P555" s="43">
        <v>23010</v>
      </c>
      <c r="Q555" s="146">
        <v>110448000</v>
      </c>
      <c r="R555" s="147">
        <v>746825</v>
      </c>
      <c r="S555" s="25"/>
      <c r="T555" s="148">
        <v>439322</v>
      </c>
      <c r="U555" s="149" t="s">
        <v>1608</v>
      </c>
      <c r="V555" s="121">
        <v>111634147</v>
      </c>
      <c r="W555" s="19"/>
      <c r="X555" s="64">
        <v>111634147</v>
      </c>
      <c r="Y555" s="19"/>
      <c r="Z555" s="19"/>
      <c r="AA555" s="128"/>
      <c r="AB555" s="19"/>
      <c r="AC555" s="64">
        <v>111634147</v>
      </c>
      <c r="AD555" s="63">
        <v>44835</v>
      </c>
      <c r="AE555" s="65">
        <v>47756</v>
      </c>
      <c r="AF555" s="19">
        <v>8</v>
      </c>
      <c r="AG555" s="19">
        <v>96</v>
      </c>
      <c r="AH555" s="25">
        <v>1162855.6979166667</v>
      </c>
      <c r="AI555" s="78">
        <v>17442836.072916664</v>
      </c>
      <c r="AJ555" s="92">
        <v>94191310.927083328</v>
      </c>
      <c r="AK555" s="27">
        <f t="shared" si="92"/>
        <v>1162855.6979166667</v>
      </c>
      <c r="AL555" s="27">
        <f t="shared" si="94"/>
        <v>1162855.6979166667</v>
      </c>
      <c r="AM555" s="27"/>
      <c r="AN555" s="27"/>
      <c r="AO555" s="27"/>
      <c r="AP555" s="27"/>
      <c r="AQ555" s="27"/>
      <c r="AR555" s="27"/>
      <c r="AS555" s="27"/>
      <c r="AT555" s="27"/>
      <c r="AU555" s="27"/>
      <c r="AV555" s="27"/>
      <c r="AW555" s="27">
        <f t="shared" si="87"/>
        <v>2325711.3958333335</v>
      </c>
      <c r="AX555" s="79">
        <f t="shared" si="88"/>
        <v>91865599.531250015</v>
      </c>
      <c r="AY555" s="79">
        <f t="shared" si="89"/>
        <v>19768547.468749996</v>
      </c>
      <c r="AZ555" s="25">
        <v>1</v>
      </c>
      <c r="BA555" s="62" t="s">
        <v>97</v>
      </c>
      <c r="BB555" s="66">
        <v>1</v>
      </c>
      <c r="BC555" s="19"/>
      <c r="BD555" s="19"/>
      <c r="BE555" s="67">
        <f t="shared" si="93"/>
        <v>1162855.6979166667</v>
      </c>
      <c r="BF555" s="67">
        <f t="shared" si="86"/>
        <v>0</v>
      </c>
      <c r="BG555" s="67">
        <f t="shared" si="85"/>
        <v>0</v>
      </c>
      <c r="BH555" s="19"/>
      <c r="BI555" s="68" t="s">
        <v>57</v>
      </c>
      <c r="BJ555" s="71" t="s">
        <v>85</v>
      </c>
      <c r="BK555" s="71" t="s">
        <v>85</v>
      </c>
      <c r="BO555" s="35" t="s">
        <v>1801</v>
      </c>
      <c r="BP555" s="1" t="s">
        <v>1820</v>
      </c>
      <c r="BQ555" s="1" t="s">
        <v>1980</v>
      </c>
    </row>
    <row r="556" spans="1:69" ht="15" hidden="1" customHeight="1">
      <c r="C556" s="1" t="str">
        <f t="shared" si="90"/>
        <v>2710</v>
      </c>
      <c r="D556" s="1" t="str">
        <f t="shared" si="91"/>
        <v>2210</v>
      </c>
      <c r="E556" s="19" t="s">
        <v>1622</v>
      </c>
      <c r="F556" s="68" t="s">
        <v>49</v>
      </c>
      <c r="G556" s="62">
        <v>2114</v>
      </c>
      <c r="H556" s="19" t="s">
        <v>1609</v>
      </c>
      <c r="I556" s="19" t="s">
        <v>1610</v>
      </c>
      <c r="J556" s="86">
        <v>1</v>
      </c>
      <c r="K556" s="19" t="s">
        <v>619</v>
      </c>
      <c r="L556" s="19" t="s">
        <v>1611</v>
      </c>
      <c r="M556" s="19" t="s">
        <v>1612</v>
      </c>
      <c r="N556" s="143">
        <v>44802</v>
      </c>
      <c r="O556" s="150"/>
      <c r="P556" s="151"/>
      <c r="Q556" s="151">
        <v>33150000</v>
      </c>
      <c r="R556" s="19"/>
      <c r="S556" s="25"/>
      <c r="T556" s="151"/>
      <c r="U556" s="152"/>
      <c r="V556" s="121">
        <v>33150000</v>
      </c>
      <c r="W556" s="19"/>
      <c r="X556" s="64">
        <v>33150000</v>
      </c>
      <c r="Y556" s="19"/>
      <c r="Z556" s="19"/>
      <c r="AA556" s="128"/>
      <c r="AB556" s="19"/>
      <c r="AC556" s="64">
        <v>33150000</v>
      </c>
      <c r="AD556" s="63">
        <v>44852</v>
      </c>
      <c r="AE556" s="65">
        <v>46677</v>
      </c>
      <c r="AF556" s="19">
        <v>5</v>
      </c>
      <c r="AG556" s="19">
        <v>60</v>
      </c>
      <c r="AH556" s="25">
        <v>552500</v>
      </c>
      <c r="AI556" s="78">
        <v>7984516.1290322579</v>
      </c>
      <c r="AJ556" s="92">
        <v>25165483.870967742</v>
      </c>
      <c r="AK556" s="27">
        <f t="shared" si="92"/>
        <v>552500</v>
      </c>
      <c r="AL556" s="27">
        <f t="shared" si="94"/>
        <v>552500</v>
      </c>
      <c r="AM556" s="27"/>
      <c r="AN556" s="27"/>
      <c r="AO556" s="27"/>
      <c r="AP556" s="27"/>
      <c r="AQ556" s="27"/>
      <c r="AR556" s="27"/>
      <c r="AS556" s="27"/>
      <c r="AT556" s="27"/>
      <c r="AU556" s="27"/>
      <c r="AV556" s="27"/>
      <c r="AW556" s="27">
        <f t="shared" si="87"/>
        <v>1105000</v>
      </c>
      <c r="AX556" s="79">
        <f t="shared" si="88"/>
        <v>24060483.870967742</v>
      </c>
      <c r="AY556" s="79">
        <f t="shared" si="89"/>
        <v>9089516.1290322579</v>
      </c>
      <c r="AZ556" s="25">
        <v>1</v>
      </c>
      <c r="BA556" s="62" t="s">
        <v>79</v>
      </c>
      <c r="BB556" s="66">
        <v>1</v>
      </c>
      <c r="BC556" s="19"/>
      <c r="BD556" s="19"/>
      <c r="BE556" s="67">
        <f t="shared" si="93"/>
        <v>552500</v>
      </c>
      <c r="BF556" s="67">
        <f t="shared" si="86"/>
        <v>0</v>
      </c>
      <c r="BG556" s="67">
        <f t="shared" si="85"/>
        <v>0</v>
      </c>
      <c r="BH556" s="19"/>
      <c r="BI556" s="68" t="s">
        <v>57</v>
      </c>
      <c r="BJ556" s="72" t="s">
        <v>349</v>
      </c>
      <c r="BK556" s="72" t="s">
        <v>349</v>
      </c>
      <c r="BO556" s="35" t="s">
        <v>1802</v>
      </c>
      <c r="BQ556" s="1" t="e">
        <v>#N/A</v>
      </c>
    </row>
    <row r="557" spans="1:69" ht="15" hidden="1" customHeight="1">
      <c r="C557" s="1" t="str">
        <f t="shared" si="90"/>
        <v>3010</v>
      </c>
      <c r="D557" s="1" t="str">
        <f t="shared" si="91"/>
        <v>2210</v>
      </c>
      <c r="E557" s="19" t="s">
        <v>1622</v>
      </c>
      <c r="F557" s="68" t="s">
        <v>49</v>
      </c>
      <c r="G557" s="62">
        <v>2112</v>
      </c>
      <c r="H557" s="19" t="s">
        <v>1613</v>
      </c>
      <c r="I557" s="19" t="s">
        <v>1614</v>
      </c>
      <c r="J557" s="86">
        <v>1</v>
      </c>
      <c r="K557" s="19" t="s">
        <v>619</v>
      </c>
      <c r="L557" s="19" t="s">
        <v>1615</v>
      </c>
      <c r="M557" s="19" t="s">
        <v>1616</v>
      </c>
      <c r="N557" s="42">
        <v>44812</v>
      </c>
      <c r="O557" s="150">
        <v>49650</v>
      </c>
      <c r="P557" s="151">
        <v>23600</v>
      </c>
      <c r="Q557" s="151">
        <v>1171740000</v>
      </c>
      <c r="R557" s="19"/>
      <c r="S557" s="25"/>
      <c r="T557" s="151">
        <v>24591816</v>
      </c>
      <c r="U557" s="152" t="s">
        <v>1617</v>
      </c>
      <c r="V557" s="121">
        <v>1196331816</v>
      </c>
      <c r="W557" s="19"/>
      <c r="X557" s="64">
        <v>1196331816</v>
      </c>
      <c r="Y557" s="19"/>
      <c r="Z557" s="19"/>
      <c r="AA557" s="128"/>
      <c r="AB557" s="19"/>
      <c r="AC557" s="64">
        <v>1196331816</v>
      </c>
      <c r="AD557" s="63">
        <v>44844</v>
      </c>
      <c r="AE557" s="65">
        <v>47765</v>
      </c>
      <c r="AF557" s="19">
        <v>8</v>
      </c>
      <c r="AG557" s="19">
        <v>96</v>
      </c>
      <c r="AH557" s="25">
        <v>12461789.75</v>
      </c>
      <c r="AI557" s="78">
        <v>183308907.79032257</v>
      </c>
      <c r="AJ557" s="92">
        <v>1013022908.2096775</v>
      </c>
      <c r="AK557" s="27">
        <f t="shared" si="92"/>
        <v>12461789.75</v>
      </c>
      <c r="AL557" s="27">
        <f t="shared" si="94"/>
        <v>12461789.75</v>
      </c>
      <c r="AM557" s="27"/>
      <c r="AN557" s="27"/>
      <c r="AO557" s="27"/>
      <c r="AP557" s="27"/>
      <c r="AQ557" s="27"/>
      <c r="AR557" s="27"/>
      <c r="AS557" s="27"/>
      <c r="AT557" s="27"/>
      <c r="AU557" s="27"/>
      <c r="AV557" s="27"/>
      <c r="AW557" s="27">
        <f t="shared" si="87"/>
        <v>24923579.5</v>
      </c>
      <c r="AX557" s="79">
        <f t="shared" si="88"/>
        <v>988099328.70967746</v>
      </c>
      <c r="AY557" s="79">
        <f t="shared" si="89"/>
        <v>208232487.29032257</v>
      </c>
      <c r="AZ557" s="25">
        <v>1</v>
      </c>
      <c r="BA557" s="62" t="s">
        <v>97</v>
      </c>
      <c r="BB557" s="66">
        <v>1</v>
      </c>
      <c r="BC557" s="19"/>
      <c r="BD557" s="19"/>
      <c r="BE557" s="67">
        <f t="shared" si="93"/>
        <v>12461789.75</v>
      </c>
      <c r="BF557" s="67">
        <f t="shared" si="86"/>
        <v>0</v>
      </c>
      <c r="BG557" s="67">
        <f t="shared" si="85"/>
        <v>0</v>
      </c>
      <c r="BH557" s="19"/>
      <c r="BI557" s="68" t="s">
        <v>57</v>
      </c>
      <c r="BJ557" s="71" t="s">
        <v>121</v>
      </c>
      <c r="BK557" s="71" t="s">
        <v>121</v>
      </c>
      <c r="BO557" s="35" t="s">
        <v>1801</v>
      </c>
      <c r="BP557" s="1" t="s">
        <v>1824</v>
      </c>
      <c r="BQ557" s="1" t="s">
        <v>1979</v>
      </c>
    </row>
    <row r="558" spans="1:69" ht="15" hidden="1" customHeight="1">
      <c r="C558" s="1" t="str">
        <f t="shared" si="90"/>
        <v>2910</v>
      </c>
      <c r="D558" s="1" t="str">
        <f t="shared" si="91"/>
        <v>2210</v>
      </c>
      <c r="E558" s="19" t="s">
        <v>1622</v>
      </c>
      <c r="F558" s="68" t="s">
        <v>515</v>
      </c>
      <c r="G558" s="62">
        <v>2112</v>
      </c>
      <c r="H558" s="19" t="s">
        <v>1618</v>
      </c>
      <c r="I558" s="19" t="s">
        <v>1619</v>
      </c>
      <c r="J558" s="86">
        <v>1</v>
      </c>
      <c r="K558" s="19" t="s">
        <v>619</v>
      </c>
      <c r="L558" s="19" t="s">
        <v>1620</v>
      </c>
      <c r="M558" s="19" t="s">
        <v>1621</v>
      </c>
      <c r="N558" s="42">
        <v>44822</v>
      </c>
      <c r="O558" s="150">
        <v>31500</v>
      </c>
      <c r="P558" s="153">
        <v>23703.5</v>
      </c>
      <c r="Q558" s="151">
        <v>746660250</v>
      </c>
      <c r="R558" s="19"/>
      <c r="S558" s="25"/>
      <c r="T558" s="25"/>
      <c r="U558" s="19"/>
      <c r="V558" s="121">
        <v>746660250</v>
      </c>
      <c r="W558" s="19"/>
      <c r="X558" s="64">
        <v>746660250</v>
      </c>
      <c r="Y558" s="19"/>
      <c r="Z558" s="19"/>
      <c r="AA558" s="128"/>
      <c r="AB558" s="19"/>
      <c r="AC558" s="64">
        <v>746660250</v>
      </c>
      <c r="AD558" s="63">
        <v>44840</v>
      </c>
      <c r="AE558" s="65">
        <v>47396</v>
      </c>
      <c r="AF558" s="19">
        <v>7</v>
      </c>
      <c r="AG558" s="19">
        <v>84</v>
      </c>
      <c r="AH558" s="25">
        <v>8888813</v>
      </c>
      <c r="AI558" s="78">
        <v>131898515.48387097</v>
      </c>
      <c r="AJ558" s="92">
        <v>614761734.51612902</v>
      </c>
      <c r="AK558" s="27">
        <f t="shared" si="92"/>
        <v>8888813</v>
      </c>
      <c r="AL558" s="27">
        <f t="shared" si="94"/>
        <v>8888813</v>
      </c>
      <c r="AM558" s="27"/>
      <c r="AN558" s="27"/>
      <c r="AO558" s="27"/>
      <c r="AP558" s="27"/>
      <c r="AQ558" s="27"/>
      <c r="AR558" s="27"/>
      <c r="AS558" s="27"/>
      <c r="AT558" s="27"/>
      <c r="AU558" s="27"/>
      <c r="AV558" s="27"/>
      <c r="AW558" s="27">
        <f t="shared" si="87"/>
        <v>17777626</v>
      </c>
      <c r="AX558" s="79">
        <f t="shared" si="88"/>
        <v>596984108.51612902</v>
      </c>
      <c r="AY558" s="79">
        <f t="shared" si="89"/>
        <v>149676141.48387098</v>
      </c>
      <c r="AZ558" s="25">
        <v>1</v>
      </c>
      <c r="BA558" s="62" t="s">
        <v>97</v>
      </c>
      <c r="BB558" s="66">
        <v>1</v>
      </c>
      <c r="BC558" s="19"/>
      <c r="BD558" s="19"/>
      <c r="BE558" s="67">
        <f t="shared" si="93"/>
        <v>8888813</v>
      </c>
      <c r="BF558" s="67">
        <f t="shared" si="86"/>
        <v>0</v>
      </c>
      <c r="BG558" s="67">
        <f t="shared" si="85"/>
        <v>0</v>
      </c>
      <c r="BH558" s="19"/>
      <c r="BI558" s="68" t="s">
        <v>871</v>
      </c>
      <c r="BJ558" s="68" t="s">
        <v>102</v>
      </c>
      <c r="BK558" s="68" t="s">
        <v>102</v>
      </c>
      <c r="BO558" s="35" t="s">
        <v>1802</v>
      </c>
      <c r="BQ558" s="1" t="e">
        <v>#N/A</v>
      </c>
    </row>
    <row r="559" spans="1:69" ht="15" hidden="1" customHeight="1">
      <c r="C559" s="1" t="str">
        <f t="shared" si="90"/>
        <v>2911</v>
      </c>
      <c r="D559" s="1" t="str">
        <f t="shared" si="91"/>
        <v>2211</v>
      </c>
      <c r="E559" s="19" t="s">
        <v>1623</v>
      </c>
      <c r="F559" s="19" t="s">
        <v>1624</v>
      </c>
      <c r="G559" s="62">
        <v>2112</v>
      </c>
      <c r="H559" s="19" t="s">
        <v>1625</v>
      </c>
      <c r="I559" s="19" t="s">
        <v>1627</v>
      </c>
      <c r="J559" s="86">
        <v>1</v>
      </c>
      <c r="K559" s="19" t="s">
        <v>271</v>
      </c>
      <c r="L559" s="19" t="s">
        <v>186</v>
      </c>
      <c r="M559" s="19" t="s">
        <v>1628</v>
      </c>
      <c r="N559" s="42">
        <v>44874</v>
      </c>
      <c r="O559" s="19"/>
      <c r="P559" s="19"/>
      <c r="Q559" s="73">
        <v>112739000</v>
      </c>
      <c r="R559" s="19"/>
      <c r="S559" s="19"/>
      <c r="T559" s="19"/>
      <c r="U559" s="19"/>
      <c r="V559" s="74">
        <v>112739000</v>
      </c>
      <c r="W559" s="75"/>
      <c r="X559" s="64">
        <v>112739000</v>
      </c>
      <c r="Y559" s="19"/>
      <c r="Z559" s="19"/>
      <c r="AA559" s="128"/>
      <c r="AB559" s="19"/>
      <c r="AC559" s="64">
        <v>112739000</v>
      </c>
      <c r="AD559" s="63">
        <v>44875</v>
      </c>
      <c r="AE559" s="65">
        <v>47431</v>
      </c>
      <c r="AF559" s="19">
        <v>7</v>
      </c>
      <c r="AG559" s="19">
        <v>84</v>
      </c>
      <c r="AH559" s="25">
        <v>1342130.9523809524</v>
      </c>
      <c r="AI559" s="92">
        <v>18387194.142857138</v>
      </c>
      <c r="AJ559" s="92">
        <v>94351805.857142866</v>
      </c>
      <c r="AK559" s="27">
        <f t="shared" si="92"/>
        <v>1342130.9523809524</v>
      </c>
      <c r="AL559" s="27">
        <f t="shared" si="94"/>
        <v>1342130.9523809524</v>
      </c>
      <c r="AM559" s="27"/>
      <c r="AN559" s="27"/>
      <c r="AO559" s="27"/>
      <c r="AP559" s="27"/>
      <c r="AQ559" s="27"/>
      <c r="AR559" s="27"/>
      <c r="AS559" s="27"/>
      <c r="AT559" s="27"/>
      <c r="AU559" s="27"/>
      <c r="AV559" s="27"/>
      <c r="AW559" s="27">
        <f t="shared" si="87"/>
        <v>2684261.9047619049</v>
      </c>
      <c r="AX559" s="79">
        <f t="shared" si="88"/>
        <v>91667543.952380955</v>
      </c>
      <c r="AY559" s="79">
        <f t="shared" si="89"/>
        <v>21071456.047619045</v>
      </c>
      <c r="AZ559" s="25">
        <v>1</v>
      </c>
      <c r="BA559" s="62" t="s">
        <v>97</v>
      </c>
      <c r="BB559" s="66"/>
      <c r="BC559" s="66">
        <v>1</v>
      </c>
      <c r="BD559" s="66"/>
      <c r="BE559" s="67">
        <f t="shared" si="93"/>
        <v>0</v>
      </c>
      <c r="BF559" s="67">
        <f t="shared" si="86"/>
        <v>1342130.9523809524</v>
      </c>
      <c r="BG559" s="67">
        <f t="shared" si="85"/>
        <v>0</v>
      </c>
      <c r="BH559" s="62" t="s">
        <v>1668</v>
      </c>
      <c r="BI559" s="19" t="s">
        <v>1624</v>
      </c>
      <c r="BJ559" s="68" t="s">
        <v>1438</v>
      </c>
      <c r="BK559" s="68" t="s">
        <v>1438</v>
      </c>
      <c r="BM559" s="1" t="s">
        <v>1886</v>
      </c>
      <c r="BN559" s="1" t="s">
        <v>1666</v>
      </c>
      <c r="BO559" s="35" t="s">
        <v>1804</v>
      </c>
      <c r="BQ559" s="1" t="e">
        <v>#N/A</v>
      </c>
    </row>
    <row r="560" spans="1:69" ht="15" hidden="1" customHeight="1">
      <c r="C560" s="1" t="str">
        <f t="shared" si="90"/>
        <v>3211</v>
      </c>
      <c r="D560" s="1" t="str">
        <f t="shared" si="91"/>
        <v>2211</v>
      </c>
      <c r="E560" s="19" t="s">
        <v>1623</v>
      </c>
      <c r="F560" s="19" t="s">
        <v>1624</v>
      </c>
      <c r="G560" s="62">
        <v>2112</v>
      </c>
      <c r="H560" s="19" t="s">
        <v>1626</v>
      </c>
      <c r="I560" s="19" t="s">
        <v>1629</v>
      </c>
      <c r="J560" s="86">
        <v>1</v>
      </c>
      <c r="K560" s="19" t="s">
        <v>271</v>
      </c>
      <c r="L560" s="19" t="s">
        <v>186</v>
      </c>
      <c r="M560" s="19" t="s">
        <v>1628</v>
      </c>
      <c r="N560" s="42">
        <v>44874</v>
      </c>
      <c r="O560" s="19"/>
      <c r="P560" s="19"/>
      <c r="Q560" s="73">
        <v>997000000</v>
      </c>
      <c r="R560" s="19"/>
      <c r="S560" s="19"/>
      <c r="T560" s="19"/>
      <c r="U560" s="19"/>
      <c r="V560" s="74">
        <v>997000000</v>
      </c>
      <c r="W560" s="75"/>
      <c r="X560" s="64">
        <v>997000000</v>
      </c>
      <c r="Y560" s="19"/>
      <c r="Z560" s="19"/>
      <c r="AA560" s="128"/>
      <c r="AB560" s="19"/>
      <c r="AC560" s="64">
        <v>997000000</v>
      </c>
      <c r="AD560" s="63">
        <v>44875</v>
      </c>
      <c r="AE560" s="65">
        <v>48527</v>
      </c>
      <c r="AF560" s="19">
        <v>10</v>
      </c>
      <c r="AG560" s="19">
        <v>120</v>
      </c>
      <c r="AH560" s="25">
        <v>8308333.333333333</v>
      </c>
      <c r="AI560" s="92">
        <v>113824166</v>
      </c>
      <c r="AJ560" s="92">
        <v>883175834</v>
      </c>
      <c r="AK560" s="27">
        <f t="shared" si="92"/>
        <v>8308333.333333333</v>
      </c>
      <c r="AL560" s="27">
        <f t="shared" si="94"/>
        <v>8308333.333333333</v>
      </c>
      <c r="AM560" s="27"/>
      <c r="AN560" s="27"/>
      <c r="AO560" s="27"/>
      <c r="AP560" s="27"/>
      <c r="AQ560" s="27"/>
      <c r="AR560" s="27"/>
      <c r="AS560" s="27"/>
      <c r="AT560" s="27"/>
      <c r="AU560" s="27"/>
      <c r="AV560" s="27"/>
      <c r="AW560" s="27">
        <f t="shared" si="87"/>
        <v>16616666.666666666</v>
      </c>
      <c r="AX560" s="79">
        <f t="shared" si="88"/>
        <v>866559167.33333337</v>
      </c>
      <c r="AY560" s="79">
        <f t="shared" si="89"/>
        <v>130440832.66666667</v>
      </c>
      <c r="AZ560" s="25">
        <v>1</v>
      </c>
      <c r="BA560" s="62" t="s">
        <v>97</v>
      </c>
      <c r="BB560" s="66"/>
      <c r="BC560" s="66">
        <v>1</v>
      </c>
      <c r="BD560" s="66"/>
      <c r="BE560" s="67">
        <f t="shared" si="93"/>
        <v>0</v>
      </c>
      <c r="BF560" s="67">
        <f t="shared" si="86"/>
        <v>8308333.333333333</v>
      </c>
      <c r="BG560" s="67">
        <f t="shared" si="85"/>
        <v>0</v>
      </c>
      <c r="BH560" s="62" t="s">
        <v>1668</v>
      </c>
      <c r="BI560" s="19" t="s">
        <v>1624</v>
      </c>
      <c r="BJ560" s="68" t="s">
        <v>1438</v>
      </c>
      <c r="BK560" s="68" t="s">
        <v>1438</v>
      </c>
      <c r="BM560" s="1" t="s">
        <v>1886</v>
      </c>
      <c r="BN560" s="1" t="s">
        <v>1666</v>
      </c>
      <c r="BO560" s="35" t="s">
        <v>1804</v>
      </c>
      <c r="BQ560" s="1" t="e">
        <v>#N/A</v>
      </c>
    </row>
    <row r="561" spans="3:69" ht="15" hidden="1" customHeight="1">
      <c r="C561" s="1" t="str">
        <f t="shared" si="90"/>
        <v>2911</v>
      </c>
      <c r="D561" s="1" t="str">
        <f t="shared" si="91"/>
        <v>2212</v>
      </c>
      <c r="E561" s="19" t="s">
        <v>1652</v>
      </c>
      <c r="F561" s="19" t="s">
        <v>49</v>
      </c>
      <c r="G561" s="62">
        <v>2112</v>
      </c>
      <c r="H561" s="19" t="s">
        <v>1630</v>
      </c>
      <c r="I561" s="19" t="s">
        <v>1631</v>
      </c>
      <c r="J561" s="86">
        <v>1</v>
      </c>
      <c r="K561" s="19" t="s">
        <v>619</v>
      </c>
      <c r="L561" s="19" t="s">
        <v>77</v>
      </c>
      <c r="M561" s="19" t="s">
        <v>1632</v>
      </c>
      <c r="N561" s="42" t="s">
        <v>1633</v>
      </c>
      <c r="O561" s="70">
        <v>27755</v>
      </c>
      <c r="P561" s="70">
        <v>24877</v>
      </c>
      <c r="Q561" s="73">
        <v>690461135</v>
      </c>
      <c r="R561" s="19"/>
      <c r="S561" s="19"/>
      <c r="T561" s="70">
        <v>27166000</v>
      </c>
      <c r="U561" s="19" t="s">
        <v>1634</v>
      </c>
      <c r="V561" s="74">
        <v>717627135</v>
      </c>
      <c r="W561" s="75"/>
      <c r="X561" s="64">
        <v>717627135</v>
      </c>
      <c r="Y561" s="19"/>
      <c r="Z561" s="19"/>
      <c r="AA561" s="128"/>
      <c r="AB561" s="19"/>
      <c r="AC561" s="64">
        <v>717627135</v>
      </c>
      <c r="AD561" s="63">
        <v>44896</v>
      </c>
      <c r="AE561" s="65">
        <v>47452</v>
      </c>
      <c r="AF561" s="19">
        <v>7</v>
      </c>
      <c r="AG561" s="19">
        <v>84</v>
      </c>
      <c r="AH561" s="25">
        <v>8543180.1785714291</v>
      </c>
      <c r="AI561" s="92">
        <v>111061341.96428575</v>
      </c>
      <c r="AJ561" s="92">
        <v>606565793.03571427</v>
      </c>
      <c r="AK561" s="27">
        <f t="shared" si="92"/>
        <v>8543180.1785714291</v>
      </c>
      <c r="AL561" s="27">
        <f t="shared" si="94"/>
        <v>8543180.1785714291</v>
      </c>
      <c r="AM561" s="27"/>
      <c r="AN561" s="27"/>
      <c r="AO561" s="27"/>
      <c r="AP561" s="27"/>
      <c r="AQ561" s="27"/>
      <c r="AR561" s="27"/>
      <c r="AS561" s="27"/>
      <c r="AT561" s="27"/>
      <c r="AU561" s="27"/>
      <c r="AV561" s="27"/>
      <c r="AW561" s="27">
        <f t="shared" si="87"/>
        <v>17086360.357142858</v>
      </c>
      <c r="AX561" s="79">
        <f t="shared" si="88"/>
        <v>589479432.67857146</v>
      </c>
      <c r="AY561" s="79">
        <f t="shared" si="89"/>
        <v>128147702.3214286</v>
      </c>
      <c r="AZ561" s="25">
        <v>1</v>
      </c>
      <c r="BA561" s="62" t="s">
        <v>97</v>
      </c>
      <c r="BB561" s="66">
        <v>1</v>
      </c>
      <c r="BC561" s="19"/>
      <c r="BD561" s="19"/>
      <c r="BE561" s="67">
        <f t="shared" si="93"/>
        <v>8543180.1785714291</v>
      </c>
      <c r="BF561" s="67">
        <f t="shared" si="86"/>
        <v>0</v>
      </c>
      <c r="BG561" s="67">
        <f t="shared" si="85"/>
        <v>0</v>
      </c>
      <c r="BH561" s="19"/>
      <c r="BI561" s="19" t="s">
        <v>57</v>
      </c>
      <c r="BJ561" s="68" t="s">
        <v>624</v>
      </c>
      <c r="BK561" s="68" t="s">
        <v>624</v>
      </c>
      <c r="BO561" s="35" t="s">
        <v>1805</v>
      </c>
      <c r="BQ561" s="1" t="e">
        <v>#N/A</v>
      </c>
    </row>
    <row r="562" spans="3:69" ht="15" hidden="1" customHeight="1">
      <c r="C562" s="1" t="str">
        <f t="shared" si="90"/>
        <v>2912</v>
      </c>
      <c r="D562" s="1" t="str">
        <f t="shared" si="91"/>
        <v>2212</v>
      </c>
      <c r="E562" s="19" t="s">
        <v>1652</v>
      </c>
      <c r="F562" s="19" t="s">
        <v>515</v>
      </c>
      <c r="G562" s="62">
        <v>2112</v>
      </c>
      <c r="H562" s="19" t="s">
        <v>1635</v>
      </c>
      <c r="I562" s="19" t="s">
        <v>1636</v>
      </c>
      <c r="J562" s="86">
        <v>1</v>
      </c>
      <c r="K562" s="19" t="s">
        <v>619</v>
      </c>
      <c r="L562" s="19" t="s">
        <v>1637</v>
      </c>
      <c r="M562" s="19" t="s">
        <v>1638</v>
      </c>
      <c r="N562" s="42" t="s">
        <v>1639</v>
      </c>
      <c r="O562" s="70">
        <v>21400</v>
      </c>
      <c r="P562" s="70">
        <v>24860</v>
      </c>
      <c r="Q562" s="73">
        <v>532004000</v>
      </c>
      <c r="R562" s="19"/>
      <c r="S562" s="19"/>
      <c r="T562" s="70">
        <v>4326600</v>
      </c>
      <c r="U562" s="19" t="s">
        <v>1640</v>
      </c>
      <c r="V562" s="74">
        <v>536330600</v>
      </c>
      <c r="W562" s="75"/>
      <c r="X562" s="64">
        <v>536330600</v>
      </c>
      <c r="Y562" s="19"/>
      <c r="Z562" s="19"/>
      <c r="AA562" s="128"/>
      <c r="AB562" s="19"/>
      <c r="AC562" s="64">
        <v>536330600</v>
      </c>
      <c r="AD562" s="63">
        <v>44901</v>
      </c>
      <c r="AE562" s="65">
        <v>47457</v>
      </c>
      <c r="AF562" s="19">
        <v>7</v>
      </c>
      <c r="AG562" s="19">
        <v>84</v>
      </c>
      <c r="AH562" s="25">
        <v>6384888.0952380951</v>
      </c>
      <c r="AI562" s="92">
        <v>81973724.387096778</v>
      </c>
      <c r="AJ562" s="92">
        <v>454356875.61290324</v>
      </c>
      <c r="AK562" s="27">
        <f t="shared" si="92"/>
        <v>6384888.0952380951</v>
      </c>
      <c r="AL562" s="27">
        <f t="shared" si="94"/>
        <v>6384888.0952380951</v>
      </c>
      <c r="AM562" s="27"/>
      <c r="AN562" s="27"/>
      <c r="AO562" s="27"/>
      <c r="AP562" s="27"/>
      <c r="AQ562" s="27"/>
      <c r="AR562" s="27"/>
      <c r="AS562" s="27"/>
      <c r="AT562" s="27"/>
      <c r="AU562" s="27"/>
      <c r="AV562" s="27"/>
      <c r="AW562" s="27">
        <f t="shared" si="87"/>
        <v>12769776.19047619</v>
      </c>
      <c r="AX562" s="79">
        <f t="shared" si="88"/>
        <v>441587099.42242706</v>
      </c>
      <c r="AY562" s="79">
        <f t="shared" si="89"/>
        <v>94743500.577572972</v>
      </c>
      <c r="AZ562" s="25">
        <v>1</v>
      </c>
      <c r="BA562" s="62" t="s">
        <v>97</v>
      </c>
      <c r="BB562" s="66">
        <v>1</v>
      </c>
      <c r="BC562" s="19"/>
      <c r="BD562" s="19"/>
      <c r="BE562" s="67">
        <f t="shared" si="93"/>
        <v>6384888.0952380951</v>
      </c>
      <c r="BF562" s="67">
        <f t="shared" si="86"/>
        <v>0</v>
      </c>
      <c r="BG562" s="67">
        <f t="shared" si="85"/>
        <v>0</v>
      </c>
      <c r="BH562" s="19"/>
      <c r="BI562" s="19" t="s">
        <v>1649</v>
      </c>
      <c r="BJ562" s="19" t="s">
        <v>644</v>
      </c>
      <c r="BK562" s="19" t="s">
        <v>644</v>
      </c>
      <c r="BO562" s="35" t="s">
        <v>1802</v>
      </c>
      <c r="BQ562" s="1" t="e">
        <v>#N/A</v>
      </c>
    </row>
    <row r="563" spans="3:69" ht="15" hidden="1" customHeight="1">
      <c r="C563" s="1" t="str">
        <f t="shared" si="90"/>
        <v>2712</v>
      </c>
      <c r="D563" s="1" t="str">
        <f t="shared" si="91"/>
        <v>2212</v>
      </c>
      <c r="E563" s="19" t="s">
        <v>1652</v>
      </c>
      <c r="F563" s="19" t="s">
        <v>515</v>
      </c>
      <c r="G563" s="62">
        <v>2112</v>
      </c>
      <c r="H563" s="19" t="s">
        <v>1641</v>
      </c>
      <c r="I563" s="19" t="s">
        <v>1642</v>
      </c>
      <c r="J563" s="86">
        <v>1</v>
      </c>
      <c r="K563" s="19" t="s">
        <v>619</v>
      </c>
      <c r="L563" s="19" t="s">
        <v>1643</v>
      </c>
      <c r="M563" s="19" t="s">
        <v>1644</v>
      </c>
      <c r="N563" s="42">
        <v>44910</v>
      </c>
      <c r="O563" s="19"/>
      <c r="P563" s="19"/>
      <c r="Q563" s="73">
        <v>139510000</v>
      </c>
      <c r="R563" s="19"/>
      <c r="S563" s="19"/>
      <c r="T563" s="19"/>
      <c r="U563" s="19"/>
      <c r="V563" s="74">
        <v>139510000</v>
      </c>
      <c r="W563" s="75"/>
      <c r="X563" s="64">
        <v>139510000</v>
      </c>
      <c r="Y563" s="19"/>
      <c r="Z563" s="19"/>
      <c r="AA563" s="128"/>
      <c r="AB563" s="19"/>
      <c r="AC563" s="64">
        <v>139510000</v>
      </c>
      <c r="AD563" s="63">
        <v>44911</v>
      </c>
      <c r="AE563" s="65">
        <v>46736</v>
      </c>
      <c r="AF563" s="19">
        <v>5</v>
      </c>
      <c r="AG563" s="19">
        <v>60</v>
      </c>
      <c r="AH563" s="25">
        <v>2325166.6666666665</v>
      </c>
      <c r="AI563" s="92">
        <v>29102086.688172042</v>
      </c>
      <c r="AJ563" s="92">
        <v>110407913.31182794</v>
      </c>
      <c r="AK563" s="27">
        <f t="shared" si="92"/>
        <v>2325166.6666666665</v>
      </c>
      <c r="AL563" s="27">
        <f t="shared" si="94"/>
        <v>2325166.6666666665</v>
      </c>
      <c r="AM563" s="27"/>
      <c r="AN563" s="27"/>
      <c r="AO563" s="27"/>
      <c r="AP563" s="27"/>
      <c r="AQ563" s="27"/>
      <c r="AR563" s="27"/>
      <c r="AS563" s="27"/>
      <c r="AT563" s="27"/>
      <c r="AU563" s="27"/>
      <c r="AV563" s="27"/>
      <c r="AW563" s="27">
        <f t="shared" si="87"/>
        <v>4650333.333333333</v>
      </c>
      <c r="AX563" s="79">
        <f t="shared" si="88"/>
        <v>105757579.97849463</v>
      </c>
      <c r="AY563" s="79">
        <f t="shared" si="89"/>
        <v>33752420.021505378</v>
      </c>
      <c r="AZ563" s="25">
        <v>1</v>
      </c>
      <c r="BA563" s="62" t="s">
        <v>97</v>
      </c>
      <c r="BB563" s="66">
        <v>1</v>
      </c>
      <c r="BC563" s="19"/>
      <c r="BD563" s="19"/>
      <c r="BE563" s="67">
        <f t="shared" si="93"/>
        <v>2325166.6666666665</v>
      </c>
      <c r="BF563" s="67">
        <f t="shared" si="86"/>
        <v>0</v>
      </c>
      <c r="BG563" s="67">
        <f t="shared" si="85"/>
        <v>0</v>
      </c>
      <c r="BH563" s="19"/>
      <c r="BI563" s="19" t="s">
        <v>1650</v>
      </c>
      <c r="BJ563" s="19" t="s">
        <v>58</v>
      </c>
      <c r="BK563" s="19" t="s">
        <v>59</v>
      </c>
      <c r="BO563" s="35" t="s">
        <v>1799</v>
      </c>
      <c r="BQ563" s="1" t="e">
        <v>#N/A</v>
      </c>
    </row>
    <row r="564" spans="3:69" ht="15" hidden="1" customHeight="1">
      <c r="C564" s="1" t="str">
        <f t="shared" si="90"/>
        <v>2912</v>
      </c>
      <c r="D564" s="1" t="str">
        <f t="shared" si="91"/>
        <v>2212</v>
      </c>
      <c r="E564" s="19" t="s">
        <v>1652</v>
      </c>
      <c r="F564" s="19" t="s">
        <v>515</v>
      </c>
      <c r="G564" s="62">
        <v>2112</v>
      </c>
      <c r="H564" s="19" t="s">
        <v>1645</v>
      </c>
      <c r="I564" s="19" t="s">
        <v>1646</v>
      </c>
      <c r="J564" s="86">
        <v>1</v>
      </c>
      <c r="K564" s="19" t="s">
        <v>619</v>
      </c>
      <c r="L564" s="19" t="s">
        <v>1647</v>
      </c>
      <c r="M564" s="19" t="s">
        <v>1648</v>
      </c>
      <c r="N564" s="42">
        <v>44902</v>
      </c>
      <c r="O564" s="19"/>
      <c r="P564" s="19"/>
      <c r="Q564" s="73">
        <v>700000000</v>
      </c>
      <c r="R564" s="19"/>
      <c r="S564" s="19"/>
      <c r="T564" s="19"/>
      <c r="U564" s="19"/>
      <c r="V564" s="74">
        <v>700000000</v>
      </c>
      <c r="W564" s="75"/>
      <c r="X564" s="64">
        <v>700000000</v>
      </c>
      <c r="Y564" s="19"/>
      <c r="Z564" s="19"/>
      <c r="AA564" s="128"/>
      <c r="AB564" s="19"/>
      <c r="AC564" s="64">
        <v>700000000</v>
      </c>
      <c r="AD564" s="63">
        <v>44903</v>
      </c>
      <c r="AE564" s="65">
        <v>47459</v>
      </c>
      <c r="AF564" s="19">
        <v>7</v>
      </c>
      <c r="AG564" s="19">
        <v>84</v>
      </c>
      <c r="AH564" s="25">
        <v>8333333.333333333</v>
      </c>
      <c r="AI564" s="92">
        <v>106451612.23655914</v>
      </c>
      <c r="AJ564" s="92">
        <v>593548387.76344085</v>
      </c>
      <c r="AK564" s="27">
        <f t="shared" si="92"/>
        <v>8333333.333333333</v>
      </c>
      <c r="AL564" s="27">
        <f t="shared" si="94"/>
        <v>8333333.333333333</v>
      </c>
      <c r="AM564" s="27"/>
      <c r="AN564" s="27"/>
      <c r="AO564" s="27"/>
      <c r="AP564" s="27"/>
      <c r="AQ564" s="27"/>
      <c r="AR564" s="27"/>
      <c r="AS564" s="27"/>
      <c r="AT564" s="27"/>
      <c r="AU564" s="27"/>
      <c r="AV564" s="27"/>
      <c r="AW564" s="27">
        <f t="shared" si="87"/>
        <v>16666666.666666666</v>
      </c>
      <c r="AX564" s="79">
        <f t="shared" si="88"/>
        <v>576881721.09677422</v>
      </c>
      <c r="AY564" s="79">
        <f t="shared" si="89"/>
        <v>123118278.90322581</v>
      </c>
      <c r="AZ564" s="25">
        <v>1</v>
      </c>
      <c r="BA564" s="62" t="s">
        <v>97</v>
      </c>
      <c r="BB564" s="66">
        <v>1</v>
      </c>
      <c r="BC564" s="19"/>
      <c r="BD564" s="19"/>
      <c r="BE564" s="67">
        <f t="shared" si="93"/>
        <v>8333333.333333333</v>
      </c>
      <c r="BF564" s="67">
        <f t="shared" si="86"/>
        <v>0</v>
      </c>
      <c r="BG564" s="67">
        <f t="shared" si="85"/>
        <v>0</v>
      </c>
      <c r="BH564" s="19"/>
      <c r="BI564" s="19" t="s">
        <v>1651</v>
      </c>
      <c r="BJ564" s="19" t="s">
        <v>644</v>
      </c>
      <c r="BK564" s="19" t="s">
        <v>644</v>
      </c>
      <c r="BO564" s="35" t="s">
        <v>1799</v>
      </c>
      <c r="BQ564" s="1" t="e">
        <v>#N/A</v>
      </c>
    </row>
    <row r="565" spans="3:69" ht="15" hidden="1" customHeight="1">
      <c r="C565" s="1" t="str">
        <f>+RIGHT(YEAR(AE565),2)&amp;IF(LEN(MONTH(AE565))=2,MONTH(AE565),"0"&amp;MONTH(AE565))</f>
        <v>2912</v>
      </c>
      <c r="D565" s="1" t="str">
        <f>+RIGHT(YEAR(AD565),2)&amp;IF(LEN(MONTH(AD565))=2,MONTH(AD565),"0"&amp;MONTH(AD565))</f>
        <v>2301</v>
      </c>
      <c r="E565" s="19" t="s">
        <v>1654</v>
      </c>
      <c r="F565" s="19" t="s">
        <v>515</v>
      </c>
      <c r="G565" s="62">
        <v>2112</v>
      </c>
      <c r="H565" s="19" t="s">
        <v>1655</v>
      </c>
      <c r="I565" s="19" t="s">
        <v>1656</v>
      </c>
      <c r="J565" s="86">
        <v>1</v>
      </c>
      <c r="K565" s="19" t="s">
        <v>619</v>
      </c>
      <c r="L565" s="19" t="s">
        <v>760</v>
      </c>
      <c r="M565" s="19" t="s">
        <v>1657</v>
      </c>
      <c r="N565" s="42" t="s">
        <v>1658</v>
      </c>
      <c r="O565" s="70">
        <v>6000</v>
      </c>
      <c r="P565" s="70">
        <v>24877</v>
      </c>
      <c r="Q565" s="73">
        <v>149262000</v>
      </c>
      <c r="R565" s="144">
        <v>14131420</v>
      </c>
      <c r="S565" s="19"/>
      <c r="T565" s="19">
        <v>5592010</v>
      </c>
      <c r="U565" s="19" t="s">
        <v>1659</v>
      </c>
      <c r="V565" s="74">
        <v>168985430</v>
      </c>
      <c r="W565" s="75"/>
      <c r="X565" s="64">
        <v>168985430</v>
      </c>
      <c r="Y565" s="19"/>
      <c r="Z565" s="19"/>
      <c r="AA565" s="128"/>
      <c r="AB565" s="19"/>
      <c r="AC565" s="64">
        <v>168985430</v>
      </c>
      <c r="AD565" s="63">
        <v>44927</v>
      </c>
      <c r="AE565" s="65">
        <v>47483</v>
      </c>
      <c r="AF565" s="19">
        <v>7</v>
      </c>
      <c r="AG565" s="19">
        <v>84</v>
      </c>
      <c r="AH565" s="25">
        <v>2011731.3095238095</v>
      </c>
      <c r="AI565" s="92">
        <v>24140775.714285713</v>
      </c>
      <c r="AJ565" s="92">
        <v>144844654.2857143</v>
      </c>
      <c r="AK565" s="27">
        <f t="shared" si="92"/>
        <v>2011731.3095238095</v>
      </c>
      <c r="AL565" s="27">
        <f t="shared" si="94"/>
        <v>2011731.3095238095</v>
      </c>
      <c r="AM565" s="27"/>
      <c r="AN565" s="27"/>
      <c r="AO565" s="27"/>
      <c r="AP565" s="27"/>
      <c r="AQ565" s="27"/>
      <c r="AR565" s="27"/>
      <c r="AS565" s="27"/>
      <c r="AT565" s="27"/>
      <c r="AU565" s="27"/>
      <c r="AV565" s="27"/>
      <c r="AW565" s="27">
        <f t="shared" ref="AW565:AW571" si="95">+SUM(AK565:AV565)</f>
        <v>4023462.6190476189</v>
      </c>
      <c r="AX565" s="79">
        <f t="shared" ref="AX565:AX571" si="96">AC565-AI565-AW565</f>
        <v>140821191.66666669</v>
      </c>
      <c r="AY565" s="79">
        <f t="shared" ref="AY565:AY571" si="97">AW565+AI565</f>
        <v>28164238.333333332</v>
      </c>
      <c r="AZ565" s="25">
        <v>1</v>
      </c>
      <c r="BA565" s="62" t="s">
        <v>97</v>
      </c>
      <c r="BB565" s="25">
        <v>1</v>
      </c>
      <c r="BC565" s="62"/>
      <c r="BD565" s="66"/>
      <c r="BE565" s="67">
        <f t="shared" si="93"/>
        <v>2011731.3095238095</v>
      </c>
      <c r="BF565" s="67">
        <f t="shared" si="86"/>
        <v>0</v>
      </c>
      <c r="BG565" s="67">
        <f t="shared" si="85"/>
        <v>0</v>
      </c>
      <c r="BH565" s="67"/>
      <c r="BI565" s="19" t="s">
        <v>1660</v>
      </c>
      <c r="BJ565" s="19" t="s">
        <v>58</v>
      </c>
      <c r="BK565" s="19" t="s">
        <v>1563</v>
      </c>
      <c r="BO565" s="35" t="s">
        <v>1804</v>
      </c>
      <c r="BQ565" s="1" t="e">
        <v>#N/A</v>
      </c>
    </row>
    <row r="566" spans="3:69" ht="15" hidden="1" customHeight="1">
      <c r="C566" s="1" t="str">
        <f>+RIGHT(YEAR(AE566),2)&amp;IF(LEN(MONTH(AE566))=2,MONTH(AE566),"0"&amp;MONTH(AE566))</f>
        <v>3002</v>
      </c>
      <c r="D566" s="1" t="str">
        <f>+RIGHT(YEAR(AD566),2)&amp;IF(LEN(MONTH(AD566))=2,MONTH(AD566),"0"&amp;MONTH(AD566))</f>
        <v>2303</v>
      </c>
      <c r="E566" s="19" t="s">
        <v>1673</v>
      </c>
      <c r="F566" s="19" t="s">
        <v>1624</v>
      </c>
      <c r="G566" s="62">
        <v>2112</v>
      </c>
      <c r="H566" s="19" t="s">
        <v>1674</v>
      </c>
      <c r="I566" s="19" t="s">
        <v>1675</v>
      </c>
      <c r="J566" s="86">
        <v>1</v>
      </c>
      <c r="K566" s="19" t="s">
        <v>619</v>
      </c>
      <c r="L566" s="19" t="s">
        <v>1637</v>
      </c>
      <c r="M566" s="142" t="s">
        <v>1676</v>
      </c>
      <c r="N566" s="42" t="s">
        <v>1677</v>
      </c>
      <c r="O566" s="70">
        <v>53700</v>
      </c>
      <c r="P566" s="70">
        <v>23669</v>
      </c>
      <c r="Q566" s="73">
        <f>+P566*O566</f>
        <v>1271025300</v>
      </c>
      <c r="R566" s="144"/>
      <c r="S566" s="19"/>
      <c r="T566" s="19">
        <v>16454047</v>
      </c>
      <c r="U566" s="19" t="s">
        <v>1678</v>
      </c>
      <c r="V566" s="74">
        <f>+SUM(Q566:T566)</f>
        <v>1287479347</v>
      </c>
      <c r="W566" s="75"/>
      <c r="X566" s="64">
        <f>+V566</f>
        <v>1287479347</v>
      </c>
      <c r="Y566" s="19"/>
      <c r="Z566" s="19"/>
      <c r="AA566" s="128"/>
      <c r="AB566" s="19"/>
      <c r="AC566" s="64">
        <f>+X566-Y566</f>
        <v>1287479347</v>
      </c>
      <c r="AD566" s="63">
        <v>44986</v>
      </c>
      <c r="AE566" s="65">
        <v>47542</v>
      </c>
      <c r="AF566" s="19">
        <v>7</v>
      </c>
      <c r="AG566" s="19">
        <v>84</v>
      </c>
      <c r="AH566" s="25">
        <f>+ROUND(AC566/AG566,0)</f>
        <v>15327135</v>
      </c>
      <c r="AI566" s="92">
        <v>153271350</v>
      </c>
      <c r="AJ566" s="92">
        <v>1134207997</v>
      </c>
      <c r="AK566" s="27">
        <f t="shared" si="92"/>
        <v>15327135</v>
      </c>
      <c r="AL566" s="27">
        <f t="shared" si="94"/>
        <v>15327135</v>
      </c>
      <c r="AM566" s="27"/>
      <c r="AN566" s="27"/>
      <c r="AO566" s="27"/>
      <c r="AP566" s="27"/>
      <c r="AQ566" s="27"/>
      <c r="AR566" s="27"/>
      <c r="AS566" s="27"/>
      <c r="AT566" s="27"/>
      <c r="AU566" s="27"/>
      <c r="AV566" s="27"/>
      <c r="AW566" s="27">
        <f t="shared" si="95"/>
        <v>30654270</v>
      </c>
      <c r="AX566" s="79">
        <f t="shared" si="96"/>
        <v>1103553727</v>
      </c>
      <c r="AY566" s="79">
        <f t="shared" si="97"/>
        <v>183925620</v>
      </c>
      <c r="AZ566" s="25">
        <v>1</v>
      </c>
      <c r="BA566" s="62" t="s">
        <v>97</v>
      </c>
      <c r="BB566" s="25"/>
      <c r="BC566" s="25">
        <v>1</v>
      </c>
      <c r="BD566" s="66"/>
      <c r="BE566" s="67">
        <f t="shared" si="93"/>
        <v>0</v>
      </c>
      <c r="BF566" s="67">
        <f t="shared" si="86"/>
        <v>15327135</v>
      </c>
      <c r="BG566" s="67">
        <f t="shared" si="85"/>
        <v>0</v>
      </c>
      <c r="BH566" s="67"/>
      <c r="BI566" s="19" t="s">
        <v>1624</v>
      </c>
      <c r="BJ566" s="68" t="s">
        <v>1438</v>
      </c>
      <c r="BK566" s="68" t="s">
        <v>1438</v>
      </c>
      <c r="BL566" s="19"/>
      <c r="BO566" s="35" t="s">
        <v>1804</v>
      </c>
      <c r="BQ566" s="1" t="e">
        <v>#N/A</v>
      </c>
    </row>
    <row r="567" spans="3:69" ht="15" hidden="1" customHeight="1">
      <c r="C567" s="1" t="str">
        <f>+RIGHT(YEAR(AE567),2)&amp;IF(LEN(MONTH(AE567))=2,MONTH(AE567),"0"&amp;MONTH(AE567))</f>
        <v>3003</v>
      </c>
      <c r="D567" s="1" t="str">
        <f>+RIGHT(YEAR(AD567),2)&amp;IF(LEN(MONTH(AD567))=2,MONTH(AD567),"0"&amp;MONTH(AD567))</f>
        <v>2304</v>
      </c>
      <c r="E567" s="19" t="s">
        <v>1700</v>
      </c>
      <c r="F567" s="19" t="s">
        <v>1701</v>
      </c>
      <c r="G567" s="62">
        <v>2112</v>
      </c>
      <c r="H567" s="19" t="s">
        <v>1680</v>
      </c>
      <c r="I567" s="19" t="s">
        <v>1703</v>
      </c>
      <c r="J567" s="86">
        <v>1</v>
      </c>
      <c r="K567" s="19" t="s">
        <v>619</v>
      </c>
      <c r="L567" s="19" t="s">
        <v>1681</v>
      </c>
      <c r="M567" s="142" t="s">
        <v>1682</v>
      </c>
      <c r="N567" s="42">
        <v>44971</v>
      </c>
      <c r="O567" s="70">
        <v>56250</v>
      </c>
      <c r="P567" s="70">
        <v>24338.799999999999</v>
      </c>
      <c r="Q567" s="73">
        <f>+P567*O567</f>
        <v>1369057500</v>
      </c>
      <c r="R567" s="144"/>
      <c r="S567" s="19"/>
      <c r="T567" s="19">
        <v>55065775</v>
      </c>
      <c r="U567" s="19" t="s">
        <v>1702</v>
      </c>
      <c r="V567" s="74">
        <f t="shared" ref="V567:V589" si="98">+SUM(Q567:T567)</f>
        <v>1424123275</v>
      </c>
      <c r="W567" s="75"/>
      <c r="X567" s="64">
        <f t="shared" ref="X567:X590" si="99">+V567</f>
        <v>1424123275</v>
      </c>
      <c r="Y567" s="19"/>
      <c r="Z567" s="19"/>
      <c r="AA567" s="128"/>
      <c r="AB567" s="19"/>
      <c r="AC567" s="64">
        <f t="shared" ref="AC567:AC589" si="100">+X567-Y567</f>
        <v>1424123275</v>
      </c>
      <c r="AD567" s="63">
        <v>45017</v>
      </c>
      <c r="AE567" s="65">
        <v>47573</v>
      </c>
      <c r="AF567" s="19">
        <v>7</v>
      </c>
      <c r="AG567" s="19">
        <v>84</v>
      </c>
      <c r="AH567" s="25">
        <f t="shared" ref="AH567:AH582" si="101">+ROUND(AC567/AG567,0)</f>
        <v>16953849</v>
      </c>
      <c r="AI567" s="92">
        <v>152584641</v>
      </c>
      <c r="AJ567" s="92">
        <v>1271538634</v>
      </c>
      <c r="AK567" s="27">
        <f t="shared" si="92"/>
        <v>16953849</v>
      </c>
      <c r="AL567" s="27">
        <f t="shared" si="94"/>
        <v>16953849</v>
      </c>
      <c r="AM567" s="27"/>
      <c r="AN567" s="27"/>
      <c r="AO567" s="27"/>
      <c r="AP567" s="27"/>
      <c r="AQ567" s="27"/>
      <c r="AR567" s="27"/>
      <c r="AS567" s="27"/>
      <c r="AT567" s="27"/>
      <c r="AU567" s="27"/>
      <c r="AV567" s="27"/>
      <c r="AW567" s="27">
        <f t="shared" si="95"/>
        <v>33907698</v>
      </c>
      <c r="AX567" s="79">
        <f t="shared" si="96"/>
        <v>1237630936</v>
      </c>
      <c r="AY567" s="79">
        <f t="shared" si="97"/>
        <v>186492339</v>
      </c>
      <c r="AZ567" s="25">
        <v>1</v>
      </c>
      <c r="BA567" s="62" t="s">
        <v>97</v>
      </c>
      <c r="BB567" s="25">
        <v>1</v>
      </c>
      <c r="BC567" s="25"/>
      <c r="BD567" s="66"/>
      <c r="BE567" s="67">
        <f t="shared" si="93"/>
        <v>16953849</v>
      </c>
      <c r="BF567" s="67">
        <f t="shared" si="86"/>
        <v>0</v>
      </c>
      <c r="BG567" s="67">
        <f t="shared" si="85"/>
        <v>0</v>
      </c>
      <c r="BH567" s="67"/>
      <c r="BI567" s="19" t="s">
        <v>1701</v>
      </c>
      <c r="BJ567" s="19" t="s">
        <v>644</v>
      </c>
      <c r="BK567" s="19" t="s">
        <v>644</v>
      </c>
      <c r="BO567" s="35" t="s">
        <v>1802</v>
      </c>
      <c r="BQ567" s="1" t="e">
        <v>#N/A</v>
      </c>
    </row>
    <row r="568" spans="3:69" ht="15" hidden="1" customHeight="1">
      <c r="C568" s="1" t="str">
        <f t="shared" ref="C568:C582" si="102">+RIGHT(YEAR(AE568),2)&amp;IF(LEN(MONTH(AE568))=2,MONTH(AE568),"0"&amp;MONTH(AE568))</f>
        <v>3003</v>
      </c>
      <c r="D568" s="1" t="str">
        <f t="shared" ref="D568:D597" si="103">+RIGHT(YEAR(AD568),2)&amp;IF(LEN(MONTH(AD568))=2,MONTH(AD568),"0"&amp;MONTH(AD568))</f>
        <v>2304</v>
      </c>
      <c r="E568" s="19" t="s">
        <v>1700</v>
      </c>
      <c r="F568" s="19" t="s">
        <v>1701</v>
      </c>
      <c r="G568" s="62">
        <v>2112</v>
      </c>
      <c r="H568" s="19" t="s">
        <v>1683</v>
      </c>
      <c r="I568" s="19" t="s">
        <v>1703</v>
      </c>
      <c r="J568" s="86">
        <v>1</v>
      </c>
      <c r="K568" s="19" t="s">
        <v>619</v>
      </c>
      <c r="L568" s="19" t="s">
        <v>1681</v>
      </c>
      <c r="M568" s="142" t="s">
        <v>1682</v>
      </c>
      <c r="N568" s="42">
        <v>44971</v>
      </c>
      <c r="O568" s="70">
        <v>56250</v>
      </c>
      <c r="P568" s="70">
        <v>24338.799999999999</v>
      </c>
      <c r="Q568" s="73">
        <f>+P568*O568</f>
        <v>1369057500</v>
      </c>
      <c r="R568" s="144"/>
      <c r="S568" s="19"/>
      <c r="T568" s="19">
        <v>55065775</v>
      </c>
      <c r="U568" s="19" t="s">
        <v>1702</v>
      </c>
      <c r="V568" s="74">
        <f t="shared" si="98"/>
        <v>1424123275</v>
      </c>
      <c r="W568" s="75"/>
      <c r="X568" s="64">
        <f t="shared" si="99"/>
        <v>1424123275</v>
      </c>
      <c r="Y568" s="19"/>
      <c r="Z568" s="19"/>
      <c r="AA568" s="128"/>
      <c r="AB568" s="19"/>
      <c r="AC568" s="64">
        <f t="shared" si="100"/>
        <v>1424123275</v>
      </c>
      <c r="AD568" s="63">
        <v>45017</v>
      </c>
      <c r="AE568" s="65">
        <v>47573</v>
      </c>
      <c r="AF568" s="19">
        <v>7</v>
      </c>
      <c r="AG568" s="19">
        <v>84</v>
      </c>
      <c r="AH568" s="25">
        <f t="shared" si="101"/>
        <v>16953849</v>
      </c>
      <c r="AI568" s="92">
        <v>152584641</v>
      </c>
      <c r="AJ568" s="92">
        <v>1271538634</v>
      </c>
      <c r="AK568" s="27">
        <f t="shared" si="92"/>
        <v>16953849</v>
      </c>
      <c r="AL568" s="27">
        <f t="shared" si="94"/>
        <v>16953849</v>
      </c>
      <c r="AM568" s="27"/>
      <c r="AN568" s="27"/>
      <c r="AO568" s="27"/>
      <c r="AP568" s="27"/>
      <c r="AQ568" s="27"/>
      <c r="AR568" s="27"/>
      <c r="AS568" s="27"/>
      <c r="AT568" s="27"/>
      <c r="AU568" s="27"/>
      <c r="AV568" s="27"/>
      <c r="AW568" s="27">
        <f t="shared" si="95"/>
        <v>33907698</v>
      </c>
      <c r="AX568" s="79">
        <f t="shared" si="96"/>
        <v>1237630936</v>
      </c>
      <c r="AY568" s="79">
        <f t="shared" si="97"/>
        <v>186492339</v>
      </c>
      <c r="AZ568" s="25">
        <v>1</v>
      </c>
      <c r="BA568" s="62" t="s">
        <v>97</v>
      </c>
      <c r="BB568" s="25">
        <v>1</v>
      </c>
      <c r="BC568" s="25"/>
      <c r="BD568" s="66"/>
      <c r="BE568" s="67">
        <f t="shared" si="93"/>
        <v>16953849</v>
      </c>
      <c r="BF568" s="67">
        <f t="shared" si="86"/>
        <v>0</v>
      </c>
      <c r="BG568" s="67">
        <f t="shared" si="85"/>
        <v>0</v>
      </c>
      <c r="BH568" s="67"/>
      <c r="BI568" s="19" t="s">
        <v>1701</v>
      </c>
      <c r="BJ568" s="19" t="s">
        <v>644</v>
      </c>
      <c r="BK568" s="19" t="s">
        <v>644</v>
      </c>
      <c r="BO568" s="35" t="s">
        <v>1802</v>
      </c>
      <c r="BQ568" s="1" t="e">
        <v>#N/A</v>
      </c>
    </row>
    <row r="569" spans="3:69" ht="15" hidden="1" customHeight="1">
      <c r="C569" s="1" t="str">
        <f t="shared" si="102"/>
        <v>2803</v>
      </c>
      <c r="D569" s="1" t="str">
        <f t="shared" si="103"/>
        <v>2304</v>
      </c>
      <c r="E569" s="19" t="s">
        <v>1700</v>
      </c>
      <c r="F569" s="19" t="s">
        <v>1701</v>
      </c>
      <c r="G569" s="62">
        <v>2112</v>
      </c>
      <c r="H569" s="19" t="s">
        <v>1684</v>
      </c>
      <c r="I569" s="19" t="s">
        <v>1704</v>
      </c>
      <c r="J569" s="86">
        <v>1</v>
      </c>
      <c r="K569" s="19" t="s">
        <v>1192</v>
      </c>
      <c r="L569" s="19" t="s">
        <v>1507</v>
      </c>
      <c r="M569" s="142" t="s">
        <v>1685</v>
      </c>
      <c r="N569" s="42">
        <v>45014</v>
      </c>
      <c r="O569" s="70"/>
      <c r="P569" s="70"/>
      <c r="Q569" s="73">
        <v>58000000</v>
      </c>
      <c r="R569" s="144"/>
      <c r="S569" s="19"/>
      <c r="T569" s="19"/>
      <c r="U569" s="19"/>
      <c r="V569" s="74">
        <f t="shared" si="98"/>
        <v>58000000</v>
      </c>
      <c r="W569" s="75"/>
      <c r="X569" s="64">
        <f t="shared" si="99"/>
        <v>58000000</v>
      </c>
      <c r="Y569" s="19"/>
      <c r="Z569" s="19"/>
      <c r="AA569" s="128"/>
      <c r="AB569" s="19"/>
      <c r="AC569" s="64">
        <f t="shared" si="100"/>
        <v>58000000</v>
      </c>
      <c r="AD569" s="63">
        <v>45017</v>
      </c>
      <c r="AE569" s="65">
        <v>46843</v>
      </c>
      <c r="AF569" s="19">
        <v>5</v>
      </c>
      <c r="AG569" s="19">
        <v>60</v>
      </c>
      <c r="AH569" s="25">
        <f t="shared" si="101"/>
        <v>966667</v>
      </c>
      <c r="AI569" s="92">
        <v>8700003</v>
      </c>
      <c r="AJ569" s="92">
        <v>49299997</v>
      </c>
      <c r="AK569" s="27">
        <f t="shared" si="92"/>
        <v>966667</v>
      </c>
      <c r="AL569" s="27">
        <f t="shared" si="94"/>
        <v>966667</v>
      </c>
      <c r="AM569" s="27"/>
      <c r="AN569" s="27"/>
      <c r="AO569" s="27"/>
      <c r="AP569" s="27"/>
      <c r="AQ569" s="27"/>
      <c r="AR569" s="27"/>
      <c r="AS569" s="27"/>
      <c r="AT569" s="27"/>
      <c r="AU569" s="27"/>
      <c r="AV569" s="27"/>
      <c r="AW569" s="27">
        <f t="shared" si="95"/>
        <v>1933334</v>
      </c>
      <c r="AX569" s="79">
        <f t="shared" si="96"/>
        <v>47366663</v>
      </c>
      <c r="AY569" s="79">
        <f t="shared" si="97"/>
        <v>10633337</v>
      </c>
      <c r="AZ569" s="25">
        <v>1</v>
      </c>
      <c r="BA569" s="62" t="s">
        <v>97</v>
      </c>
      <c r="BB569" s="25">
        <v>1</v>
      </c>
      <c r="BC569" s="25"/>
      <c r="BD569" s="66"/>
      <c r="BE569" s="67">
        <f t="shared" si="93"/>
        <v>966667</v>
      </c>
      <c r="BF569" s="67">
        <f t="shared" si="86"/>
        <v>0</v>
      </c>
      <c r="BG569" s="67">
        <f t="shared" si="85"/>
        <v>0</v>
      </c>
      <c r="BH569" s="67"/>
      <c r="BI569" s="19" t="s">
        <v>1701</v>
      </c>
      <c r="BJ569" s="19" t="s">
        <v>644</v>
      </c>
      <c r="BK569" s="19" t="s">
        <v>644</v>
      </c>
      <c r="BO569" s="35" t="s">
        <v>1802</v>
      </c>
      <c r="BQ569" s="1" t="e">
        <v>#N/A</v>
      </c>
    </row>
    <row r="570" spans="3:69" ht="15" hidden="1" customHeight="1">
      <c r="C570" s="1" t="str">
        <f t="shared" si="102"/>
        <v>2804</v>
      </c>
      <c r="D570" s="1" t="str">
        <f t="shared" si="103"/>
        <v>2305</v>
      </c>
      <c r="E570" s="19" t="s">
        <v>1708</v>
      </c>
      <c r="F570" s="19" t="s">
        <v>1624</v>
      </c>
      <c r="G570" s="62">
        <v>2112</v>
      </c>
      <c r="H570" s="19" t="s">
        <v>1709</v>
      </c>
      <c r="I570" s="19" t="s">
        <v>1710</v>
      </c>
      <c r="J570" s="86">
        <v>1</v>
      </c>
      <c r="K570" s="19" t="s">
        <v>1233</v>
      </c>
      <c r="L570" s="19" t="s">
        <v>186</v>
      </c>
      <c r="M570" s="142">
        <v>875</v>
      </c>
      <c r="N570" s="42">
        <v>45034</v>
      </c>
      <c r="O570" s="70"/>
      <c r="P570" s="70"/>
      <c r="Q570" s="73">
        <v>115000000</v>
      </c>
      <c r="R570" s="144"/>
      <c r="S570" s="19"/>
      <c r="T570" s="19"/>
      <c r="U570" s="19"/>
      <c r="V570" s="74">
        <f t="shared" si="98"/>
        <v>115000000</v>
      </c>
      <c r="W570" s="75"/>
      <c r="X570" s="64">
        <f t="shared" si="99"/>
        <v>115000000</v>
      </c>
      <c r="Y570" s="19"/>
      <c r="Z570" s="19"/>
      <c r="AA570" s="128"/>
      <c r="AB570" s="19"/>
      <c r="AC570" s="64">
        <f t="shared" si="100"/>
        <v>115000000</v>
      </c>
      <c r="AD570" s="63">
        <v>45047</v>
      </c>
      <c r="AE570" s="65">
        <v>46873</v>
      </c>
      <c r="AF570" s="19">
        <v>5</v>
      </c>
      <c r="AG570" s="19">
        <v>60</v>
      </c>
      <c r="AH570" s="25">
        <f t="shared" si="101"/>
        <v>1916667</v>
      </c>
      <c r="AI570" s="92">
        <v>15333336</v>
      </c>
      <c r="AJ570" s="92">
        <v>99666664</v>
      </c>
      <c r="AK570" s="27">
        <f t="shared" si="92"/>
        <v>1916667</v>
      </c>
      <c r="AL570" s="27">
        <f t="shared" si="94"/>
        <v>1916667</v>
      </c>
      <c r="AM570" s="27"/>
      <c r="AN570" s="27"/>
      <c r="AO570" s="27"/>
      <c r="AP570" s="27"/>
      <c r="AQ570" s="27"/>
      <c r="AR570" s="27"/>
      <c r="AS570" s="27"/>
      <c r="AT570" s="27"/>
      <c r="AU570" s="27"/>
      <c r="AV570" s="27"/>
      <c r="AW570" s="27">
        <f t="shared" si="95"/>
        <v>3833334</v>
      </c>
      <c r="AX570" s="79">
        <f t="shared" si="96"/>
        <v>95833330</v>
      </c>
      <c r="AY570" s="79">
        <f t="shared" si="97"/>
        <v>19166670</v>
      </c>
      <c r="AZ570" s="25">
        <v>1</v>
      </c>
      <c r="BA570" s="62" t="s">
        <v>97</v>
      </c>
      <c r="BB570" s="25"/>
      <c r="BC570" s="25">
        <v>1</v>
      </c>
      <c r="BD570" s="66"/>
      <c r="BE570" s="67">
        <f t="shared" si="93"/>
        <v>0</v>
      </c>
      <c r="BF570" s="67">
        <f t="shared" si="86"/>
        <v>1916667</v>
      </c>
      <c r="BG570" s="67">
        <f t="shared" si="85"/>
        <v>0</v>
      </c>
      <c r="BH570" s="67"/>
      <c r="BI570" s="19" t="s">
        <v>1624</v>
      </c>
      <c r="BJ570" s="68" t="s">
        <v>1438</v>
      </c>
      <c r="BK570" s="68" t="s">
        <v>1438</v>
      </c>
      <c r="BO570" s="35" t="s">
        <v>1804</v>
      </c>
      <c r="BQ570" s="1" t="e">
        <v>#N/A</v>
      </c>
    </row>
    <row r="571" spans="3:69" ht="15" hidden="1" customHeight="1">
      <c r="C571" s="1" t="str">
        <f t="shared" si="102"/>
        <v>3104</v>
      </c>
      <c r="D571" s="1" t="str">
        <f t="shared" si="103"/>
        <v>2305</v>
      </c>
      <c r="E571" s="19" t="s">
        <v>1708</v>
      </c>
      <c r="F571" s="19" t="s">
        <v>1714</v>
      </c>
      <c r="G571" s="62">
        <v>2114</v>
      </c>
      <c r="H571" s="19" t="s">
        <v>1711</v>
      </c>
      <c r="I571" s="19" t="s">
        <v>1712</v>
      </c>
      <c r="J571" s="86">
        <v>1</v>
      </c>
      <c r="K571" s="19" t="s">
        <v>1226</v>
      </c>
      <c r="L571" s="19" t="s">
        <v>967</v>
      </c>
      <c r="M571" s="142" t="s">
        <v>1713</v>
      </c>
      <c r="N571" s="42">
        <v>45042</v>
      </c>
      <c r="O571" s="70"/>
      <c r="P571" s="70"/>
      <c r="Q571" s="73">
        <v>34400000</v>
      </c>
      <c r="R571" s="144"/>
      <c r="S571" s="144"/>
      <c r="T571" s="19"/>
      <c r="U571" s="19"/>
      <c r="V571" s="74">
        <f t="shared" si="98"/>
        <v>34400000</v>
      </c>
      <c r="W571" s="75"/>
      <c r="X571" s="64">
        <f t="shared" si="99"/>
        <v>34400000</v>
      </c>
      <c r="Y571" s="19"/>
      <c r="Z571" s="19"/>
      <c r="AA571" s="128"/>
      <c r="AB571" s="19"/>
      <c r="AC571" s="64">
        <f t="shared" si="100"/>
        <v>34400000</v>
      </c>
      <c r="AD571" s="63">
        <v>45047</v>
      </c>
      <c r="AE571" s="65">
        <v>47968</v>
      </c>
      <c r="AF571" s="19">
        <v>8</v>
      </c>
      <c r="AG571" s="19">
        <v>96</v>
      </c>
      <c r="AH571" s="25">
        <f t="shared" si="101"/>
        <v>358333</v>
      </c>
      <c r="AI571" s="92">
        <v>2866664</v>
      </c>
      <c r="AJ571" s="92">
        <v>31533336</v>
      </c>
      <c r="AK571" s="27">
        <f t="shared" si="92"/>
        <v>358333</v>
      </c>
      <c r="AL571" s="27">
        <f t="shared" si="94"/>
        <v>358333</v>
      </c>
      <c r="AM571" s="27"/>
      <c r="AN571" s="27"/>
      <c r="AO571" s="27"/>
      <c r="AP571" s="27"/>
      <c r="AQ571" s="27"/>
      <c r="AR571" s="27"/>
      <c r="AS571" s="27"/>
      <c r="AT571" s="27"/>
      <c r="AU571" s="27"/>
      <c r="AV571" s="27"/>
      <c r="AW571" s="27">
        <f t="shared" si="95"/>
        <v>716666</v>
      </c>
      <c r="AX571" s="79">
        <f t="shared" si="96"/>
        <v>30816670</v>
      </c>
      <c r="AY571" s="79">
        <f t="shared" si="97"/>
        <v>3583330</v>
      </c>
      <c r="AZ571" s="25">
        <v>1</v>
      </c>
      <c r="BA571" s="62" t="s">
        <v>79</v>
      </c>
      <c r="BB571" s="25">
        <v>1</v>
      </c>
      <c r="BC571" s="25"/>
      <c r="BD571" s="66"/>
      <c r="BE571" s="67">
        <f t="shared" si="93"/>
        <v>358333</v>
      </c>
      <c r="BF571" s="67">
        <f t="shared" si="86"/>
        <v>0</v>
      </c>
      <c r="BG571" s="67">
        <f t="shared" si="85"/>
        <v>0</v>
      </c>
      <c r="BH571" s="67"/>
      <c r="BI571" s="19" t="s">
        <v>1715</v>
      </c>
      <c r="BJ571" s="19" t="s">
        <v>58</v>
      </c>
      <c r="BK571" s="68" t="s">
        <v>1715</v>
      </c>
      <c r="BO571" s="35" t="s">
        <v>1799</v>
      </c>
      <c r="BQ571" s="1" t="e">
        <v>#N/A</v>
      </c>
    </row>
    <row r="572" spans="3:69" ht="15" hidden="1" customHeight="1">
      <c r="C572" s="1" t="str">
        <f t="shared" si="102"/>
        <v>3105</v>
      </c>
      <c r="D572" s="1" t="str">
        <f t="shared" si="103"/>
        <v>2306</v>
      </c>
      <c r="E572" s="19" t="s">
        <v>1741</v>
      </c>
      <c r="F572" s="68" t="s">
        <v>49</v>
      </c>
      <c r="G572" s="62">
        <v>2112</v>
      </c>
      <c r="H572" s="19" t="s">
        <v>1721</v>
      </c>
      <c r="I572" s="19" t="s">
        <v>1731</v>
      </c>
      <c r="J572" s="86">
        <v>1</v>
      </c>
      <c r="K572" s="19" t="s">
        <v>1737</v>
      </c>
      <c r="L572" s="19" t="s">
        <v>77</v>
      </c>
      <c r="M572" s="142" t="s">
        <v>1738</v>
      </c>
      <c r="N572" s="42">
        <v>45030</v>
      </c>
      <c r="O572" s="70">
        <v>118670.39999999999</v>
      </c>
      <c r="P572" s="70">
        <v>23650</v>
      </c>
      <c r="Q572" s="73">
        <f>+ROUND(O572*P572,0)</f>
        <v>2806554960</v>
      </c>
      <c r="R572" s="144">
        <f>+ROUND(85173250/9,0)</f>
        <v>9463694</v>
      </c>
      <c r="S572" s="19"/>
      <c r="T572" s="19"/>
      <c r="U572" s="19" t="s">
        <v>1742</v>
      </c>
      <c r="V572" s="74">
        <f>+SUM(Q572:T572)</f>
        <v>2816018654</v>
      </c>
      <c r="W572" s="75"/>
      <c r="X572" s="64">
        <f t="shared" si="99"/>
        <v>2816018654</v>
      </c>
      <c r="Y572" s="19"/>
      <c r="Z572" s="19"/>
      <c r="AA572" s="128"/>
      <c r="AB572" s="19"/>
      <c r="AC572" s="64">
        <f t="shared" si="100"/>
        <v>2816018654</v>
      </c>
      <c r="AD572" s="63">
        <v>45078</v>
      </c>
      <c r="AE572" s="65">
        <v>47999</v>
      </c>
      <c r="AF572" s="19">
        <v>8</v>
      </c>
      <c r="AG572" s="19">
        <v>96</v>
      </c>
      <c r="AH572" s="25">
        <f t="shared" si="101"/>
        <v>29333528</v>
      </c>
      <c r="AI572" s="92">
        <v>205334696</v>
      </c>
      <c r="AJ572" s="92">
        <v>2610683958</v>
      </c>
      <c r="AK572" s="27">
        <f t="shared" si="92"/>
        <v>29333528</v>
      </c>
      <c r="AL572" s="27">
        <f t="shared" si="94"/>
        <v>29333528</v>
      </c>
      <c r="AM572" s="27"/>
      <c r="AN572" s="27"/>
      <c r="AO572" s="27"/>
      <c r="AP572" s="27"/>
      <c r="AQ572" s="27"/>
      <c r="AR572" s="27"/>
      <c r="AS572" s="27"/>
      <c r="AT572" s="27"/>
      <c r="AU572" s="27"/>
      <c r="AV572" s="27"/>
      <c r="AW572" s="27">
        <f t="shared" ref="AW572:AW581" si="104">+SUM(AK572:AV572)</f>
        <v>58667056</v>
      </c>
      <c r="AX572" s="79">
        <f t="shared" ref="AX572:AX581" si="105">AC572-AI572-AW572</f>
        <v>2552016902</v>
      </c>
      <c r="AY572" s="79">
        <f t="shared" ref="AY572:AY581" si="106">AW572+AI572</f>
        <v>264001752</v>
      </c>
      <c r="AZ572" s="25">
        <v>1</v>
      </c>
      <c r="BA572" s="62" t="s">
        <v>97</v>
      </c>
      <c r="BB572" s="66">
        <v>1</v>
      </c>
      <c r="BC572" s="25"/>
      <c r="BD572" s="66"/>
      <c r="BE572" s="67">
        <f t="shared" si="93"/>
        <v>29333528</v>
      </c>
      <c r="BF572" s="67">
        <f t="shared" si="86"/>
        <v>0</v>
      </c>
      <c r="BG572" s="67">
        <f t="shared" si="85"/>
        <v>0</v>
      </c>
      <c r="BH572" s="67"/>
      <c r="BI572" s="68" t="s">
        <v>57</v>
      </c>
      <c r="BJ572" s="68" t="s">
        <v>85</v>
      </c>
      <c r="BK572" s="68" t="s">
        <v>85</v>
      </c>
      <c r="BO572" s="35" t="s">
        <v>1805</v>
      </c>
      <c r="BQ572" s="1" t="e">
        <v>#N/A</v>
      </c>
    </row>
    <row r="573" spans="3:69" ht="15" hidden="1" customHeight="1">
      <c r="C573" s="1" t="str">
        <f t="shared" si="102"/>
        <v>3105</v>
      </c>
      <c r="D573" s="1" t="str">
        <f t="shared" si="103"/>
        <v>2306</v>
      </c>
      <c r="E573" s="19" t="s">
        <v>1741</v>
      </c>
      <c r="F573" s="68" t="s">
        <v>49</v>
      </c>
      <c r="G573" s="62">
        <v>2112</v>
      </c>
      <c r="H573" s="19" t="s">
        <v>1722</v>
      </c>
      <c r="I573" s="19" t="s">
        <v>1731</v>
      </c>
      <c r="J573" s="86">
        <v>1</v>
      </c>
      <c r="K573" s="19" t="s">
        <v>1737</v>
      </c>
      <c r="L573" s="19" t="s">
        <v>77</v>
      </c>
      <c r="M573" s="142" t="s">
        <v>1738</v>
      </c>
      <c r="N573" s="42">
        <v>45030</v>
      </c>
      <c r="O573" s="70">
        <v>118521.14</v>
      </c>
      <c r="P573" s="70">
        <v>23650</v>
      </c>
      <c r="Q573" s="73">
        <f t="shared" ref="Q573:Q582" si="107">+ROUND(O573*P573,0)</f>
        <v>2803024961</v>
      </c>
      <c r="R573" s="144">
        <f t="shared" ref="R573:R579" si="108">+ROUND(85173250/9,0)</f>
        <v>9463694</v>
      </c>
      <c r="S573" s="19"/>
      <c r="T573" s="19"/>
      <c r="U573" s="19" t="s">
        <v>1742</v>
      </c>
      <c r="V573" s="74">
        <f t="shared" si="98"/>
        <v>2812488655</v>
      </c>
      <c r="W573" s="75"/>
      <c r="X573" s="64">
        <f t="shared" si="99"/>
        <v>2812488655</v>
      </c>
      <c r="Y573" s="19"/>
      <c r="Z573" s="19"/>
      <c r="AA573" s="128"/>
      <c r="AB573" s="19"/>
      <c r="AC573" s="64">
        <f t="shared" si="100"/>
        <v>2812488655</v>
      </c>
      <c r="AD573" s="63">
        <v>45078</v>
      </c>
      <c r="AE573" s="65">
        <v>47999</v>
      </c>
      <c r="AF573" s="19">
        <v>8</v>
      </c>
      <c r="AG573" s="19">
        <v>96</v>
      </c>
      <c r="AH573" s="25">
        <f t="shared" si="101"/>
        <v>29296757</v>
      </c>
      <c r="AI573" s="92">
        <v>205077299</v>
      </c>
      <c r="AJ573" s="92">
        <v>2607411356</v>
      </c>
      <c r="AK573" s="27">
        <f t="shared" si="92"/>
        <v>29296757</v>
      </c>
      <c r="AL573" s="27">
        <f t="shared" si="94"/>
        <v>29296757</v>
      </c>
      <c r="AM573" s="27"/>
      <c r="AN573" s="27"/>
      <c r="AO573" s="27"/>
      <c r="AP573" s="27"/>
      <c r="AQ573" s="27"/>
      <c r="AR573" s="27"/>
      <c r="AS573" s="27"/>
      <c r="AT573" s="27"/>
      <c r="AU573" s="27"/>
      <c r="AV573" s="27"/>
      <c r="AW573" s="27">
        <f t="shared" si="104"/>
        <v>58593514</v>
      </c>
      <c r="AX573" s="79">
        <f t="shared" si="105"/>
        <v>2548817842</v>
      </c>
      <c r="AY573" s="79">
        <f t="shared" si="106"/>
        <v>263670813</v>
      </c>
      <c r="AZ573" s="25">
        <v>1</v>
      </c>
      <c r="BA573" s="62" t="s">
        <v>97</v>
      </c>
      <c r="BB573" s="66">
        <v>1</v>
      </c>
      <c r="BC573" s="25"/>
      <c r="BD573" s="66"/>
      <c r="BE573" s="67">
        <f t="shared" si="93"/>
        <v>29296757</v>
      </c>
      <c r="BF573" s="67">
        <f t="shared" si="86"/>
        <v>0</v>
      </c>
      <c r="BG573" s="67">
        <f t="shared" si="85"/>
        <v>0</v>
      </c>
      <c r="BH573" s="67"/>
      <c r="BI573" s="68" t="s">
        <v>57</v>
      </c>
      <c r="BJ573" s="68" t="s">
        <v>85</v>
      </c>
      <c r="BK573" s="68" t="s">
        <v>85</v>
      </c>
      <c r="BO573" s="35" t="s">
        <v>1805</v>
      </c>
      <c r="BQ573" s="1" t="e">
        <v>#N/A</v>
      </c>
    </row>
    <row r="574" spans="3:69" ht="15" hidden="1" customHeight="1">
      <c r="C574" s="1" t="str">
        <f t="shared" si="102"/>
        <v>3305</v>
      </c>
      <c r="D574" s="1" t="str">
        <f t="shared" si="103"/>
        <v>2306</v>
      </c>
      <c r="E574" s="19" t="s">
        <v>1741</v>
      </c>
      <c r="F574" s="68" t="s">
        <v>49</v>
      </c>
      <c r="G574" s="62">
        <v>2112</v>
      </c>
      <c r="H574" s="19" t="s">
        <v>1723</v>
      </c>
      <c r="I574" s="19" t="s">
        <v>1732</v>
      </c>
      <c r="J574" s="86">
        <v>1</v>
      </c>
      <c r="K574" s="19" t="s">
        <v>1737</v>
      </c>
      <c r="L574" s="19" t="s">
        <v>77</v>
      </c>
      <c r="M574" s="142" t="s">
        <v>1738</v>
      </c>
      <c r="N574" s="42">
        <v>45030</v>
      </c>
      <c r="O574" s="70">
        <v>157134.63</v>
      </c>
      <c r="P574" s="70">
        <v>23650</v>
      </c>
      <c r="Q574" s="73">
        <f t="shared" si="107"/>
        <v>3716234000</v>
      </c>
      <c r="R574" s="144">
        <f t="shared" si="108"/>
        <v>9463694</v>
      </c>
      <c r="S574" s="19"/>
      <c r="T574" s="19"/>
      <c r="U574" s="19" t="s">
        <v>1742</v>
      </c>
      <c r="V574" s="74">
        <f t="shared" si="98"/>
        <v>3725697694</v>
      </c>
      <c r="W574" s="75"/>
      <c r="X574" s="64">
        <f t="shared" si="99"/>
        <v>3725697694</v>
      </c>
      <c r="Y574" s="19"/>
      <c r="Z574" s="19"/>
      <c r="AA574" s="128"/>
      <c r="AB574" s="19"/>
      <c r="AC574" s="64">
        <f t="shared" si="100"/>
        <v>3725697694</v>
      </c>
      <c r="AD574" s="63">
        <v>45078</v>
      </c>
      <c r="AE574" s="65">
        <v>48730</v>
      </c>
      <c r="AF574" s="19">
        <v>10</v>
      </c>
      <c r="AG574" s="19">
        <v>120</v>
      </c>
      <c r="AH574" s="25">
        <f t="shared" si="101"/>
        <v>31047481</v>
      </c>
      <c r="AI574" s="92">
        <v>217332367</v>
      </c>
      <c r="AJ574" s="92">
        <v>3508365327</v>
      </c>
      <c r="AK574" s="27">
        <f t="shared" si="92"/>
        <v>31047481</v>
      </c>
      <c r="AL574" s="27">
        <f t="shared" si="94"/>
        <v>31047481</v>
      </c>
      <c r="AM574" s="27"/>
      <c r="AN574" s="27"/>
      <c r="AO574" s="27"/>
      <c r="AP574" s="27"/>
      <c r="AQ574" s="27"/>
      <c r="AR574" s="27"/>
      <c r="AS574" s="27"/>
      <c r="AT574" s="27"/>
      <c r="AU574" s="27"/>
      <c r="AV574" s="27"/>
      <c r="AW574" s="27">
        <f t="shared" si="104"/>
        <v>62094962</v>
      </c>
      <c r="AX574" s="79">
        <f t="shared" si="105"/>
        <v>3446270365</v>
      </c>
      <c r="AY574" s="79">
        <f t="shared" si="106"/>
        <v>279427329</v>
      </c>
      <c r="AZ574" s="25">
        <v>1</v>
      </c>
      <c r="BA574" s="62" t="s">
        <v>97</v>
      </c>
      <c r="BB574" s="66">
        <v>1</v>
      </c>
      <c r="BC574" s="25"/>
      <c r="BD574" s="66"/>
      <c r="BE574" s="67">
        <f t="shared" si="93"/>
        <v>31047481</v>
      </c>
      <c r="BF574" s="67">
        <f t="shared" si="86"/>
        <v>0</v>
      </c>
      <c r="BG574" s="67">
        <f t="shared" si="85"/>
        <v>0</v>
      </c>
      <c r="BH574" s="67"/>
      <c r="BI574" s="68" t="s">
        <v>57</v>
      </c>
      <c r="BJ574" s="68" t="s">
        <v>85</v>
      </c>
      <c r="BK574" s="68" t="s">
        <v>85</v>
      </c>
      <c r="BO574" s="35" t="s">
        <v>1805</v>
      </c>
      <c r="BQ574" s="1" t="e">
        <v>#N/A</v>
      </c>
    </row>
    <row r="575" spans="3:69" ht="15" hidden="1" customHeight="1">
      <c r="C575" s="1" t="str">
        <f t="shared" si="102"/>
        <v>2905</v>
      </c>
      <c r="D575" s="1" t="str">
        <f t="shared" si="103"/>
        <v>2306</v>
      </c>
      <c r="E575" s="19" t="s">
        <v>1741</v>
      </c>
      <c r="F575" s="68" t="s">
        <v>49</v>
      </c>
      <c r="G575" s="62">
        <v>2112</v>
      </c>
      <c r="H575" s="19" t="s">
        <v>1724</v>
      </c>
      <c r="I575" s="19" t="s">
        <v>1733</v>
      </c>
      <c r="J575" s="86">
        <v>1</v>
      </c>
      <c r="K575" s="19" t="s">
        <v>1737</v>
      </c>
      <c r="L575" s="19" t="s">
        <v>77</v>
      </c>
      <c r="M575" s="142" t="s">
        <v>1738</v>
      </c>
      <c r="N575" s="42">
        <v>45030</v>
      </c>
      <c r="O575" s="70">
        <v>16344.74</v>
      </c>
      <c r="P575" s="70">
        <v>23650</v>
      </c>
      <c r="Q575" s="73">
        <f t="shared" si="107"/>
        <v>386553101</v>
      </c>
      <c r="R575" s="144">
        <f t="shared" si="108"/>
        <v>9463694</v>
      </c>
      <c r="S575" s="19"/>
      <c r="T575" s="19"/>
      <c r="U575" s="19" t="s">
        <v>1742</v>
      </c>
      <c r="V575" s="74">
        <f t="shared" si="98"/>
        <v>396016795</v>
      </c>
      <c r="W575" s="75"/>
      <c r="X575" s="64">
        <f t="shared" si="99"/>
        <v>396016795</v>
      </c>
      <c r="Y575" s="19"/>
      <c r="Z575" s="19"/>
      <c r="AA575" s="128"/>
      <c r="AB575" s="19"/>
      <c r="AC575" s="64">
        <f t="shared" si="100"/>
        <v>396016795</v>
      </c>
      <c r="AD575" s="63">
        <v>45078</v>
      </c>
      <c r="AE575" s="65">
        <v>47269</v>
      </c>
      <c r="AF575" s="19">
        <v>6</v>
      </c>
      <c r="AG575" s="19">
        <v>72</v>
      </c>
      <c r="AH575" s="25">
        <f t="shared" si="101"/>
        <v>5500233</v>
      </c>
      <c r="AI575" s="92">
        <v>38501631</v>
      </c>
      <c r="AJ575" s="92">
        <v>357515164</v>
      </c>
      <c r="AK575" s="27">
        <f t="shared" si="92"/>
        <v>5500233</v>
      </c>
      <c r="AL575" s="27">
        <f t="shared" si="94"/>
        <v>5500233</v>
      </c>
      <c r="AM575" s="27"/>
      <c r="AN575" s="27"/>
      <c r="AO575" s="27"/>
      <c r="AP575" s="27"/>
      <c r="AQ575" s="27"/>
      <c r="AR575" s="27"/>
      <c r="AS575" s="27"/>
      <c r="AT575" s="27"/>
      <c r="AU575" s="27"/>
      <c r="AV575" s="27"/>
      <c r="AW575" s="27">
        <f t="shared" si="104"/>
        <v>11000466</v>
      </c>
      <c r="AX575" s="79">
        <f t="shared" si="105"/>
        <v>346514698</v>
      </c>
      <c r="AY575" s="79">
        <f t="shared" si="106"/>
        <v>49502097</v>
      </c>
      <c r="AZ575" s="25">
        <v>1</v>
      </c>
      <c r="BA575" s="62" t="s">
        <v>97</v>
      </c>
      <c r="BB575" s="66">
        <v>1</v>
      </c>
      <c r="BC575" s="25"/>
      <c r="BD575" s="66"/>
      <c r="BE575" s="67">
        <f t="shared" si="93"/>
        <v>5500233</v>
      </c>
      <c r="BF575" s="67">
        <f t="shared" si="86"/>
        <v>0</v>
      </c>
      <c r="BG575" s="67">
        <f t="shared" si="85"/>
        <v>0</v>
      </c>
      <c r="BH575" s="67"/>
      <c r="BI575" s="68" t="s">
        <v>57</v>
      </c>
      <c r="BJ575" s="68" t="s">
        <v>81</v>
      </c>
      <c r="BK575" s="68" t="s">
        <v>81</v>
      </c>
      <c r="BO575" s="35" t="s">
        <v>1805</v>
      </c>
      <c r="BQ575" s="1" t="e">
        <v>#N/A</v>
      </c>
    </row>
    <row r="576" spans="3:69" ht="15" hidden="1" customHeight="1">
      <c r="C576" s="1" t="str">
        <f t="shared" si="102"/>
        <v>2905</v>
      </c>
      <c r="D576" s="1" t="str">
        <f t="shared" si="103"/>
        <v>2306</v>
      </c>
      <c r="E576" s="19" t="s">
        <v>1741</v>
      </c>
      <c r="F576" s="68" t="s">
        <v>49</v>
      </c>
      <c r="G576" s="62">
        <v>2112</v>
      </c>
      <c r="H576" s="19" t="s">
        <v>1725</v>
      </c>
      <c r="I576" s="19" t="s">
        <v>1733</v>
      </c>
      <c r="J576" s="86">
        <v>1</v>
      </c>
      <c r="K576" s="19" t="s">
        <v>1737</v>
      </c>
      <c r="L576" s="19" t="s">
        <v>77</v>
      </c>
      <c r="M576" s="142" t="s">
        <v>1738</v>
      </c>
      <c r="N576" s="42">
        <v>45030</v>
      </c>
      <c r="O576" s="70">
        <v>16344.74</v>
      </c>
      <c r="P576" s="70">
        <v>23650</v>
      </c>
      <c r="Q576" s="73">
        <f t="shared" si="107"/>
        <v>386553101</v>
      </c>
      <c r="R576" s="144">
        <f t="shared" si="108"/>
        <v>9463694</v>
      </c>
      <c r="S576" s="19"/>
      <c r="T576" s="19"/>
      <c r="U576" s="19" t="s">
        <v>1742</v>
      </c>
      <c r="V576" s="74">
        <f t="shared" si="98"/>
        <v>396016795</v>
      </c>
      <c r="W576" s="75"/>
      <c r="X576" s="64">
        <f t="shared" si="99"/>
        <v>396016795</v>
      </c>
      <c r="Y576" s="19"/>
      <c r="Z576" s="19"/>
      <c r="AA576" s="128"/>
      <c r="AB576" s="19"/>
      <c r="AC576" s="64">
        <f t="shared" si="100"/>
        <v>396016795</v>
      </c>
      <c r="AD576" s="63">
        <v>45078</v>
      </c>
      <c r="AE576" s="65">
        <v>47269</v>
      </c>
      <c r="AF576" s="19">
        <v>6</v>
      </c>
      <c r="AG576" s="19">
        <v>72</v>
      </c>
      <c r="AH576" s="25">
        <f t="shared" si="101"/>
        <v>5500233</v>
      </c>
      <c r="AI576" s="92">
        <v>38501631</v>
      </c>
      <c r="AJ576" s="92">
        <v>357515164</v>
      </c>
      <c r="AK576" s="27">
        <f t="shared" si="92"/>
        <v>5500233</v>
      </c>
      <c r="AL576" s="27">
        <f t="shared" si="94"/>
        <v>5500233</v>
      </c>
      <c r="AM576" s="27"/>
      <c r="AN576" s="27"/>
      <c r="AO576" s="27"/>
      <c r="AP576" s="27"/>
      <c r="AQ576" s="27"/>
      <c r="AR576" s="27"/>
      <c r="AS576" s="27"/>
      <c r="AT576" s="27"/>
      <c r="AU576" s="27"/>
      <c r="AV576" s="27"/>
      <c r="AW576" s="27">
        <f t="shared" si="104"/>
        <v>11000466</v>
      </c>
      <c r="AX576" s="79">
        <f t="shared" si="105"/>
        <v>346514698</v>
      </c>
      <c r="AY576" s="79">
        <f t="shared" si="106"/>
        <v>49502097</v>
      </c>
      <c r="AZ576" s="25">
        <v>1</v>
      </c>
      <c r="BA576" s="62" t="s">
        <v>97</v>
      </c>
      <c r="BB576" s="66">
        <v>1</v>
      </c>
      <c r="BC576" s="25"/>
      <c r="BD576" s="66"/>
      <c r="BE576" s="67">
        <f t="shared" si="93"/>
        <v>5500233</v>
      </c>
      <c r="BF576" s="67">
        <f t="shared" si="86"/>
        <v>0</v>
      </c>
      <c r="BG576" s="67">
        <f t="shared" si="85"/>
        <v>0</v>
      </c>
      <c r="BH576" s="67"/>
      <c r="BI576" s="68" t="s">
        <v>57</v>
      </c>
      <c r="BJ576" s="68" t="s">
        <v>81</v>
      </c>
      <c r="BK576" s="68" t="s">
        <v>81</v>
      </c>
      <c r="BO576" s="35" t="s">
        <v>1805</v>
      </c>
      <c r="BQ576" s="1" t="e">
        <v>#N/A</v>
      </c>
    </row>
    <row r="577" spans="3:69" ht="15" hidden="1" customHeight="1">
      <c r="C577" s="1" t="str">
        <f t="shared" si="102"/>
        <v>3105</v>
      </c>
      <c r="D577" s="1" t="str">
        <f t="shared" si="103"/>
        <v>2306</v>
      </c>
      <c r="E577" s="19" t="s">
        <v>1741</v>
      </c>
      <c r="F577" s="68" t="s">
        <v>49</v>
      </c>
      <c r="G577" s="62">
        <v>2112</v>
      </c>
      <c r="H577" s="19" t="s">
        <v>1726</v>
      </c>
      <c r="I577" s="19" t="s">
        <v>1734</v>
      </c>
      <c r="J577" s="86">
        <v>1</v>
      </c>
      <c r="K577" s="19" t="s">
        <v>1737</v>
      </c>
      <c r="L577" s="19" t="s">
        <v>77</v>
      </c>
      <c r="M577" s="142" t="s">
        <v>1738</v>
      </c>
      <c r="N577" s="42">
        <v>45030</v>
      </c>
      <c r="O577" s="70">
        <v>18999.650000000001</v>
      </c>
      <c r="P577" s="70">
        <v>23650</v>
      </c>
      <c r="Q577" s="73">
        <f t="shared" si="107"/>
        <v>449341723</v>
      </c>
      <c r="R577" s="144">
        <f t="shared" si="108"/>
        <v>9463694</v>
      </c>
      <c r="S577" s="19"/>
      <c r="T577" s="19"/>
      <c r="U577" s="19" t="s">
        <v>1742</v>
      </c>
      <c r="V577" s="74">
        <f t="shared" si="98"/>
        <v>458805417</v>
      </c>
      <c r="W577" s="75"/>
      <c r="X577" s="64">
        <f t="shared" si="99"/>
        <v>458805417</v>
      </c>
      <c r="Y577" s="19"/>
      <c r="Z577" s="19"/>
      <c r="AA577" s="128"/>
      <c r="AB577" s="19"/>
      <c r="AC577" s="64">
        <f t="shared" si="100"/>
        <v>458805417</v>
      </c>
      <c r="AD577" s="63">
        <v>45078</v>
      </c>
      <c r="AE577" s="65">
        <v>47999</v>
      </c>
      <c r="AF577" s="19">
        <v>8</v>
      </c>
      <c r="AG577" s="19">
        <v>96</v>
      </c>
      <c r="AH577" s="25">
        <f t="shared" si="101"/>
        <v>4779223</v>
      </c>
      <c r="AI577" s="92">
        <v>33454561</v>
      </c>
      <c r="AJ577" s="92">
        <v>425350856</v>
      </c>
      <c r="AK577" s="27">
        <f t="shared" si="92"/>
        <v>4779223</v>
      </c>
      <c r="AL577" s="27">
        <f t="shared" si="94"/>
        <v>4779223</v>
      </c>
      <c r="AM577" s="27"/>
      <c r="AN577" s="27"/>
      <c r="AO577" s="27"/>
      <c r="AP577" s="27"/>
      <c r="AQ577" s="27"/>
      <c r="AR577" s="27"/>
      <c r="AS577" s="27"/>
      <c r="AT577" s="27"/>
      <c r="AU577" s="27"/>
      <c r="AV577" s="27"/>
      <c r="AW577" s="27">
        <f t="shared" si="104"/>
        <v>9558446</v>
      </c>
      <c r="AX577" s="79">
        <f t="shared" si="105"/>
        <v>415792410</v>
      </c>
      <c r="AY577" s="79">
        <f t="shared" si="106"/>
        <v>43013007</v>
      </c>
      <c r="AZ577" s="25">
        <v>1</v>
      </c>
      <c r="BA577" s="62" t="s">
        <v>97</v>
      </c>
      <c r="BB577" s="66">
        <v>1</v>
      </c>
      <c r="BC577" s="25"/>
      <c r="BD577" s="66"/>
      <c r="BE577" s="67">
        <f t="shared" si="93"/>
        <v>4779223</v>
      </c>
      <c r="BF577" s="67">
        <f t="shared" si="86"/>
        <v>0</v>
      </c>
      <c r="BG577" s="67">
        <f t="shared" si="85"/>
        <v>0</v>
      </c>
      <c r="BH577" s="67"/>
      <c r="BI577" s="68" t="s">
        <v>57</v>
      </c>
      <c r="BJ577" s="68" t="s">
        <v>81</v>
      </c>
      <c r="BK577" s="68" t="s">
        <v>81</v>
      </c>
      <c r="BO577" s="35" t="s">
        <v>1805</v>
      </c>
      <c r="BQ577" s="1" t="s">
        <v>1930</v>
      </c>
    </row>
    <row r="578" spans="3:69" ht="15" hidden="1" customHeight="1">
      <c r="C578" s="1" t="str">
        <f t="shared" si="102"/>
        <v>3105</v>
      </c>
      <c r="D578" s="1" t="str">
        <f t="shared" si="103"/>
        <v>2306</v>
      </c>
      <c r="E578" s="19" t="s">
        <v>1741</v>
      </c>
      <c r="F578" s="68" t="s">
        <v>49</v>
      </c>
      <c r="G578" s="62">
        <v>2112</v>
      </c>
      <c r="H578" s="19" t="s">
        <v>1727</v>
      </c>
      <c r="I578" s="19" t="s">
        <v>1735</v>
      </c>
      <c r="J578" s="86">
        <v>1</v>
      </c>
      <c r="K578" s="19" t="s">
        <v>1737</v>
      </c>
      <c r="L578" s="19" t="s">
        <v>77</v>
      </c>
      <c r="M578" s="142" t="s">
        <v>1738</v>
      </c>
      <c r="N578" s="42">
        <v>45030</v>
      </c>
      <c r="O578" s="70">
        <v>55930.04</v>
      </c>
      <c r="P578" s="70">
        <v>23650</v>
      </c>
      <c r="Q578" s="73">
        <f t="shared" si="107"/>
        <v>1322745446</v>
      </c>
      <c r="R578" s="144">
        <f t="shared" si="108"/>
        <v>9463694</v>
      </c>
      <c r="S578" s="19"/>
      <c r="T578" s="19"/>
      <c r="U578" s="19" t="s">
        <v>1742</v>
      </c>
      <c r="V578" s="74">
        <f t="shared" si="98"/>
        <v>1332209140</v>
      </c>
      <c r="W578" s="75"/>
      <c r="X578" s="64">
        <f t="shared" si="99"/>
        <v>1332209140</v>
      </c>
      <c r="Y578" s="19"/>
      <c r="Z578" s="19"/>
      <c r="AA578" s="128"/>
      <c r="AB578" s="19"/>
      <c r="AC578" s="64">
        <f t="shared" si="100"/>
        <v>1332209140</v>
      </c>
      <c r="AD578" s="63">
        <v>45078</v>
      </c>
      <c r="AE578" s="65">
        <v>47999</v>
      </c>
      <c r="AF578" s="19">
        <v>8</v>
      </c>
      <c r="AG578" s="19">
        <v>96</v>
      </c>
      <c r="AH578" s="25">
        <f t="shared" si="101"/>
        <v>13877179</v>
      </c>
      <c r="AI578" s="92">
        <v>97140253</v>
      </c>
      <c r="AJ578" s="92">
        <v>1235068887</v>
      </c>
      <c r="AK578" s="27">
        <f t="shared" si="92"/>
        <v>13877179</v>
      </c>
      <c r="AL578" s="27">
        <f t="shared" si="94"/>
        <v>13877179</v>
      </c>
      <c r="AM578" s="27"/>
      <c r="AN578" s="27"/>
      <c r="AO578" s="27"/>
      <c r="AP578" s="27"/>
      <c r="AQ578" s="27"/>
      <c r="AR578" s="27"/>
      <c r="AS578" s="27"/>
      <c r="AT578" s="27"/>
      <c r="AU578" s="27"/>
      <c r="AV578" s="27"/>
      <c r="AW578" s="27">
        <f t="shared" si="104"/>
        <v>27754358</v>
      </c>
      <c r="AX578" s="79">
        <f t="shared" si="105"/>
        <v>1207314529</v>
      </c>
      <c r="AY578" s="79">
        <f t="shared" si="106"/>
        <v>124894611</v>
      </c>
      <c r="AZ578" s="25">
        <v>1</v>
      </c>
      <c r="BA578" s="62" t="s">
        <v>97</v>
      </c>
      <c r="BB578" s="66">
        <v>1</v>
      </c>
      <c r="BC578" s="25"/>
      <c r="BD578" s="66"/>
      <c r="BE578" s="67">
        <f t="shared" si="93"/>
        <v>13877179</v>
      </c>
      <c r="BF578" s="67">
        <f t="shared" si="86"/>
        <v>0</v>
      </c>
      <c r="BG578" s="67">
        <f t="shared" si="85"/>
        <v>0</v>
      </c>
      <c r="BH578" s="67"/>
      <c r="BI578" s="68" t="s">
        <v>57</v>
      </c>
      <c r="BJ578" s="68" t="s">
        <v>98</v>
      </c>
      <c r="BK578" s="68" t="s">
        <v>98</v>
      </c>
      <c r="BO578" s="35" t="s">
        <v>1801</v>
      </c>
      <c r="BQ578" s="1" t="e">
        <v>#N/A</v>
      </c>
    </row>
    <row r="579" spans="3:69" ht="15" hidden="1" customHeight="1">
      <c r="C579" s="1" t="str">
        <f t="shared" si="102"/>
        <v>3105</v>
      </c>
      <c r="D579" s="1" t="str">
        <f t="shared" si="103"/>
        <v>2306</v>
      </c>
      <c r="E579" s="19" t="s">
        <v>1741</v>
      </c>
      <c r="F579" s="68" t="s">
        <v>49</v>
      </c>
      <c r="G579" s="62">
        <v>2112</v>
      </c>
      <c r="H579" s="19" t="s">
        <v>1728</v>
      </c>
      <c r="I579" s="19" t="s">
        <v>1735</v>
      </c>
      <c r="J579" s="86">
        <v>1</v>
      </c>
      <c r="K579" s="19" t="s">
        <v>1737</v>
      </c>
      <c r="L579" s="19" t="s">
        <v>77</v>
      </c>
      <c r="M579" s="142" t="s">
        <v>1738</v>
      </c>
      <c r="N579" s="42">
        <v>45030</v>
      </c>
      <c r="O579" s="70">
        <v>56473.05</v>
      </c>
      <c r="P579" s="70">
        <v>23650</v>
      </c>
      <c r="Q579" s="73">
        <f t="shared" si="107"/>
        <v>1335587633</v>
      </c>
      <c r="R579" s="144">
        <f t="shared" si="108"/>
        <v>9463694</v>
      </c>
      <c r="S579" s="19"/>
      <c r="T579" s="19"/>
      <c r="U579" s="19" t="s">
        <v>1742</v>
      </c>
      <c r="V579" s="74">
        <f t="shared" si="98"/>
        <v>1345051327</v>
      </c>
      <c r="W579" s="75"/>
      <c r="X579" s="64">
        <f t="shared" si="99"/>
        <v>1345051327</v>
      </c>
      <c r="Y579" s="19"/>
      <c r="Z579" s="19"/>
      <c r="AA579" s="128"/>
      <c r="AB579" s="19"/>
      <c r="AC579" s="64">
        <f t="shared" si="100"/>
        <v>1345051327</v>
      </c>
      <c r="AD579" s="63">
        <v>45078</v>
      </c>
      <c r="AE579" s="65">
        <v>47999</v>
      </c>
      <c r="AF579" s="19">
        <v>8</v>
      </c>
      <c r="AG579" s="19">
        <v>96</v>
      </c>
      <c r="AH579" s="25">
        <f t="shared" si="101"/>
        <v>14010951</v>
      </c>
      <c r="AI579" s="92">
        <v>98076657</v>
      </c>
      <c r="AJ579" s="92">
        <v>1246974670</v>
      </c>
      <c r="AK579" s="27">
        <f t="shared" si="92"/>
        <v>14010951</v>
      </c>
      <c r="AL579" s="27">
        <f t="shared" si="94"/>
        <v>14010951</v>
      </c>
      <c r="AM579" s="27"/>
      <c r="AN579" s="27"/>
      <c r="AO579" s="27"/>
      <c r="AP579" s="27"/>
      <c r="AQ579" s="27"/>
      <c r="AR579" s="27"/>
      <c r="AS579" s="27"/>
      <c r="AT579" s="27"/>
      <c r="AU579" s="27"/>
      <c r="AV579" s="27"/>
      <c r="AW579" s="27">
        <f t="shared" si="104"/>
        <v>28021902</v>
      </c>
      <c r="AX579" s="79">
        <f t="shared" si="105"/>
        <v>1218952768</v>
      </c>
      <c r="AY579" s="79">
        <f t="shared" si="106"/>
        <v>126098559</v>
      </c>
      <c r="AZ579" s="25">
        <v>1</v>
      </c>
      <c r="BA579" s="62" t="s">
        <v>97</v>
      </c>
      <c r="BB579" s="66">
        <v>1</v>
      </c>
      <c r="BC579" s="25"/>
      <c r="BD579" s="66"/>
      <c r="BE579" s="67">
        <f t="shared" si="93"/>
        <v>14010951</v>
      </c>
      <c r="BF579" s="67">
        <f t="shared" si="86"/>
        <v>0</v>
      </c>
      <c r="BG579" s="67">
        <f t="shared" si="85"/>
        <v>0</v>
      </c>
      <c r="BH579" s="67"/>
      <c r="BI579" s="68" t="s">
        <v>57</v>
      </c>
      <c r="BJ579" s="68" t="s">
        <v>98</v>
      </c>
      <c r="BK579" s="68" t="s">
        <v>98</v>
      </c>
      <c r="BO579" s="35" t="s">
        <v>1801</v>
      </c>
      <c r="BQ579" s="1" t="e">
        <v>#N/A</v>
      </c>
    </row>
    <row r="580" spans="3:69" ht="15" hidden="1" customHeight="1">
      <c r="C580" s="1" t="str">
        <f t="shared" si="102"/>
        <v>3305</v>
      </c>
      <c r="D580" s="1" t="str">
        <f t="shared" si="103"/>
        <v>2306</v>
      </c>
      <c r="E580" s="19" t="s">
        <v>1741</v>
      </c>
      <c r="F580" s="68" t="s">
        <v>49</v>
      </c>
      <c r="G580" s="62">
        <v>2114</v>
      </c>
      <c r="H580" s="19" t="s">
        <v>1729</v>
      </c>
      <c r="I580" s="19" t="s">
        <v>1736</v>
      </c>
      <c r="J580" s="86">
        <v>1</v>
      </c>
      <c r="K580" s="19" t="s">
        <v>1737</v>
      </c>
      <c r="L580" s="19" t="s">
        <v>1717</v>
      </c>
      <c r="M580" s="142" t="s">
        <v>1739</v>
      </c>
      <c r="N580" s="42">
        <v>45055</v>
      </c>
      <c r="O580" s="70">
        <v>63000</v>
      </c>
      <c r="P580" s="70">
        <v>23725</v>
      </c>
      <c r="Q580" s="73">
        <f t="shared" si="107"/>
        <v>1494675000</v>
      </c>
      <c r="R580" s="144">
        <v>10835300</v>
      </c>
      <c r="S580" s="19"/>
      <c r="T580" s="19"/>
      <c r="U580" s="19" t="s">
        <v>1743</v>
      </c>
      <c r="V580" s="74">
        <f t="shared" si="98"/>
        <v>1505510300</v>
      </c>
      <c r="W580" s="75"/>
      <c r="X580" s="64">
        <f t="shared" si="99"/>
        <v>1505510300</v>
      </c>
      <c r="Y580" s="19"/>
      <c r="Z580" s="19"/>
      <c r="AA580" s="128"/>
      <c r="AB580" s="19"/>
      <c r="AC580" s="64">
        <f t="shared" si="100"/>
        <v>1505510300</v>
      </c>
      <c r="AD580" s="63">
        <v>45078</v>
      </c>
      <c r="AE580" s="65">
        <v>48730</v>
      </c>
      <c r="AF580" s="19">
        <v>10</v>
      </c>
      <c r="AG580" s="19">
        <v>120</v>
      </c>
      <c r="AH580" s="25">
        <f t="shared" si="101"/>
        <v>12545919</v>
      </c>
      <c r="AI580" s="92">
        <v>87821433</v>
      </c>
      <c r="AJ580" s="92">
        <v>1417688867</v>
      </c>
      <c r="AK580" s="27">
        <f t="shared" si="92"/>
        <v>12545919</v>
      </c>
      <c r="AL580" s="27">
        <f t="shared" si="94"/>
        <v>12545919</v>
      </c>
      <c r="AM580" s="27"/>
      <c r="AN580" s="27"/>
      <c r="AO580" s="27"/>
      <c r="AP580" s="27"/>
      <c r="AQ580" s="27"/>
      <c r="AR580" s="27"/>
      <c r="AS580" s="27"/>
      <c r="AT580" s="27"/>
      <c r="AU580" s="27"/>
      <c r="AV580" s="27"/>
      <c r="AW580" s="27">
        <f>+SUM(AK580:AV580)</f>
        <v>25091838</v>
      </c>
      <c r="AX580" s="79">
        <f>AC580-AI580-AW580</f>
        <v>1392597029</v>
      </c>
      <c r="AY580" s="79">
        <f t="shared" si="106"/>
        <v>112913271</v>
      </c>
      <c r="AZ580" s="25">
        <v>1</v>
      </c>
      <c r="BA580" s="62" t="s">
        <v>97</v>
      </c>
      <c r="BB580" s="66"/>
      <c r="BC580" s="25">
        <v>1</v>
      </c>
      <c r="BD580" s="66"/>
      <c r="BE580" s="67">
        <f t="shared" si="93"/>
        <v>0</v>
      </c>
      <c r="BF580" s="67">
        <f t="shared" si="86"/>
        <v>12545919</v>
      </c>
      <c r="BG580" s="67">
        <f t="shared" si="85"/>
        <v>0</v>
      </c>
      <c r="BH580" s="67"/>
      <c r="BI580" s="19" t="s">
        <v>1624</v>
      </c>
      <c r="BJ580" s="68" t="s">
        <v>1438</v>
      </c>
      <c r="BK580" s="68" t="s">
        <v>1438</v>
      </c>
      <c r="BO580" s="35" t="s">
        <v>1804</v>
      </c>
      <c r="BQ580" s="1" t="e">
        <v>#N/A</v>
      </c>
    </row>
    <row r="581" spans="3:69" ht="15" hidden="1" customHeight="1">
      <c r="C581" s="1" t="str">
        <f t="shared" si="102"/>
        <v>3305</v>
      </c>
      <c r="D581" s="1" t="str">
        <f t="shared" si="103"/>
        <v>2306</v>
      </c>
      <c r="E581" s="19" t="s">
        <v>1741</v>
      </c>
      <c r="F581" s="68" t="s">
        <v>49</v>
      </c>
      <c r="G581" s="62">
        <v>2112</v>
      </c>
      <c r="H581" s="19" t="s">
        <v>1730</v>
      </c>
      <c r="I581" s="19" t="s">
        <v>1719</v>
      </c>
      <c r="J581" s="86">
        <v>1</v>
      </c>
      <c r="K581" s="19" t="s">
        <v>1192</v>
      </c>
      <c r="L581" s="19" t="s">
        <v>1718</v>
      </c>
      <c r="M581" s="142" t="s">
        <v>1740</v>
      </c>
      <c r="N581" s="42">
        <v>45077</v>
      </c>
      <c r="O581" s="70"/>
      <c r="P581" s="70"/>
      <c r="Q581" s="73">
        <v>409500000</v>
      </c>
      <c r="R581" s="70"/>
      <c r="S581" s="19"/>
      <c r="T581" s="19"/>
      <c r="U581" s="19"/>
      <c r="V581" s="74">
        <f t="shared" si="98"/>
        <v>409500000</v>
      </c>
      <c r="W581" s="75"/>
      <c r="X581" s="64">
        <f t="shared" si="99"/>
        <v>409500000</v>
      </c>
      <c r="Y581" s="19"/>
      <c r="Z581" s="19"/>
      <c r="AA581" s="128"/>
      <c r="AB581" s="19"/>
      <c r="AC581" s="64">
        <f t="shared" si="100"/>
        <v>409500000</v>
      </c>
      <c r="AD581" s="63">
        <v>45078</v>
      </c>
      <c r="AE581" s="65">
        <v>48730</v>
      </c>
      <c r="AF581" s="19">
        <v>10</v>
      </c>
      <c r="AG581" s="19">
        <v>120</v>
      </c>
      <c r="AH581" s="25">
        <f t="shared" si="101"/>
        <v>3412500</v>
      </c>
      <c r="AI581" s="92">
        <v>23887500</v>
      </c>
      <c r="AJ581" s="92">
        <v>385612500</v>
      </c>
      <c r="AK581" s="27">
        <f t="shared" si="92"/>
        <v>3412500</v>
      </c>
      <c r="AL581" s="27">
        <f t="shared" si="94"/>
        <v>3412500</v>
      </c>
      <c r="AM581" s="27"/>
      <c r="AN581" s="27"/>
      <c r="AO581" s="27"/>
      <c r="AP581" s="27"/>
      <c r="AQ581" s="27"/>
      <c r="AR581" s="27"/>
      <c r="AS581" s="27"/>
      <c r="AT581" s="27"/>
      <c r="AU581" s="27"/>
      <c r="AV581" s="27"/>
      <c r="AW581" s="27">
        <f t="shared" si="104"/>
        <v>6825000</v>
      </c>
      <c r="AX581" s="79">
        <f t="shared" si="105"/>
        <v>378787500</v>
      </c>
      <c r="AY581" s="79">
        <f t="shared" si="106"/>
        <v>30712500</v>
      </c>
      <c r="AZ581" s="25">
        <v>1</v>
      </c>
      <c r="BA581" s="62" t="s">
        <v>97</v>
      </c>
      <c r="BB581" s="66">
        <v>1</v>
      </c>
      <c r="BC581" s="25"/>
      <c r="BD581" s="66"/>
      <c r="BE581" s="67">
        <f t="shared" si="93"/>
        <v>3412500</v>
      </c>
      <c r="BF581" s="67">
        <f t="shared" si="86"/>
        <v>0</v>
      </c>
      <c r="BG581" s="67">
        <f t="shared" si="85"/>
        <v>0</v>
      </c>
      <c r="BH581" s="67"/>
      <c r="BI581" s="68" t="s">
        <v>57</v>
      </c>
      <c r="BJ581" s="68" t="s">
        <v>58</v>
      </c>
      <c r="BK581" s="68" t="s">
        <v>58</v>
      </c>
      <c r="BO581" s="35" t="s">
        <v>1804</v>
      </c>
      <c r="BQ581" s="1" t="e">
        <v>#N/A</v>
      </c>
    </row>
    <row r="582" spans="3:69" ht="15" hidden="1" customHeight="1">
      <c r="C582" s="1" t="str">
        <f t="shared" si="102"/>
        <v>3306</v>
      </c>
      <c r="D582" s="1" t="str">
        <f t="shared" si="103"/>
        <v>2307</v>
      </c>
      <c r="E582" s="19" t="s">
        <v>1753</v>
      </c>
      <c r="F582" s="68" t="s">
        <v>515</v>
      </c>
      <c r="G582" s="62">
        <v>2112</v>
      </c>
      <c r="H582" s="19" t="s">
        <v>1749</v>
      </c>
      <c r="I582" s="19" t="s">
        <v>1750</v>
      </c>
      <c r="J582" s="86">
        <v>1</v>
      </c>
      <c r="K582" s="19" t="s">
        <v>1737</v>
      </c>
      <c r="L582" s="19" t="s">
        <v>1747</v>
      </c>
      <c r="M582" s="142" t="s">
        <v>1751</v>
      </c>
      <c r="N582" s="42">
        <v>45098</v>
      </c>
      <c r="O582" s="70">
        <v>110062.5</v>
      </c>
      <c r="P582" s="70">
        <v>23641</v>
      </c>
      <c r="Q582" s="73">
        <f t="shared" si="107"/>
        <v>2601987563</v>
      </c>
      <c r="R582" s="70"/>
      <c r="S582" s="19"/>
      <c r="T582" s="144">
        <v>17804574</v>
      </c>
      <c r="U582" s="19" t="s">
        <v>1752</v>
      </c>
      <c r="V582" s="74">
        <f t="shared" si="98"/>
        <v>2619792137</v>
      </c>
      <c r="W582" s="75"/>
      <c r="X582" s="64">
        <f t="shared" si="99"/>
        <v>2619792137</v>
      </c>
      <c r="Y582" s="19"/>
      <c r="Z582" s="19"/>
      <c r="AA582" s="128"/>
      <c r="AB582" s="19"/>
      <c r="AC582" s="64">
        <f t="shared" si="100"/>
        <v>2619792137</v>
      </c>
      <c r="AD582" s="63">
        <v>45108</v>
      </c>
      <c r="AE582" s="65">
        <v>48760</v>
      </c>
      <c r="AF582" s="19">
        <v>10</v>
      </c>
      <c r="AG582" s="19">
        <v>120</v>
      </c>
      <c r="AH582" s="25">
        <f t="shared" si="101"/>
        <v>21831601</v>
      </c>
      <c r="AI582" s="92">
        <v>130989606</v>
      </c>
      <c r="AJ582" s="92">
        <v>2488802531</v>
      </c>
      <c r="AK582" s="27">
        <f t="shared" si="92"/>
        <v>21831601</v>
      </c>
      <c r="AL582" s="27">
        <f t="shared" si="94"/>
        <v>21831601</v>
      </c>
      <c r="AM582" s="27"/>
      <c r="AN582" s="27"/>
      <c r="AO582" s="27"/>
      <c r="AP582" s="27"/>
      <c r="AQ582" s="27"/>
      <c r="AR582" s="27"/>
      <c r="AS582" s="27"/>
      <c r="AT582" s="27"/>
      <c r="AU582" s="27"/>
      <c r="AV582" s="27"/>
      <c r="AW582" s="27">
        <f t="shared" ref="AW582:AW590" si="109">+SUM(AK582:AV582)</f>
        <v>43663202</v>
      </c>
      <c r="AX582" s="79">
        <f t="shared" ref="AX582:AX590" si="110">AC582-AI582-AW582</f>
        <v>2445139329</v>
      </c>
      <c r="AY582" s="79">
        <f t="shared" ref="AY582:AY591" si="111">AW582+AI582</f>
        <v>174652808</v>
      </c>
      <c r="AZ582" s="25">
        <v>1</v>
      </c>
      <c r="BA582" s="62" t="s">
        <v>97</v>
      </c>
      <c r="BB582" s="66">
        <v>1</v>
      </c>
      <c r="BC582" s="25"/>
      <c r="BD582" s="66"/>
      <c r="BE582" s="67">
        <f t="shared" si="93"/>
        <v>21831601</v>
      </c>
      <c r="BF582" s="67">
        <f t="shared" si="86"/>
        <v>0</v>
      </c>
      <c r="BG582" s="67">
        <f t="shared" si="85"/>
        <v>0</v>
      </c>
      <c r="BH582" s="67"/>
      <c r="BI582" s="68" t="s">
        <v>871</v>
      </c>
      <c r="BJ582" s="68" t="s">
        <v>124</v>
      </c>
      <c r="BK582" s="68" t="s">
        <v>124</v>
      </c>
      <c r="BO582" s="35" t="s">
        <v>1805</v>
      </c>
      <c r="BQ582" s="1" t="e">
        <v>#N/A</v>
      </c>
    </row>
    <row r="583" spans="3:69" ht="15" hidden="1" customHeight="1">
      <c r="C583" s="1" t="str">
        <f>+RIGHT(YEAR(AE583),2)&amp;IF(LEN(MONTH(AE583))=2,MONTH(AE583),"0"&amp;MONTH(AE583))</f>
        <v>3006</v>
      </c>
      <c r="D583" s="1" t="str">
        <f t="shared" si="103"/>
        <v>2307</v>
      </c>
      <c r="E583" s="19" t="s">
        <v>1753</v>
      </c>
      <c r="F583" s="68" t="s">
        <v>49</v>
      </c>
      <c r="G583" s="62">
        <v>2112</v>
      </c>
      <c r="H583" s="19" t="s">
        <v>1755</v>
      </c>
      <c r="I583" s="19" t="s">
        <v>1756</v>
      </c>
      <c r="J583" s="86">
        <v>1</v>
      </c>
      <c r="K583" s="19" t="s">
        <v>1737</v>
      </c>
      <c r="L583" s="19" t="s">
        <v>77</v>
      </c>
      <c r="M583" s="142" t="s">
        <v>1738</v>
      </c>
      <c r="N583" s="42">
        <v>45030</v>
      </c>
      <c r="O583" s="70">
        <v>62418.720000000001</v>
      </c>
      <c r="P583" s="70">
        <v>23650</v>
      </c>
      <c r="Q583" s="73">
        <v>1476202728</v>
      </c>
      <c r="R583" s="70"/>
      <c r="S583" s="19"/>
      <c r="T583" s="19">
        <v>9463698</v>
      </c>
      <c r="U583" s="19" t="s">
        <v>1772</v>
      </c>
      <c r="V583" s="74">
        <f t="shared" si="98"/>
        <v>1485666426</v>
      </c>
      <c r="W583" s="75"/>
      <c r="X583" s="64">
        <f t="shared" si="99"/>
        <v>1485666426</v>
      </c>
      <c r="Y583" s="19"/>
      <c r="Z583" s="19"/>
      <c r="AA583" s="128"/>
      <c r="AB583" s="19"/>
      <c r="AC583" s="64">
        <f t="shared" si="100"/>
        <v>1485666426</v>
      </c>
      <c r="AD583" s="63">
        <v>45108</v>
      </c>
      <c r="AE583" s="65">
        <v>47664</v>
      </c>
      <c r="AF583" s="19">
        <v>7</v>
      </c>
      <c r="AG583" s="19">
        <f>7*12</f>
        <v>84</v>
      </c>
      <c r="AH583" s="25">
        <f t="shared" ref="AH583:AH591" si="112">+ROUND(AC583/AG583,0)</f>
        <v>17686505</v>
      </c>
      <c r="AI583" s="92">
        <v>106119030</v>
      </c>
      <c r="AJ583" s="92">
        <v>1379547396</v>
      </c>
      <c r="AK583" s="27">
        <f t="shared" si="92"/>
        <v>17686505</v>
      </c>
      <c r="AL583" s="27">
        <f t="shared" si="94"/>
        <v>17686505</v>
      </c>
      <c r="AM583" s="27"/>
      <c r="AN583" s="27"/>
      <c r="AO583" s="27"/>
      <c r="AP583" s="27"/>
      <c r="AQ583" s="27"/>
      <c r="AR583" s="27"/>
      <c r="AS583" s="27"/>
      <c r="AT583" s="27"/>
      <c r="AU583" s="27"/>
      <c r="AV583" s="27"/>
      <c r="AW583" s="27">
        <f t="shared" si="109"/>
        <v>35373010</v>
      </c>
      <c r="AX583" s="79">
        <f t="shared" si="110"/>
        <v>1344174386</v>
      </c>
      <c r="AY583" s="79">
        <f t="shared" si="111"/>
        <v>141492040</v>
      </c>
      <c r="AZ583" s="25">
        <v>1</v>
      </c>
      <c r="BA583" s="62" t="s">
        <v>97</v>
      </c>
      <c r="BB583" s="66">
        <v>1</v>
      </c>
      <c r="BC583" s="25"/>
      <c r="BD583" s="66"/>
      <c r="BE583" s="67">
        <f t="shared" si="93"/>
        <v>17686505</v>
      </c>
      <c r="BF583" s="67">
        <f t="shared" si="86"/>
        <v>0</v>
      </c>
      <c r="BG583" s="67">
        <f t="shared" si="85"/>
        <v>0</v>
      </c>
      <c r="BH583" s="67"/>
      <c r="BI583" s="19" t="s">
        <v>57</v>
      </c>
      <c r="BJ583" s="68" t="s">
        <v>98</v>
      </c>
      <c r="BK583" s="68" t="s">
        <v>98</v>
      </c>
      <c r="BO583" s="35" t="s">
        <v>1805</v>
      </c>
      <c r="BQ583" s="1" t="e">
        <v>#N/A</v>
      </c>
    </row>
    <row r="584" spans="3:69" ht="15" hidden="1" customHeight="1">
      <c r="C584" s="1" t="str">
        <f t="shared" ref="C584:C597" si="113">+RIGHT(YEAR(AE584),2)&amp;IF(LEN(MONTH(AE584))=2,MONTH(AE584),"0"&amp;MONTH(AE584))</f>
        <v>3306</v>
      </c>
      <c r="D584" s="1" t="str">
        <f t="shared" si="103"/>
        <v>2307</v>
      </c>
      <c r="E584" s="19" t="s">
        <v>1753</v>
      </c>
      <c r="F584" s="68" t="s">
        <v>49</v>
      </c>
      <c r="G584" s="62">
        <v>2112</v>
      </c>
      <c r="H584" s="19" t="s">
        <v>1757</v>
      </c>
      <c r="I584" s="19" t="s">
        <v>1758</v>
      </c>
      <c r="J584" s="86">
        <v>1</v>
      </c>
      <c r="K584" s="19" t="s">
        <v>1737</v>
      </c>
      <c r="L584" s="19" t="s">
        <v>1716</v>
      </c>
      <c r="M584" s="142" t="s">
        <v>1768</v>
      </c>
      <c r="N584" s="42">
        <v>45064</v>
      </c>
      <c r="O584" s="70">
        <v>32254.29</v>
      </c>
      <c r="P584" s="70">
        <v>23640</v>
      </c>
      <c r="Q584" s="73">
        <v>762491416</v>
      </c>
      <c r="R584" s="70"/>
      <c r="S584" s="19"/>
      <c r="T584" s="19">
        <v>19012308</v>
      </c>
      <c r="U584" s="19" t="s">
        <v>1773</v>
      </c>
      <c r="V584" s="74">
        <f t="shared" si="98"/>
        <v>781503724</v>
      </c>
      <c r="W584" s="75"/>
      <c r="X584" s="64">
        <f t="shared" si="99"/>
        <v>781503724</v>
      </c>
      <c r="Y584" s="19"/>
      <c r="Z584" s="19"/>
      <c r="AA584" s="128"/>
      <c r="AB584" s="19"/>
      <c r="AC584" s="64">
        <f t="shared" si="100"/>
        <v>781503724</v>
      </c>
      <c r="AD584" s="63">
        <v>45108</v>
      </c>
      <c r="AE584" s="65">
        <v>48760</v>
      </c>
      <c r="AF584" s="19">
        <v>10</v>
      </c>
      <c r="AG584" s="19">
        <v>120</v>
      </c>
      <c r="AH584" s="25">
        <f t="shared" si="112"/>
        <v>6512531</v>
      </c>
      <c r="AI584" s="92">
        <v>39075186</v>
      </c>
      <c r="AJ584" s="92">
        <v>742428538</v>
      </c>
      <c r="AK584" s="27">
        <f t="shared" si="92"/>
        <v>6512531</v>
      </c>
      <c r="AL584" s="27">
        <f t="shared" si="94"/>
        <v>6512531</v>
      </c>
      <c r="AM584" s="27"/>
      <c r="AN584" s="27"/>
      <c r="AO584" s="27"/>
      <c r="AP584" s="27"/>
      <c r="AQ584" s="27"/>
      <c r="AR584" s="27"/>
      <c r="AS584" s="27"/>
      <c r="AT584" s="27"/>
      <c r="AU584" s="27"/>
      <c r="AV584" s="27"/>
      <c r="AW584" s="27">
        <f t="shared" si="109"/>
        <v>13025062</v>
      </c>
      <c r="AX584" s="79">
        <f t="shared" si="110"/>
        <v>729403476</v>
      </c>
      <c r="AY584" s="79">
        <f t="shared" si="111"/>
        <v>52100248</v>
      </c>
      <c r="AZ584" s="25">
        <v>1</v>
      </c>
      <c r="BA584" s="62" t="s">
        <v>97</v>
      </c>
      <c r="BB584" s="66">
        <v>1</v>
      </c>
      <c r="BC584" s="25"/>
      <c r="BD584" s="66"/>
      <c r="BE584" s="67">
        <f t="shared" si="93"/>
        <v>6512531</v>
      </c>
      <c r="BF584" s="67">
        <f t="shared" si="86"/>
        <v>0</v>
      </c>
      <c r="BG584" s="67">
        <f t="shared" si="85"/>
        <v>0</v>
      </c>
      <c r="BH584" s="67"/>
      <c r="BI584" s="19" t="s">
        <v>57</v>
      </c>
      <c r="BJ584" s="68" t="s">
        <v>98</v>
      </c>
      <c r="BK584" s="68" t="s">
        <v>98</v>
      </c>
      <c r="BO584" s="35" t="s">
        <v>1800</v>
      </c>
      <c r="BQ584" s="1" t="s">
        <v>1982</v>
      </c>
    </row>
    <row r="585" spans="3:69" ht="15" hidden="1" customHeight="1">
      <c r="C585" s="1" t="str">
        <f t="shared" si="113"/>
        <v>3306</v>
      </c>
      <c r="D585" s="1" t="str">
        <f t="shared" si="103"/>
        <v>2307</v>
      </c>
      <c r="E585" s="19" t="s">
        <v>1753</v>
      </c>
      <c r="F585" s="68" t="s">
        <v>49</v>
      </c>
      <c r="G585" s="62">
        <v>2112</v>
      </c>
      <c r="H585" s="19" t="s">
        <v>1759</v>
      </c>
      <c r="I585" s="19" t="s">
        <v>1760</v>
      </c>
      <c r="J585" s="86">
        <v>1</v>
      </c>
      <c r="K585" s="19" t="s">
        <v>1737</v>
      </c>
      <c r="L585" s="19" t="s">
        <v>1716</v>
      </c>
      <c r="M585" s="142" t="s">
        <v>1769</v>
      </c>
      <c r="N585" s="42">
        <v>45070</v>
      </c>
      <c r="O585" s="70">
        <v>24467.29</v>
      </c>
      <c r="P585" s="70">
        <v>23620</v>
      </c>
      <c r="Q585" s="73">
        <v>577917390</v>
      </c>
      <c r="R585" s="70"/>
      <c r="S585" s="19"/>
      <c r="T585" s="19">
        <v>5767082</v>
      </c>
      <c r="U585" s="19" t="s">
        <v>1774</v>
      </c>
      <c r="V585" s="74">
        <f t="shared" si="98"/>
        <v>583684472</v>
      </c>
      <c r="W585" s="75"/>
      <c r="X585" s="64">
        <f t="shared" si="99"/>
        <v>583684472</v>
      </c>
      <c r="Y585" s="19"/>
      <c r="Z585" s="19"/>
      <c r="AA585" s="128"/>
      <c r="AB585" s="19"/>
      <c r="AC585" s="64">
        <f t="shared" si="100"/>
        <v>583684472</v>
      </c>
      <c r="AD585" s="63">
        <v>45108</v>
      </c>
      <c r="AE585" s="65">
        <v>48760</v>
      </c>
      <c r="AF585" s="19">
        <v>10</v>
      </c>
      <c r="AG585" s="19">
        <v>120</v>
      </c>
      <c r="AH585" s="25">
        <f t="shared" si="112"/>
        <v>4864037</v>
      </c>
      <c r="AI585" s="92">
        <v>29184222</v>
      </c>
      <c r="AJ585" s="92">
        <v>554500250</v>
      </c>
      <c r="AK585" s="27">
        <f t="shared" si="92"/>
        <v>4864037</v>
      </c>
      <c r="AL585" s="27">
        <f t="shared" si="94"/>
        <v>4864037</v>
      </c>
      <c r="AM585" s="27"/>
      <c r="AN585" s="27"/>
      <c r="AO585" s="27"/>
      <c r="AP585" s="27"/>
      <c r="AQ585" s="27"/>
      <c r="AR585" s="27"/>
      <c r="AS585" s="27"/>
      <c r="AT585" s="27"/>
      <c r="AU585" s="27"/>
      <c r="AV585" s="27"/>
      <c r="AW585" s="27">
        <f t="shared" si="109"/>
        <v>9728074</v>
      </c>
      <c r="AX585" s="79">
        <f t="shared" si="110"/>
        <v>544772176</v>
      </c>
      <c r="AY585" s="79">
        <f t="shared" si="111"/>
        <v>38912296</v>
      </c>
      <c r="AZ585" s="25">
        <v>1</v>
      </c>
      <c r="BA585" s="62" t="s">
        <v>97</v>
      </c>
      <c r="BB585" s="66">
        <v>1</v>
      </c>
      <c r="BC585" s="25"/>
      <c r="BD585" s="66"/>
      <c r="BE585" s="67">
        <f t="shared" si="93"/>
        <v>4864037</v>
      </c>
      <c r="BF585" s="67">
        <f t="shared" si="86"/>
        <v>0</v>
      </c>
      <c r="BG585" s="67">
        <f t="shared" si="85"/>
        <v>0</v>
      </c>
      <c r="BH585" s="67"/>
      <c r="BI585" s="19" t="s">
        <v>57</v>
      </c>
      <c r="BJ585" s="68" t="s">
        <v>98</v>
      </c>
      <c r="BK585" s="68" t="s">
        <v>98</v>
      </c>
      <c r="BO585" s="35" t="s">
        <v>1800</v>
      </c>
      <c r="BQ585" s="1" t="e">
        <v>#N/A</v>
      </c>
    </row>
    <row r="586" spans="3:69" ht="15" hidden="1" customHeight="1">
      <c r="C586" s="1" t="str">
        <f t="shared" si="113"/>
        <v>3306</v>
      </c>
      <c r="D586" s="1" t="str">
        <f t="shared" si="103"/>
        <v>2307</v>
      </c>
      <c r="E586" s="19" t="s">
        <v>1753</v>
      </c>
      <c r="F586" s="68" t="s">
        <v>1438</v>
      </c>
      <c r="G586" s="62">
        <v>2112</v>
      </c>
      <c r="H586" s="19" t="s">
        <v>1761</v>
      </c>
      <c r="I586" s="19" t="s">
        <v>1744</v>
      </c>
      <c r="J586" s="86">
        <v>1</v>
      </c>
      <c r="K586" s="19" t="s">
        <v>1192</v>
      </c>
      <c r="L586" s="19" t="s">
        <v>186</v>
      </c>
      <c r="M586" s="142">
        <v>1473</v>
      </c>
      <c r="N586" s="42">
        <v>45091</v>
      </c>
      <c r="O586" s="70"/>
      <c r="P586" s="70"/>
      <c r="Q586" s="73">
        <v>114000000</v>
      </c>
      <c r="R586" s="70"/>
      <c r="S586" s="19"/>
      <c r="T586" s="19"/>
      <c r="U586" s="19"/>
      <c r="V586" s="74">
        <f t="shared" si="98"/>
        <v>114000000</v>
      </c>
      <c r="W586" s="75"/>
      <c r="X586" s="64">
        <f t="shared" si="99"/>
        <v>114000000</v>
      </c>
      <c r="Y586" s="19"/>
      <c r="Z586" s="19"/>
      <c r="AA586" s="128"/>
      <c r="AB586" s="19"/>
      <c r="AC586" s="64">
        <f t="shared" si="100"/>
        <v>114000000</v>
      </c>
      <c r="AD586" s="63">
        <v>45108</v>
      </c>
      <c r="AE586" s="65">
        <v>48760</v>
      </c>
      <c r="AF586" s="19">
        <v>10</v>
      </c>
      <c r="AG586" s="19">
        <v>120</v>
      </c>
      <c r="AH586" s="25">
        <f t="shared" si="112"/>
        <v>950000</v>
      </c>
      <c r="AI586" s="92">
        <v>5700000</v>
      </c>
      <c r="AJ586" s="92">
        <v>108300000</v>
      </c>
      <c r="AK586" s="27">
        <f t="shared" si="92"/>
        <v>950000</v>
      </c>
      <c r="AL586" s="27">
        <f t="shared" si="94"/>
        <v>950000</v>
      </c>
      <c r="AM586" s="27"/>
      <c r="AN586" s="27"/>
      <c r="AO586" s="27"/>
      <c r="AP586" s="27"/>
      <c r="AQ586" s="27"/>
      <c r="AR586" s="27"/>
      <c r="AS586" s="27"/>
      <c r="AT586" s="27"/>
      <c r="AU586" s="27"/>
      <c r="AV586" s="27"/>
      <c r="AW586" s="27">
        <f t="shared" si="109"/>
        <v>1900000</v>
      </c>
      <c r="AX586" s="79">
        <f t="shared" si="110"/>
        <v>106400000</v>
      </c>
      <c r="AY586" s="79">
        <f t="shared" si="111"/>
        <v>7600000</v>
      </c>
      <c r="AZ586" s="25">
        <v>1</v>
      </c>
      <c r="BA586" s="62" t="s">
        <v>97</v>
      </c>
      <c r="BB586" s="66"/>
      <c r="BC586" s="66">
        <v>1</v>
      </c>
      <c r="BD586" s="66"/>
      <c r="BE586" s="67">
        <f t="shared" si="93"/>
        <v>0</v>
      </c>
      <c r="BF586" s="67">
        <f t="shared" si="86"/>
        <v>950000</v>
      </c>
      <c r="BG586" s="67">
        <f t="shared" ref="BG586:BG649" si="114">+$AL586*BD586</f>
        <v>0</v>
      </c>
      <c r="BH586" s="67"/>
      <c r="BI586" s="19" t="s">
        <v>1776</v>
      </c>
      <c r="BJ586" s="68" t="s">
        <v>1438</v>
      </c>
      <c r="BK586" s="68" t="s">
        <v>1438</v>
      </c>
      <c r="BO586" s="35" t="s">
        <v>1804</v>
      </c>
      <c r="BQ586" s="1" t="e">
        <v>#N/A</v>
      </c>
    </row>
    <row r="587" spans="3:69" ht="15" hidden="1" customHeight="1">
      <c r="C587" s="1" t="str">
        <f t="shared" si="113"/>
        <v>3306</v>
      </c>
      <c r="D587" s="1" t="str">
        <f t="shared" si="103"/>
        <v>2307</v>
      </c>
      <c r="E587" s="19" t="s">
        <v>1753</v>
      </c>
      <c r="F587" s="68" t="s">
        <v>1438</v>
      </c>
      <c r="G587" s="62">
        <v>2112</v>
      </c>
      <c r="H587" s="19" t="s">
        <v>1762</v>
      </c>
      <c r="I587" s="19" t="s">
        <v>1745</v>
      </c>
      <c r="J587" s="86">
        <v>1</v>
      </c>
      <c r="K587" s="19" t="s">
        <v>1233</v>
      </c>
      <c r="L587" s="19" t="s">
        <v>186</v>
      </c>
      <c r="M587" s="142">
        <v>1473</v>
      </c>
      <c r="N587" s="42">
        <v>45091</v>
      </c>
      <c r="O587" s="70"/>
      <c r="P587" s="70"/>
      <c r="Q587" s="73">
        <v>114000000</v>
      </c>
      <c r="R587" s="70"/>
      <c r="S587" s="19"/>
      <c r="T587" s="19"/>
      <c r="U587" s="19"/>
      <c r="V587" s="74">
        <f t="shared" si="98"/>
        <v>114000000</v>
      </c>
      <c r="W587" s="75"/>
      <c r="X587" s="64">
        <f t="shared" si="99"/>
        <v>114000000</v>
      </c>
      <c r="Y587" s="19"/>
      <c r="Z587" s="19"/>
      <c r="AA587" s="128"/>
      <c r="AB587" s="19"/>
      <c r="AC587" s="64">
        <f t="shared" si="100"/>
        <v>114000000</v>
      </c>
      <c r="AD587" s="63">
        <v>45108</v>
      </c>
      <c r="AE587" s="65">
        <v>48760</v>
      </c>
      <c r="AF587" s="19">
        <v>10</v>
      </c>
      <c r="AG587" s="19">
        <v>120</v>
      </c>
      <c r="AH587" s="25">
        <f t="shared" si="112"/>
        <v>950000</v>
      </c>
      <c r="AI587" s="92">
        <v>5700000</v>
      </c>
      <c r="AJ587" s="92">
        <v>108300000</v>
      </c>
      <c r="AK587" s="27">
        <f t="shared" si="92"/>
        <v>950000</v>
      </c>
      <c r="AL587" s="27">
        <f t="shared" si="94"/>
        <v>950000</v>
      </c>
      <c r="AM587" s="27"/>
      <c r="AN587" s="27"/>
      <c r="AO587" s="27"/>
      <c r="AP587" s="27"/>
      <c r="AQ587" s="27"/>
      <c r="AR587" s="27"/>
      <c r="AS587" s="27"/>
      <c r="AT587" s="27"/>
      <c r="AU587" s="27"/>
      <c r="AV587" s="27"/>
      <c r="AW587" s="27">
        <f t="shared" si="109"/>
        <v>1900000</v>
      </c>
      <c r="AX587" s="79">
        <f t="shared" si="110"/>
        <v>106400000</v>
      </c>
      <c r="AY587" s="79">
        <f t="shared" si="111"/>
        <v>7600000</v>
      </c>
      <c r="AZ587" s="25">
        <v>1</v>
      </c>
      <c r="BA587" s="62" t="s">
        <v>97</v>
      </c>
      <c r="BB587" s="66"/>
      <c r="BC587" s="66">
        <v>1</v>
      </c>
      <c r="BD587" s="66"/>
      <c r="BE587" s="67">
        <f t="shared" si="93"/>
        <v>0</v>
      </c>
      <c r="BF587" s="67">
        <f t="shared" ref="BF587:BF650" si="115">+$AL587*BC587</f>
        <v>950000</v>
      </c>
      <c r="BG587" s="67">
        <f t="shared" si="114"/>
        <v>0</v>
      </c>
      <c r="BH587" s="67"/>
      <c r="BI587" s="19" t="s">
        <v>1776</v>
      </c>
      <c r="BJ587" s="68" t="s">
        <v>1438</v>
      </c>
      <c r="BK587" s="68" t="s">
        <v>1438</v>
      </c>
      <c r="BO587" s="35" t="s">
        <v>1804</v>
      </c>
      <c r="BQ587" s="1" t="e">
        <v>#N/A</v>
      </c>
    </row>
    <row r="588" spans="3:69" ht="15" hidden="1" customHeight="1">
      <c r="C588" s="1" t="str">
        <f t="shared" si="113"/>
        <v>3306</v>
      </c>
      <c r="D588" s="1" t="str">
        <f t="shared" si="103"/>
        <v>2307</v>
      </c>
      <c r="E588" s="19" t="s">
        <v>1753</v>
      </c>
      <c r="F588" s="68" t="s">
        <v>49</v>
      </c>
      <c r="G588" s="62">
        <v>2112</v>
      </c>
      <c r="H588" s="19" t="s">
        <v>1763</v>
      </c>
      <c r="I588" s="19" t="s">
        <v>1764</v>
      </c>
      <c r="J588" s="86">
        <v>1</v>
      </c>
      <c r="K588" s="19" t="s">
        <v>1737</v>
      </c>
      <c r="L588" s="19" t="s">
        <v>1746</v>
      </c>
      <c r="M588" s="142" t="s">
        <v>1770</v>
      </c>
      <c r="N588" s="42">
        <v>45098</v>
      </c>
      <c r="O588" s="70">
        <v>63500</v>
      </c>
      <c r="P588" s="70">
        <v>23664</v>
      </c>
      <c r="Q588" s="73">
        <v>1502664000</v>
      </c>
      <c r="R588" s="70"/>
      <c r="S588" s="19"/>
      <c r="T588" s="19">
        <v>10497975</v>
      </c>
      <c r="U588" s="19" t="s">
        <v>1775</v>
      </c>
      <c r="V588" s="74">
        <f t="shared" si="98"/>
        <v>1513161975</v>
      </c>
      <c r="W588" s="75"/>
      <c r="X588" s="64">
        <f t="shared" si="99"/>
        <v>1513161975</v>
      </c>
      <c r="Y588" s="19"/>
      <c r="Z588" s="19"/>
      <c r="AA588" s="128"/>
      <c r="AB588" s="19"/>
      <c r="AC588" s="64">
        <f t="shared" si="100"/>
        <v>1513161975</v>
      </c>
      <c r="AD588" s="63">
        <v>45108</v>
      </c>
      <c r="AE588" s="65">
        <v>48760</v>
      </c>
      <c r="AF588" s="19">
        <v>10</v>
      </c>
      <c r="AG588" s="19">
        <v>120</v>
      </c>
      <c r="AH588" s="25">
        <f t="shared" si="112"/>
        <v>12609683</v>
      </c>
      <c r="AI588" s="92">
        <v>75658098</v>
      </c>
      <c r="AJ588" s="92">
        <v>1437503877</v>
      </c>
      <c r="AK588" s="27">
        <f t="shared" si="92"/>
        <v>12609683</v>
      </c>
      <c r="AL588" s="27">
        <f t="shared" si="94"/>
        <v>12609683</v>
      </c>
      <c r="AM588" s="27"/>
      <c r="AN588" s="27"/>
      <c r="AO588" s="27"/>
      <c r="AP588" s="27"/>
      <c r="AQ588" s="27"/>
      <c r="AR588" s="27"/>
      <c r="AS588" s="27"/>
      <c r="AT588" s="27"/>
      <c r="AU588" s="27"/>
      <c r="AV588" s="27"/>
      <c r="AW588" s="27">
        <f t="shared" si="109"/>
        <v>25219366</v>
      </c>
      <c r="AX588" s="79">
        <f t="shared" si="110"/>
        <v>1412284511</v>
      </c>
      <c r="AY588" s="79">
        <f t="shared" si="111"/>
        <v>100877464</v>
      </c>
      <c r="AZ588" s="25">
        <v>1</v>
      </c>
      <c r="BA588" s="62" t="s">
        <v>97</v>
      </c>
      <c r="BB588" s="66">
        <v>1</v>
      </c>
      <c r="BC588" s="25"/>
      <c r="BD588" s="66"/>
      <c r="BE588" s="67">
        <f t="shared" si="93"/>
        <v>12609683</v>
      </c>
      <c r="BF588" s="67">
        <f t="shared" si="115"/>
        <v>0</v>
      </c>
      <c r="BG588" s="67">
        <f t="shared" si="114"/>
        <v>0</v>
      </c>
      <c r="BH588" s="67"/>
      <c r="BI588" s="19" t="s">
        <v>57</v>
      </c>
      <c r="BJ588" s="68" t="s">
        <v>98</v>
      </c>
      <c r="BK588" s="68" t="s">
        <v>98</v>
      </c>
      <c r="BO588" s="35" t="s">
        <v>1805</v>
      </c>
      <c r="BQ588" s="1" t="e">
        <v>#N/A</v>
      </c>
    </row>
    <row r="589" spans="3:69" ht="15" hidden="1" customHeight="1">
      <c r="C589" s="1" t="str">
        <f t="shared" si="113"/>
        <v>3306</v>
      </c>
      <c r="D589" s="1" t="str">
        <f t="shared" si="103"/>
        <v>2307</v>
      </c>
      <c r="E589" s="19" t="s">
        <v>1753</v>
      </c>
      <c r="F589" s="68" t="s">
        <v>49</v>
      </c>
      <c r="G589" s="62">
        <v>2112</v>
      </c>
      <c r="H589" s="19" t="s">
        <v>1765</v>
      </c>
      <c r="I589" s="19" t="s">
        <v>1766</v>
      </c>
      <c r="J589" s="86">
        <v>1</v>
      </c>
      <c r="K589" s="19" t="s">
        <v>1737</v>
      </c>
      <c r="L589" s="19" t="s">
        <v>1746</v>
      </c>
      <c r="M589" s="142" t="s">
        <v>1770</v>
      </c>
      <c r="N589" s="42">
        <v>45098</v>
      </c>
      <c r="O589" s="70">
        <v>65500</v>
      </c>
      <c r="P589" s="70">
        <v>23664</v>
      </c>
      <c r="Q589" s="73">
        <v>1549992000</v>
      </c>
      <c r="R589" s="70"/>
      <c r="S589" s="19"/>
      <c r="T589" s="19">
        <v>10828622</v>
      </c>
      <c r="U589" s="19" t="s">
        <v>1775</v>
      </c>
      <c r="V589" s="74">
        <f t="shared" si="98"/>
        <v>1560820622</v>
      </c>
      <c r="W589" s="75"/>
      <c r="X589" s="64">
        <f t="shared" si="99"/>
        <v>1560820622</v>
      </c>
      <c r="Y589" s="19"/>
      <c r="Z589" s="19"/>
      <c r="AA589" s="128"/>
      <c r="AB589" s="19"/>
      <c r="AC589" s="64">
        <f t="shared" si="100"/>
        <v>1560820622</v>
      </c>
      <c r="AD589" s="63">
        <v>45108</v>
      </c>
      <c r="AE589" s="65">
        <v>48760</v>
      </c>
      <c r="AF589" s="19">
        <v>10</v>
      </c>
      <c r="AG589" s="19">
        <v>120</v>
      </c>
      <c r="AH589" s="25">
        <f t="shared" si="112"/>
        <v>13006839</v>
      </c>
      <c r="AI589" s="92">
        <v>78041034</v>
      </c>
      <c r="AJ589" s="92">
        <v>1482779588</v>
      </c>
      <c r="AK589" s="27">
        <f t="shared" si="92"/>
        <v>13006839</v>
      </c>
      <c r="AL589" s="27">
        <f t="shared" si="94"/>
        <v>13006839</v>
      </c>
      <c r="AM589" s="27"/>
      <c r="AN589" s="27"/>
      <c r="AO589" s="27"/>
      <c r="AP589" s="27"/>
      <c r="AQ589" s="27"/>
      <c r="AR589" s="27"/>
      <c r="AS589" s="27"/>
      <c r="AT589" s="27"/>
      <c r="AU589" s="27"/>
      <c r="AV589" s="27"/>
      <c r="AW589" s="27">
        <f t="shared" si="109"/>
        <v>26013678</v>
      </c>
      <c r="AX589" s="79">
        <f t="shared" si="110"/>
        <v>1456765910</v>
      </c>
      <c r="AY589" s="79">
        <f t="shared" si="111"/>
        <v>104054712</v>
      </c>
      <c r="AZ589" s="25">
        <v>1</v>
      </c>
      <c r="BA589" s="62" t="s">
        <v>97</v>
      </c>
      <c r="BB589" s="66">
        <v>1</v>
      </c>
      <c r="BC589" s="25"/>
      <c r="BD589" s="66"/>
      <c r="BE589" s="67">
        <f t="shared" si="93"/>
        <v>13006839</v>
      </c>
      <c r="BF589" s="67">
        <f t="shared" si="115"/>
        <v>0</v>
      </c>
      <c r="BG589" s="67">
        <f t="shared" si="114"/>
        <v>0</v>
      </c>
      <c r="BH589" s="67"/>
      <c r="BI589" s="19" t="s">
        <v>57</v>
      </c>
      <c r="BJ589" s="68" t="s">
        <v>98</v>
      </c>
      <c r="BK589" s="68" t="s">
        <v>98</v>
      </c>
      <c r="BO589" s="35" t="s">
        <v>1805</v>
      </c>
      <c r="BQ589" s="1" t="e">
        <v>#N/A</v>
      </c>
    </row>
    <row r="590" spans="3:69" ht="15" hidden="1" customHeight="1">
      <c r="C590" s="1" t="str">
        <f t="shared" si="113"/>
        <v>3306</v>
      </c>
      <c r="D590" s="1" t="str">
        <f t="shared" si="103"/>
        <v>2307</v>
      </c>
      <c r="E590" s="19" t="s">
        <v>1753</v>
      </c>
      <c r="F590" s="68" t="s">
        <v>49</v>
      </c>
      <c r="G590" s="62">
        <v>2112</v>
      </c>
      <c r="H590" s="19" t="s">
        <v>1767</v>
      </c>
      <c r="I590" s="19" t="s">
        <v>1748</v>
      </c>
      <c r="J590" s="86">
        <v>1</v>
      </c>
      <c r="K590" s="19" t="s">
        <v>1233</v>
      </c>
      <c r="L590" s="19" t="s">
        <v>773</v>
      </c>
      <c r="M590" s="142" t="s">
        <v>1771</v>
      </c>
      <c r="N590" s="42">
        <v>45104</v>
      </c>
      <c r="O590" s="70"/>
      <c r="P590" s="70"/>
      <c r="Q590" s="73">
        <v>43200000</v>
      </c>
      <c r="R590" s="70"/>
      <c r="S590" s="19"/>
      <c r="T590" s="19"/>
      <c r="U590" s="19"/>
      <c r="V590" s="74">
        <f>+SUM(Q590:T590)</f>
        <v>43200000</v>
      </c>
      <c r="W590" s="75"/>
      <c r="X590" s="64">
        <f t="shared" si="99"/>
        <v>43200000</v>
      </c>
      <c r="Y590" s="19"/>
      <c r="Z590" s="19"/>
      <c r="AA590" s="128"/>
      <c r="AB590" s="19"/>
      <c r="AC590" s="64">
        <f>+X590-Y590</f>
        <v>43200000</v>
      </c>
      <c r="AD590" s="63">
        <v>45108</v>
      </c>
      <c r="AE590" s="65">
        <v>48760</v>
      </c>
      <c r="AF590" s="19">
        <v>10</v>
      </c>
      <c r="AG590" s="19">
        <v>120</v>
      </c>
      <c r="AH590" s="25">
        <f t="shared" si="112"/>
        <v>360000</v>
      </c>
      <c r="AI590" s="92">
        <v>2160000</v>
      </c>
      <c r="AJ590" s="92">
        <v>41040000</v>
      </c>
      <c r="AK590" s="27">
        <f t="shared" si="92"/>
        <v>360000</v>
      </c>
      <c r="AL590" s="27">
        <f t="shared" si="94"/>
        <v>360000</v>
      </c>
      <c r="AM590" s="27"/>
      <c r="AN590" s="27"/>
      <c r="AO590" s="27"/>
      <c r="AP590" s="27"/>
      <c r="AQ590" s="27"/>
      <c r="AR590" s="27"/>
      <c r="AS590" s="27"/>
      <c r="AT590" s="27"/>
      <c r="AU590" s="27"/>
      <c r="AV590" s="27"/>
      <c r="AW590" s="27">
        <f t="shared" si="109"/>
        <v>720000</v>
      </c>
      <c r="AX590" s="79">
        <f t="shared" si="110"/>
        <v>40320000</v>
      </c>
      <c r="AY590" s="79">
        <f t="shared" si="111"/>
        <v>2880000</v>
      </c>
      <c r="AZ590" s="25">
        <v>1</v>
      </c>
      <c r="BA590" s="62" t="s">
        <v>97</v>
      </c>
      <c r="BB590" s="66">
        <v>1</v>
      </c>
      <c r="BC590" s="25"/>
      <c r="BD590" s="66"/>
      <c r="BE590" s="67">
        <f t="shared" si="93"/>
        <v>360000</v>
      </c>
      <c r="BF590" s="67">
        <f t="shared" si="115"/>
        <v>0</v>
      </c>
      <c r="BG590" s="67">
        <f t="shared" si="114"/>
        <v>0</v>
      </c>
      <c r="BH590" s="67"/>
      <c r="BI590" s="19" t="s">
        <v>1777</v>
      </c>
      <c r="BJ590" s="68" t="s">
        <v>644</v>
      </c>
      <c r="BK590" s="68" t="s">
        <v>644</v>
      </c>
      <c r="BO590" s="35" t="s">
        <v>1805</v>
      </c>
      <c r="BQ590" s="1" t="e">
        <v>#N/A</v>
      </c>
    </row>
    <row r="591" spans="3:69" ht="15" hidden="1" customHeight="1">
      <c r="C591" s="1" t="str">
        <f t="shared" si="113"/>
        <v>2807</v>
      </c>
      <c r="D591" s="1" t="str">
        <f t="shared" si="103"/>
        <v>2308</v>
      </c>
      <c r="E591" s="19" t="s">
        <v>1778</v>
      </c>
      <c r="F591" s="68" t="s">
        <v>1438</v>
      </c>
      <c r="G591" s="62">
        <v>2114</v>
      </c>
      <c r="H591" s="19" t="s">
        <v>1779</v>
      </c>
      <c r="I591" s="19" t="s">
        <v>1780</v>
      </c>
      <c r="J591" s="86">
        <v>1</v>
      </c>
      <c r="K591" s="19" t="s">
        <v>1226</v>
      </c>
      <c r="L591" s="19" t="s">
        <v>1754</v>
      </c>
      <c r="M591" s="142" t="s">
        <v>1781</v>
      </c>
      <c r="N591" s="42">
        <v>45135</v>
      </c>
      <c r="O591" s="70"/>
      <c r="P591" s="70"/>
      <c r="Q591" s="73">
        <v>47500000</v>
      </c>
      <c r="R591" s="70"/>
      <c r="S591" s="19"/>
      <c r="T591" s="19"/>
      <c r="U591" s="19"/>
      <c r="V591" s="74">
        <f>+SUM(Q591:T591)</f>
        <v>47500000</v>
      </c>
      <c r="W591" s="75"/>
      <c r="X591" s="64">
        <f>+V591</f>
        <v>47500000</v>
      </c>
      <c r="Y591" s="19"/>
      <c r="Z591" s="19"/>
      <c r="AA591" s="128"/>
      <c r="AB591" s="19"/>
      <c r="AC591" s="64">
        <f>+X591-Y591</f>
        <v>47500000</v>
      </c>
      <c r="AD591" s="63">
        <v>45139</v>
      </c>
      <c r="AE591" s="65">
        <v>46965</v>
      </c>
      <c r="AF591" s="19">
        <v>5</v>
      </c>
      <c r="AG591" s="19">
        <f>AF591*12</f>
        <v>60</v>
      </c>
      <c r="AH591" s="25">
        <f t="shared" si="112"/>
        <v>791667</v>
      </c>
      <c r="AI591" s="92">
        <v>3958335</v>
      </c>
      <c r="AJ591" s="92">
        <v>43541665</v>
      </c>
      <c r="AK591" s="27">
        <f t="shared" si="92"/>
        <v>791667</v>
      </c>
      <c r="AL591" s="27">
        <f t="shared" si="94"/>
        <v>791667</v>
      </c>
      <c r="AM591" s="27"/>
      <c r="AN591" s="27"/>
      <c r="AO591" s="27"/>
      <c r="AP591" s="27"/>
      <c r="AQ591" s="27"/>
      <c r="AR591" s="27"/>
      <c r="AS591" s="27"/>
      <c r="AT591" s="27"/>
      <c r="AU591" s="27"/>
      <c r="AV591" s="27"/>
      <c r="AW591" s="27">
        <f>+SUM(AK591:AV591)</f>
        <v>1583334</v>
      </c>
      <c r="AX591" s="79">
        <f>AC591-AI591-AW591</f>
        <v>41958331</v>
      </c>
      <c r="AY591" s="79">
        <f t="shared" si="111"/>
        <v>5541669</v>
      </c>
      <c r="AZ591" s="25">
        <v>1</v>
      </c>
      <c r="BA591" s="62" t="s">
        <v>97</v>
      </c>
      <c r="BB591" s="25"/>
      <c r="BC591" s="25">
        <v>1</v>
      </c>
      <c r="BD591" s="66"/>
      <c r="BE591" s="67">
        <f t="shared" si="93"/>
        <v>0</v>
      </c>
      <c r="BF591" s="67">
        <f t="shared" si="115"/>
        <v>791667</v>
      </c>
      <c r="BG591" s="67">
        <f t="shared" si="114"/>
        <v>0</v>
      </c>
      <c r="BH591" s="67"/>
      <c r="BI591" s="19" t="s">
        <v>1624</v>
      </c>
      <c r="BJ591" s="68" t="s">
        <v>1438</v>
      </c>
      <c r="BK591" s="68" t="s">
        <v>1438</v>
      </c>
      <c r="BO591" s="35" t="s">
        <v>1804</v>
      </c>
      <c r="BQ591" s="1" t="e">
        <v>#N/A</v>
      </c>
    </row>
    <row r="592" spans="3:69" ht="15" hidden="1" customHeight="1">
      <c r="C592" s="1" t="str">
        <f t="shared" si="113"/>
        <v>3310</v>
      </c>
      <c r="D592" s="1" t="str">
        <f t="shared" si="103"/>
        <v>2311</v>
      </c>
      <c r="E592" s="19" t="s">
        <v>1845</v>
      </c>
      <c r="F592" s="68" t="s">
        <v>49</v>
      </c>
      <c r="G592" s="62">
        <v>2112</v>
      </c>
      <c r="H592" s="19" t="s">
        <v>1846</v>
      </c>
      <c r="I592" s="19" t="s">
        <v>1840</v>
      </c>
      <c r="J592" s="86">
        <v>1</v>
      </c>
      <c r="K592" s="19" t="s">
        <v>1737</v>
      </c>
      <c r="L592" s="19" t="s">
        <v>1716</v>
      </c>
      <c r="M592" s="142" t="s">
        <v>1858</v>
      </c>
      <c r="N592" s="42">
        <v>45210</v>
      </c>
      <c r="O592" s="70">
        <v>31162</v>
      </c>
      <c r="P592" s="70">
        <v>24460</v>
      </c>
      <c r="Q592" s="73">
        <v>762222520</v>
      </c>
      <c r="R592" s="70"/>
      <c r="S592" s="19"/>
      <c r="T592" s="19">
        <v>4070829</v>
      </c>
      <c r="U592" s="19" t="s">
        <v>1860</v>
      </c>
      <c r="V592" s="74">
        <f t="shared" ref="V592:V603" si="116">+SUM(Q592:T592)</f>
        <v>766293349</v>
      </c>
      <c r="W592" s="75"/>
      <c r="X592" s="64">
        <f t="shared" ref="X592:X603" si="117">+V592</f>
        <v>766293349</v>
      </c>
      <c r="Y592" s="19"/>
      <c r="Z592" s="19"/>
      <c r="AA592" s="128"/>
      <c r="AB592" s="19"/>
      <c r="AC592" s="64">
        <f t="shared" ref="AC592:AC603" si="118">+X592-Y592</f>
        <v>766293349</v>
      </c>
      <c r="AD592" s="63">
        <v>45231</v>
      </c>
      <c r="AE592" s="65">
        <v>48883</v>
      </c>
      <c r="AF592" s="19">
        <v>10</v>
      </c>
      <c r="AG592" s="19">
        <f t="shared" ref="AG592:AG679" si="119">AF592*12</f>
        <v>120</v>
      </c>
      <c r="AH592" s="25">
        <f t="shared" ref="AH592:AH603" si="120">+ROUND(AC592/AG592,0)</f>
        <v>6385778</v>
      </c>
      <c r="AI592" s="92">
        <v>12771556</v>
      </c>
      <c r="AJ592" s="92">
        <v>753521793</v>
      </c>
      <c r="AK592" s="27">
        <f t="shared" si="92"/>
        <v>6385778</v>
      </c>
      <c r="AL592" s="27">
        <f t="shared" si="94"/>
        <v>6385778</v>
      </c>
      <c r="AM592" s="27"/>
      <c r="AN592" s="27"/>
      <c r="AO592" s="27"/>
      <c r="AP592" s="27"/>
      <c r="AQ592" s="27"/>
      <c r="AR592" s="27"/>
      <c r="AS592" s="27"/>
      <c r="AT592" s="27"/>
      <c r="AU592" s="27"/>
      <c r="AV592" s="27"/>
      <c r="AW592" s="27">
        <f t="shared" ref="AW592:AW619" si="121">+SUM(AK592:AV592)</f>
        <v>12771556</v>
      </c>
      <c r="AX592" s="79">
        <f t="shared" ref="AX592:AX619" si="122">AC592-AI592-AW592</f>
        <v>740750237</v>
      </c>
      <c r="AY592" s="79">
        <f t="shared" ref="AY592:AY619" si="123">AW592+AI592</f>
        <v>25543112</v>
      </c>
      <c r="AZ592" s="25">
        <v>1</v>
      </c>
      <c r="BA592" s="62" t="s">
        <v>97</v>
      </c>
      <c r="BB592" s="25">
        <v>1</v>
      </c>
      <c r="BC592" s="25"/>
      <c r="BD592" s="66"/>
      <c r="BE592" s="67">
        <f t="shared" si="93"/>
        <v>6385778</v>
      </c>
      <c r="BF592" s="67">
        <f t="shared" si="115"/>
        <v>0</v>
      </c>
      <c r="BG592" s="67">
        <f t="shared" si="114"/>
        <v>0</v>
      </c>
      <c r="BH592" s="67"/>
      <c r="BI592" s="19" t="s">
        <v>1777</v>
      </c>
      <c r="BJ592" s="68" t="s">
        <v>98</v>
      </c>
      <c r="BK592" s="68" t="s">
        <v>98</v>
      </c>
      <c r="BQ592" s="1" t="e">
        <v>#N/A</v>
      </c>
    </row>
    <row r="593" spans="3:69" ht="15" hidden="1" customHeight="1">
      <c r="C593" s="1" t="str">
        <f t="shared" si="113"/>
        <v>2810</v>
      </c>
      <c r="D593" s="1" t="str">
        <f t="shared" si="103"/>
        <v>2311</v>
      </c>
      <c r="E593" s="19" t="s">
        <v>1845</v>
      </c>
      <c r="F593" s="68" t="s">
        <v>49</v>
      </c>
      <c r="G593" s="62">
        <v>2114</v>
      </c>
      <c r="H593" s="19" t="s">
        <v>1847</v>
      </c>
      <c r="I593" s="19" t="s">
        <v>1829</v>
      </c>
      <c r="J593" s="86">
        <v>1</v>
      </c>
      <c r="K593" s="19" t="s">
        <v>1226</v>
      </c>
      <c r="L593" s="19" t="s">
        <v>1827</v>
      </c>
      <c r="M593" s="142" t="s">
        <v>1859</v>
      </c>
      <c r="N593" s="42">
        <v>45217</v>
      </c>
      <c r="O593" s="70"/>
      <c r="P593" s="70"/>
      <c r="Q593" s="73">
        <v>33000000</v>
      </c>
      <c r="R593" s="70"/>
      <c r="S593" s="19"/>
      <c r="T593" s="19"/>
      <c r="U593" s="19"/>
      <c r="V593" s="74">
        <f t="shared" si="116"/>
        <v>33000000</v>
      </c>
      <c r="W593" s="75"/>
      <c r="X593" s="64">
        <f t="shared" si="117"/>
        <v>33000000</v>
      </c>
      <c r="Y593" s="19"/>
      <c r="Z593" s="19"/>
      <c r="AA593" s="128"/>
      <c r="AB593" s="19"/>
      <c r="AC593" s="64">
        <f t="shared" si="118"/>
        <v>33000000</v>
      </c>
      <c r="AD593" s="63">
        <v>45231</v>
      </c>
      <c r="AE593" s="65">
        <v>47057</v>
      </c>
      <c r="AF593" s="19">
        <v>5</v>
      </c>
      <c r="AG593" s="19">
        <f t="shared" si="119"/>
        <v>60</v>
      </c>
      <c r="AH593" s="25">
        <f t="shared" si="120"/>
        <v>550000</v>
      </c>
      <c r="AI593" s="92">
        <v>1100000</v>
      </c>
      <c r="AJ593" s="92">
        <v>31900000</v>
      </c>
      <c r="AK593" s="27">
        <f t="shared" si="92"/>
        <v>550000</v>
      </c>
      <c r="AL593" s="27">
        <f t="shared" si="94"/>
        <v>550000</v>
      </c>
      <c r="AM593" s="27"/>
      <c r="AN593" s="27"/>
      <c r="AO593" s="27"/>
      <c r="AP593" s="27"/>
      <c r="AQ593" s="27"/>
      <c r="AR593" s="27"/>
      <c r="AS593" s="27"/>
      <c r="AT593" s="27"/>
      <c r="AU593" s="27"/>
      <c r="AV593" s="27"/>
      <c r="AW593" s="27">
        <f t="shared" si="121"/>
        <v>1100000</v>
      </c>
      <c r="AX593" s="79">
        <f t="shared" si="122"/>
        <v>30800000</v>
      </c>
      <c r="AY593" s="79">
        <f t="shared" si="123"/>
        <v>2200000</v>
      </c>
      <c r="AZ593" s="25">
        <v>1</v>
      </c>
      <c r="BA593" s="62" t="s">
        <v>79</v>
      </c>
      <c r="BB593" s="25">
        <v>1</v>
      </c>
      <c r="BC593" s="25"/>
      <c r="BD593" s="66"/>
      <c r="BE593" s="67">
        <f t="shared" si="93"/>
        <v>550000</v>
      </c>
      <c r="BF593" s="67">
        <f t="shared" si="115"/>
        <v>0</v>
      </c>
      <c r="BG593" s="67">
        <f t="shared" si="114"/>
        <v>0</v>
      </c>
      <c r="BH593" s="67"/>
      <c r="BI593" s="19" t="s">
        <v>1777</v>
      </c>
      <c r="BJ593" s="68" t="s">
        <v>121</v>
      </c>
      <c r="BK593" s="68" t="s">
        <v>121</v>
      </c>
      <c r="BQ593" s="1" t="e">
        <v>#N/A</v>
      </c>
    </row>
    <row r="594" spans="3:69" ht="15" hidden="1" customHeight="1">
      <c r="C594" s="1" t="str">
        <f t="shared" si="113"/>
        <v>2810</v>
      </c>
      <c r="D594" s="1" t="str">
        <f t="shared" si="103"/>
        <v>2311</v>
      </c>
      <c r="E594" s="19" t="s">
        <v>1845</v>
      </c>
      <c r="F594" s="68" t="s">
        <v>49</v>
      </c>
      <c r="G594" s="62">
        <v>2114</v>
      </c>
      <c r="H594" s="19" t="s">
        <v>1848</v>
      </c>
      <c r="I594" s="19" t="s">
        <v>1829</v>
      </c>
      <c r="J594" s="86">
        <v>1</v>
      </c>
      <c r="K594" s="19" t="s">
        <v>1226</v>
      </c>
      <c r="L594" s="19" t="s">
        <v>1827</v>
      </c>
      <c r="M594" s="142" t="s">
        <v>1859</v>
      </c>
      <c r="N594" s="42">
        <v>45217</v>
      </c>
      <c r="O594" s="70"/>
      <c r="P594" s="70"/>
      <c r="Q594" s="73">
        <v>33000000</v>
      </c>
      <c r="R594" s="70"/>
      <c r="S594" s="19"/>
      <c r="T594" s="19"/>
      <c r="U594" s="19"/>
      <c r="V594" s="74">
        <f t="shared" si="116"/>
        <v>33000000</v>
      </c>
      <c r="W594" s="75"/>
      <c r="X594" s="64">
        <f t="shared" si="117"/>
        <v>33000000</v>
      </c>
      <c r="Y594" s="19"/>
      <c r="Z594" s="19"/>
      <c r="AA594" s="128"/>
      <c r="AB594" s="19"/>
      <c r="AC594" s="64">
        <f t="shared" si="118"/>
        <v>33000000</v>
      </c>
      <c r="AD594" s="63">
        <v>45231</v>
      </c>
      <c r="AE594" s="65">
        <v>47057</v>
      </c>
      <c r="AF594" s="19">
        <v>5</v>
      </c>
      <c r="AG594" s="19">
        <f t="shared" si="119"/>
        <v>60</v>
      </c>
      <c r="AH594" s="25">
        <f t="shared" si="120"/>
        <v>550000</v>
      </c>
      <c r="AI594" s="92">
        <v>1100000</v>
      </c>
      <c r="AJ594" s="92">
        <v>31900000</v>
      </c>
      <c r="AK594" s="27">
        <f t="shared" ref="AK594:AK678" si="124">+IF(AND(AK$3&gt;=$D594,AK$3&lt;$C594),$AH594,$AJ594)</f>
        <v>550000</v>
      </c>
      <c r="AL594" s="27">
        <f t="shared" si="94"/>
        <v>550000</v>
      </c>
      <c r="AM594" s="27"/>
      <c r="AN594" s="27"/>
      <c r="AO594" s="27"/>
      <c r="AP594" s="27"/>
      <c r="AQ594" s="27"/>
      <c r="AR594" s="27"/>
      <c r="AS594" s="27"/>
      <c r="AT594" s="27"/>
      <c r="AU594" s="27"/>
      <c r="AV594" s="27"/>
      <c r="AW594" s="27">
        <f t="shared" si="121"/>
        <v>1100000</v>
      </c>
      <c r="AX594" s="79">
        <f t="shared" si="122"/>
        <v>30800000</v>
      </c>
      <c r="AY594" s="79">
        <f t="shared" si="123"/>
        <v>2200000</v>
      </c>
      <c r="AZ594" s="25">
        <v>1</v>
      </c>
      <c r="BA594" s="62" t="s">
        <v>79</v>
      </c>
      <c r="BB594" s="25">
        <v>1</v>
      </c>
      <c r="BC594" s="25"/>
      <c r="BD594" s="66"/>
      <c r="BE594" s="67">
        <f t="shared" si="93"/>
        <v>550000</v>
      </c>
      <c r="BF594" s="67">
        <f t="shared" si="115"/>
        <v>0</v>
      </c>
      <c r="BG594" s="67">
        <f t="shared" si="114"/>
        <v>0</v>
      </c>
      <c r="BH594" s="67"/>
      <c r="BI594" s="19" t="s">
        <v>1777</v>
      </c>
      <c r="BJ594" s="68" t="s">
        <v>121</v>
      </c>
      <c r="BK594" s="68" t="s">
        <v>121</v>
      </c>
      <c r="BQ594" s="1" t="e">
        <v>#N/A</v>
      </c>
    </row>
    <row r="595" spans="3:69" ht="15" hidden="1" customHeight="1">
      <c r="C595" s="1" t="str">
        <f t="shared" si="113"/>
        <v>2810</v>
      </c>
      <c r="D595" s="1" t="str">
        <f t="shared" si="103"/>
        <v>2311</v>
      </c>
      <c r="E595" s="19" t="s">
        <v>1845</v>
      </c>
      <c r="F595" s="68" t="s">
        <v>49</v>
      </c>
      <c r="G595" s="62">
        <v>2114</v>
      </c>
      <c r="H595" s="19" t="s">
        <v>1849</v>
      </c>
      <c r="I595" s="19" t="s">
        <v>1829</v>
      </c>
      <c r="J595" s="86">
        <v>1</v>
      </c>
      <c r="K595" s="19" t="s">
        <v>1226</v>
      </c>
      <c r="L595" s="19" t="s">
        <v>1827</v>
      </c>
      <c r="M595" s="142" t="s">
        <v>1859</v>
      </c>
      <c r="N595" s="42">
        <v>45217</v>
      </c>
      <c r="O595" s="70"/>
      <c r="P595" s="70"/>
      <c r="Q595" s="73">
        <v>33000000</v>
      </c>
      <c r="R595" s="70"/>
      <c r="S595" s="19"/>
      <c r="T595" s="19"/>
      <c r="U595" s="19"/>
      <c r="V595" s="74">
        <f t="shared" si="116"/>
        <v>33000000</v>
      </c>
      <c r="W595" s="75"/>
      <c r="X595" s="64">
        <f t="shared" si="117"/>
        <v>33000000</v>
      </c>
      <c r="Y595" s="19"/>
      <c r="Z595" s="19"/>
      <c r="AA595" s="128"/>
      <c r="AB595" s="19"/>
      <c r="AC595" s="64">
        <f t="shared" si="118"/>
        <v>33000000</v>
      </c>
      <c r="AD595" s="63">
        <v>45231</v>
      </c>
      <c r="AE595" s="65">
        <v>47057</v>
      </c>
      <c r="AF595" s="19">
        <v>5</v>
      </c>
      <c r="AG595" s="19">
        <f t="shared" si="119"/>
        <v>60</v>
      </c>
      <c r="AH595" s="25">
        <f t="shared" si="120"/>
        <v>550000</v>
      </c>
      <c r="AI595" s="92">
        <v>1100000</v>
      </c>
      <c r="AJ595" s="92">
        <v>31900000</v>
      </c>
      <c r="AK595" s="27">
        <f t="shared" si="124"/>
        <v>550000</v>
      </c>
      <c r="AL595" s="27">
        <f t="shared" si="94"/>
        <v>550000</v>
      </c>
      <c r="AM595" s="27"/>
      <c r="AN595" s="27"/>
      <c r="AO595" s="27"/>
      <c r="AP595" s="27"/>
      <c r="AQ595" s="27"/>
      <c r="AR595" s="27"/>
      <c r="AS595" s="27"/>
      <c r="AT595" s="27"/>
      <c r="AU595" s="27"/>
      <c r="AV595" s="27"/>
      <c r="AW595" s="27">
        <f t="shared" si="121"/>
        <v>1100000</v>
      </c>
      <c r="AX595" s="79">
        <f t="shared" si="122"/>
        <v>30800000</v>
      </c>
      <c r="AY595" s="79">
        <f t="shared" si="123"/>
        <v>2200000</v>
      </c>
      <c r="AZ595" s="25">
        <v>1</v>
      </c>
      <c r="BA595" s="62" t="s">
        <v>79</v>
      </c>
      <c r="BB595" s="25">
        <v>1</v>
      </c>
      <c r="BC595" s="25"/>
      <c r="BD595" s="66"/>
      <c r="BE595" s="67">
        <f t="shared" si="93"/>
        <v>550000</v>
      </c>
      <c r="BF595" s="67">
        <f t="shared" si="115"/>
        <v>0</v>
      </c>
      <c r="BG595" s="67">
        <f t="shared" si="114"/>
        <v>0</v>
      </c>
      <c r="BH595" s="67"/>
      <c r="BI595" s="19" t="s">
        <v>1777</v>
      </c>
      <c r="BJ595" s="68" t="s">
        <v>121</v>
      </c>
      <c r="BK595" s="68" t="s">
        <v>121</v>
      </c>
      <c r="BQ595" s="1" t="e">
        <v>#N/A</v>
      </c>
    </row>
    <row r="596" spans="3:69" ht="15" hidden="1" customHeight="1">
      <c r="C596" s="1" t="str">
        <f t="shared" si="113"/>
        <v>2810</v>
      </c>
      <c r="D596" s="1" t="str">
        <f t="shared" si="103"/>
        <v>2311</v>
      </c>
      <c r="E596" s="19" t="s">
        <v>1845</v>
      </c>
      <c r="F596" s="68" t="s">
        <v>49</v>
      </c>
      <c r="G596" s="62">
        <v>2114</v>
      </c>
      <c r="H596" s="19" t="s">
        <v>1850</v>
      </c>
      <c r="I596" s="19" t="s">
        <v>1829</v>
      </c>
      <c r="J596" s="86">
        <v>1</v>
      </c>
      <c r="K596" s="19" t="s">
        <v>1226</v>
      </c>
      <c r="L596" s="19" t="s">
        <v>1827</v>
      </c>
      <c r="M596" s="142" t="s">
        <v>1859</v>
      </c>
      <c r="N596" s="42">
        <v>45217</v>
      </c>
      <c r="O596" s="70"/>
      <c r="P596" s="70"/>
      <c r="Q596" s="73">
        <v>33000000</v>
      </c>
      <c r="R596" s="70"/>
      <c r="S596" s="19"/>
      <c r="T596" s="19"/>
      <c r="U596" s="19"/>
      <c r="V596" s="74">
        <f t="shared" si="116"/>
        <v>33000000</v>
      </c>
      <c r="W596" s="75"/>
      <c r="X596" s="64">
        <f t="shared" si="117"/>
        <v>33000000</v>
      </c>
      <c r="Y596" s="19"/>
      <c r="Z596" s="19"/>
      <c r="AA596" s="128"/>
      <c r="AB596" s="19"/>
      <c r="AC596" s="64">
        <f t="shared" si="118"/>
        <v>33000000</v>
      </c>
      <c r="AD596" s="63">
        <v>45231</v>
      </c>
      <c r="AE596" s="65">
        <v>47057</v>
      </c>
      <c r="AF596" s="19">
        <v>5</v>
      </c>
      <c r="AG596" s="19">
        <f t="shared" si="119"/>
        <v>60</v>
      </c>
      <c r="AH596" s="25">
        <f t="shared" si="120"/>
        <v>550000</v>
      </c>
      <c r="AI596" s="92">
        <v>1100000</v>
      </c>
      <c r="AJ596" s="92">
        <v>31900000</v>
      </c>
      <c r="AK596" s="27">
        <f t="shared" si="124"/>
        <v>550000</v>
      </c>
      <c r="AL596" s="27">
        <f t="shared" si="94"/>
        <v>550000</v>
      </c>
      <c r="AM596" s="27"/>
      <c r="AN596" s="27"/>
      <c r="AO596" s="27"/>
      <c r="AP596" s="27"/>
      <c r="AQ596" s="27"/>
      <c r="AR596" s="27"/>
      <c r="AS596" s="27"/>
      <c r="AT596" s="27"/>
      <c r="AU596" s="27"/>
      <c r="AV596" s="27"/>
      <c r="AW596" s="27">
        <f t="shared" si="121"/>
        <v>1100000</v>
      </c>
      <c r="AX596" s="79">
        <f t="shared" si="122"/>
        <v>30800000</v>
      </c>
      <c r="AY596" s="79">
        <f t="shared" si="123"/>
        <v>2200000</v>
      </c>
      <c r="AZ596" s="25">
        <v>1</v>
      </c>
      <c r="BA596" s="62" t="s">
        <v>79</v>
      </c>
      <c r="BB596" s="25">
        <v>1</v>
      </c>
      <c r="BC596" s="25"/>
      <c r="BD596" s="66"/>
      <c r="BE596" s="67">
        <f t="shared" si="93"/>
        <v>550000</v>
      </c>
      <c r="BF596" s="67">
        <f t="shared" si="115"/>
        <v>0</v>
      </c>
      <c r="BG596" s="67">
        <f t="shared" si="114"/>
        <v>0</v>
      </c>
      <c r="BH596" s="67"/>
      <c r="BI596" s="19" t="s">
        <v>1777</v>
      </c>
      <c r="BJ596" s="68" t="s">
        <v>121</v>
      </c>
      <c r="BK596" s="68" t="s">
        <v>121</v>
      </c>
      <c r="BQ596" s="1" t="e">
        <v>#N/A</v>
      </c>
    </row>
    <row r="597" spans="3:69" ht="15" hidden="1" customHeight="1">
      <c r="C597" s="1" t="str">
        <f t="shared" si="113"/>
        <v>2810</v>
      </c>
      <c r="D597" s="1" t="str">
        <f t="shared" si="103"/>
        <v>2311</v>
      </c>
      <c r="E597" s="19" t="s">
        <v>1845</v>
      </c>
      <c r="F597" s="68" t="s">
        <v>49</v>
      </c>
      <c r="G597" s="62">
        <v>2114</v>
      </c>
      <c r="H597" s="19" t="s">
        <v>1851</v>
      </c>
      <c r="I597" s="19" t="s">
        <v>1829</v>
      </c>
      <c r="J597" s="86">
        <v>1</v>
      </c>
      <c r="K597" s="19" t="s">
        <v>1226</v>
      </c>
      <c r="L597" s="19" t="s">
        <v>1827</v>
      </c>
      <c r="M597" s="142" t="s">
        <v>1859</v>
      </c>
      <c r="N597" s="42">
        <v>45217</v>
      </c>
      <c r="O597" s="70"/>
      <c r="P597" s="70"/>
      <c r="Q597" s="73">
        <v>33000000</v>
      </c>
      <c r="R597" s="70"/>
      <c r="S597" s="19"/>
      <c r="T597" s="19"/>
      <c r="U597" s="19"/>
      <c r="V597" s="74">
        <f t="shared" si="116"/>
        <v>33000000</v>
      </c>
      <c r="W597" s="75"/>
      <c r="X597" s="64">
        <f t="shared" si="117"/>
        <v>33000000</v>
      </c>
      <c r="Y597" s="19"/>
      <c r="Z597" s="19"/>
      <c r="AA597" s="128"/>
      <c r="AB597" s="19"/>
      <c r="AC597" s="64">
        <f t="shared" si="118"/>
        <v>33000000</v>
      </c>
      <c r="AD597" s="63">
        <v>45231</v>
      </c>
      <c r="AE597" s="65">
        <v>47057</v>
      </c>
      <c r="AF597" s="19">
        <v>5</v>
      </c>
      <c r="AG597" s="19">
        <f t="shared" si="119"/>
        <v>60</v>
      </c>
      <c r="AH597" s="25">
        <f t="shared" si="120"/>
        <v>550000</v>
      </c>
      <c r="AI597" s="92">
        <v>1100000</v>
      </c>
      <c r="AJ597" s="92">
        <v>31900000</v>
      </c>
      <c r="AK597" s="27">
        <f t="shared" si="124"/>
        <v>550000</v>
      </c>
      <c r="AL597" s="27">
        <f t="shared" si="94"/>
        <v>550000</v>
      </c>
      <c r="AM597" s="27"/>
      <c r="AN597" s="27"/>
      <c r="AO597" s="27"/>
      <c r="AP597" s="27"/>
      <c r="AQ597" s="27"/>
      <c r="AR597" s="27"/>
      <c r="AS597" s="27"/>
      <c r="AT597" s="27"/>
      <c r="AU597" s="27"/>
      <c r="AV597" s="27"/>
      <c r="AW597" s="27">
        <f t="shared" si="121"/>
        <v>1100000</v>
      </c>
      <c r="AX597" s="79">
        <f t="shared" si="122"/>
        <v>30800000</v>
      </c>
      <c r="AY597" s="79">
        <f t="shared" si="123"/>
        <v>2200000</v>
      </c>
      <c r="AZ597" s="25">
        <v>1</v>
      </c>
      <c r="BA597" s="62" t="s">
        <v>79</v>
      </c>
      <c r="BB597" s="25">
        <v>1</v>
      </c>
      <c r="BC597" s="25"/>
      <c r="BD597" s="66"/>
      <c r="BE597" s="67">
        <f t="shared" ref="BE597:BE660" si="125">+$AL597*BB597</f>
        <v>550000</v>
      </c>
      <c r="BF597" s="67">
        <f t="shared" si="115"/>
        <v>0</v>
      </c>
      <c r="BG597" s="67">
        <f t="shared" si="114"/>
        <v>0</v>
      </c>
      <c r="BH597" s="67"/>
      <c r="BI597" s="19" t="s">
        <v>1777</v>
      </c>
      <c r="BJ597" s="68" t="s">
        <v>121</v>
      </c>
      <c r="BK597" s="68" t="s">
        <v>121</v>
      </c>
      <c r="BQ597" s="1" t="e">
        <v>#N/A</v>
      </c>
    </row>
    <row r="598" spans="3:69" ht="15" hidden="1" customHeight="1">
      <c r="C598" s="1" t="str">
        <f t="shared" ref="C598:C643" si="126">+RIGHT(YEAR(AE598),2)&amp;IF(LEN(MONTH(AE598))=2,MONTH(AE598),"0"&amp;MONTH(AE598))</f>
        <v>2810</v>
      </c>
      <c r="D598" s="1" t="str">
        <f t="shared" ref="D598:D643" si="127">+RIGHT(YEAR(AD598),2)&amp;IF(LEN(MONTH(AD598))=2,MONTH(AD598),"0"&amp;MONTH(AD598))</f>
        <v>2311</v>
      </c>
      <c r="E598" s="19" t="s">
        <v>1845</v>
      </c>
      <c r="F598" s="68" t="s">
        <v>49</v>
      </c>
      <c r="G598" s="62">
        <v>2114</v>
      </c>
      <c r="H598" s="19" t="s">
        <v>1852</v>
      </c>
      <c r="I598" s="19" t="s">
        <v>1829</v>
      </c>
      <c r="J598" s="86">
        <v>1</v>
      </c>
      <c r="K598" s="19" t="s">
        <v>1226</v>
      </c>
      <c r="L598" s="19" t="s">
        <v>1827</v>
      </c>
      <c r="M598" s="142" t="s">
        <v>1859</v>
      </c>
      <c r="N598" s="42">
        <v>45217</v>
      </c>
      <c r="O598" s="70"/>
      <c r="P598" s="70"/>
      <c r="Q598" s="73">
        <v>33000000</v>
      </c>
      <c r="R598" s="70"/>
      <c r="S598" s="19"/>
      <c r="T598" s="19"/>
      <c r="U598" s="19"/>
      <c r="V598" s="74">
        <f t="shared" si="116"/>
        <v>33000000</v>
      </c>
      <c r="W598" s="75"/>
      <c r="X598" s="64">
        <f t="shared" si="117"/>
        <v>33000000</v>
      </c>
      <c r="Y598" s="19"/>
      <c r="Z598" s="19"/>
      <c r="AA598" s="128"/>
      <c r="AB598" s="19"/>
      <c r="AC598" s="64">
        <f t="shared" si="118"/>
        <v>33000000</v>
      </c>
      <c r="AD598" s="63">
        <v>45231</v>
      </c>
      <c r="AE598" s="65">
        <v>47057</v>
      </c>
      <c r="AF598" s="19">
        <v>5</v>
      </c>
      <c r="AG598" s="19">
        <f t="shared" si="119"/>
        <v>60</v>
      </c>
      <c r="AH598" s="25">
        <f t="shared" si="120"/>
        <v>550000</v>
      </c>
      <c r="AI598" s="92">
        <v>1100000</v>
      </c>
      <c r="AJ598" s="92">
        <v>31900000</v>
      </c>
      <c r="AK598" s="27">
        <f t="shared" si="124"/>
        <v>550000</v>
      </c>
      <c r="AL598" s="27">
        <f t="shared" si="94"/>
        <v>550000</v>
      </c>
      <c r="AM598" s="27"/>
      <c r="AN598" s="27"/>
      <c r="AO598" s="27"/>
      <c r="AP598" s="27"/>
      <c r="AQ598" s="27"/>
      <c r="AR598" s="27"/>
      <c r="AS598" s="27"/>
      <c r="AT598" s="27"/>
      <c r="AU598" s="27"/>
      <c r="AV598" s="27"/>
      <c r="AW598" s="27">
        <f t="shared" si="121"/>
        <v>1100000</v>
      </c>
      <c r="AX598" s="79">
        <f t="shared" si="122"/>
        <v>30800000</v>
      </c>
      <c r="AY598" s="79">
        <f t="shared" si="123"/>
        <v>2200000</v>
      </c>
      <c r="AZ598" s="25">
        <v>1</v>
      </c>
      <c r="BA598" s="62" t="s">
        <v>79</v>
      </c>
      <c r="BB598" s="25">
        <v>1</v>
      </c>
      <c r="BC598" s="25"/>
      <c r="BD598" s="66"/>
      <c r="BE598" s="67">
        <f t="shared" si="125"/>
        <v>550000</v>
      </c>
      <c r="BF598" s="67">
        <f t="shared" si="115"/>
        <v>0</v>
      </c>
      <c r="BG598" s="67">
        <f t="shared" si="114"/>
        <v>0</v>
      </c>
      <c r="BH598" s="67"/>
      <c r="BI598" s="19" t="s">
        <v>1777</v>
      </c>
      <c r="BJ598" s="68" t="s">
        <v>121</v>
      </c>
      <c r="BK598" s="68" t="s">
        <v>121</v>
      </c>
      <c r="BQ598" s="1" t="e">
        <v>#N/A</v>
      </c>
    </row>
    <row r="599" spans="3:69" ht="15" hidden="1" customHeight="1">
      <c r="C599" s="1" t="str">
        <f t="shared" si="126"/>
        <v>2810</v>
      </c>
      <c r="D599" s="1" t="str">
        <f t="shared" si="127"/>
        <v>2311</v>
      </c>
      <c r="E599" s="19" t="s">
        <v>1845</v>
      </c>
      <c r="F599" s="68" t="s">
        <v>49</v>
      </c>
      <c r="G599" s="62">
        <v>2114</v>
      </c>
      <c r="H599" s="19" t="s">
        <v>1853</v>
      </c>
      <c r="I599" s="19" t="s">
        <v>1829</v>
      </c>
      <c r="J599" s="86">
        <v>1</v>
      </c>
      <c r="K599" s="19" t="s">
        <v>1226</v>
      </c>
      <c r="L599" s="19" t="s">
        <v>1827</v>
      </c>
      <c r="M599" s="142" t="s">
        <v>1859</v>
      </c>
      <c r="N599" s="42">
        <v>45217</v>
      </c>
      <c r="O599" s="70"/>
      <c r="P599" s="70"/>
      <c r="Q599" s="73">
        <v>33000000</v>
      </c>
      <c r="R599" s="70"/>
      <c r="S599" s="19"/>
      <c r="T599" s="19"/>
      <c r="U599" s="19"/>
      <c r="V599" s="74">
        <f t="shared" si="116"/>
        <v>33000000</v>
      </c>
      <c r="W599" s="75"/>
      <c r="X599" s="64">
        <f t="shared" si="117"/>
        <v>33000000</v>
      </c>
      <c r="Y599" s="19"/>
      <c r="Z599" s="19"/>
      <c r="AA599" s="128"/>
      <c r="AB599" s="19"/>
      <c r="AC599" s="64">
        <f t="shared" si="118"/>
        <v>33000000</v>
      </c>
      <c r="AD599" s="63">
        <v>45231</v>
      </c>
      <c r="AE599" s="65">
        <v>47057</v>
      </c>
      <c r="AF599" s="19">
        <v>5</v>
      </c>
      <c r="AG599" s="19">
        <f t="shared" si="119"/>
        <v>60</v>
      </c>
      <c r="AH599" s="25">
        <f t="shared" si="120"/>
        <v>550000</v>
      </c>
      <c r="AI599" s="92">
        <v>1100000</v>
      </c>
      <c r="AJ599" s="92">
        <v>31900000</v>
      </c>
      <c r="AK599" s="27">
        <f t="shared" si="124"/>
        <v>550000</v>
      </c>
      <c r="AL599" s="27">
        <f t="shared" si="94"/>
        <v>550000</v>
      </c>
      <c r="AM599" s="27"/>
      <c r="AN599" s="27"/>
      <c r="AO599" s="27"/>
      <c r="AP599" s="27"/>
      <c r="AQ599" s="27"/>
      <c r="AR599" s="27"/>
      <c r="AS599" s="27"/>
      <c r="AT599" s="27"/>
      <c r="AU599" s="27"/>
      <c r="AV599" s="27"/>
      <c r="AW599" s="27">
        <f t="shared" si="121"/>
        <v>1100000</v>
      </c>
      <c r="AX599" s="79">
        <f t="shared" si="122"/>
        <v>30800000</v>
      </c>
      <c r="AY599" s="79">
        <f t="shared" si="123"/>
        <v>2200000</v>
      </c>
      <c r="AZ599" s="25">
        <v>1</v>
      </c>
      <c r="BA599" s="62" t="s">
        <v>79</v>
      </c>
      <c r="BB599" s="25">
        <v>1</v>
      </c>
      <c r="BC599" s="25"/>
      <c r="BD599" s="66"/>
      <c r="BE599" s="67">
        <f t="shared" si="125"/>
        <v>550000</v>
      </c>
      <c r="BF599" s="67">
        <f t="shared" si="115"/>
        <v>0</v>
      </c>
      <c r="BG599" s="67">
        <f t="shared" si="114"/>
        <v>0</v>
      </c>
      <c r="BH599" s="67"/>
      <c r="BI599" s="19" t="s">
        <v>1777</v>
      </c>
      <c r="BJ599" s="68" t="s">
        <v>121</v>
      </c>
      <c r="BK599" s="68" t="s">
        <v>121</v>
      </c>
      <c r="BQ599" s="1" t="s">
        <v>1979</v>
      </c>
    </row>
    <row r="600" spans="3:69" ht="15" hidden="1" customHeight="1">
      <c r="C600" s="1" t="str">
        <f t="shared" si="126"/>
        <v>2810</v>
      </c>
      <c r="D600" s="1" t="str">
        <f t="shared" si="127"/>
        <v>2311</v>
      </c>
      <c r="E600" s="19" t="s">
        <v>1845</v>
      </c>
      <c r="F600" s="68" t="s">
        <v>49</v>
      </c>
      <c r="G600" s="62">
        <v>2114</v>
      </c>
      <c r="H600" s="19" t="s">
        <v>1854</v>
      </c>
      <c r="I600" s="19" t="s">
        <v>1829</v>
      </c>
      <c r="J600" s="86">
        <v>1</v>
      </c>
      <c r="K600" s="19" t="s">
        <v>1226</v>
      </c>
      <c r="L600" s="19" t="s">
        <v>1827</v>
      </c>
      <c r="M600" s="142" t="s">
        <v>1859</v>
      </c>
      <c r="N600" s="42">
        <v>45217</v>
      </c>
      <c r="O600" s="70"/>
      <c r="P600" s="70"/>
      <c r="Q600" s="73">
        <v>33000000</v>
      </c>
      <c r="R600" s="70"/>
      <c r="S600" s="19"/>
      <c r="T600" s="19"/>
      <c r="U600" s="19"/>
      <c r="V600" s="74">
        <f t="shared" si="116"/>
        <v>33000000</v>
      </c>
      <c r="W600" s="75"/>
      <c r="X600" s="64">
        <f t="shared" si="117"/>
        <v>33000000</v>
      </c>
      <c r="Y600" s="19"/>
      <c r="Z600" s="19"/>
      <c r="AA600" s="128"/>
      <c r="AB600" s="19"/>
      <c r="AC600" s="64">
        <f t="shared" si="118"/>
        <v>33000000</v>
      </c>
      <c r="AD600" s="63">
        <v>45231</v>
      </c>
      <c r="AE600" s="65">
        <v>47057</v>
      </c>
      <c r="AF600" s="19">
        <v>5</v>
      </c>
      <c r="AG600" s="19">
        <f t="shared" si="119"/>
        <v>60</v>
      </c>
      <c r="AH600" s="25">
        <f t="shared" si="120"/>
        <v>550000</v>
      </c>
      <c r="AI600" s="92">
        <v>1100000</v>
      </c>
      <c r="AJ600" s="92">
        <v>31900000</v>
      </c>
      <c r="AK600" s="27">
        <f t="shared" si="124"/>
        <v>550000</v>
      </c>
      <c r="AL600" s="27">
        <f t="shared" ref="AL600:AL663" si="128">+IF(AND(AL$3&gt;=$D600,AL$3&lt;$C600),$AH600,$AJ600-SUM(AJ600:AK600))</f>
        <v>550000</v>
      </c>
      <c r="AM600" s="27"/>
      <c r="AN600" s="27"/>
      <c r="AO600" s="27"/>
      <c r="AP600" s="27"/>
      <c r="AQ600" s="27"/>
      <c r="AR600" s="27"/>
      <c r="AS600" s="27"/>
      <c r="AT600" s="27"/>
      <c r="AU600" s="27"/>
      <c r="AV600" s="27"/>
      <c r="AW600" s="27">
        <f t="shared" si="121"/>
        <v>1100000</v>
      </c>
      <c r="AX600" s="79">
        <f t="shared" si="122"/>
        <v>30800000</v>
      </c>
      <c r="AY600" s="79">
        <f t="shared" si="123"/>
        <v>2200000</v>
      </c>
      <c r="AZ600" s="25">
        <v>1</v>
      </c>
      <c r="BA600" s="62" t="s">
        <v>79</v>
      </c>
      <c r="BB600" s="25">
        <v>1</v>
      </c>
      <c r="BC600" s="25"/>
      <c r="BD600" s="66"/>
      <c r="BE600" s="67">
        <f t="shared" si="125"/>
        <v>550000</v>
      </c>
      <c r="BF600" s="67">
        <f t="shared" si="115"/>
        <v>0</v>
      </c>
      <c r="BG600" s="67">
        <f t="shared" si="114"/>
        <v>0</v>
      </c>
      <c r="BH600" s="67"/>
      <c r="BI600" s="19" t="s">
        <v>1777</v>
      </c>
      <c r="BJ600" s="68" t="s">
        <v>121</v>
      </c>
      <c r="BK600" s="68" t="s">
        <v>121</v>
      </c>
      <c r="BQ600" s="1" t="e">
        <v>#N/A</v>
      </c>
    </row>
    <row r="601" spans="3:69" ht="15" hidden="1" customHeight="1">
      <c r="C601" s="1" t="str">
        <f t="shared" si="126"/>
        <v>2810</v>
      </c>
      <c r="D601" s="1" t="str">
        <f t="shared" si="127"/>
        <v>2311</v>
      </c>
      <c r="E601" s="19" t="s">
        <v>1845</v>
      </c>
      <c r="F601" s="68" t="s">
        <v>49</v>
      </c>
      <c r="G601" s="62">
        <v>2114</v>
      </c>
      <c r="H601" s="19" t="s">
        <v>1855</v>
      </c>
      <c r="I601" s="19" t="s">
        <v>1829</v>
      </c>
      <c r="J601" s="86">
        <v>1</v>
      </c>
      <c r="K601" s="19" t="s">
        <v>1226</v>
      </c>
      <c r="L601" s="19" t="s">
        <v>1827</v>
      </c>
      <c r="M601" s="142" t="s">
        <v>1859</v>
      </c>
      <c r="N601" s="42">
        <v>45217</v>
      </c>
      <c r="O601" s="70"/>
      <c r="P601" s="70"/>
      <c r="Q601" s="73">
        <v>33000000</v>
      </c>
      <c r="R601" s="70"/>
      <c r="S601" s="19"/>
      <c r="T601" s="19"/>
      <c r="U601" s="19"/>
      <c r="V601" s="74">
        <f t="shared" si="116"/>
        <v>33000000</v>
      </c>
      <c r="W601" s="75"/>
      <c r="X601" s="64">
        <f t="shared" si="117"/>
        <v>33000000</v>
      </c>
      <c r="Y601" s="19"/>
      <c r="Z601" s="19"/>
      <c r="AA601" s="128"/>
      <c r="AB601" s="19"/>
      <c r="AC601" s="64">
        <f t="shared" si="118"/>
        <v>33000000</v>
      </c>
      <c r="AD601" s="63">
        <v>45231</v>
      </c>
      <c r="AE601" s="65">
        <v>47057</v>
      </c>
      <c r="AF601" s="19">
        <v>5</v>
      </c>
      <c r="AG601" s="19">
        <f t="shared" si="119"/>
        <v>60</v>
      </c>
      <c r="AH601" s="25">
        <f t="shared" si="120"/>
        <v>550000</v>
      </c>
      <c r="AI601" s="92">
        <v>1100000</v>
      </c>
      <c r="AJ601" s="92">
        <v>31900000</v>
      </c>
      <c r="AK601" s="27">
        <f t="shared" si="124"/>
        <v>550000</v>
      </c>
      <c r="AL601" s="27">
        <f t="shared" si="128"/>
        <v>550000</v>
      </c>
      <c r="AM601" s="27"/>
      <c r="AN601" s="27"/>
      <c r="AO601" s="27"/>
      <c r="AP601" s="27"/>
      <c r="AQ601" s="27"/>
      <c r="AR601" s="27"/>
      <c r="AS601" s="27"/>
      <c r="AT601" s="27"/>
      <c r="AU601" s="27"/>
      <c r="AV601" s="27"/>
      <c r="AW601" s="27">
        <f t="shared" si="121"/>
        <v>1100000</v>
      </c>
      <c r="AX601" s="79">
        <f t="shared" si="122"/>
        <v>30800000</v>
      </c>
      <c r="AY601" s="79">
        <f t="shared" si="123"/>
        <v>2200000</v>
      </c>
      <c r="AZ601" s="25">
        <v>1</v>
      </c>
      <c r="BA601" s="62" t="s">
        <v>79</v>
      </c>
      <c r="BB601" s="25">
        <v>1</v>
      </c>
      <c r="BC601" s="25"/>
      <c r="BD601" s="66"/>
      <c r="BE601" s="67">
        <f t="shared" si="125"/>
        <v>550000</v>
      </c>
      <c r="BF601" s="67">
        <f t="shared" si="115"/>
        <v>0</v>
      </c>
      <c r="BG601" s="67">
        <f t="shared" si="114"/>
        <v>0</v>
      </c>
      <c r="BH601" s="67"/>
      <c r="BI601" s="19" t="s">
        <v>1777</v>
      </c>
      <c r="BJ601" s="68" t="s">
        <v>121</v>
      </c>
      <c r="BK601" s="68" t="s">
        <v>121</v>
      </c>
      <c r="BQ601" s="1" t="e">
        <v>#N/A</v>
      </c>
    </row>
    <row r="602" spans="3:69" ht="15" hidden="1" customHeight="1">
      <c r="C602" s="1" t="str">
        <f t="shared" si="126"/>
        <v>2810</v>
      </c>
      <c r="D602" s="1" t="str">
        <f t="shared" si="127"/>
        <v>2311</v>
      </c>
      <c r="E602" s="19" t="s">
        <v>1845</v>
      </c>
      <c r="F602" s="68" t="s">
        <v>49</v>
      </c>
      <c r="G602" s="62">
        <v>2114</v>
      </c>
      <c r="H602" s="19" t="s">
        <v>1856</v>
      </c>
      <c r="I602" s="19" t="s">
        <v>1830</v>
      </c>
      <c r="J602" s="86">
        <v>1</v>
      </c>
      <c r="K602" s="19" t="s">
        <v>1226</v>
      </c>
      <c r="L602" s="19" t="s">
        <v>1827</v>
      </c>
      <c r="M602" s="142" t="s">
        <v>1859</v>
      </c>
      <c r="N602" s="42">
        <v>45217</v>
      </c>
      <c r="O602" s="70"/>
      <c r="P602" s="70"/>
      <c r="Q602" s="73">
        <v>33000000</v>
      </c>
      <c r="R602" s="70"/>
      <c r="S602" s="19"/>
      <c r="T602" s="19"/>
      <c r="U602" s="19"/>
      <c r="V602" s="74">
        <f t="shared" si="116"/>
        <v>33000000</v>
      </c>
      <c r="W602" s="75"/>
      <c r="X602" s="64">
        <f t="shared" si="117"/>
        <v>33000000</v>
      </c>
      <c r="Y602" s="19"/>
      <c r="Z602" s="19"/>
      <c r="AA602" s="128"/>
      <c r="AB602" s="19"/>
      <c r="AC602" s="64">
        <f t="shared" si="118"/>
        <v>33000000</v>
      </c>
      <c r="AD602" s="63">
        <v>45231</v>
      </c>
      <c r="AE602" s="65">
        <v>47057</v>
      </c>
      <c r="AF602" s="19">
        <v>5</v>
      </c>
      <c r="AG602" s="19">
        <f t="shared" si="119"/>
        <v>60</v>
      </c>
      <c r="AH602" s="25">
        <f t="shared" si="120"/>
        <v>550000</v>
      </c>
      <c r="AI602" s="92">
        <v>1100000</v>
      </c>
      <c r="AJ602" s="92">
        <v>31900000</v>
      </c>
      <c r="AK602" s="27">
        <f t="shared" si="124"/>
        <v>550000</v>
      </c>
      <c r="AL602" s="27">
        <f t="shared" si="128"/>
        <v>550000</v>
      </c>
      <c r="AM602" s="27"/>
      <c r="AN602" s="27"/>
      <c r="AO602" s="27"/>
      <c r="AP602" s="27"/>
      <c r="AQ602" s="27"/>
      <c r="AR602" s="27"/>
      <c r="AS602" s="27"/>
      <c r="AT602" s="27"/>
      <c r="AU602" s="27"/>
      <c r="AV602" s="27"/>
      <c r="AW602" s="27">
        <f t="shared" si="121"/>
        <v>1100000</v>
      </c>
      <c r="AX602" s="79">
        <f t="shared" si="122"/>
        <v>30800000</v>
      </c>
      <c r="AY602" s="79">
        <f t="shared" si="123"/>
        <v>2200000</v>
      </c>
      <c r="AZ602" s="25">
        <v>1</v>
      </c>
      <c r="BA602" s="62" t="s">
        <v>79</v>
      </c>
      <c r="BB602" s="25">
        <v>1</v>
      </c>
      <c r="BC602" s="25"/>
      <c r="BD602" s="66"/>
      <c r="BE602" s="67">
        <f t="shared" si="125"/>
        <v>550000</v>
      </c>
      <c r="BF602" s="67">
        <f t="shared" si="115"/>
        <v>0</v>
      </c>
      <c r="BG602" s="67">
        <f t="shared" si="114"/>
        <v>0</v>
      </c>
      <c r="BH602" s="67"/>
      <c r="BI602" s="19" t="s">
        <v>1777</v>
      </c>
      <c r="BJ602" s="68" t="s">
        <v>121</v>
      </c>
      <c r="BK602" s="68" t="s">
        <v>121</v>
      </c>
      <c r="BQ602" s="1" t="s">
        <v>1979</v>
      </c>
    </row>
    <row r="603" spans="3:69" ht="15" hidden="1" customHeight="1">
      <c r="C603" s="1" t="str">
        <f t="shared" si="126"/>
        <v>2810</v>
      </c>
      <c r="D603" s="1" t="str">
        <f t="shared" si="127"/>
        <v>2311</v>
      </c>
      <c r="E603" s="19" t="s">
        <v>1845</v>
      </c>
      <c r="F603" s="68" t="s">
        <v>49</v>
      </c>
      <c r="G603" s="62">
        <v>2114</v>
      </c>
      <c r="H603" s="19" t="s">
        <v>1857</v>
      </c>
      <c r="I603" s="19" t="s">
        <v>1830</v>
      </c>
      <c r="J603" s="86">
        <v>1</v>
      </c>
      <c r="K603" s="19" t="s">
        <v>1226</v>
      </c>
      <c r="L603" s="19" t="s">
        <v>1827</v>
      </c>
      <c r="M603" s="142" t="s">
        <v>1859</v>
      </c>
      <c r="N603" s="42">
        <v>45217</v>
      </c>
      <c r="O603" s="70"/>
      <c r="P603" s="70"/>
      <c r="Q603" s="73">
        <v>33000000</v>
      </c>
      <c r="R603" s="70"/>
      <c r="S603" s="19"/>
      <c r="T603" s="19"/>
      <c r="U603" s="19"/>
      <c r="V603" s="74">
        <f t="shared" si="116"/>
        <v>33000000</v>
      </c>
      <c r="W603" s="75"/>
      <c r="X603" s="64">
        <f t="shared" si="117"/>
        <v>33000000</v>
      </c>
      <c r="Y603" s="19"/>
      <c r="Z603" s="19"/>
      <c r="AA603" s="128"/>
      <c r="AB603" s="19"/>
      <c r="AC603" s="64">
        <f t="shared" si="118"/>
        <v>33000000</v>
      </c>
      <c r="AD603" s="63">
        <v>45231</v>
      </c>
      <c r="AE603" s="65">
        <v>47057</v>
      </c>
      <c r="AF603" s="19">
        <v>5</v>
      </c>
      <c r="AG603" s="19">
        <f t="shared" si="119"/>
        <v>60</v>
      </c>
      <c r="AH603" s="25">
        <f t="shared" si="120"/>
        <v>550000</v>
      </c>
      <c r="AI603" s="92">
        <v>1100000</v>
      </c>
      <c r="AJ603" s="92">
        <v>31900000</v>
      </c>
      <c r="AK603" s="27">
        <f t="shared" si="124"/>
        <v>550000</v>
      </c>
      <c r="AL603" s="27">
        <f t="shared" si="128"/>
        <v>550000</v>
      </c>
      <c r="AM603" s="27"/>
      <c r="AN603" s="27"/>
      <c r="AO603" s="27"/>
      <c r="AP603" s="27"/>
      <c r="AQ603" s="27"/>
      <c r="AR603" s="27"/>
      <c r="AS603" s="27"/>
      <c r="AT603" s="27"/>
      <c r="AU603" s="27"/>
      <c r="AV603" s="27"/>
      <c r="AW603" s="27">
        <f t="shared" si="121"/>
        <v>1100000</v>
      </c>
      <c r="AX603" s="79">
        <f t="shared" si="122"/>
        <v>30800000</v>
      </c>
      <c r="AY603" s="79">
        <f t="shared" si="123"/>
        <v>2200000</v>
      </c>
      <c r="AZ603" s="25">
        <v>1</v>
      </c>
      <c r="BA603" s="62" t="s">
        <v>79</v>
      </c>
      <c r="BB603" s="25">
        <v>1</v>
      </c>
      <c r="BC603" s="25"/>
      <c r="BD603" s="66"/>
      <c r="BE603" s="67">
        <f t="shared" si="125"/>
        <v>550000</v>
      </c>
      <c r="BF603" s="67">
        <f t="shared" si="115"/>
        <v>0</v>
      </c>
      <c r="BG603" s="67">
        <f t="shared" si="114"/>
        <v>0</v>
      </c>
      <c r="BH603" s="67"/>
      <c r="BI603" s="19" t="s">
        <v>1777</v>
      </c>
      <c r="BJ603" s="68" t="s">
        <v>121</v>
      </c>
      <c r="BK603" s="68" t="s">
        <v>121</v>
      </c>
      <c r="BQ603" s="1" t="e">
        <v>#N/A</v>
      </c>
    </row>
    <row r="604" spans="3:69" ht="15" hidden="1" customHeight="1">
      <c r="C604" s="1" t="str">
        <f t="shared" si="126"/>
        <v>3311</v>
      </c>
      <c r="D604" s="1" t="str">
        <f t="shared" si="127"/>
        <v>2312</v>
      </c>
      <c r="E604" s="19" t="s">
        <v>1872</v>
      </c>
      <c r="F604" s="68" t="s">
        <v>49</v>
      </c>
      <c r="G604" s="62">
        <v>2112</v>
      </c>
      <c r="H604" s="19" t="s">
        <v>1863</v>
      </c>
      <c r="I604" s="19" t="s">
        <v>1861</v>
      </c>
      <c r="J604" s="273">
        <v>1</v>
      </c>
      <c r="K604" s="19" t="s">
        <v>1226</v>
      </c>
      <c r="L604" s="19" t="s">
        <v>1716</v>
      </c>
      <c r="M604" s="142" t="s">
        <v>1862</v>
      </c>
      <c r="N604" s="42">
        <v>45197</v>
      </c>
      <c r="O604" s="70">
        <f>73242.88/5</f>
        <v>14648.576000000001</v>
      </c>
      <c r="P604" s="70">
        <v>24555</v>
      </c>
      <c r="Q604" s="73">
        <f>ROUND(O604*P604,0)</f>
        <v>359695784</v>
      </c>
      <c r="R604" s="70">
        <f>26874540/5</f>
        <v>5374908</v>
      </c>
      <c r="S604" s="19"/>
      <c r="T604" s="19">
        <f>14963038/5</f>
        <v>2992607.6</v>
      </c>
      <c r="U604" s="19" t="s">
        <v>1867</v>
      </c>
      <c r="V604" s="74">
        <f>+SUM(Q604:T604)</f>
        <v>368063299.60000002</v>
      </c>
      <c r="W604" s="75"/>
      <c r="X604" s="64">
        <f>+V604</f>
        <v>368063299.60000002</v>
      </c>
      <c r="Y604" s="19"/>
      <c r="Z604" s="19"/>
      <c r="AA604" s="128"/>
      <c r="AB604" s="19"/>
      <c r="AC604" s="64">
        <f>+X604-Y604</f>
        <v>368063299.60000002</v>
      </c>
      <c r="AD604" s="63">
        <v>45261</v>
      </c>
      <c r="AE604" s="65">
        <v>48913</v>
      </c>
      <c r="AF604" s="19">
        <v>10</v>
      </c>
      <c r="AG604" s="19">
        <f t="shared" si="119"/>
        <v>120</v>
      </c>
      <c r="AH604" s="25">
        <f>+ROUND(AC604/AG604,0)</f>
        <v>3067194</v>
      </c>
      <c r="AI604" s="92">
        <v>3067194</v>
      </c>
      <c r="AJ604" s="92">
        <v>364996105.60000002</v>
      </c>
      <c r="AK604" s="27">
        <f t="shared" si="124"/>
        <v>3067194</v>
      </c>
      <c r="AL604" s="27">
        <f t="shared" si="128"/>
        <v>3067194</v>
      </c>
      <c r="AM604" s="27"/>
      <c r="AN604" s="27"/>
      <c r="AO604" s="27"/>
      <c r="AP604" s="27"/>
      <c r="AQ604" s="27"/>
      <c r="AR604" s="27"/>
      <c r="AS604" s="27"/>
      <c r="AT604" s="27"/>
      <c r="AU604" s="27"/>
      <c r="AV604" s="27"/>
      <c r="AW604" s="27">
        <f t="shared" si="121"/>
        <v>6134388</v>
      </c>
      <c r="AX604" s="79">
        <f t="shared" si="122"/>
        <v>358861717.60000002</v>
      </c>
      <c r="AY604" s="79">
        <f t="shared" si="123"/>
        <v>9201582</v>
      </c>
      <c r="AZ604" s="25">
        <v>1</v>
      </c>
      <c r="BA604" s="62" t="s">
        <v>97</v>
      </c>
      <c r="BB604" s="25">
        <v>1</v>
      </c>
      <c r="BC604" s="25"/>
      <c r="BD604" s="66"/>
      <c r="BE604" s="67">
        <f t="shared" si="125"/>
        <v>3067194</v>
      </c>
      <c r="BF604" s="67">
        <f t="shared" si="115"/>
        <v>0</v>
      </c>
      <c r="BG604" s="67">
        <f t="shared" si="114"/>
        <v>0</v>
      </c>
      <c r="BH604" s="67"/>
      <c r="BI604" s="19" t="s">
        <v>1777</v>
      </c>
      <c r="BJ604" s="68" t="s">
        <v>98</v>
      </c>
      <c r="BK604" s="68" t="s">
        <v>98</v>
      </c>
      <c r="BO604" s="1"/>
      <c r="BQ604" s="1" t="e">
        <v>#N/A</v>
      </c>
    </row>
    <row r="605" spans="3:69" ht="15" hidden="1" customHeight="1">
      <c r="C605" s="1" t="str">
        <f t="shared" si="126"/>
        <v>3311</v>
      </c>
      <c r="D605" s="1" t="str">
        <f t="shared" si="127"/>
        <v>2312</v>
      </c>
      <c r="E605" s="19" t="s">
        <v>1872</v>
      </c>
      <c r="F605" s="68" t="s">
        <v>49</v>
      </c>
      <c r="G605" s="62">
        <v>2112</v>
      </c>
      <c r="H605" s="19" t="s">
        <v>1863</v>
      </c>
      <c r="I605" s="19" t="s">
        <v>1861</v>
      </c>
      <c r="J605" s="274"/>
      <c r="K605" s="19" t="s">
        <v>1226</v>
      </c>
      <c r="L605" s="19" t="s">
        <v>967</v>
      </c>
      <c r="M605" s="142" t="s">
        <v>1864</v>
      </c>
      <c r="N605" s="42">
        <v>45210</v>
      </c>
      <c r="O605" s="70"/>
      <c r="P605" s="70"/>
      <c r="Q605" s="73">
        <v>43660000</v>
      </c>
      <c r="R605" s="70"/>
      <c r="S605" s="19"/>
      <c r="T605" s="19"/>
      <c r="U605" s="19"/>
      <c r="V605" s="74">
        <f>+SUM(Q605:T605)</f>
        <v>43660000</v>
      </c>
      <c r="W605" s="75"/>
      <c r="X605" s="64">
        <f>+V605</f>
        <v>43660000</v>
      </c>
      <c r="Y605" s="19"/>
      <c r="Z605" s="19"/>
      <c r="AA605" s="128"/>
      <c r="AB605" s="19"/>
      <c r="AC605" s="64">
        <f>+X605-Y605</f>
        <v>43660000</v>
      </c>
      <c r="AD605" s="63">
        <v>45261</v>
      </c>
      <c r="AE605" s="65">
        <v>48913</v>
      </c>
      <c r="AF605" s="19">
        <v>10</v>
      </c>
      <c r="AG605" s="19">
        <f t="shared" si="119"/>
        <v>120</v>
      </c>
      <c r="AH605" s="25">
        <f>+ROUND(AC605/AG605,0)</f>
        <v>363833</v>
      </c>
      <c r="AI605" s="92">
        <v>363833</v>
      </c>
      <c r="AJ605" s="92">
        <v>43296167</v>
      </c>
      <c r="AK605" s="27">
        <f t="shared" si="124"/>
        <v>363833</v>
      </c>
      <c r="AL605" s="27">
        <f t="shared" si="128"/>
        <v>363833</v>
      </c>
      <c r="AM605" s="27"/>
      <c r="AN605" s="27"/>
      <c r="AO605" s="27"/>
      <c r="AP605" s="27"/>
      <c r="AQ605" s="27"/>
      <c r="AR605" s="27"/>
      <c r="AS605" s="27"/>
      <c r="AT605" s="27"/>
      <c r="AU605" s="27"/>
      <c r="AV605" s="27"/>
      <c r="AW605" s="27">
        <f t="shared" si="121"/>
        <v>727666</v>
      </c>
      <c r="AX605" s="79">
        <f t="shared" si="122"/>
        <v>42568501</v>
      </c>
      <c r="AY605" s="79">
        <f t="shared" si="123"/>
        <v>1091499</v>
      </c>
      <c r="AZ605" s="25">
        <v>1</v>
      </c>
      <c r="BA605" s="62" t="s">
        <v>97</v>
      </c>
      <c r="BB605" s="25">
        <v>1</v>
      </c>
      <c r="BC605" s="25"/>
      <c r="BD605" s="66"/>
      <c r="BE605" s="67">
        <f t="shared" si="125"/>
        <v>363833</v>
      </c>
      <c r="BF605" s="67">
        <f t="shared" si="115"/>
        <v>0</v>
      </c>
      <c r="BG605" s="67">
        <f t="shared" si="114"/>
        <v>0</v>
      </c>
      <c r="BH605" s="67"/>
      <c r="BI605" s="19" t="s">
        <v>1777</v>
      </c>
      <c r="BJ605" s="68" t="s">
        <v>98</v>
      </c>
      <c r="BK605" s="68" t="s">
        <v>98</v>
      </c>
      <c r="BO605" s="1"/>
      <c r="BQ605" s="1" t="e">
        <v>#N/A</v>
      </c>
    </row>
    <row r="606" spans="3:69" ht="15" hidden="1" customHeight="1">
      <c r="C606" s="1" t="str">
        <f t="shared" si="126"/>
        <v>3311</v>
      </c>
      <c r="D606" s="1" t="str">
        <f t="shared" si="127"/>
        <v>2312</v>
      </c>
      <c r="E606" s="19" t="s">
        <v>1872</v>
      </c>
      <c r="F606" s="68" t="s">
        <v>49</v>
      </c>
      <c r="G606" s="62">
        <v>2112</v>
      </c>
      <c r="H606" s="19" t="s">
        <v>1863</v>
      </c>
      <c r="I606" s="19" t="s">
        <v>1861</v>
      </c>
      <c r="J606" s="275"/>
      <c r="K606" s="19" t="s">
        <v>1226</v>
      </c>
      <c r="L606" s="19" t="s">
        <v>1865</v>
      </c>
      <c r="M606" s="142" t="s">
        <v>1866</v>
      </c>
      <c r="N606" s="42">
        <v>45259</v>
      </c>
      <c r="O606" s="70"/>
      <c r="P606" s="70"/>
      <c r="Q606" s="73">
        <f>1766000000/5</f>
        <v>353200000</v>
      </c>
      <c r="R606" s="70"/>
      <c r="S606" s="19"/>
      <c r="T606" s="19"/>
      <c r="U606" s="19"/>
      <c r="V606" s="74">
        <f>+SUM(Q606:T606)</f>
        <v>353200000</v>
      </c>
      <c r="W606" s="75"/>
      <c r="X606" s="64">
        <f>+V606</f>
        <v>353200000</v>
      </c>
      <c r="Y606" s="19"/>
      <c r="Z606" s="19"/>
      <c r="AA606" s="128"/>
      <c r="AB606" s="19"/>
      <c r="AC606" s="64">
        <f>+X606-Y606</f>
        <v>353200000</v>
      </c>
      <c r="AD606" s="63">
        <v>45261</v>
      </c>
      <c r="AE606" s="65">
        <v>48913</v>
      </c>
      <c r="AF606" s="19">
        <v>10</v>
      </c>
      <c r="AG606" s="19">
        <f t="shared" si="119"/>
        <v>120</v>
      </c>
      <c r="AH606" s="25">
        <f>+ROUND(AC606/AG606,0)</f>
        <v>2943333</v>
      </c>
      <c r="AI606" s="92">
        <v>2943333</v>
      </c>
      <c r="AJ606" s="92">
        <v>350256667</v>
      </c>
      <c r="AK606" s="27">
        <f t="shared" si="124"/>
        <v>2943333</v>
      </c>
      <c r="AL606" s="27">
        <f t="shared" si="128"/>
        <v>2943333</v>
      </c>
      <c r="AM606" s="27"/>
      <c r="AN606" s="27"/>
      <c r="AO606" s="27"/>
      <c r="AP606" s="27"/>
      <c r="AQ606" s="27"/>
      <c r="AR606" s="27"/>
      <c r="AS606" s="27"/>
      <c r="AT606" s="27"/>
      <c r="AU606" s="27"/>
      <c r="AV606" s="27"/>
      <c r="AW606" s="27">
        <f t="shared" si="121"/>
        <v>5886666</v>
      </c>
      <c r="AX606" s="79">
        <f t="shared" si="122"/>
        <v>344370001</v>
      </c>
      <c r="AY606" s="79">
        <f t="shared" si="123"/>
        <v>8829999</v>
      </c>
      <c r="AZ606" s="25">
        <v>1</v>
      </c>
      <c r="BA606" s="62" t="s">
        <v>97</v>
      </c>
      <c r="BB606" s="25">
        <v>1</v>
      </c>
      <c r="BC606" s="25"/>
      <c r="BD606" s="66"/>
      <c r="BE606" s="67">
        <f t="shared" si="125"/>
        <v>2943333</v>
      </c>
      <c r="BF606" s="67">
        <f t="shared" si="115"/>
        <v>0</v>
      </c>
      <c r="BG606" s="67">
        <f t="shared" si="114"/>
        <v>0</v>
      </c>
      <c r="BH606" s="67"/>
      <c r="BI606" s="19" t="s">
        <v>1777</v>
      </c>
      <c r="BJ606" s="68" t="s">
        <v>98</v>
      </c>
      <c r="BK606" s="68" t="s">
        <v>98</v>
      </c>
      <c r="BO606" s="1"/>
      <c r="BQ606" s="1" t="e">
        <v>#N/A</v>
      </c>
    </row>
    <row r="607" spans="3:69" ht="15" hidden="1" customHeight="1">
      <c r="C607" s="1" t="str">
        <f t="shared" si="126"/>
        <v>3311</v>
      </c>
      <c r="D607" s="1" t="str">
        <f t="shared" si="127"/>
        <v>2312</v>
      </c>
      <c r="E607" s="19" t="s">
        <v>1872</v>
      </c>
      <c r="F607" s="68" t="s">
        <v>49</v>
      </c>
      <c r="G607" s="62">
        <v>2112</v>
      </c>
      <c r="H607" s="19" t="s">
        <v>1868</v>
      </c>
      <c r="I607" s="19" t="s">
        <v>1861</v>
      </c>
      <c r="J607" s="273">
        <v>1</v>
      </c>
      <c r="K607" s="19" t="s">
        <v>1226</v>
      </c>
      <c r="L607" s="19" t="s">
        <v>1716</v>
      </c>
      <c r="M607" s="142" t="s">
        <v>1862</v>
      </c>
      <c r="N607" s="42">
        <v>45197</v>
      </c>
      <c r="O607" s="70">
        <f>73242.88/5</f>
        <v>14648.576000000001</v>
      </c>
      <c r="P607" s="70">
        <v>24555</v>
      </c>
      <c r="Q607" s="73">
        <f>ROUND(O607*P607,0)</f>
        <v>359695784</v>
      </c>
      <c r="R607" s="70">
        <f>26874540/5</f>
        <v>5374908</v>
      </c>
      <c r="S607" s="19"/>
      <c r="T607" s="19">
        <f>14963038/5</f>
        <v>2992607.6</v>
      </c>
      <c r="U607" s="19" t="s">
        <v>1867</v>
      </c>
      <c r="V607" s="74">
        <f t="shared" ref="V607:V618" si="129">+SUM(Q607:T607)</f>
        <v>368063299.60000002</v>
      </c>
      <c r="W607" s="75"/>
      <c r="X607" s="64">
        <f t="shared" ref="X607:X618" si="130">+V607</f>
        <v>368063299.60000002</v>
      </c>
      <c r="Y607" s="19"/>
      <c r="Z607" s="19"/>
      <c r="AA607" s="128"/>
      <c r="AB607" s="19"/>
      <c r="AC607" s="64">
        <f t="shared" ref="AC607:AC618" si="131">+X607-Y607</f>
        <v>368063299.60000002</v>
      </c>
      <c r="AD607" s="63">
        <v>45261</v>
      </c>
      <c r="AE607" s="65">
        <v>48913</v>
      </c>
      <c r="AF607" s="19">
        <v>10</v>
      </c>
      <c r="AG607" s="19">
        <f t="shared" si="119"/>
        <v>120</v>
      </c>
      <c r="AH607" s="25">
        <f>+ROUND(AC607/AG607,0)</f>
        <v>3067194</v>
      </c>
      <c r="AI607" s="92">
        <v>3067194</v>
      </c>
      <c r="AJ607" s="92">
        <v>364996105.60000002</v>
      </c>
      <c r="AK607" s="27">
        <f t="shared" si="124"/>
        <v>3067194</v>
      </c>
      <c r="AL607" s="27">
        <f t="shared" si="128"/>
        <v>3067194</v>
      </c>
      <c r="AM607" s="27"/>
      <c r="AN607" s="27"/>
      <c r="AO607" s="27"/>
      <c r="AP607" s="27"/>
      <c r="AQ607" s="27"/>
      <c r="AR607" s="27"/>
      <c r="AS607" s="27"/>
      <c r="AT607" s="27"/>
      <c r="AU607" s="27"/>
      <c r="AV607" s="27"/>
      <c r="AW607" s="27">
        <f t="shared" si="121"/>
        <v>6134388</v>
      </c>
      <c r="AX607" s="79">
        <f t="shared" si="122"/>
        <v>358861717.60000002</v>
      </c>
      <c r="AY607" s="79">
        <f t="shared" si="123"/>
        <v>9201582</v>
      </c>
      <c r="AZ607" s="25">
        <v>1</v>
      </c>
      <c r="BA607" s="62" t="s">
        <v>97</v>
      </c>
      <c r="BB607" s="25">
        <v>1</v>
      </c>
      <c r="BC607" s="25"/>
      <c r="BD607" s="66"/>
      <c r="BE607" s="67">
        <f t="shared" si="125"/>
        <v>3067194</v>
      </c>
      <c r="BF607" s="67">
        <f t="shared" si="115"/>
        <v>0</v>
      </c>
      <c r="BG607" s="67">
        <f t="shared" si="114"/>
        <v>0</v>
      </c>
      <c r="BH607" s="67"/>
      <c r="BI607" s="19" t="s">
        <v>1777</v>
      </c>
      <c r="BJ607" s="68" t="s">
        <v>98</v>
      </c>
      <c r="BK607" s="68" t="s">
        <v>98</v>
      </c>
      <c r="BO607" s="1"/>
      <c r="BQ607" s="1" t="e">
        <v>#N/A</v>
      </c>
    </row>
    <row r="608" spans="3:69" ht="15" hidden="1" customHeight="1">
      <c r="C608" s="1" t="str">
        <f t="shared" si="126"/>
        <v>3311</v>
      </c>
      <c r="D608" s="1" t="str">
        <f t="shared" si="127"/>
        <v>2312</v>
      </c>
      <c r="E608" s="19" t="s">
        <v>1872</v>
      </c>
      <c r="F608" s="68" t="s">
        <v>49</v>
      </c>
      <c r="G608" s="62">
        <v>2112</v>
      </c>
      <c r="H608" s="19" t="s">
        <v>1868</v>
      </c>
      <c r="I608" s="19" t="s">
        <v>1861</v>
      </c>
      <c r="J608" s="274"/>
      <c r="K608" s="19" t="s">
        <v>1226</v>
      </c>
      <c r="L608" s="19" t="s">
        <v>967</v>
      </c>
      <c r="M608" s="142" t="s">
        <v>1864</v>
      </c>
      <c r="N608" s="42">
        <v>45210</v>
      </c>
      <c r="O608" s="70"/>
      <c r="P608" s="70"/>
      <c r="Q608" s="73">
        <v>43660000</v>
      </c>
      <c r="R608" s="70"/>
      <c r="S608" s="19"/>
      <c r="T608" s="19"/>
      <c r="U608" s="19"/>
      <c r="V608" s="74">
        <f t="shared" si="129"/>
        <v>43660000</v>
      </c>
      <c r="W608" s="75"/>
      <c r="X608" s="64">
        <f t="shared" si="130"/>
        <v>43660000</v>
      </c>
      <c r="Y608" s="19"/>
      <c r="Z608" s="19"/>
      <c r="AA608" s="128"/>
      <c r="AB608" s="19"/>
      <c r="AC608" s="64">
        <f t="shared" si="131"/>
        <v>43660000</v>
      </c>
      <c r="AD608" s="63">
        <v>45261</v>
      </c>
      <c r="AE608" s="65">
        <v>48913</v>
      </c>
      <c r="AF608" s="19">
        <v>10</v>
      </c>
      <c r="AG608" s="19">
        <f t="shared" si="119"/>
        <v>120</v>
      </c>
      <c r="AH608" s="25">
        <f t="shared" ref="AH608:AH678" si="132">+ROUND(AC608/AG608,0)</f>
        <v>363833</v>
      </c>
      <c r="AI608" s="92">
        <v>363833</v>
      </c>
      <c r="AJ608" s="92">
        <v>43296167</v>
      </c>
      <c r="AK608" s="27">
        <f t="shared" si="124"/>
        <v>363833</v>
      </c>
      <c r="AL608" s="27">
        <f t="shared" si="128"/>
        <v>363833</v>
      </c>
      <c r="AM608" s="27"/>
      <c r="AN608" s="27"/>
      <c r="AO608" s="27"/>
      <c r="AP608" s="27"/>
      <c r="AQ608" s="27"/>
      <c r="AR608" s="27"/>
      <c r="AS608" s="27"/>
      <c r="AT608" s="27"/>
      <c r="AU608" s="27"/>
      <c r="AV608" s="27"/>
      <c r="AW608" s="27">
        <f t="shared" si="121"/>
        <v>727666</v>
      </c>
      <c r="AX608" s="79">
        <f t="shared" si="122"/>
        <v>42568501</v>
      </c>
      <c r="AY608" s="79">
        <f t="shared" si="123"/>
        <v>1091499</v>
      </c>
      <c r="AZ608" s="25">
        <v>1</v>
      </c>
      <c r="BA608" s="62" t="s">
        <v>97</v>
      </c>
      <c r="BB608" s="25">
        <v>1</v>
      </c>
      <c r="BC608" s="25"/>
      <c r="BD608" s="66"/>
      <c r="BE608" s="67">
        <f t="shared" si="125"/>
        <v>363833</v>
      </c>
      <c r="BF608" s="67">
        <f t="shared" si="115"/>
        <v>0</v>
      </c>
      <c r="BG608" s="67">
        <f t="shared" si="114"/>
        <v>0</v>
      </c>
      <c r="BH608" s="67"/>
      <c r="BI608" s="19" t="s">
        <v>1777</v>
      </c>
      <c r="BJ608" s="68" t="s">
        <v>98</v>
      </c>
      <c r="BK608" s="68" t="s">
        <v>98</v>
      </c>
      <c r="BO608" s="1"/>
      <c r="BQ608" s="1" t="e">
        <v>#N/A</v>
      </c>
    </row>
    <row r="609" spans="3:69" ht="15" hidden="1" customHeight="1">
      <c r="C609" s="1" t="str">
        <f t="shared" si="126"/>
        <v>3311</v>
      </c>
      <c r="D609" s="1" t="str">
        <f t="shared" si="127"/>
        <v>2312</v>
      </c>
      <c r="E609" s="19" t="s">
        <v>1872</v>
      </c>
      <c r="F609" s="68" t="s">
        <v>49</v>
      </c>
      <c r="G609" s="62">
        <v>2112</v>
      </c>
      <c r="H609" s="19" t="s">
        <v>1868</v>
      </c>
      <c r="I609" s="19" t="s">
        <v>1861</v>
      </c>
      <c r="J609" s="275"/>
      <c r="K609" s="19" t="s">
        <v>1226</v>
      </c>
      <c r="L609" s="19" t="s">
        <v>1865</v>
      </c>
      <c r="M609" s="142" t="s">
        <v>1866</v>
      </c>
      <c r="N609" s="42">
        <v>45259</v>
      </c>
      <c r="O609" s="70"/>
      <c r="P609" s="70"/>
      <c r="Q609" s="73">
        <f>1766000000/5</f>
        <v>353200000</v>
      </c>
      <c r="R609" s="70"/>
      <c r="S609" s="19"/>
      <c r="T609" s="19"/>
      <c r="U609" s="19"/>
      <c r="V609" s="74">
        <f t="shared" si="129"/>
        <v>353200000</v>
      </c>
      <c r="W609" s="75"/>
      <c r="X609" s="64">
        <f t="shared" si="130"/>
        <v>353200000</v>
      </c>
      <c r="Y609" s="19"/>
      <c r="Z609" s="19"/>
      <c r="AA609" s="128"/>
      <c r="AB609" s="19"/>
      <c r="AC609" s="64">
        <f t="shared" si="131"/>
        <v>353200000</v>
      </c>
      <c r="AD609" s="63">
        <v>45261</v>
      </c>
      <c r="AE609" s="65">
        <v>48913</v>
      </c>
      <c r="AF609" s="19">
        <v>10</v>
      </c>
      <c r="AG609" s="19">
        <f t="shared" si="119"/>
        <v>120</v>
      </c>
      <c r="AH609" s="25">
        <f t="shared" si="132"/>
        <v>2943333</v>
      </c>
      <c r="AI609" s="92">
        <v>2943333</v>
      </c>
      <c r="AJ609" s="92">
        <v>350256667</v>
      </c>
      <c r="AK609" s="27">
        <f t="shared" si="124"/>
        <v>2943333</v>
      </c>
      <c r="AL609" s="27">
        <f t="shared" si="128"/>
        <v>2943333</v>
      </c>
      <c r="AM609" s="27"/>
      <c r="AN609" s="27"/>
      <c r="AO609" s="27"/>
      <c r="AP609" s="27"/>
      <c r="AQ609" s="27"/>
      <c r="AR609" s="27"/>
      <c r="AS609" s="27"/>
      <c r="AT609" s="27"/>
      <c r="AU609" s="27"/>
      <c r="AV609" s="27"/>
      <c r="AW609" s="27">
        <f t="shared" si="121"/>
        <v>5886666</v>
      </c>
      <c r="AX609" s="79">
        <f t="shared" si="122"/>
        <v>344370001</v>
      </c>
      <c r="AY609" s="79">
        <f t="shared" si="123"/>
        <v>8829999</v>
      </c>
      <c r="AZ609" s="25">
        <v>1</v>
      </c>
      <c r="BA609" s="62" t="s">
        <v>97</v>
      </c>
      <c r="BB609" s="25">
        <v>1</v>
      </c>
      <c r="BC609" s="25"/>
      <c r="BD609" s="66"/>
      <c r="BE609" s="67">
        <f t="shared" si="125"/>
        <v>2943333</v>
      </c>
      <c r="BF609" s="67">
        <f t="shared" si="115"/>
        <v>0</v>
      </c>
      <c r="BG609" s="67">
        <f t="shared" si="114"/>
        <v>0</v>
      </c>
      <c r="BH609" s="67"/>
      <c r="BI609" s="19" t="s">
        <v>1777</v>
      </c>
      <c r="BJ609" s="68" t="s">
        <v>98</v>
      </c>
      <c r="BK609" s="68" t="s">
        <v>98</v>
      </c>
      <c r="BO609" s="1"/>
      <c r="BQ609" s="1" t="e">
        <v>#N/A</v>
      </c>
    </row>
    <row r="610" spans="3:69" ht="15" hidden="1" customHeight="1">
      <c r="C610" s="1" t="str">
        <f t="shared" si="126"/>
        <v>3311</v>
      </c>
      <c r="D610" s="1" t="str">
        <f t="shared" si="127"/>
        <v>2312</v>
      </c>
      <c r="E610" s="19" t="s">
        <v>1872</v>
      </c>
      <c r="F610" s="68" t="s">
        <v>49</v>
      </c>
      <c r="G610" s="62">
        <v>2112</v>
      </c>
      <c r="H610" s="19" t="s">
        <v>1869</v>
      </c>
      <c r="I610" s="19" t="s">
        <v>1861</v>
      </c>
      <c r="J610" s="273">
        <v>1</v>
      </c>
      <c r="K610" s="19" t="s">
        <v>1226</v>
      </c>
      <c r="L610" s="19" t="s">
        <v>1716</v>
      </c>
      <c r="M610" s="142" t="s">
        <v>1862</v>
      </c>
      <c r="N610" s="42">
        <v>45197</v>
      </c>
      <c r="O610" s="70">
        <f>73242.88/5</f>
        <v>14648.576000000001</v>
      </c>
      <c r="P610" s="70">
        <v>24555</v>
      </c>
      <c r="Q610" s="73">
        <f>ROUND(O610*P610,0)</f>
        <v>359695784</v>
      </c>
      <c r="R610" s="70">
        <f>26874540/5</f>
        <v>5374908</v>
      </c>
      <c r="S610" s="19"/>
      <c r="T610" s="19">
        <f>14963038/5</f>
        <v>2992607.6</v>
      </c>
      <c r="U610" s="19" t="s">
        <v>1867</v>
      </c>
      <c r="V610" s="74">
        <f t="shared" si="129"/>
        <v>368063299.60000002</v>
      </c>
      <c r="W610" s="75"/>
      <c r="X610" s="64">
        <f t="shared" si="130"/>
        <v>368063299.60000002</v>
      </c>
      <c r="Y610" s="19"/>
      <c r="Z610" s="19"/>
      <c r="AA610" s="128"/>
      <c r="AB610" s="19"/>
      <c r="AC610" s="64">
        <f t="shared" si="131"/>
        <v>368063299.60000002</v>
      </c>
      <c r="AD610" s="63">
        <v>45261</v>
      </c>
      <c r="AE610" s="65">
        <v>48913</v>
      </c>
      <c r="AF610" s="19">
        <v>10</v>
      </c>
      <c r="AG610" s="19">
        <f t="shared" si="119"/>
        <v>120</v>
      </c>
      <c r="AH610" s="25">
        <f t="shared" si="132"/>
        <v>3067194</v>
      </c>
      <c r="AI610" s="92">
        <v>3067194</v>
      </c>
      <c r="AJ610" s="92">
        <v>364996105.60000002</v>
      </c>
      <c r="AK610" s="27">
        <f t="shared" si="124"/>
        <v>3067194</v>
      </c>
      <c r="AL610" s="27">
        <f t="shared" si="128"/>
        <v>3067194</v>
      </c>
      <c r="AM610" s="27"/>
      <c r="AN610" s="27"/>
      <c r="AO610" s="27"/>
      <c r="AP610" s="27"/>
      <c r="AQ610" s="27"/>
      <c r="AR610" s="27"/>
      <c r="AS610" s="27"/>
      <c r="AT610" s="27"/>
      <c r="AU610" s="27"/>
      <c r="AV610" s="27"/>
      <c r="AW610" s="27">
        <f t="shared" si="121"/>
        <v>6134388</v>
      </c>
      <c r="AX610" s="79">
        <f t="shared" si="122"/>
        <v>358861717.60000002</v>
      </c>
      <c r="AY610" s="79">
        <f t="shared" si="123"/>
        <v>9201582</v>
      </c>
      <c r="AZ610" s="25">
        <v>1</v>
      </c>
      <c r="BA610" s="62" t="s">
        <v>97</v>
      </c>
      <c r="BB610" s="25">
        <v>1</v>
      </c>
      <c r="BC610" s="25"/>
      <c r="BD610" s="66"/>
      <c r="BE610" s="67">
        <f t="shared" si="125"/>
        <v>3067194</v>
      </c>
      <c r="BF610" s="67">
        <f t="shared" si="115"/>
        <v>0</v>
      </c>
      <c r="BG610" s="67">
        <f t="shared" si="114"/>
        <v>0</v>
      </c>
      <c r="BH610" s="67"/>
      <c r="BI610" s="19" t="s">
        <v>1777</v>
      </c>
      <c r="BJ610" s="68" t="s">
        <v>98</v>
      </c>
      <c r="BK610" s="68" t="s">
        <v>98</v>
      </c>
      <c r="BO610" s="1"/>
      <c r="BQ610" s="1" t="e">
        <v>#N/A</v>
      </c>
    </row>
    <row r="611" spans="3:69" ht="15" hidden="1" customHeight="1">
      <c r="C611" s="1" t="str">
        <f t="shared" si="126"/>
        <v>3311</v>
      </c>
      <c r="D611" s="1" t="str">
        <f t="shared" si="127"/>
        <v>2312</v>
      </c>
      <c r="E611" s="19" t="s">
        <v>1872</v>
      </c>
      <c r="F611" s="68" t="s">
        <v>49</v>
      </c>
      <c r="G611" s="62">
        <v>2112</v>
      </c>
      <c r="H611" s="19" t="s">
        <v>1869</v>
      </c>
      <c r="I611" s="19" t="s">
        <v>1861</v>
      </c>
      <c r="J611" s="274"/>
      <c r="K611" s="19" t="s">
        <v>1226</v>
      </c>
      <c r="L611" s="19" t="s">
        <v>967</v>
      </c>
      <c r="M611" s="142" t="s">
        <v>1864</v>
      </c>
      <c r="N611" s="42">
        <v>45210</v>
      </c>
      <c r="O611" s="70"/>
      <c r="P611" s="70"/>
      <c r="Q611" s="73">
        <v>43660000</v>
      </c>
      <c r="R611" s="70"/>
      <c r="S611" s="19"/>
      <c r="T611" s="19"/>
      <c r="U611" s="19"/>
      <c r="V611" s="74">
        <f t="shared" si="129"/>
        <v>43660000</v>
      </c>
      <c r="W611" s="75"/>
      <c r="X611" s="64">
        <f t="shared" si="130"/>
        <v>43660000</v>
      </c>
      <c r="Y611" s="19"/>
      <c r="Z611" s="19"/>
      <c r="AA611" s="128"/>
      <c r="AB611" s="19"/>
      <c r="AC611" s="64">
        <f t="shared" si="131"/>
        <v>43660000</v>
      </c>
      <c r="AD611" s="63">
        <v>45261</v>
      </c>
      <c r="AE611" s="65">
        <v>48913</v>
      </c>
      <c r="AF611" s="19">
        <v>10</v>
      </c>
      <c r="AG611" s="19">
        <f t="shared" si="119"/>
        <v>120</v>
      </c>
      <c r="AH611" s="25">
        <f t="shared" si="132"/>
        <v>363833</v>
      </c>
      <c r="AI611" s="92">
        <v>363833</v>
      </c>
      <c r="AJ611" s="92">
        <v>43296167</v>
      </c>
      <c r="AK611" s="27">
        <f t="shared" si="124"/>
        <v>363833</v>
      </c>
      <c r="AL611" s="27">
        <f t="shared" si="128"/>
        <v>363833</v>
      </c>
      <c r="AM611" s="27"/>
      <c r="AN611" s="27"/>
      <c r="AO611" s="27"/>
      <c r="AP611" s="27"/>
      <c r="AQ611" s="27"/>
      <c r="AR611" s="27"/>
      <c r="AS611" s="27"/>
      <c r="AT611" s="27"/>
      <c r="AU611" s="27"/>
      <c r="AV611" s="27"/>
      <c r="AW611" s="27">
        <f t="shared" si="121"/>
        <v>727666</v>
      </c>
      <c r="AX611" s="79">
        <f t="shared" si="122"/>
        <v>42568501</v>
      </c>
      <c r="AY611" s="79">
        <f t="shared" si="123"/>
        <v>1091499</v>
      </c>
      <c r="AZ611" s="25">
        <v>1</v>
      </c>
      <c r="BA611" s="62" t="s">
        <v>97</v>
      </c>
      <c r="BB611" s="25">
        <v>1</v>
      </c>
      <c r="BC611" s="25"/>
      <c r="BD611" s="66"/>
      <c r="BE611" s="67">
        <f t="shared" si="125"/>
        <v>363833</v>
      </c>
      <c r="BF611" s="67">
        <f t="shared" si="115"/>
        <v>0</v>
      </c>
      <c r="BG611" s="67">
        <f t="shared" si="114"/>
        <v>0</v>
      </c>
      <c r="BH611" s="67"/>
      <c r="BI611" s="19" t="s">
        <v>1777</v>
      </c>
      <c r="BJ611" s="68" t="s">
        <v>98</v>
      </c>
      <c r="BK611" s="68" t="s">
        <v>98</v>
      </c>
      <c r="BO611" s="1"/>
      <c r="BQ611" s="1" t="e">
        <v>#N/A</v>
      </c>
    </row>
    <row r="612" spans="3:69" ht="15" hidden="1" customHeight="1">
      <c r="C612" s="1" t="str">
        <f t="shared" si="126"/>
        <v>3311</v>
      </c>
      <c r="D612" s="1" t="str">
        <f t="shared" si="127"/>
        <v>2312</v>
      </c>
      <c r="E612" s="19" t="s">
        <v>1872</v>
      </c>
      <c r="F612" s="68" t="s">
        <v>49</v>
      </c>
      <c r="G612" s="62">
        <v>2112</v>
      </c>
      <c r="H612" s="19" t="s">
        <v>1869</v>
      </c>
      <c r="I612" s="19" t="s">
        <v>1861</v>
      </c>
      <c r="J612" s="275"/>
      <c r="K612" s="19" t="s">
        <v>1226</v>
      </c>
      <c r="L612" s="19" t="s">
        <v>1865</v>
      </c>
      <c r="M612" s="142" t="s">
        <v>1866</v>
      </c>
      <c r="N612" s="42">
        <v>45259</v>
      </c>
      <c r="O612" s="70"/>
      <c r="P612" s="70"/>
      <c r="Q612" s="73">
        <f>1766000000/5</f>
        <v>353200000</v>
      </c>
      <c r="R612" s="70"/>
      <c r="S612" s="19"/>
      <c r="T612" s="19"/>
      <c r="U612" s="19"/>
      <c r="V612" s="74">
        <f t="shared" si="129"/>
        <v>353200000</v>
      </c>
      <c r="W612" s="75"/>
      <c r="X612" s="64">
        <f t="shared" si="130"/>
        <v>353200000</v>
      </c>
      <c r="Y612" s="19"/>
      <c r="Z612" s="19"/>
      <c r="AA612" s="128"/>
      <c r="AB612" s="19"/>
      <c r="AC612" s="64">
        <f t="shared" si="131"/>
        <v>353200000</v>
      </c>
      <c r="AD612" s="63">
        <v>45261</v>
      </c>
      <c r="AE612" s="65">
        <v>48913</v>
      </c>
      <c r="AF612" s="19">
        <v>10</v>
      </c>
      <c r="AG612" s="19">
        <f t="shared" si="119"/>
        <v>120</v>
      </c>
      <c r="AH612" s="25">
        <f t="shared" si="132"/>
        <v>2943333</v>
      </c>
      <c r="AI612" s="92">
        <v>2943333</v>
      </c>
      <c r="AJ612" s="92">
        <v>350256667</v>
      </c>
      <c r="AK612" s="27">
        <f t="shared" si="124"/>
        <v>2943333</v>
      </c>
      <c r="AL612" s="27">
        <f t="shared" si="128"/>
        <v>2943333</v>
      </c>
      <c r="AM612" s="27"/>
      <c r="AN612" s="27"/>
      <c r="AO612" s="27"/>
      <c r="AP612" s="27"/>
      <c r="AQ612" s="27"/>
      <c r="AR612" s="27"/>
      <c r="AS612" s="27"/>
      <c r="AT612" s="27"/>
      <c r="AU612" s="27"/>
      <c r="AV612" s="27"/>
      <c r="AW612" s="27">
        <f t="shared" si="121"/>
        <v>5886666</v>
      </c>
      <c r="AX612" s="79">
        <f t="shared" si="122"/>
        <v>344370001</v>
      </c>
      <c r="AY612" s="79">
        <f t="shared" si="123"/>
        <v>8829999</v>
      </c>
      <c r="AZ612" s="25">
        <v>1</v>
      </c>
      <c r="BA612" s="62" t="s">
        <v>97</v>
      </c>
      <c r="BB612" s="25">
        <v>1</v>
      </c>
      <c r="BC612" s="25"/>
      <c r="BD612" s="66"/>
      <c r="BE612" s="67">
        <f t="shared" si="125"/>
        <v>2943333</v>
      </c>
      <c r="BF612" s="67">
        <f t="shared" si="115"/>
        <v>0</v>
      </c>
      <c r="BG612" s="67">
        <f t="shared" si="114"/>
        <v>0</v>
      </c>
      <c r="BH612" s="67"/>
      <c r="BI612" s="19" t="s">
        <v>1777</v>
      </c>
      <c r="BJ612" s="68" t="s">
        <v>98</v>
      </c>
      <c r="BK612" s="68" t="s">
        <v>98</v>
      </c>
      <c r="BO612" s="1"/>
      <c r="BQ612" s="1" t="e">
        <v>#N/A</v>
      </c>
    </row>
    <row r="613" spans="3:69" ht="15" hidden="1" customHeight="1">
      <c r="C613" s="1" t="str">
        <f t="shared" si="126"/>
        <v>3311</v>
      </c>
      <c r="D613" s="1" t="str">
        <f t="shared" si="127"/>
        <v>2312</v>
      </c>
      <c r="E613" s="19" t="s">
        <v>1872</v>
      </c>
      <c r="F613" s="68" t="s">
        <v>49</v>
      </c>
      <c r="G613" s="62">
        <v>2112</v>
      </c>
      <c r="H613" s="19" t="s">
        <v>1870</v>
      </c>
      <c r="I613" s="19" t="s">
        <v>1861</v>
      </c>
      <c r="J613" s="273">
        <v>1</v>
      </c>
      <c r="K613" s="19" t="s">
        <v>1226</v>
      </c>
      <c r="L613" s="19" t="s">
        <v>1716</v>
      </c>
      <c r="M613" s="142" t="s">
        <v>1862</v>
      </c>
      <c r="N613" s="42">
        <v>45197</v>
      </c>
      <c r="O613" s="70">
        <f>73242.88/5</f>
        <v>14648.576000000001</v>
      </c>
      <c r="P613" s="70">
        <v>24555</v>
      </c>
      <c r="Q613" s="73">
        <f>ROUND(O613*P613,0)</f>
        <v>359695784</v>
      </c>
      <c r="R613" s="70">
        <f>26874540/5</f>
        <v>5374908</v>
      </c>
      <c r="S613" s="19"/>
      <c r="T613" s="19">
        <f>14963038/5</f>
        <v>2992607.6</v>
      </c>
      <c r="U613" s="19" t="s">
        <v>1867</v>
      </c>
      <c r="V613" s="74">
        <f t="shared" si="129"/>
        <v>368063299.60000002</v>
      </c>
      <c r="W613" s="75"/>
      <c r="X613" s="64">
        <f t="shared" si="130"/>
        <v>368063299.60000002</v>
      </c>
      <c r="Y613" s="19"/>
      <c r="Z613" s="19"/>
      <c r="AA613" s="128"/>
      <c r="AB613" s="19"/>
      <c r="AC613" s="64">
        <f t="shared" si="131"/>
        <v>368063299.60000002</v>
      </c>
      <c r="AD613" s="63">
        <v>45261</v>
      </c>
      <c r="AE613" s="65">
        <v>48913</v>
      </c>
      <c r="AF613" s="19">
        <v>10</v>
      </c>
      <c r="AG613" s="19">
        <f t="shared" si="119"/>
        <v>120</v>
      </c>
      <c r="AH613" s="25">
        <f t="shared" si="132"/>
        <v>3067194</v>
      </c>
      <c r="AI613" s="92">
        <v>3067194</v>
      </c>
      <c r="AJ613" s="92">
        <v>364996105.60000002</v>
      </c>
      <c r="AK613" s="27">
        <f t="shared" si="124"/>
        <v>3067194</v>
      </c>
      <c r="AL613" s="27">
        <f t="shared" si="128"/>
        <v>3067194</v>
      </c>
      <c r="AM613" s="27"/>
      <c r="AN613" s="27"/>
      <c r="AO613" s="27"/>
      <c r="AP613" s="27"/>
      <c r="AQ613" s="27"/>
      <c r="AR613" s="27"/>
      <c r="AS613" s="27"/>
      <c r="AT613" s="27"/>
      <c r="AU613" s="27"/>
      <c r="AV613" s="27"/>
      <c r="AW613" s="27">
        <f t="shared" si="121"/>
        <v>6134388</v>
      </c>
      <c r="AX613" s="79">
        <f t="shared" si="122"/>
        <v>358861717.60000002</v>
      </c>
      <c r="AY613" s="79">
        <f t="shared" si="123"/>
        <v>9201582</v>
      </c>
      <c r="AZ613" s="25">
        <v>1</v>
      </c>
      <c r="BA613" s="62" t="s">
        <v>97</v>
      </c>
      <c r="BB613" s="25">
        <v>1</v>
      </c>
      <c r="BC613" s="25"/>
      <c r="BD613" s="66"/>
      <c r="BE613" s="67">
        <f t="shared" si="125"/>
        <v>3067194</v>
      </c>
      <c r="BF613" s="67">
        <f t="shared" si="115"/>
        <v>0</v>
      </c>
      <c r="BG613" s="67">
        <f t="shared" si="114"/>
        <v>0</v>
      </c>
      <c r="BH613" s="67"/>
      <c r="BI613" s="19" t="s">
        <v>1777</v>
      </c>
      <c r="BJ613" s="68" t="s">
        <v>98</v>
      </c>
      <c r="BK613" s="68" t="s">
        <v>98</v>
      </c>
      <c r="BO613" s="1"/>
      <c r="BQ613" s="1" t="e">
        <v>#N/A</v>
      </c>
    </row>
    <row r="614" spans="3:69" ht="15" hidden="1" customHeight="1">
      <c r="C614" s="1" t="str">
        <f t="shared" si="126"/>
        <v>3311</v>
      </c>
      <c r="D614" s="1" t="str">
        <f t="shared" si="127"/>
        <v>2312</v>
      </c>
      <c r="E614" s="19" t="s">
        <v>1872</v>
      </c>
      <c r="F614" s="68" t="s">
        <v>49</v>
      </c>
      <c r="G614" s="62">
        <v>2112</v>
      </c>
      <c r="H614" s="19" t="s">
        <v>1870</v>
      </c>
      <c r="I614" s="19" t="s">
        <v>1861</v>
      </c>
      <c r="J614" s="274"/>
      <c r="K614" s="19" t="s">
        <v>1226</v>
      </c>
      <c r="L614" s="19" t="s">
        <v>967</v>
      </c>
      <c r="M614" s="142" t="s">
        <v>1864</v>
      </c>
      <c r="N614" s="42">
        <v>45210</v>
      </c>
      <c r="O614" s="70"/>
      <c r="P614" s="70"/>
      <c r="Q614" s="73">
        <v>43660000</v>
      </c>
      <c r="R614" s="70"/>
      <c r="S614" s="19"/>
      <c r="T614" s="19"/>
      <c r="U614" s="19"/>
      <c r="V614" s="74">
        <f t="shared" si="129"/>
        <v>43660000</v>
      </c>
      <c r="W614" s="75"/>
      <c r="X614" s="64">
        <f t="shared" si="130"/>
        <v>43660000</v>
      </c>
      <c r="Y614" s="19"/>
      <c r="Z614" s="19"/>
      <c r="AA614" s="128"/>
      <c r="AB614" s="19"/>
      <c r="AC614" s="64">
        <f t="shared" si="131"/>
        <v>43660000</v>
      </c>
      <c r="AD614" s="63">
        <v>45261</v>
      </c>
      <c r="AE614" s="65">
        <v>48913</v>
      </c>
      <c r="AF614" s="19">
        <v>10</v>
      </c>
      <c r="AG614" s="19">
        <f t="shared" si="119"/>
        <v>120</v>
      </c>
      <c r="AH614" s="25">
        <f t="shared" si="132"/>
        <v>363833</v>
      </c>
      <c r="AI614" s="92">
        <v>363833</v>
      </c>
      <c r="AJ614" s="92">
        <v>43296167</v>
      </c>
      <c r="AK614" s="27">
        <f t="shared" si="124"/>
        <v>363833</v>
      </c>
      <c r="AL614" s="27">
        <f t="shared" si="128"/>
        <v>363833</v>
      </c>
      <c r="AM614" s="27"/>
      <c r="AN614" s="27"/>
      <c r="AO614" s="27"/>
      <c r="AP614" s="27"/>
      <c r="AQ614" s="27"/>
      <c r="AR614" s="27"/>
      <c r="AS614" s="27"/>
      <c r="AT614" s="27"/>
      <c r="AU614" s="27"/>
      <c r="AV614" s="27"/>
      <c r="AW614" s="27">
        <f t="shared" si="121"/>
        <v>727666</v>
      </c>
      <c r="AX614" s="79">
        <f t="shared" si="122"/>
        <v>42568501</v>
      </c>
      <c r="AY614" s="79">
        <f t="shared" si="123"/>
        <v>1091499</v>
      </c>
      <c r="AZ614" s="25">
        <v>1</v>
      </c>
      <c r="BA614" s="62" t="s">
        <v>97</v>
      </c>
      <c r="BB614" s="25">
        <v>1</v>
      </c>
      <c r="BC614" s="25"/>
      <c r="BD614" s="66"/>
      <c r="BE614" s="67">
        <f t="shared" si="125"/>
        <v>363833</v>
      </c>
      <c r="BF614" s="67">
        <f t="shared" si="115"/>
        <v>0</v>
      </c>
      <c r="BG614" s="67">
        <f t="shared" si="114"/>
        <v>0</v>
      </c>
      <c r="BH614" s="67"/>
      <c r="BI614" s="19" t="s">
        <v>1777</v>
      </c>
      <c r="BJ614" s="68" t="s">
        <v>98</v>
      </c>
      <c r="BK614" s="68" t="s">
        <v>98</v>
      </c>
      <c r="BO614" s="1"/>
      <c r="BQ614" s="1" t="e">
        <v>#N/A</v>
      </c>
    </row>
    <row r="615" spans="3:69" ht="15" hidden="1" customHeight="1">
      <c r="C615" s="1" t="str">
        <f t="shared" si="126"/>
        <v>3311</v>
      </c>
      <c r="D615" s="1" t="str">
        <f t="shared" si="127"/>
        <v>2312</v>
      </c>
      <c r="E615" s="19" t="s">
        <v>1872</v>
      </c>
      <c r="F615" s="68" t="s">
        <v>49</v>
      </c>
      <c r="G615" s="62">
        <v>2112</v>
      </c>
      <c r="H615" s="19" t="s">
        <v>1870</v>
      </c>
      <c r="I615" s="19" t="s">
        <v>1861</v>
      </c>
      <c r="J615" s="275"/>
      <c r="K615" s="19" t="s">
        <v>1226</v>
      </c>
      <c r="L615" s="19" t="s">
        <v>1865</v>
      </c>
      <c r="M615" s="142" t="s">
        <v>1866</v>
      </c>
      <c r="N615" s="42">
        <v>45259</v>
      </c>
      <c r="O615" s="70"/>
      <c r="P615" s="70"/>
      <c r="Q615" s="73">
        <f>1766000000/5</f>
        <v>353200000</v>
      </c>
      <c r="R615" s="70"/>
      <c r="S615" s="19"/>
      <c r="T615" s="19"/>
      <c r="U615" s="19"/>
      <c r="V615" s="74">
        <f t="shared" si="129"/>
        <v>353200000</v>
      </c>
      <c r="W615" s="75"/>
      <c r="X615" s="64">
        <f t="shared" si="130"/>
        <v>353200000</v>
      </c>
      <c r="Y615" s="19"/>
      <c r="Z615" s="19"/>
      <c r="AA615" s="128"/>
      <c r="AB615" s="19"/>
      <c r="AC615" s="64">
        <f t="shared" si="131"/>
        <v>353200000</v>
      </c>
      <c r="AD615" s="63">
        <v>45261</v>
      </c>
      <c r="AE615" s="65">
        <v>48913</v>
      </c>
      <c r="AF615" s="19">
        <v>10</v>
      </c>
      <c r="AG615" s="19">
        <f t="shared" si="119"/>
        <v>120</v>
      </c>
      <c r="AH615" s="25">
        <f t="shared" si="132"/>
        <v>2943333</v>
      </c>
      <c r="AI615" s="92">
        <v>2943333</v>
      </c>
      <c r="AJ615" s="92">
        <v>350256667</v>
      </c>
      <c r="AK615" s="27">
        <f t="shared" si="124"/>
        <v>2943333</v>
      </c>
      <c r="AL615" s="27">
        <f t="shared" si="128"/>
        <v>2943333</v>
      </c>
      <c r="AM615" s="27"/>
      <c r="AN615" s="27"/>
      <c r="AO615" s="27"/>
      <c r="AP615" s="27"/>
      <c r="AQ615" s="27"/>
      <c r="AR615" s="27"/>
      <c r="AS615" s="27"/>
      <c r="AT615" s="27"/>
      <c r="AU615" s="27"/>
      <c r="AV615" s="27"/>
      <c r="AW615" s="27">
        <f t="shared" si="121"/>
        <v>5886666</v>
      </c>
      <c r="AX615" s="79">
        <f t="shared" si="122"/>
        <v>344370001</v>
      </c>
      <c r="AY615" s="79">
        <f t="shared" si="123"/>
        <v>8829999</v>
      </c>
      <c r="AZ615" s="25">
        <v>1</v>
      </c>
      <c r="BA615" s="62" t="s">
        <v>97</v>
      </c>
      <c r="BB615" s="25">
        <v>1</v>
      </c>
      <c r="BC615" s="25"/>
      <c r="BD615" s="66"/>
      <c r="BE615" s="67">
        <f t="shared" si="125"/>
        <v>2943333</v>
      </c>
      <c r="BF615" s="67">
        <f t="shared" si="115"/>
        <v>0</v>
      </c>
      <c r="BG615" s="67">
        <f t="shared" si="114"/>
        <v>0</v>
      </c>
      <c r="BH615" s="67"/>
      <c r="BI615" s="19" t="s">
        <v>1777</v>
      </c>
      <c r="BJ615" s="68" t="s">
        <v>98</v>
      </c>
      <c r="BK615" s="68" t="s">
        <v>98</v>
      </c>
      <c r="BO615" s="1"/>
      <c r="BQ615" s="1" t="e">
        <v>#N/A</v>
      </c>
    </row>
    <row r="616" spans="3:69" ht="15" hidden="1" customHeight="1">
      <c r="C616" s="1" t="str">
        <f t="shared" si="126"/>
        <v>3311</v>
      </c>
      <c r="D616" s="1" t="str">
        <f t="shared" si="127"/>
        <v>2312</v>
      </c>
      <c r="E616" s="19" t="s">
        <v>1872</v>
      </c>
      <c r="F616" s="68" t="s">
        <v>49</v>
      </c>
      <c r="G616" s="62">
        <v>2112</v>
      </c>
      <c r="H616" s="19" t="s">
        <v>1871</v>
      </c>
      <c r="I616" s="19" t="s">
        <v>1861</v>
      </c>
      <c r="J616" s="273">
        <v>1</v>
      </c>
      <c r="K616" s="19" t="s">
        <v>1226</v>
      </c>
      <c r="L616" s="19" t="s">
        <v>1716</v>
      </c>
      <c r="M616" s="142" t="s">
        <v>1862</v>
      </c>
      <c r="N616" s="42">
        <v>45197</v>
      </c>
      <c r="O616" s="70">
        <f>73242.88/5</f>
        <v>14648.576000000001</v>
      </c>
      <c r="P616" s="70">
        <v>24555</v>
      </c>
      <c r="Q616" s="73">
        <f>ROUND(O616*P616,0)</f>
        <v>359695784</v>
      </c>
      <c r="R616" s="70">
        <f>26874540/5</f>
        <v>5374908</v>
      </c>
      <c r="S616" s="19"/>
      <c r="T616" s="19">
        <f>14963038/5</f>
        <v>2992607.6</v>
      </c>
      <c r="U616" s="19" t="s">
        <v>1867</v>
      </c>
      <c r="V616" s="74">
        <f t="shared" si="129"/>
        <v>368063299.60000002</v>
      </c>
      <c r="W616" s="75"/>
      <c r="X616" s="64">
        <f t="shared" si="130"/>
        <v>368063299.60000002</v>
      </c>
      <c r="Y616" s="19"/>
      <c r="Z616" s="19"/>
      <c r="AA616" s="128"/>
      <c r="AB616" s="19"/>
      <c r="AC616" s="64">
        <f t="shared" si="131"/>
        <v>368063299.60000002</v>
      </c>
      <c r="AD616" s="63">
        <v>45261</v>
      </c>
      <c r="AE616" s="65">
        <v>48913</v>
      </c>
      <c r="AF616" s="19">
        <v>10</v>
      </c>
      <c r="AG616" s="19">
        <f t="shared" si="119"/>
        <v>120</v>
      </c>
      <c r="AH616" s="25">
        <f t="shared" si="132"/>
        <v>3067194</v>
      </c>
      <c r="AI616" s="92">
        <v>3067194</v>
      </c>
      <c r="AJ616" s="92">
        <v>364996105.60000002</v>
      </c>
      <c r="AK616" s="27">
        <f t="shared" si="124"/>
        <v>3067194</v>
      </c>
      <c r="AL616" s="27">
        <f t="shared" si="128"/>
        <v>3067194</v>
      </c>
      <c r="AM616" s="27"/>
      <c r="AN616" s="27"/>
      <c r="AO616" s="27"/>
      <c r="AP616" s="27"/>
      <c r="AQ616" s="27"/>
      <c r="AR616" s="27"/>
      <c r="AS616" s="27"/>
      <c r="AT616" s="27"/>
      <c r="AU616" s="27"/>
      <c r="AV616" s="27"/>
      <c r="AW616" s="27">
        <f t="shared" si="121"/>
        <v>6134388</v>
      </c>
      <c r="AX616" s="79">
        <f t="shared" si="122"/>
        <v>358861717.60000002</v>
      </c>
      <c r="AY616" s="79">
        <f t="shared" si="123"/>
        <v>9201582</v>
      </c>
      <c r="AZ616" s="25">
        <v>1</v>
      </c>
      <c r="BA616" s="62" t="s">
        <v>97</v>
      </c>
      <c r="BB616" s="25">
        <v>1</v>
      </c>
      <c r="BC616" s="25"/>
      <c r="BD616" s="66"/>
      <c r="BE616" s="67">
        <f t="shared" si="125"/>
        <v>3067194</v>
      </c>
      <c r="BF616" s="67">
        <f t="shared" si="115"/>
        <v>0</v>
      </c>
      <c r="BG616" s="67">
        <f t="shared" si="114"/>
        <v>0</v>
      </c>
      <c r="BH616" s="67"/>
      <c r="BI616" s="19" t="s">
        <v>1777</v>
      </c>
      <c r="BJ616" s="68" t="s">
        <v>98</v>
      </c>
      <c r="BK616" s="68" t="s">
        <v>98</v>
      </c>
      <c r="BO616" s="1"/>
      <c r="BQ616" s="1" t="e">
        <v>#N/A</v>
      </c>
    </row>
    <row r="617" spans="3:69" ht="15" hidden="1" customHeight="1">
      <c r="C617" s="1" t="str">
        <f t="shared" si="126"/>
        <v>3311</v>
      </c>
      <c r="D617" s="1" t="str">
        <f t="shared" si="127"/>
        <v>2312</v>
      </c>
      <c r="E617" s="19" t="s">
        <v>1872</v>
      </c>
      <c r="F617" s="68" t="s">
        <v>49</v>
      </c>
      <c r="G617" s="62">
        <v>2112</v>
      </c>
      <c r="H617" s="19" t="s">
        <v>1871</v>
      </c>
      <c r="I617" s="19" t="s">
        <v>1861</v>
      </c>
      <c r="J617" s="274"/>
      <c r="K617" s="19" t="s">
        <v>1226</v>
      </c>
      <c r="L617" s="19" t="s">
        <v>967</v>
      </c>
      <c r="M617" s="142" t="s">
        <v>1864</v>
      </c>
      <c r="N617" s="42">
        <v>45210</v>
      </c>
      <c r="O617" s="70"/>
      <c r="P617" s="70"/>
      <c r="Q617" s="73">
        <v>43660000</v>
      </c>
      <c r="R617" s="70"/>
      <c r="S617" s="19"/>
      <c r="T617" s="19"/>
      <c r="U617" s="19"/>
      <c r="V617" s="74">
        <f t="shared" si="129"/>
        <v>43660000</v>
      </c>
      <c r="W617" s="75"/>
      <c r="X617" s="64">
        <f t="shared" si="130"/>
        <v>43660000</v>
      </c>
      <c r="Y617" s="19"/>
      <c r="Z617" s="19"/>
      <c r="AA617" s="128"/>
      <c r="AB617" s="19"/>
      <c r="AC617" s="64">
        <f t="shared" si="131"/>
        <v>43660000</v>
      </c>
      <c r="AD617" s="63">
        <v>45261</v>
      </c>
      <c r="AE617" s="65">
        <v>48913</v>
      </c>
      <c r="AF617" s="19">
        <v>10</v>
      </c>
      <c r="AG617" s="19">
        <f t="shared" si="119"/>
        <v>120</v>
      </c>
      <c r="AH617" s="25">
        <f t="shared" si="132"/>
        <v>363833</v>
      </c>
      <c r="AI617" s="92">
        <v>363833</v>
      </c>
      <c r="AJ617" s="92">
        <v>43296167</v>
      </c>
      <c r="AK617" s="27">
        <f t="shared" si="124"/>
        <v>363833</v>
      </c>
      <c r="AL617" s="27">
        <f t="shared" si="128"/>
        <v>363833</v>
      </c>
      <c r="AM617" s="27"/>
      <c r="AN617" s="27"/>
      <c r="AO617" s="27"/>
      <c r="AP617" s="27"/>
      <c r="AQ617" s="27"/>
      <c r="AR617" s="27"/>
      <c r="AS617" s="27"/>
      <c r="AT617" s="27"/>
      <c r="AU617" s="27"/>
      <c r="AV617" s="27"/>
      <c r="AW617" s="27">
        <f t="shared" si="121"/>
        <v>727666</v>
      </c>
      <c r="AX617" s="79">
        <f t="shared" si="122"/>
        <v>42568501</v>
      </c>
      <c r="AY617" s="79">
        <f t="shared" si="123"/>
        <v>1091499</v>
      </c>
      <c r="AZ617" s="25">
        <v>1</v>
      </c>
      <c r="BA617" s="62" t="s">
        <v>97</v>
      </c>
      <c r="BB617" s="25">
        <v>1</v>
      </c>
      <c r="BC617" s="25"/>
      <c r="BD617" s="66"/>
      <c r="BE617" s="67">
        <f t="shared" si="125"/>
        <v>363833</v>
      </c>
      <c r="BF617" s="67">
        <f t="shared" si="115"/>
        <v>0</v>
      </c>
      <c r="BG617" s="67">
        <f t="shared" si="114"/>
        <v>0</v>
      </c>
      <c r="BH617" s="67"/>
      <c r="BI617" s="19" t="s">
        <v>1777</v>
      </c>
      <c r="BJ617" s="68" t="s">
        <v>98</v>
      </c>
      <c r="BK617" s="68" t="s">
        <v>98</v>
      </c>
      <c r="BO617" s="1"/>
      <c r="BQ617" s="1" t="e">
        <v>#N/A</v>
      </c>
    </row>
    <row r="618" spans="3:69" ht="15" hidden="1" customHeight="1">
      <c r="C618" s="1" t="str">
        <f t="shared" si="126"/>
        <v>3311</v>
      </c>
      <c r="D618" s="1" t="str">
        <f t="shared" si="127"/>
        <v>2312</v>
      </c>
      <c r="E618" s="19" t="s">
        <v>1872</v>
      </c>
      <c r="F618" s="68" t="s">
        <v>49</v>
      </c>
      <c r="G618" s="62">
        <v>2112</v>
      </c>
      <c r="H618" s="19" t="s">
        <v>1871</v>
      </c>
      <c r="I618" s="19" t="s">
        <v>1861</v>
      </c>
      <c r="J618" s="275"/>
      <c r="K618" s="19" t="s">
        <v>1226</v>
      </c>
      <c r="L618" s="19" t="s">
        <v>1865</v>
      </c>
      <c r="M618" s="142" t="s">
        <v>1866</v>
      </c>
      <c r="N618" s="42">
        <v>45259</v>
      </c>
      <c r="O618" s="70"/>
      <c r="P618" s="70"/>
      <c r="Q618" s="73">
        <f>1766000000/5</f>
        <v>353200000</v>
      </c>
      <c r="R618" s="70"/>
      <c r="S618" s="19"/>
      <c r="T618" s="19"/>
      <c r="U618" s="19"/>
      <c r="V618" s="74">
        <f t="shared" si="129"/>
        <v>353200000</v>
      </c>
      <c r="W618" s="75"/>
      <c r="X618" s="64">
        <f t="shared" si="130"/>
        <v>353200000</v>
      </c>
      <c r="Y618" s="19"/>
      <c r="Z618" s="19"/>
      <c r="AA618" s="128"/>
      <c r="AB618" s="19"/>
      <c r="AC618" s="64">
        <f t="shared" si="131"/>
        <v>353200000</v>
      </c>
      <c r="AD618" s="63">
        <v>45261</v>
      </c>
      <c r="AE618" s="65">
        <v>48913</v>
      </c>
      <c r="AF618" s="19">
        <v>10</v>
      </c>
      <c r="AG618" s="19">
        <f t="shared" si="119"/>
        <v>120</v>
      </c>
      <c r="AH618" s="25">
        <f t="shared" si="132"/>
        <v>2943333</v>
      </c>
      <c r="AI618" s="92">
        <v>2943333</v>
      </c>
      <c r="AJ618" s="92">
        <v>350256667</v>
      </c>
      <c r="AK618" s="27">
        <f t="shared" si="124"/>
        <v>2943333</v>
      </c>
      <c r="AL618" s="27">
        <f t="shared" si="128"/>
        <v>2943333</v>
      </c>
      <c r="AM618" s="27"/>
      <c r="AN618" s="27"/>
      <c r="AO618" s="27"/>
      <c r="AP618" s="27"/>
      <c r="AQ618" s="27"/>
      <c r="AR618" s="27"/>
      <c r="AS618" s="27"/>
      <c r="AT618" s="27"/>
      <c r="AU618" s="27"/>
      <c r="AV618" s="27"/>
      <c r="AW618" s="27">
        <f t="shared" si="121"/>
        <v>5886666</v>
      </c>
      <c r="AX618" s="79">
        <f t="shared" si="122"/>
        <v>344370001</v>
      </c>
      <c r="AY618" s="79">
        <f t="shared" si="123"/>
        <v>8829999</v>
      </c>
      <c r="AZ618" s="25">
        <v>1</v>
      </c>
      <c r="BA618" s="62" t="s">
        <v>97</v>
      </c>
      <c r="BB618" s="25">
        <v>1</v>
      </c>
      <c r="BC618" s="25"/>
      <c r="BD618" s="66"/>
      <c r="BE618" s="67">
        <f t="shared" si="125"/>
        <v>2943333</v>
      </c>
      <c r="BF618" s="67">
        <f t="shared" si="115"/>
        <v>0</v>
      </c>
      <c r="BG618" s="67">
        <f t="shared" si="114"/>
        <v>0</v>
      </c>
      <c r="BH618" s="67"/>
      <c r="BI618" s="19" t="s">
        <v>1777</v>
      </c>
      <c r="BJ618" s="68" t="s">
        <v>98</v>
      </c>
      <c r="BK618" s="68" t="s">
        <v>98</v>
      </c>
      <c r="BO618" s="1"/>
      <c r="BQ618" s="1" t="e">
        <v>#N/A</v>
      </c>
    </row>
    <row r="619" spans="3:69" ht="15" hidden="1" customHeight="1">
      <c r="C619" s="1" t="str">
        <f t="shared" si="126"/>
        <v>2911</v>
      </c>
      <c r="D619" s="1" t="str">
        <f t="shared" si="127"/>
        <v>2312</v>
      </c>
      <c r="E619" s="19" t="s">
        <v>1872</v>
      </c>
      <c r="F619" s="68" t="s">
        <v>49</v>
      </c>
      <c r="G619" s="62">
        <v>2114</v>
      </c>
      <c r="H619" s="19" t="s">
        <v>1876</v>
      </c>
      <c r="I619" s="19" t="s">
        <v>1789</v>
      </c>
      <c r="J619" s="86">
        <v>1</v>
      </c>
      <c r="K619" s="19" t="s">
        <v>1233</v>
      </c>
      <c r="L619" s="19" t="s">
        <v>1782</v>
      </c>
      <c r="M619" s="142" t="s">
        <v>1877</v>
      </c>
      <c r="N619" s="42">
        <v>45181</v>
      </c>
      <c r="O619" s="70">
        <v>2050</v>
      </c>
      <c r="P619" s="70">
        <v>24220</v>
      </c>
      <c r="Q619" s="73">
        <f>ROUND(O619*P619,0)</f>
        <v>49651000</v>
      </c>
      <c r="R619" s="70"/>
      <c r="S619" s="19"/>
      <c r="T619" s="73">
        <v>3036232</v>
      </c>
      <c r="U619" s="19" t="s">
        <v>1878</v>
      </c>
      <c r="V619" s="74">
        <f>+SUM(Q619:T619)</f>
        <v>52687232</v>
      </c>
      <c r="W619" s="75"/>
      <c r="X619" s="64">
        <f t="shared" ref="X619:X682" si="133">+V619</f>
        <v>52687232</v>
      </c>
      <c r="Y619" s="19"/>
      <c r="Z619" s="19"/>
      <c r="AA619" s="128"/>
      <c r="AB619" s="19"/>
      <c r="AC619" s="64">
        <f t="shared" ref="AC619:AC682" si="134">+X619-Y619</f>
        <v>52687232</v>
      </c>
      <c r="AD619" s="63">
        <v>45261</v>
      </c>
      <c r="AE619" s="65">
        <v>47452</v>
      </c>
      <c r="AF619" s="19">
        <v>6</v>
      </c>
      <c r="AG619" s="19">
        <f t="shared" si="119"/>
        <v>72</v>
      </c>
      <c r="AH619" s="25">
        <f t="shared" si="132"/>
        <v>731767</v>
      </c>
      <c r="AI619" s="92">
        <v>731767</v>
      </c>
      <c r="AJ619" s="92">
        <v>51955465</v>
      </c>
      <c r="AK619" s="27">
        <f t="shared" si="124"/>
        <v>731767</v>
      </c>
      <c r="AL619" s="27">
        <f t="shared" si="128"/>
        <v>731767</v>
      </c>
      <c r="AM619" s="27"/>
      <c r="AN619" s="27"/>
      <c r="AO619" s="27"/>
      <c r="AP619" s="27"/>
      <c r="AQ619" s="27"/>
      <c r="AR619" s="27"/>
      <c r="AS619" s="27"/>
      <c r="AT619" s="27"/>
      <c r="AU619" s="27"/>
      <c r="AV619" s="27"/>
      <c r="AW619" s="27">
        <f t="shared" si="121"/>
        <v>1463534</v>
      </c>
      <c r="AX619" s="79">
        <f t="shared" si="122"/>
        <v>50491931</v>
      </c>
      <c r="AY619" s="79">
        <f t="shared" si="123"/>
        <v>2195301</v>
      </c>
      <c r="AZ619" s="25">
        <v>1</v>
      </c>
      <c r="BA619" s="62" t="s">
        <v>79</v>
      </c>
      <c r="BB619" s="25">
        <v>1</v>
      </c>
      <c r="BC619" s="25"/>
      <c r="BD619" s="66"/>
      <c r="BE619" s="67">
        <f t="shared" si="125"/>
        <v>731767</v>
      </c>
      <c r="BF619" s="67">
        <f t="shared" si="115"/>
        <v>0</v>
      </c>
      <c r="BG619" s="67">
        <f t="shared" si="114"/>
        <v>0</v>
      </c>
      <c r="BH619" s="67"/>
      <c r="BI619" s="19" t="s">
        <v>1879</v>
      </c>
      <c r="BJ619" s="68" t="s">
        <v>624</v>
      </c>
      <c r="BK619" s="68" t="s">
        <v>624</v>
      </c>
      <c r="BO619" s="1"/>
      <c r="BQ619" s="1" t="e">
        <v>#N/A</v>
      </c>
    </row>
    <row r="620" spans="3:69" ht="15" hidden="1" customHeight="1">
      <c r="C620" s="1" t="str">
        <f t="shared" si="126"/>
        <v>2812</v>
      </c>
      <c r="D620" s="1" t="str">
        <f t="shared" si="127"/>
        <v>2401</v>
      </c>
      <c r="E620" s="19" t="s">
        <v>1895</v>
      </c>
      <c r="F620" s="19" t="s">
        <v>1896</v>
      </c>
      <c r="G620" s="62">
        <v>2114</v>
      </c>
      <c r="H620" s="19" t="s">
        <v>1897</v>
      </c>
      <c r="I620" s="154" t="s">
        <v>1898</v>
      </c>
      <c r="J620" s="86">
        <v>1</v>
      </c>
      <c r="K620" s="19" t="s">
        <v>1737</v>
      </c>
      <c r="L620" s="19" t="s">
        <v>1899</v>
      </c>
      <c r="M620" s="142" t="s">
        <v>1900</v>
      </c>
      <c r="N620" s="97">
        <v>45166</v>
      </c>
      <c r="O620" s="70"/>
      <c r="P620" s="70"/>
      <c r="Q620" s="73">
        <v>110000000</v>
      </c>
      <c r="R620" s="70"/>
      <c r="S620" s="19"/>
      <c r="T620" s="70">
        <v>241555</v>
      </c>
      <c r="U620" s="19"/>
      <c r="V620" s="74">
        <f t="shared" ref="V620:V643" si="135">+SUM(Q620:T620)</f>
        <v>110241555</v>
      </c>
      <c r="W620" s="75"/>
      <c r="X620" s="64">
        <f t="shared" si="133"/>
        <v>110241555</v>
      </c>
      <c r="Y620" s="19"/>
      <c r="Z620" s="19"/>
      <c r="AA620" s="128"/>
      <c r="AB620" s="19"/>
      <c r="AC620" s="64">
        <f t="shared" si="134"/>
        <v>110241555</v>
      </c>
      <c r="AD620" s="63">
        <v>45292</v>
      </c>
      <c r="AE620" s="65">
        <v>47118</v>
      </c>
      <c r="AF620" s="155">
        <v>5</v>
      </c>
      <c r="AG620" s="19">
        <f t="shared" si="119"/>
        <v>60</v>
      </c>
      <c r="AH620" s="25">
        <f t="shared" si="132"/>
        <v>1837359</v>
      </c>
      <c r="AI620" s="92"/>
      <c r="AJ620" s="92"/>
      <c r="AK620" s="27">
        <f t="shared" si="124"/>
        <v>1837359</v>
      </c>
      <c r="AL620" s="27">
        <f t="shared" si="128"/>
        <v>1837359</v>
      </c>
      <c r="AM620" s="27"/>
      <c r="AN620" s="27"/>
      <c r="AO620" s="27"/>
      <c r="AP620" s="27"/>
      <c r="AQ620" s="27"/>
      <c r="AR620" s="27"/>
      <c r="AS620" s="27"/>
      <c r="AT620" s="27"/>
      <c r="AU620" s="27"/>
      <c r="AV620" s="27"/>
      <c r="AW620" s="27">
        <f t="shared" ref="AW620:AW679" si="136">+SUM(AK620:AV620)</f>
        <v>3674718</v>
      </c>
      <c r="AX620" s="79">
        <f t="shared" ref="AX620:AX679" si="137">AC620-AI620-AW620</f>
        <v>106566837</v>
      </c>
      <c r="AY620" s="79">
        <f t="shared" ref="AY620:AY679" si="138">AW620+AI620</f>
        <v>3674718</v>
      </c>
      <c r="AZ620" s="25">
        <f>+J620-Z620</f>
        <v>1</v>
      </c>
      <c r="BA620" s="62"/>
      <c r="BB620" s="25">
        <v>1</v>
      </c>
      <c r="BC620" s="25"/>
      <c r="BD620" s="66"/>
      <c r="BE620" s="67">
        <f t="shared" si="125"/>
        <v>1837359</v>
      </c>
      <c r="BF620" s="67">
        <f t="shared" si="115"/>
        <v>0</v>
      </c>
      <c r="BG620" s="67">
        <f t="shared" si="114"/>
        <v>0</v>
      </c>
      <c r="BH620" s="67"/>
      <c r="BI620" s="19" t="str">
        <f>+F620</f>
        <v>BG</v>
      </c>
      <c r="BJ620" s="68" t="s">
        <v>1929</v>
      </c>
      <c r="BK620" s="68" t="s">
        <v>1989</v>
      </c>
      <c r="BO620" s="1"/>
      <c r="BQ620" s="1" t="e">
        <v>#N/A</v>
      </c>
    </row>
    <row r="621" spans="3:69" ht="15" hidden="1" customHeight="1">
      <c r="C621" s="1" t="str">
        <f t="shared" si="126"/>
        <v>2812</v>
      </c>
      <c r="D621" s="1" t="str">
        <f t="shared" si="127"/>
        <v>2401</v>
      </c>
      <c r="E621" s="19" t="s">
        <v>1895</v>
      </c>
      <c r="F621" s="19" t="s">
        <v>1896</v>
      </c>
      <c r="G621" s="62">
        <v>2114</v>
      </c>
      <c r="H621" s="19" t="s">
        <v>1901</v>
      </c>
      <c r="I621" s="154" t="s">
        <v>1898</v>
      </c>
      <c r="J621" s="86">
        <v>1</v>
      </c>
      <c r="K621" s="19" t="s">
        <v>1737</v>
      </c>
      <c r="L621" s="19" t="s">
        <v>1899</v>
      </c>
      <c r="M621" s="142" t="s">
        <v>1900</v>
      </c>
      <c r="N621" s="97">
        <v>45166</v>
      </c>
      <c r="O621" s="70"/>
      <c r="P621" s="70"/>
      <c r="Q621" s="102">
        <v>116666667</v>
      </c>
      <c r="R621" s="70"/>
      <c r="S621" s="19"/>
      <c r="T621" s="70">
        <v>241555</v>
      </c>
      <c r="U621" s="19"/>
      <c r="V621" s="74">
        <f t="shared" si="135"/>
        <v>116908222</v>
      </c>
      <c r="W621" s="75"/>
      <c r="X621" s="64">
        <f t="shared" si="133"/>
        <v>116908222</v>
      </c>
      <c r="Y621" s="19"/>
      <c r="Z621" s="19"/>
      <c r="AA621" s="128"/>
      <c r="AB621" s="19"/>
      <c r="AC621" s="64">
        <f t="shared" si="134"/>
        <v>116908222</v>
      </c>
      <c r="AD621" s="63">
        <v>45292</v>
      </c>
      <c r="AE621" s="65">
        <v>47118</v>
      </c>
      <c r="AF621" s="142">
        <v>5</v>
      </c>
      <c r="AG621" s="19">
        <f t="shared" si="119"/>
        <v>60</v>
      </c>
      <c r="AH621" s="25">
        <f t="shared" si="132"/>
        <v>1948470</v>
      </c>
      <c r="AI621" s="92"/>
      <c r="AJ621" s="92"/>
      <c r="AK621" s="27">
        <f t="shared" si="124"/>
        <v>1948470</v>
      </c>
      <c r="AL621" s="27">
        <f t="shared" si="128"/>
        <v>1948470</v>
      </c>
      <c r="AM621" s="27"/>
      <c r="AN621" s="27"/>
      <c r="AO621" s="27"/>
      <c r="AP621" s="27"/>
      <c r="AQ621" s="27"/>
      <c r="AR621" s="27"/>
      <c r="AS621" s="27"/>
      <c r="AT621" s="27"/>
      <c r="AU621" s="27"/>
      <c r="AV621" s="27"/>
      <c r="AW621" s="27">
        <f t="shared" si="136"/>
        <v>3896940</v>
      </c>
      <c r="AX621" s="79">
        <f t="shared" si="137"/>
        <v>113011282</v>
      </c>
      <c r="AY621" s="79">
        <f t="shared" si="138"/>
        <v>3896940</v>
      </c>
      <c r="AZ621" s="25">
        <f t="shared" ref="AZ621:AZ684" si="139">+J621-Z621</f>
        <v>1</v>
      </c>
      <c r="BA621" s="62"/>
      <c r="BB621" s="25">
        <v>1</v>
      </c>
      <c r="BC621" s="25"/>
      <c r="BD621" s="66"/>
      <c r="BE621" s="67">
        <f t="shared" si="125"/>
        <v>1948470</v>
      </c>
      <c r="BF621" s="67">
        <f t="shared" si="115"/>
        <v>0</v>
      </c>
      <c r="BG621" s="67">
        <f t="shared" si="114"/>
        <v>0</v>
      </c>
      <c r="BH621" s="67"/>
      <c r="BI621" s="19" t="str">
        <f t="shared" ref="BI621:BI643" si="140">+F621</f>
        <v>BG</v>
      </c>
      <c r="BJ621" s="68" t="s">
        <v>1929</v>
      </c>
      <c r="BK621" s="68" t="s">
        <v>1989</v>
      </c>
      <c r="BQ621" s="1" t="e">
        <v>#N/A</v>
      </c>
    </row>
    <row r="622" spans="3:69" ht="15" hidden="1" customHeight="1">
      <c r="C622" s="1" t="str">
        <f t="shared" si="126"/>
        <v>2912</v>
      </c>
      <c r="D622" s="1" t="str">
        <f t="shared" si="127"/>
        <v>2401</v>
      </c>
      <c r="E622" s="19" t="s">
        <v>1895</v>
      </c>
      <c r="F622" s="19" t="s">
        <v>1896</v>
      </c>
      <c r="G622" s="62">
        <v>2112</v>
      </c>
      <c r="H622" s="19" t="s">
        <v>1902</v>
      </c>
      <c r="I622" s="156" t="s">
        <v>1790</v>
      </c>
      <c r="J622" s="86">
        <v>1</v>
      </c>
      <c r="K622" s="19" t="s">
        <v>1737</v>
      </c>
      <c r="L622" s="157" t="s">
        <v>1716</v>
      </c>
      <c r="M622" s="98" t="s">
        <v>1903</v>
      </c>
      <c r="N622" s="101">
        <v>45188</v>
      </c>
      <c r="O622" s="158">
        <v>18448.04</v>
      </c>
      <c r="P622" s="158">
        <v>24240</v>
      </c>
      <c r="Q622" s="73">
        <f>ROUND(P622*O622,0)</f>
        <v>447180490</v>
      </c>
      <c r="R622" s="70"/>
      <c r="S622" s="19"/>
      <c r="T622" s="159">
        <v>3412897</v>
      </c>
      <c r="U622" s="19"/>
      <c r="V622" s="74">
        <f t="shared" si="135"/>
        <v>450593387</v>
      </c>
      <c r="W622" s="75"/>
      <c r="X622" s="64">
        <f t="shared" si="133"/>
        <v>450593387</v>
      </c>
      <c r="Y622" s="19"/>
      <c r="Z622" s="19"/>
      <c r="AA622" s="128"/>
      <c r="AB622" s="19"/>
      <c r="AC622" s="64">
        <f t="shared" si="134"/>
        <v>450593387</v>
      </c>
      <c r="AD622" s="63">
        <v>45292</v>
      </c>
      <c r="AE622" s="65">
        <v>47483</v>
      </c>
      <c r="AF622" s="19">
        <v>6</v>
      </c>
      <c r="AG622" s="19">
        <f t="shared" si="119"/>
        <v>72</v>
      </c>
      <c r="AH622" s="25">
        <f t="shared" si="132"/>
        <v>6258241</v>
      </c>
      <c r="AI622" s="92"/>
      <c r="AJ622" s="92"/>
      <c r="AK622" s="27">
        <f t="shared" si="124"/>
        <v>6258241</v>
      </c>
      <c r="AL622" s="27">
        <f t="shared" si="128"/>
        <v>6258241</v>
      </c>
      <c r="AM622" s="27"/>
      <c r="AN622" s="27"/>
      <c r="AO622" s="27"/>
      <c r="AP622" s="27"/>
      <c r="AQ622" s="27"/>
      <c r="AR622" s="27"/>
      <c r="AS622" s="27"/>
      <c r="AT622" s="27"/>
      <c r="AU622" s="27"/>
      <c r="AV622" s="27"/>
      <c r="AW622" s="27">
        <f t="shared" si="136"/>
        <v>12516482</v>
      </c>
      <c r="AX622" s="79">
        <f t="shared" si="137"/>
        <v>438076905</v>
      </c>
      <c r="AY622" s="79">
        <f t="shared" si="138"/>
        <v>12516482</v>
      </c>
      <c r="AZ622" s="25">
        <f t="shared" si="139"/>
        <v>1</v>
      </c>
      <c r="BA622" s="62"/>
      <c r="BB622" s="25">
        <v>1</v>
      </c>
      <c r="BC622" s="25"/>
      <c r="BD622" s="66"/>
      <c r="BE622" s="67">
        <f t="shared" si="125"/>
        <v>6258241</v>
      </c>
      <c r="BF622" s="67">
        <f t="shared" si="115"/>
        <v>0</v>
      </c>
      <c r="BG622" s="67">
        <f t="shared" si="114"/>
        <v>0</v>
      </c>
      <c r="BH622" s="67"/>
      <c r="BI622" s="19" t="str">
        <f t="shared" si="140"/>
        <v>BG</v>
      </c>
      <c r="BJ622" s="68" t="s">
        <v>1930</v>
      </c>
      <c r="BK622" s="68" t="s">
        <v>1930</v>
      </c>
      <c r="BQ622" s="1" t="e">
        <v>#N/A</v>
      </c>
    </row>
    <row r="623" spans="3:69" ht="15" hidden="1" customHeight="1">
      <c r="C623" s="1" t="str">
        <f t="shared" si="126"/>
        <v>2912</v>
      </c>
      <c r="D623" s="1" t="str">
        <f t="shared" si="127"/>
        <v>2401</v>
      </c>
      <c r="E623" s="19" t="s">
        <v>1895</v>
      </c>
      <c r="F623" s="19" t="s">
        <v>1896</v>
      </c>
      <c r="G623" s="62">
        <v>2112</v>
      </c>
      <c r="H623" s="19" t="s">
        <v>1904</v>
      </c>
      <c r="I623" s="19" t="s">
        <v>1791</v>
      </c>
      <c r="J623" s="86">
        <v>1</v>
      </c>
      <c r="K623" s="19" t="s">
        <v>1737</v>
      </c>
      <c r="L623" s="157" t="s">
        <v>1716</v>
      </c>
      <c r="M623" s="98" t="s">
        <v>1903</v>
      </c>
      <c r="N623" s="101">
        <v>45188</v>
      </c>
      <c r="O623" s="158">
        <v>18448.04</v>
      </c>
      <c r="P623" s="158">
        <v>24240</v>
      </c>
      <c r="Q623" s="73">
        <f>ROUND(P623*O623,0)</f>
        <v>447180490</v>
      </c>
      <c r="R623" s="70"/>
      <c r="S623" s="19"/>
      <c r="T623" s="159">
        <v>3412897</v>
      </c>
      <c r="U623" s="19"/>
      <c r="V623" s="74">
        <f t="shared" si="135"/>
        <v>450593387</v>
      </c>
      <c r="W623" s="75"/>
      <c r="X623" s="64">
        <f t="shared" si="133"/>
        <v>450593387</v>
      </c>
      <c r="Y623" s="19"/>
      <c r="Z623" s="19"/>
      <c r="AA623" s="128"/>
      <c r="AB623" s="19"/>
      <c r="AC623" s="64">
        <f t="shared" si="134"/>
        <v>450593387</v>
      </c>
      <c r="AD623" s="63">
        <v>45292</v>
      </c>
      <c r="AE623" s="65">
        <v>47483</v>
      </c>
      <c r="AF623" s="19">
        <v>6</v>
      </c>
      <c r="AG623" s="19">
        <f>AF623*12</f>
        <v>72</v>
      </c>
      <c r="AH623" s="25">
        <f t="shared" si="132"/>
        <v>6258241</v>
      </c>
      <c r="AI623" s="92"/>
      <c r="AJ623" s="92"/>
      <c r="AK623" s="27">
        <f t="shared" si="124"/>
        <v>6258241</v>
      </c>
      <c r="AL623" s="27">
        <f t="shared" si="128"/>
        <v>6258241</v>
      </c>
      <c r="AM623" s="27"/>
      <c r="AN623" s="27"/>
      <c r="AO623" s="27"/>
      <c r="AP623" s="27"/>
      <c r="AQ623" s="27"/>
      <c r="AR623" s="27"/>
      <c r="AS623" s="27"/>
      <c r="AT623" s="27"/>
      <c r="AU623" s="27"/>
      <c r="AV623" s="27"/>
      <c r="AW623" s="27">
        <f t="shared" si="136"/>
        <v>12516482</v>
      </c>
      <c r="AX623" s="79">
        <f t="shared" si="137"/>
        <v>438076905</v>
      </c>
      <c r="AY623" s="79">
        <f t="shared" si="138"/>
        <v>12516482</v>
      </c>
      <c r="AZ623" s="25">
        <f t="shared" si="139"/>
        <v>1</v>
      </c>
      <c r="BA623" s="62"/>
      <c r="BB623" s="25">
        <v>1</v>
      </c>
      <c r="BC623" s="25"/>
      <c r="BD623" s="66"/>
      <c r="BE623" s="67">
        <f t="shared" si="125"/>
        <v>6258241</v>
      </c>
      <c r="BF623" s="67">
        <f t="shared" si="115"/>
        <v>0</v>
      </c>
      <c r="BG623" s="67">
        <f t="shared" si="114"/>
        <v>0</v>
      </c>
      <c r="BH623" s="67"/>
      <c r="BI623" s="19" t="str">
        <f t="shared" si="140"/>
        <v>BG</v>
      </c>
      <c r="BJ623" s="68" t="s">
        <v>1930</v>
      </c>
      <c r="BK623" s="68" t="s">
        <v>1930</v>
      </c>
      <c r="BQ623" s="1" t="e">
        <v>#N/A</v>
      </c>
    </row>
    <row r="624" spans="3:69" ht="15" hidden="1" customHeight="1">
      <c r="C624" s="1" t="str">
        <f t="shared" si="126"/>
        <v>2912</v>
      </c>
      <c r="D624" s="1" t="str">
        <f t="shared" si="127"/>
        <v>2401</v>
      </c>
      <c r="E624" s="19" t="s">
        <v>1895</v>
      </c>
      <c r="F624" s="19" t="s">
        <v>1896</v>
      </c>
      <c r="G624" s="62">
        <v>2112</v>
      </c>
      <c r="H624" s="19" t="s">
        <v>1905</v>
      </c>
      <c r="I624" s="19" t="s">
        <v>1792</v>
      </c>
      <c r="J624" s="86">
        <v>1</v>
      </c>
      <c r="K624" s="19" t="s">
        <v>1737</v>
      </c>
      <c r="L624" s="157" t="s">
        <v>1716</v>
      </c>
      <c r="M624" s="98" t="s">
        <v>1903</v>
      </c>
      <c r="N624" s="101">
        <v>45188</v>
      </c>
      <c r="O624" s="103">
        <v>16143.99</v>
      </c>
      <c r="P624" s="103">
        <v>24240</v>
      </c>
      <c r="Q624" s="73">
        <f t="shared" ref="Q624:Q640" si="141">ROUND(P624*O624,0)</f>
        <v>391330318</v>
      </c>
      <c r="R624" s="70"/>
      <c r="S624" s="19"/>
      <c r="T624" s="159">
        <v>2986647</v>
      </c>
      <c r="U624" s="19"/>
      <c r="V624" s="74">
        <f t="shared" si="135"/>
        <v>394316965</v>
      </c>
      <c r="W624" s="75"/>
      <c r="X624" s="64">
        <f t="shared" si="133"/>
        <v>394316965</v>
      </c>
      <c r="Y624" s="19"/>
      <c r="Z624" s="19"/>
      <c r="AA624" s="128"/>
      <c r="AB624" s="19"/>
      <c r="AC624" s="64">
        <f t="shared" si="134"/>
        <v>394316965</v>
      </c>
      <c r="AD624" s="63">
        <v>45292</v>
      </c>
      <c r="AE624" s="65">
        <v>47483</v>
      </c>
      <c r="AF624" s="19">
        <v>6</v>
      </c>
      <c r="AG624" s="19">
        <f t="shared" si="119"/>
        <v>72</v>
      </c>
      <c r="AH624" s="25">
        <f t="shared" si="132"/>
        <v>5476625</v>
      </c>
      <c r="AI624" s="92"/>
      <c r="AJ624" s="92"/>
      <c r="AK624" s="27">
        <f t="shared" si="124"/>
        <v>5476625</v>
      </c>
      <c r="AL624" s="27">
        <f t="shared" si="128"/>
        <v>5476625</v>
      </c>
      <c r="AM624" s="27"/>
      <c r="AN624" s="27"/>
      <c r="AO624" s="27"/>
      <c r="AP624" s="27"/>
      <c r="AQ624" s="27"/>
      <c r="AR624" s="27"/>
      <c r="AS624" s="27"/>
      <c r="AT624" s="27"/>
      <c r="AU624" s="27"/>
      <c r="AV624" s="27"/>
      <c r="AW624" s="27">
        <f t="shared" si="136"/>
        <v>10953250</v>
      </c>
      <c r="AX624" s="79">
        <f t="shared" si="137"/>
        <v>383363715</v>
      </c>
      <c r="AY624" s="79">
        <f t="shared" si="138"/>
        <v>10953250</v>
      </c>
      <c r="AZ624" s="25">
        <f t="shared" si="139"/>
        <v>1</v>
      </c>
      <c r="BA624" s="62"/>
      <c r="BB624" s="25">
        <v>1</v>
      </c>
      <c r="BC624" s="25"/>
      <c r="BD624" s="66"/>
      <c r="BE624" s="67">
        <f t="shared" si="125"/>
        <v>5476625</v>
      </c>
      <c r="BF624" s="67">
        <f t="shared" si="115"/>
        <v>0</v>
      </c>
      <c r="BG624" s="67">
        <f t="shared" si="114"/>
        <v>0</v>
      </c>
      <c r="BH624" s="67"/>
      <c r="BI624" s="19" t="str">
        <f t="shared" si="140"/>
        <v>BG</v>
      </c>
      <c r="BJ624" s="68" t="s">
        <v>1930</v>
      </c>
      <c r="BK624" s="68" t="s">
        <v>1930</v>
      </c>
      <c r="BQ624" s="1" t="e">
        <v>#N/A</v>
      </c>
    </row>
    <row r="625" spans="1:69" ht="15" hidden="1" customHeight="1">
      <c r="C625" s="1" t="str">
        <f t="shared" si="126"/>
        <v>2912</v>
      </c>
      <c r="D625" s="1" t="str">
        <f t="shared" si="127"/>
        <v>2401</v>
      </c>
      <c r="E625" s="19" t="s">
        <v>1895</v>
      </c>
      <c r="F625" s="19" t="s">
        <v>1896</v>
      </c>
      <c r="G625" s="62">
        <v>2112</v>
      </c>
      <c r="H625" s="19" t="s">
        <v>1906</v>
      </c>
      <c r="I625" s="19" t="s">
        <v>1792</v>
      </c>
      <c r="J625" s="86">
        <v>1</v>
      </c>
      <c r="K625" s="19" t="s">
        <v>1737</v>
      </c>
      <c r="L625" s="157" t="s">
        <v>1716</v>
      </c>
      <c r="M625" s="98" t="s">
        <v>1903</v>
      </c>
      <c r="N625" s="101">
        <v>45188</v>
      </c>
      <c r="O625" s="103">
        <v>18620.45</v>
      </c>
      <c r="P625" s="103">
        <v>24240</v>
      </c>
      <c r="Q625" s="73">
        <f t="shared" si="141"/>
        <v>451359708</v>
      </c>
      <c r="R625" s="70"/>
      <c r="S625" s="19"/>
      <c r="T625" s="159">
        <v>3444794</v>
      </c>
      <c r="U625" s="19"/>
      <c r="V625" s="74">
        <f>+SUM(Q625:T625)</f>
        <v>454804502</v>
      </c>
      <c r="W625" s="75"/>
      <c r="X625" s="64">
        <f t="shared" si="133"/>
        <v>454804502</v>
      </c>
      <c r="Y625" s="19"/>
      <c r="Z625" s="19"/>
      <c r="AA625" s="128"/>
      <c r="AB625" s="19"/>
      <c r="AC625" s="64">
        <f t="shared" si="134"/>
        <v>454804502</v>
      </c>
      <c r="AD625" s="63">
        <v>45292</v>
      </c>
      <c r="AE625" s="65">
        <v>47483</v>
      </c>
      <c r="AF625" s="19">
        <v>6</v>
      </c>
      <c r="AG625" s="19">
        <f t="shared" si="119"/>
        <v>72</v>
      </c>
      <c r="AH625" s="25">
        <f t="shared" si="132"/>
        <v>6316729</v>
      </c>
      <c r="AI625" s="92"/>
      <c r="AJ625" s="92"/>
      <c r="AK625" s="27">
        <f t="shared" si="124"/>
        <v>6316729</v>
      </c>
      <c r="AL625" s="27">
        <f t="shared" si="128"/>
        <v>6316729</v>
      </c>
      <c r="AM625" s="27"/>
      <c r="AN625" s="27"/>
      <c r="AO625" s="27"/>
      <c r="AP625" s="27"/>
      <c r="AQ625" s="27"/>
      <c r="AR625" s="27"/>
      <c r="AS625" s="27"/>
      <c r="AT625" s="27"/>
      <c r="AU625" s="27"/>
      <c r="AV625" s="27"/>
      <c r="AW625" s="27">
        <f t="shared" si="136"/>
        <v>12633458</v>
      </c>
      <c r="AX625" s="79">
        <f t="shared" si="137"/>
        <v>442171044</v>
      </c>
      <c r="AY625" s="79">
        <f t="shared" si="138"/>
        <v>12633458</v>
      </c>
      <c r="AZ625" s="25">
        <f t="shared" si="139"/>
        <v>1</v>
      </c>
      <c r="BA625" s="62"/>
      <c r="BB625" s="25">
        <v>1</v>
      </c>
      <c r="BC625" s="25"/>
      <c r="BD625" s="66"/>
      <c r="BE625" s="67">
        <f t="shared" si="125"/>
        <v>6316729</v>
      </c>
      <c r="BF625" s="67">
        <f t="shared" si="115"/>
        <v>0</v>
      </c>
      <c r="BG625" s="67">
        <f t="shared" si="114"/>
        <v>0</v>
      </c>
      <c r="BH625" s="67"/>
      <c r="BI625" s="19" t="str">
        <f t="shared" si="140"/>
        <v>BG</v>
      </c>
      <c r="BJ625" s="68" t="s">
        <v>1930</v>
      </c>
      <c r="BK625" s="68" t="s">
        <v>1930</v>
      </c>
      <c r="BQ625" s="1" t="e">
        <v>#N/A</v>
      </c>
    </row>
    <row r="626" spans="1:69" ht="15" hidden="1" customHeight="1">
      <c r="C626" s="1" t="str">
        <f t="shared" si="126"/>
        <v>2912</v>
      </c>
      <c r="D626" s="1" t="str">
        <f t="shared" si="127"/>
        <v>2401</v>
      </c>
      <c r="E626" s="19" t="s">
        <v>1895</v>
      </c>
      <c r="F626" s="19" t="s">
        <v>1896</v>
      </c>
      <c r="G626" s="62">
        <v>2112</v>
      </c>
      <c r="H626" s="19" t="s">
        <v>1907</v>
      </c>
      <c r="I626" s="19" t="s">
        <v>1792</v>
      </c>
      <c r="J626" s="86">
        <v>1</v>
      </c>
      <c r="K626" s="19" t="s">
        <v>1737</v>
      </c>
      <c r="L626" s="157" t="s">
        <v>1716</v>
      </c>
      <c r="M626" s="98" t="s">
        <v>1903</v>
      </c>
      <c r="N626" s="101">
        <v>45188</v>
      </c>
      <c r="O626" s="103">
        <v>16845.900000000001</v>
      </c>
      <c r="P626" s="103">
        <v>24240</v>
      </c>
      <c r="Q626" s="73">
        <f t="shared" si="141"/>
        <v>408344616</v>
      </c>
      <c r="R626" s="70"/>
      <c r="S626" s="19"/>
      <c r="T626" s="159">
        <v>3116503</v>
      </c>
      <c r="U626" s="19"/>
      <c r="V626" s="74">
        <f t="shared" si="135"/>
        <v>411461119</v>
      </c>
      <c r="W626" s="75"/>
      <c r="X626" s="64">
        <f t="shared" si="133"/>
        <v>411461119</v>
      </c>
      <c r="Y626" s="19"/>
      <c r="Z626" s="19"/>
      <c r="AA626" s="128"/>
      <c r="AB626" s="19"/>
      <c r="AC626" s="64">
        <f t="shared" si="134"/>
        <v>411461119</v>
      </c>
      <c r="AD626" s="63">
        <v>45292</v>
      </c>
      <c r="AE626" s="65">
        <v>47483</v>
      </c>
      <c r="AF626" s="19">
        <v>6</v>
      </c>
      <c r="AG626" s="19">
        <f t="shared" si="119"/>
        <v>72</v>
      </c>
      <c r="AH626" s="25">
        <f t="shared" si="132"/>
        <v>5714738</v>
      </c>
      <c r="AI626" s="92"/>
      <c r="AJ626" s="92"/>
      <c r="AK626" s="27">
        <f t="shared" si="124"/>
        <v>5714738</v>
      </c>
      <c r="AL626" s="27">
        <f t="shared" si="128"/>
        <v>5714738</v>
      </c>
      <c r="AM626" s="27"/>
      <c r="AN626" s="27"/>
      <c r="AO626" s="27"/>
      <c r="AP626" s="27"/>
      <c r="AQ626" s="27"/>
      <c r="AR626" s="27"/>
      <c r="AS626" s="27"/>
      <c r="AT626" s="27"/>
      <c r="AU626" s="27"/>
      <c r="AV626" s="27"/>
      <c r="AW626" s="27">
        <f t="shared" si="136"/>
        <v>11429476</v>
      </c>
      <c r="AX626" s="79">
        <f t="shared" si="137"/>
        <v>400031643</v>
      </c>
      <c r="AY626" s="79">
        <f t="shared" si="138"/>
        <v>11429476</v>
      </c>
      <c r="AZ626" s="25">
        <f t="shared" si="139"/>
        <v>1</v>
      </c>
      <c r="BA626" s="62"/>
      <c r="BB626" s="25">
        <v>1</v>
      </c>
      <c r="BC626" s="25"/>
      <c r="BD626" s="66"/>
      <c r="BE626" s="67">
        <f t="shared" si="125"/>
        <v>5714738</v>
      </c>
      <c r="BF626" s="67">
        <f t="shared" si="115"/>
        <v>0</v>
      </c>
      <c r="BG626" s="67">
        <f t="shared" si="114"/>
        <v>0</v>
      </c>
      <c r="BH626" s="67"/>
      <c r="BI626" s="19" t="str">
        <f t="shared" si="140"/>
        <v>BG</v>
      </c>
      <c r="BJ626" s="68" t="s">
        <v>1930</v>
      </c>
      <c r="BK626" s="68" t="s">
        <v>1930</v>
      </c>
      <c r="BQ626" s="1" t="e">
        <v>#N/A</v>
      </c>
    </row>
    <row r="627" spans="1:69" ht="15" hidden="1" customHeight="1">
      <c r="C627" s="1" t="str">
        <f t="shared" si="126"/>
        <v>3312</v>
      </c>
      <c r="D627" s="1" t="str">
        <f t="shared" si="127"/>
        <v>2401</v>
      </c>
      <c r="E627" s="19" t="s">
        <v>1895</v>
      </c>
      <c r="F627" s="19" t="s">
        <v>1896</v>
      </c>
      <c r="G627" s="62">
        <v>2112</v>
      </c>
      <c r="H627" s="19" t="s">
        <v>1908</v>
      </c>
      <c r="I627" s="19" t="s">
        <v>1793</v>
      </c>
      <c r="J627" s="86">
        <v>1</v>
      </c>
      <c r="K627" s="19" t="s">
        <v>1737</v>
      </c>
      <c r="L627" s="157" t="s">
        <v>1716</v>
      </c>
      <c r="M627" s="98" t="s">
        <v>1903</v>
      </c>
      <c r="N627" s="101">
        <v>45188</v>
      </c>
      <c r="O627" s="103">
        <v>53083.68</v>
      </c>
      <c r="P627" s="103">
        <v>24240</v>
      </c>
      <c r="Q627" s="73">
        <f t="shared" si="141"/>
        <v>1286748403</v>
      </c>
      <c r="R627" s="70"/>
      <c r="S627" s="19"/>
      <c r="T627" s="159">
        <v>9820514</v>
      </c>
      <c r="U627" s="19"/>
      <c r="V627" s="74">
        <f t="shared" si="135"/>
        <v>1296568917</v>
      </c>
      <c r="W627" s="75"/>
      <c r="X627" s="64">
        <f t="shared" si="133"/>
        <v>1296568917</v>
      </c>
      <c r="Y627" s="19"/>
      <c r="Z627" s="19"/>
      <c r="AA627" s="128"/>
      <c r="AB627" s="19"/>
      <c r="AC627" s="64">
        <f t="shared" si="134"/>
        <v>1296568917</v>
      </c>
      <c r="AD627" s="63">
        <v>45292</v>
      </c>
      <c r="AE627" s="65">
        <v>48944</v>
      </c>
      <c r="AF627" s="19">
        <v>10</v>
      </c>
      <c r="AG627" s="19">
        <f t="shared" si="119"/>
        <v>120</v>
      </c>
      <c r="AH627" s="25">
        <f t="shared" si="132"/>
        <v>10804741</v>
      </c>
      <c r="AI627" s="92"/>
      <c r="AJ627" s="92"/>
      <c r="AK627" s="27">
        <f t="shared" si="124"/>
        <v>10804741</v>
      </c>
      <c r="AL627" s="27">
        <f t="shared" si="128"/>
        <v>10804741</v>
      </c>
      <c r="AM627" s="27"/>
      <c r="AN627" s="27"/>
      <c r="AO627" s="27"/>
      <c r="AP627" s="27"/>
      <c r="AQ627" s="27"/>
      <c r="AR627" s="27"/>
      <c r="AS627" s="27"/>
      <c r="AT627" s="27"/>
      <c r="AU627" s="27"/>
      <c r="AV627" s="27"/>
      <c r="AW627" s="27">
        <f t="shared" si="136"/>
        <v>21609482</v>
      </c>
      <c r="AX627" s="79">
        <f t="shared" si="137"/>
        <v>1274959435</v>
      </c>
      <c r="AY627" s="79">
        <f t="shared" si="138"/>
        <v>21609482</v>
      </c>
      <c r="AZ627" s="25">
        <f t="shared" si="139"/>
        <v>1</v>
      </c>
      <c r="BA627" s="62"/>
      <c r="BB627" s="25">
        <v>1</v>
      </c>
      <c r="BC627" s="25"/>
      <c r="BD627" s="66"/>
      <c r="BE627" s="67">
        <f t="shared" si="125"/>
        <v>10804741</v>
      </c>
      <c r="BF627" s="67">
        <f t="shared" si="115"/>
        <v>0</v>
      </c>
      <c r="BG627" s="67">
        <f t="shared" si="114"/>
        <v>0</v>
      </c>
      <c r="BH627" s="67"/>
      <c r="BI627" s="19" t="str">
        <f t="shared" si="140"/>
        <v>BG</v>
      </c>
      <c r="BJ627" s="68" t="s">
        <v>1930</v>
      </c>
      <c r="BK627" s="68" t="s">
        <v>1930</v>
      </c>
      <c r="BQ627" s="1" t="e">
        <v>#N/A</v>
      </c>
    </row>
    <row r="628" spans="1:69" ht="15" hidden="1" customHeight="1">
      <c r="C628" s="1" t="str">
        <f t="shared" si="126"/>
        <v>3312</v>
      </c>
      <c r="D628" s="1" t="str">
        <f t="shared" si="127"/>
        <v>2401</v>
      </c>
      <c r="E628" s="19" t="s">
        <v>1895</v>
      </c>
      <c r="F628" s="19" t="s">
        <v>1896</v>
      </c>
      <c r="G628" s="62">
        <v>2112</v>
      </c>
      <c r="H628" s="19" t="s">
        <v>1909</v>
      </c>
      <c r="I628" s="19" t="s">
        <v>1793</v>
      </c>
      <c r="J628" s="86">
        <v>1</v>
      </c>
      <c r="K628" s="19" t="s">
        <v>1737</v>
      </c>
      <c r="L628" s="157" t="s">
        <v>1716</v>
      </c>
      <c r="M628" s="98" t="s">
        <v>1903</v>
      </c>
      <c r="N628" s="101">
        <v>45188</v>
      </c>
      <c r="O628" s="103">
        <v>53083.68</v>
      </c>
      <c r="P628" s="103">
        <v>24240</v>
      </c>
      <c r="Q628" s="73">
        <f>ROUND(P628*O628,0)</f>
        <v>1286748403</v>
      </c>
      <c r="R628" s="70"/>
      <c r="S628" s="19"/>
      <c r="T628" s="159">
        <v>9820514</v>
      </c>
      <c r="U628" s="19"/>
      <c r="V628" s="74">
        <f t="shared" si="135"/>
        <v>1296568917</v>
      </c>
      <c r="W628" s="75"/>
      <c r="X628" s="64">
        <f t="shared" si="133"/>
        <v>1296568917</v>
      </c>
      <c r="Y628" s="19"/>
      <c r="Z628" s="19"/>
      <c r="AA628" s="128"/>
      <c r="AB628" s="19"/>
      <c r="AC628" s="64">
        <f t="shared" si="134"/>
        <v>1296568917</v>
      </c>
      <c r="AD628" s="63">
        <v>45292</v>
      </c>
      <c r="AE628" s="65">
        <v>48944</v>
      </c>
      <c r="AF628" s="19">
        <v>10</v>
      </c>
      <c r="AG628" s="19">
        <f t="shared" si="119"/>
        <v>120</v>
      </c>
      <c r="AH628" s="25">
        <f t="shared" si="132"/>
        <v>10804741</v>
      </c>
      <c r="AI628" s="92"/>
      <c r="AJ628" s="92"/>
      <c r="AK628" s="27">
        <f t="shared" si="124"/>
        <v>10804741</v>
      </c>
      <c r="AL628" s="27">
        <f t="shared" si="128"/>
        <v>10804741</v>
      </c>
      <c r="AM628" s="27"/>
      <c r="AN628" s="27"/>
      <c r="AO628" s="27"/>
      <c r="AP628" s="27"/>
      <c r="AQ628" s="27"/>
      <c r="AR628" s="27"/>
      <c r="AS628" s="27"/>
      <c r="AT628" s="27"/>
      <c r="AU628" s="27"/>
      <c r="AV628" s="27"/>
      <c r="AW628" s="27">
        <f t="shared" si="136"/>
        <v>21609482</v>
      </c>
      <c r="AX628" s="79">
        <f t="shared" si="137"/>
        <v>1274959435</v>
      </c>
      <c r="AY628" s="79">
        <f t="shared" si="138"/>
        <v>21609482</v>
      </c>
      <c r="AZ628" s="25">
        <f t="shared" si="139"/>
        <v>1</v>
      </c>
      <c r="BA628" s="62"/>
      <c r="BB628" s="25">
        <v>1</v>
      </c>
      <c r="BC628" s="25"/>
      <c r="BD628" s="66"/>
      <c r="BE628" s="67">
        <f t="shared" si="125"/>
        <v>10804741</v>
      </c>
      <c r="BF628" s="67">
        <f t="shared" si="115"/>
        <v>0</v>
      </c>
      <c r="BG628" s="67">
        <f t="shared" si="114"/>
        <v>0</v>
      </c>
      <c r="BH628" s="67"/>
      <c r="BI628" s="19" t="str">
        <f t="shared" si="140"/>
        <v>BG</v>
      </c>
      <c r="BJ628" s="68" t="s">
        <v>1930</v>
      </c>
      <c r="BK628" s="68" t="s">
        <v>1930</v>
      </c>
      <c r="BQ628" s="1" t="e">
        <v>#N/A</v>
      </c>
    </row>
    <row r="629" spans="1:69" ht="15" hidden="1" customHeight="1">
      <c r="C629" s="1" t="str">
        <f t="shared" si="126"/>
        <v>3312</v>
      </c>
      <c r="D629" s="1" t="str">
        <f t="shared" si="127"/>
        <v>2401</v>
      </c>
      <c r="E629" s="19" t="s">
        <v>1895</v>
      </c>
      <c r="F629" s="19" t="s">
        <v>1896</v>
      </c>
      <c r="G629" s="62">
        <v>2112</v>
      </c>
      <c r="H629" s="19" t="s">
        <v>1910</v>
      </c>
      <c r="I629" s="19" t="s">
        <v>1793</v>
      </c>
      <c r="J629" s="86">
        <v>1</v>
      </c>
      <c r="K629" s="19" t="s">
        <v>1737</v>
      </c>
      <c r="L629" s="157" t="s">
        <v>1716</v>
      </c>
      <c r="M629" s="98" t="s">
        <v>1903</v>
      </c>
      <c r="N629" s="101">
        <v>45188</v>
      </c>
      <c r="O629" s="103">
        <v>52234.57</v>
      </c>
      <c r="P629" s="103">
        <v>24240</v>
      </c>
      <c r="Q629" s="73">
        <f t="shared" si="141"/>
        <v>1266165977</v>
      </c>
      <c r="R629" s="70"/>
      <c r="S629" s="19"/>
      <c r="T629" s="159">
        <v>9663427</v>
      </c>
      <c r="U629" s="19"/>
      <c r="V629" s="74">
        <f t="shared" si="135"/>
        <v>1275829404</v>
      </c>
      <c r="W629" s="75"/>
      <c r="X629" s="64">
        <f t="shared" si="133"/>
        <v>1275829404</v>
      </c>
      <c r="Y629" s="19"/>
      <c r="Z629" s="19"/>
      <c r="AA629" s="128"/>
      <c r="AB629" s="19"/>
      <c r="AC629" s="64">
        <f t="shared" si="134"/>
        <v>1275829404</v>
      </c>
      <c r="AD629" s="63">
        <v>45292</v>
      </c>
      <c r="AE629" s="65">
        <v>48944</v>
      </c>
      <c r="AF629" s="19">
        <v>10</v>
      </c>
      <c r="AG629" s="19">
        <f t="shared" si="119"/>
        <v>120</v>
      </c>
      <c r="AH629" s="25">
        <f t="shared" si="132"/>
        <v>10631912</v>
      </c>
      <c r="AI629" s="92"/>
      <c r="AJ629" s="92"/>
      <c r="AK629" s="27">
        <f t="shared" si="124"/>
        <v>10631912</v>
      </c>
      <c r="AL629" s="27">
        <f t="shared" si="128"/>
        <v>10631912</v>
      </c>
      <c r="AM629" s="27"/>
      <c r="AN629" s="27"/>
      <c r="AO629" s="27"/>
      <c r="AP629" s="27"/>
      <c r="AQ629" s="27"/>
      <c r="AR629" s="27"/>
      <c r="AS629" s="27"/>
      <c r="AT629" s="27"/>
      <c r="AU629" s="27"/>
      <c r="AV629" s="27"/>
      <c r="AW629" s="27">
        <f t="shared" si="136"/>
        <v>21263824</v>
      </c>
      <c r="AX629" s="79">
        <f t="shared" si="137"/>
        <v>1254565580</v>
      </c>
      <c r="AY629" s="79">
        <f t="shared" si="138"/>
        <v>21263824</v>
      </c>
      <c r="AZ629" s="25">
        <f t="shared" si="139"/>
        <v>1</v>
      </c>
      <c r="BA629" s="62"/>
      <c r="BB629" s="25">
        <v>1</v>
      </c>
      <c r="BC629" s="25"/>
      <c r="BD629" s="66"/>
      <c r="BE629" s="67">
        <f t="shared" si="125"/>
        <v>10631912</v>
      </c>
      <c r="BF629" s="67">
        <f t="shared" si="115"/>
        <v>0</v>
      </c>
      <c r="BG629" s="67">
        <f t="shared" si="114"/>
        <v>0</v>
      </c>
      <c r="BH629" s="67"/>
      <c r="BI629" s="19" t="str">
        <f t="shared" si="140"/>
        <v>BG</v>
      </c>
      <c r="BJ629" s="68" t="s">
        <v>1930</v>
      </c>
      <c r="BK629" s="68" t="s">
        <v>1930</v>
      </c>
      <c r="BQ629" s="1" t="e">
        <v>#N/A</v>
      </c>
    </row>
    <row r="630" spans="1:69" ht="15" hidden="1" customHeight="1">
      <c r="C630" s="1" t="str">
        <f t="shared" si="126"/>
        <v>3312</v>
      </c>
      <c r="D630" s="1" t="str">
        <f t="shared" si="127"/>
        <v>2401</v>
      </c>
      <c r="E630" s="19" t="s">
        <v>1895</v>
      </c>
      <c r="F630" s="19" t="s">
        <v>1896</v>
      </c>
      <c r="G630" s="62">
        <v>2112</v>
      </c>
      <c r="H630" s="19" t="s">
        <v>1911</v>
      </c>
      <c r="I630" s="19" t="s">
        <v>1793</v>
      </c>
      <c r="J630" s="86">
        <v>1</v>
      </c>
      <c r="K630" s="19" t="s">
        <v>1737</v>
      </c>
      <c r="L630" s="157" t="s">
        <v>1716</v>
      </c>
      <c r="M630" s="98" t="s">
        <v>1903</v>
      </c>
      <c r="N630" s="101">
        <v>45188</v>
      </c>
      <c r="O630" s="103">
        <v>52234.57</v>
      </c>
      <c r="P630" s="103">
        <v>24240</v>
      </c>
      <c r="Q630" s="73">
        <f>ROUND(P630*O630,0)</f>
        <v>1266165977</v>
      </c>
      <c r="R630" s="70"/>
      <c r="S630" s="19"/>
      <c r="T630" s="159">
        <v>9663427</v>
      </c>
      <c r="U630" s="19"/>
      <c r="V630" s="74">
        <f t="shared" si="135"/>
        <v>1275829404</v>
      </c>
      <c r="W630" s="75"/>
      <c r="X630" s="64">
        <f t="shared" si="133"/>
        <v>1275829404</v>
      </c>
      <c r="Y630" s="19"/>
      <c r="Z630" s="19"/>
      <c r="AA630" s="128"/>
      <c r="AB630" s="19"/>
      <c r="AC630" s="64">
        <f t="shared" si="134"/>
        <v>1275829404</v>
      </c>
      <c r="AD630" s="63">
        <v>45292</v>
      </c>
      <c r="AE630" s="65">
        <v>48944</v>
      </c>
      <c r="AF630" s="19">
        <v>10</v>
      </c>
      <c r="AG630" s="19">
        <f t="shared" si="119"/>
        <v>120</v>
      </c>
      <c r="AH630" s="25">
        <f t="shared" si="132"/>
        <v>10631912</v>
      </c>
      <c r="AI630" s="92"/>
      <c r="AJ630" s="92"/>
      <c r="AK630" s="27">
        <f t="shared" si="124"/>
        <v>10631912</v>
      </c>
      <c r="AL630" s="27">
        <f t="shared" si="128"/>
        <v>10631912</v>
      </c>
      <c r="AM630" s="27"/>
      <c r="AN630" s="27"/>
      <c r="AO630" s="27"/>
      <c r="AP630" s="27"/>
      <c r="AQ630" s="27"/>
      <c r="AR630" s="27"/>
      <c r="AS630" s="27"/>
      <c r="AT630" s="27"/>
      <c r="AU630" s="27"/>
      <c r="AV630" s="27"/>
      <c r="AW630" s="27">
        <f t="shared" si="136"/>
        <v>21263824</v>
      </c>
      <c r="AX630" s="79">
        <f t="shared" si="137"/>
        <v>1254565580</v>
      </c>
      <c r="AY630" s="79">
        <f t="shared" si="138"/>
        <v>21263824</v>
      </c>
      <c r="AZ630" s="25">
        <f t="shared" si="139"/>
        <v>1</v>
      </c>
      <c r="BA630" s="62"/>
      <c r="BB630" s="25">
        <v>1</v>
      </c>
      <c r="BC630" s="25"/>
      <c r="BD630" s="66"/>
      <c r="BE630" s="67">
        <f t="shared" si="125"/>
        <v>10631912</v>
      </c>
      <c r="BF630" s="67">
        <f t="shared" si="115"/>
        <v>0</v>
      </c>
      <c r="BG630" s="67">
        <f t="shared" si="114"/>
        <v>0</v>
      </c>
      <c r="BH630" s="67"/>
      <c r="BI630" s="19" t="str">
        <f t="shared" si="140"/>
        <v>BG</v>
      </c>
      <c r="BJ630" s="68" t="s">
        <v>1930</v>
      </c>
      <c r="BK630" s="68" t="s">
        <v>1930</v>
      </c>
      <c r="BQ630" s="1" t="e">
        <v>#N/A</v>
      </c>
    </row>
    <row r="631" spans="1:69" ht="15" hidden="1" customHeight="1">
      <c r="C631" s="1" t="str">
        <f t="shared" si="126"/>
        <v>3312</v>
      </c>
      <c r="D631" s="1" t="str">
        <f t="shared" si="127"/>
        <v>2401</v>
      </c>
      <c r="E631" s="19" t="s">
        <v>1895</v>
      </c>
      <c r="F631" s="19" t="s">
        <v>1896</v>
      </c>
      <c r="G631" s="62">
        <v>2112</v>
      </c>
      <c r="H631" s="19" t="s">
        <v>1912</v>
      </c>
      <c r="I631" s="19" t="s">
        <v>1793</v>
      </c>
      <c r="J631" s="86">
        <v>1</v>
      </c>
      <c r="K631" s="19" t="s">
        <v>1737</v>
      </c>
      <c r="L631" s="157" t="s">
        <v>1716</v>
      </c>
      <c r="M631" s="98" t="s">
        <v>1903</v>
      </c>
      <c r="N631" s="101">
        <v>45188</v>
      </c>
      <c r="O631" s="103">
        <v>56739.09</v>
      </c>
      <c r="P631" s="103">
        <v>24240</v>
      </c>
      <c r="Q631" s="73">
        <f t="shared" si="141"/>
        <v>1375355542</v>
      </c>
      <c r="R631" s="70"/>
      <c r="S631" s="19"/>
      <c r="T631" s="159">
        <v>10496767</v>
      </c>
      <c r="U631" s="19"/>
      <c r="V631" s="74">
        <f t="shared" si="135"/>
        <v>1385852309</v>
      </c>
      <c r="W631" s="75"/>
      <c r="X631" s="64">
        <f t="shared" si="133"/>
        <v>1385852309</v>
      </c>
      <c r="Y631" s="19"/>
      <c r="Z631" s="19"/>
      <c r="AA631" s="128"/>
      <c r="AB631" s="19"/>
      <c r="AC631" s="64">
        <f t="shared" si="134"/>
        <v>1385852309</v>
      </c>
      <c r="AD631" s="63">
        <v>45292</v>
      </c>
      <c r="AE631" s="65">
        <v>48944</v>
      </c>
      <c r="AF631" s="19">
        <v>10</v>
      </c>
      <c r="AG631" s="19">
        <f t="shared" si="119"/>
        <v>120</v>
      </c>
      <c r="AH631" s="25">
        <f t="shared" si="132"/>
        <v>11548769</v>
      </c>
      <c r="AI631" s="92"/>
      <c r="AJ631" s="92"/>
      <c r="AK631" s="27">
        <f t="shared" si="124"/>
        <v>11548769</v>
      </c>
      <c r="AL631" s="27">
        <f t="shared" si="128"/>
        <v>11548769</v>
      </c>
      <c r="AM631" s="27"/>
      <c r="AN631" s="27"/>
      <c r="AO631" s="27"/>
      <c r="AP631" s="27"/>
      <c r="AQ631" s="27"/>
      <c r="AR631" s="27"/>
      <c r="AS631" s="27"/>
      <c r="AT631" s="27"/>
      <c r="AU631" s="27"/>
      <c r="AV631" s="27"/>
      <c r="AW631" s="27">
        <f t="shared" si="136"/>
        <v>23097538</v>
      </c>
      <c r="AX631" s="79">
        <f t="shared" si="137"/>
        <v>1362754771</v>
      </c>
      <c r="AY631" s="79">
        <f t="shared" si="138"/>
        <v>23097538</v>
      </c>
      <c r="AZ631" s="25">
        <f t="shared" si="139"/>
        <v>1</v>
      </c>
      <c r="BA631" s="62"/>
      <c r="BB631" s="25">
        <v>1</v>
      </c>
      <c r="BC631" s="25"/>
      <c r="BD631" s="66"/>
      <c r="BE631" s="67">
        <f t="shared" si="125"/>
        <v>11548769</v>
      </c>
      <c r="BF631" s="67">
        <f t="shared" si="115"/>
        <v>0</v>
      </c>
      <c r="BG631" s="67">
        <f t="shared" si="114"/>
        <v>0</v>
      </c>
      <c r="BH631" s="67"/>
      <c r="BI631" s="19" t="str">
        <f t="shared" si="140"/>
        <v>BG</v>
      </c>
      <c r="BJ631" s="68" t="s">
        <v>1930</v>
      </c>
      <c r="BK631" s="68" t="s">
        <v>1930</v>
      </c>
      <c r="BQ631" s="1" t="e">
        <v>#N/A</v>
      </c>
    </row>
    <row r="632" spans="1:69" ht="15" hidden="1" customHeight="1">
      <c r="C632" s="1" t="str">
        <f t="shared" si="126"/>
        <v>3312</v>
      </c>
      <c r="D632" s="1" t="str">
        <f t="shared" si="127"/>
        <v>2401</v>
      </c>
      <c r="E632" s="19" t="s">
        <v>1895</v>
      </c>
      <c r="F632" s="19" t="s">
        <v>1896</v>
      </c>
      <c r="G632" s="62">
        <v>2112</v>
      </c>
      <c r="H632" s="19" t="s">
        <v>1913</v>
      </c>
      <c r="I632" s="19" t="s">
        <v>1793</v>
      </c>
      <c r="J632" s="86">
        <v>1</v>
      </c>
      <c r="K632" s="19" t="s">
        <v>1737</v>
      </c>
      <c r="L632" s="157" t="s">
        <v>1716</v>
      </c>
      <c r="M632" s="98" t="s">
        <v>1903</v>
      </c>
      <c r="N632" s="101">
        <v>45188</v>
      </c>
      <c r="O632" s="103">
        <v>71963.09</v>
      </c>
      <c r="P632" s="103">
        <v>24240</v>
      </c>
      <c r="Q632" s="73">
        <f t="shared" si="141"/>
        <v>1744385302</v>
      </c>
      <c r="R632" s="70"/>
      <c r="S632" s="19"/>
      <c r="T632" s="159">
        <v>13313218</v>
      </c>
      <c r="U632" s="19"/>
      <c r="V632" s="74">
        <f t="shared" si="135"/>
        <v>1757698520</v>
      </c>
      <c r="W632" s="75"/>
      <c r="X632" s="64">
        <f t="shared" si="133"/>
        <v>1757698520</v>
      </c>
      <c r="Y632" s="19"/>
      <c r="Z632" s="19"/>
      <c r="AA632" s="128"/>
      <c r="AB632" s="19"/>
      <c r="AC632" s="64">
        <f t="shared" si="134"/>
        <v>1757698520</v>
      </c>
      <c r="AD632" s="63">
        <v>45292</v>
      </c>
      <c r="AE632" s="65">
        <v>48944</v>
      </c>
      <c r="AF632" s="19">
        <v>10</v>
      </c>
      <c r="AG632" s="19">
        <f t="shared" si="119"/>
        <v>120</v>
      </c>
      <c r="AH632" s="25">
        <f t="shared" si="132"/>
        <v>14647488</v>
      </c>
      <c r="AI632" s="92"/>
      <c r="AJ632" s="92"/>
      <c r="AK632" s="27">
        <f t="shared" si="124"/>
        <v>14647488</v>
      </c>
      <c r="AL632" s="27">
        <f t="shared" si="128"/>
        <v>14647488</v>
      </c>
      <c r="AM632" s="27"/>
      <c r="AN632" s="27"/>
      <c r="AO632" s="27"/>
      <c r="AP632" s="27"/>
      <c r="AQ632" s="27"/>
      <c r="AR632" s="27"/>
      <c r="AS632" s="27"/>
      <c r="AT632" s="27"/>
      <c r="AU632" s="27"/>
      <c r="AV632" s="27"/>
      <c r="AW632" s="27">
        <f t="shared" si="136"/>
        <v>29294976</v>
      </c>
      <c r="AX632" s="79">
        <f t="shared" si="137"/>
        <v>1728403544</v>
      </c>
      <c r="AY632" s="79">
        <f t="shared" si="138"/>
        <v>29294976</v>
      </c>
      <c r="AZ632" s="25">
        <f t="shared" si="139"/>
        <v>1</v>
      </c>
      <c r="BA632" s="62"/>
      <c r="BB632" s="25">
        <v>1</v>
      </c>
      <c r="BC632" s="25"/>
      <c r="BD632" s="66"/>
      <c r="BE632" s="67">
        <f t="shared" si="125"/>
        <v>14647488</v>
      </c>
      <c r="BF632" s="67">
        <f t="shared" si="115"/>
        <v>0</v>
      </c>
      <c r="BG632" s="67">
        <f t="shared" si="114"/>
        <v>0</v>
      </c>
      <c r="BH632" s="67"/>
      <c r="BI632" s="19" t="str">
        <f t="shared" si="140"/>
        <v>BG</v>
      </c>
      <c r="BJ632" s="68" t="s">
        <v>1930</v>
      </c>
      <c r="BK632" s="68" t="s">
        <v>1930</v>
      </c>
      <c r="BQ632" s="1" t="e">
        <v>#N/A</v>
      </c>
    </row>
    <row r="633" spans="1:69" ht="15" hidden="1" customHeight="1">
      <c r="C633" s="1" t="str">
        <f t="shared" si="126"/>
        <v>3312</v>
      </c>
      <c r="D633" s="1" t="str">
        <f t="shared" si="127"/>
        <v>2401</v>
      </c>
      <c r="E633" s="19" t="s">
        <v>1895</v>
      </c>
      <c r="F633" s="19" t="s">
        <v>1896</v>
      </c>
      <c r="G633" s="62">
        <v>2112</v>
      </c>
      <c r="H633" s="19" t="s">
        <v>1914</v>
      </c>
      <c r="I633" s="156" t="s">
        <v>1794</v>
      </c>
      <c r="J633" s="86">
        <v>1</v>
      </c>
      <c r="K633" s="19" t="s">
        <v>1737</v>
      </c>
      <c r="L633" s="160" t="s">
        <v>1784</v>
      </c>
      <c r="M633" s="98" t="s">
        <v>1915</v>
      </c>
      <c r="N633" s="101">
        <v>45188</v>
      </c>
      <c r="O633" s="103">
        <v>265000</v>
      </c>
      <c r="P633" s="103">
        <v>24122</v>
      </c>
      <c r="Q633" s="73">
        <f t="shared" si="141"/>
        <v>6392330000</v>
      </c>
      <c r="R633" s="70"/>
      <c r="S633" s="19"/>
      <c r="T633" s="159">
        <v>90522650</v>
      </c>
      <c r="U633" s="19"/>
      <c r="V633" s="74">
        <f t="shared" si="135"/>
        <v>6482852650</v>
      </c>
      <c r="W633" s="75"/>
      <c r="X633" s="64">
        <f t="shared" si="133"/>
        <v>6482852650</v>
      </c>
      <c r="Y633" s="19"/>
      <c r="Z633" s="19"/>
      <c r="AA633" s="128"/>
      <c r="AB633" s="19"/>
      <c r="AC633" s="64">
        <f t="shared" si="134"/>
        <v>6482852650</v>
      </c>
      <c r="AD633" s="63">
        <v>45292</v>
      </c>
      <c r="AE633" s="65">
        <v>48944</v>
      </c>
      <c r="AF633" s="19">
        <v>10</v>
      </c>
      <c r="AG633" s="19">
        <f t="shared" si="119"/>
        <v>120</v>
      </c>
      <c r="AH633" s="25">
        <f t="shared" si="132"/>
        <v>54023772</v>
      </c>
      <c r="AI633" s="92"/>
      <c r="AJ633" s="92"/>
      <c r="AK633" s="27">
        <f t="shared" si="124"/>
        <v>54023772</v>
      </c>
      <c r="AL633" s="27">
        <f t="shared" si="128"/>
        <v>54023772</v>
      </c>
      <c r="AM633" s="27"/>
      <c r="AN633" s="27"/>
      <c r="AO633" s="27"/>
      <c r="AP633" s="27"/>
      <c r="AQ633" s="27"/>
      <c r="AR633" s="27"/>
      <c r="AS633" s="27"/>
      <c r="AT633" s="27"/>
      <c r="AU633" s="27"/>
      <c r="AV633" s="27"/>
      <c r="AW633" s="27">
        <f t="shared" si="136"/>
        <v>108047544</v>
      </c>
      <c r="AX633" s="79">
        <f t="shared" si="137"/>
        <v>6374805106</v>
      </c>
      <c r="AY633" s="79">
        <f t="shared" si="138"/>
        <v>108047544</v>
      </c>
      <c r="AZ633" s="25">
        <f t="shared" si="139"/>
        <v>1</v>
      </c>
      <c r="BA633" s="62"/>
      <c r="BB633" s="25">
        <v>1</v>
      </c>
      <c r="BC633" s="25"/>
      <c r="BD633" s="66"/>
      <c r="BE633" s="67">
        <f t="shared" si="125"/>
        <v>54023772</v>
      </c>
      <c r="BF633" s="67">
        <f t="shared" si="115"/>
        <v>0</v>
      </c>
      <c r="BG633" s="67">
        <f t="shared" si="114"/>
        <v>0</v>
      </c>
      <c r="BH633" s="67"/>
      <c r="BI633" s="19" t="str">
        <f t="shared" si="140"/>
        <v>BG</v>
      </c>
      <c r="BJ633" s="68" t="s">
        <v>1929</v>
      </c>
      <c r="BK633" s="68" t="s">
        <v>1989</v>
      </c>
      <c r="BQ633" s="1" t="e">
        <v>#N/A</v>
      </c>
    </row>
    <row r="634" spans="1:69" ht="15" hidden="1" customHeight="1">
      <c r="C634" s="1" t="str">
        <f t="shared" si="126"/>
        <v>3312</v>
      </c>
      <c r="D634" s="1" t="str">
        <f t="shared" si="127"/>
        <v>2401</v>
      </c>
      <c r="E634" s="19" t="s">
        <v>1895</v>
      </c>
      <c r="F634" s="19" t="s">
        <v>1896</v>
      </c>
      <c r="G634" s="62">
        <v>2112</v>
      </c>
      <c r="H634" s="19" t="s">
        <v>1916</v>
      </c>
      <c r="I634" s="156" t="s">
        <v>1795</v>
      </c>
      <c r="J634" s="86">
        <v>1</v>
      </c>
      <c r="K634" s="19" t="s">
        <v>1737</v>
      </c>
      <c r="L634" s="157" t="s">
        <v>1716</v>
      </c>
      <c r="M634" s="98" t="s">
        <v>1921</v>
      </c>
      <c r="N634" s="101">
        <v>45189</v>
      </c>
      <c r="O634" s="103">
        <v>124848.35</v>
      </c>
      <c r="P634" s="103">
        <v>24225</v>
      </c>
      <c r="Q634" s="73">
        <f t="shared" si="141"/>
        <v>3024451279</v>
      </c>
      <c r="R634" s="70"/>
      <c r="S634" s="19"/>
      <c r="T634" s="159">
        <v>11832464</v>
      </c>
      <c r="U634" s="19"/>
      <c r="V634" s="74">
        <f t="shared" si="135"/>
        <v>3036283743</v>
      </c>
      <c r="W634" s="75"/>
      <c r="X634" s="64">
        <f t="shared" si="133"/>
        <v>3036283743</v>
      </c>
      <c r="Y634" s="19"/>
      <c r="Z634" s="19"/>
      <c r="AA634" s="128"/>
      <c r="AB634" s="19"/>
      <c r="AC634" s="64">
        <f t="shared" si="134"/>
        <v>3036283743</v>
      </c>
      <c r="AD634" s="63">
        <v>45292</v>
      </c>
      <c r="AE634" s="65">
        <v>48944</v>
      </c>
      <c r="AF634" s="19">
        <v>10</v>
      </c>
      <c r="AG634" s="19">
        <f t="shared" si="119"/>
        <v>120</v>
      </c>
      <c r="AH634" s="25">
        <f t="shared" si="132"/>
        <v>25302365</v>
      </c>
      <c r="AI634" s="92"/>
      <c r="AJ634" s="92"/>
      <c r="AK634" s="27">
        <f t="shared" si="124"/>
        <v>25302365</v>
      </c>
      <c r="AL634" s="27">
        <f t="shared" si="128"/>
        <v>25302365</v>
      </c>
      <c r="AM634" s="27"/>
      <c r="AN634" s="27"/>
      <c r="AO634" s="27"/>
      <c r="AP634" s="27"/>
      <c r="AQ634" s="27"/>
      <c r="AR634" s="27"/>
      <c r="AS634" s="27"/>
      <c r="AT634" s="27"/>
      <c r="AU634" s="27"/>
      <c r="AV634" s="27"/>
      <c r="AW634" s="27">
        <f t="shared" si="136"/>
        <v>50604730</v>
      </c>
      <c r="AX634" s="79">
        <f t="shared" si="137"/>
        <v>2985679013</v>
      </c>
      <c r="AY634" s="79">
        <f t="shared" si="138"/>
        <v>50604730</v>
      </c>
      <c r="AZ634" s="25">
        <f t="shared" si="139"/>
        <v>1</v>
      </c>
      <c r="BA634" s="62"/>
      <c r="BB634" s="25">
        <v>1</v>
      </c>
      <c r="BC634" s="25"/>
      <c r="BD634" s="66"/>
      <c r="BE634" s="67">
        <f t="shared" si="125"/>
        <v>25302365</v>
      </c>
      <c r="BF634" s="67">
        <f t="shared" si="115"/>
        <v>0</v>
      </c>
      <c r="BG634" s="67">
        <f t="shared" si="114"/>
        <v>0</v>
      </c>
      <c r="BH634" s="67"/>
      <c r="BI634" s="19" t="str">
        <f t="shared" si="140"/>
        <v>BG</v>
      </c>
      <c r="BJ634" s="68" t="s">
        <v>1980</v>
      </c>
      <c r="BK634" s="68" t="s">
        <v>1980</v>
      </c>
      <c r="BQ634" s="1" t="e">
        <v>#N/A</v>
      </c>
    </row>
    <row r="635" spans="1:69" ht="15" hidden="1" customHeight="1">
      <c r="C635" s="1" t="str">
        <f t="shared" si="126"/>
        <v>3312</v>
      </c>
      <c r="D635" s="1" t="str">
        <f t="shared" si="127"/>
        <v>2401</v>
      </c>
      <c r="E635" s="19" t="s">
        <v>1895</v>
      </c>
      <c r="F635" s="19" t="s">
        <v>1896</v>
      </c>
      <c r="G635" s="62">
        <v>2112</v>
      </c>
      <c r="H635" s="19" t="s">
        <v>1917</v>
      </c>
      <c r="I635" s="156" t="s">
        <v>1795</v>
      </c>
      <c r="J635" s="86">
        <v>1</v>
      </c>
      <c r="K635" s="19" t="s">
        <v>1737</v>
      </c>
      <c r="L635" s="157" t="s">
        <v>1716</v>
      </c>
      <c r="M635" s="98" t="s">
        <v>1921</v>
      </c>
      <c r="N635" s="101">
        <v>45189</v>
      </c>
      <c r="O635" s="103">
        <v>155313.51999999999</v>
      </c>
      <c r="P635" s="103">
        <v>24225</v>
      </c>
      <c r="Q635" s="73">
        <f t="shared" si="141"/>
        <v>3762470022</v>
      </c>
      <c r="R635" s="70"/>
      <c r="S635" s="19"/>
      <c r="T635" s="159">
        <v>14719791</v>
      </c>
      <c r="U635" s="19"/>
      <c r="V635" s="74">
        <f t="shared" si="135"/>
        <v>3777189813</v>
      </c>
      <c r="W635" s="75"/>
      <c r="X635" s="64">
        <f t="shared" si="133"/>
        <v>3777189813</v>
      </c>
      <c r="Y635" s="19"/>
      <c r="Z635" s="19"/>
      <c r="AA635" s="128"/>
      <c r="AB635" s="19"/>
      <c r="AC635" s="64">
        <f t="shared" si="134"/>
        <v>3777189813</v>
      </c>
      <c r="AD635" s="63">
        <v>45292</v>
      </c>
      <c r="AE635" s="65">
        <v>48944</v>
      </c>
      <c r="AF635" s="19">
        <v>10</v>
      </c>
      <c r="AG635" s="19">
        <f t="shared" si="119"/>
        <v>120</v>
      </c>
      <c r="AH635" s="25">
        <f t="shared" si="132"/>
        <v>31476582</v>
      </c>
      <c r="AI635" s="92"/>
      <c r="AJ635" s="92"/>
      <c r="AK635" s="27">
        <f t="shared" si="124"/>
        <v>31476582</v>
      </c>
      <c r="AL635" s="27">
        <f t="shared" si="128"/>
        <v>31476582</v>
      </c>
      <c r="AM635" s="27"/>
      <c r="AN635" s="27"/>
      <c r="AO635" s="27"/>
      <c r="AP635" s="27"/>
      <c r="AQ635" s="27"/>
      <c r="AR635" s="27"/>
      <c r="AS635" s="27"/>
      <c r="AT635" s="27"/>
      <c r="AU635" s="27"/>
      <c r="AV635" s="27"/>
      <c r="AW635" s="27">
        <f t="shared" si="136"/>
        <v>62953164</v>
      </c>
      <c r="AX635" s="79">
        <f t="shared" si="137"/>
        <v>3714236649</v>
      </c>
      <c r="AY635" s="79">
        <f t="shared" si="138"/>
        <v>62953164</v>
      </c>
      <c r="AZ635" s="25">
        <f t="shared" si="139"/>
        <v>1</v>
      </c>
      <c r="BA635" s="62"/>
      <c r="BB635" s="25">
        <v>1</v>
      </c>
      <c r="BC635" s="25"/>
      <c r="BD635" s="66"/>
      <c r="BE635" s="67">
        <f t="shared" si="125"/>
        <v>31476582</v>
      </c>
      <c r="BF635" s="67">
        <f t="shared" si="115"/>
        <v>0</v>
      </c>
      <c r="BG635" s="67">
        <f t="shared" si="114"/>
        <v>0</v>
      </c>
      <c r="BH635" s="67"/>
      <c r="BI635" s="19" t="str">
        <f t="shared" si="140"/>
        <v>BG</v>
      </c>
      <c r="BJ635" s="68" t="s">
        <v>1980</v>
      </c>
      <c r="BK635" s="68" t="s">
        <v>1980</v>
      </c>
      <c r="BQ635" s="1" t="e">
        <v>#N/A</v>
      </c>
    </row>
    <row r="636" spans="1:69" ht="15" hidden="1" customHeight="1">
      <c r="C636" s="1" t="str">
        <f t="shared" si="126"/>
        <v>3312</v>
      </c>
      <c r="D636" s="1" t="str">
        <f t="shared" si="127"/>
        <v>2401</v>
      </c>
      <c r="E636" s="19" t="s">
        <v>1895</v>
      </c>
      <c r="F636" s="19" t="s">
        <v>1896</v>
      </c>
      <c r="G636" s="62">
        <v>2112</v>
      </c>
      <c r="H636" s="19" t="s">
        <v>1918</v>
      </c>
      <c r="I636" s="156" t="s">
        <v>1795</v>
      </c>
      <c r="J636" s="86">
        <v>1</v>
      </c>
      <c r="K636" s="19" t="s">
        <v>1737</v>
      </c>
      <c r="L636" s="157" t="s">
        <v>1716</v>
      </c>
      <c r="M636" s="98" t="s">
        <v>1921</v>
      </c>
      <c r="N636" s="101">
        <v>45189</v>
      </c>
      <c r="O636" s="103">
        <v>168580.56</v>
      </c>
      <c r="P636" s="103">
        <v>24225</v>
      </c>
      <c r="Q636" s="73">
        <f t="shared" si="141"/>
        <v>4083864066</v>
      </c>
      <c r="R636" s="70"/>
      <c r="S636" s="19"/>
      <c r="T636" s="159">
        <v>15977172</v>
      </c>
      <c r="U636" s="19"/>
      <c r="V636" s="74">
        <f t="shared" si="135"/>
        <v>4099841238</v>
      </c>
      <c r="W636" s="75"/>
      <c r="X636" s="64">
        <f t="shared" si="133"/>
        <v>4099841238</v>
      </c>
      <c r="Y636" s="19"/>
      <c r="Z636" s="19"/>
      <c r="AA636" s="128"/>
      <c r="AB636" s="19"/>
      <c r="AC636" s="64">
        <f t="shared" si="134"/>
        <v>4099841238</v>
      </c>
      <c r="AD636" s="63">
        <v>45292</v>
      </c>
      <c r="AE636" s="65">
        <v>48944</v>
      </c>
      <c r="AF636" s="19">
        <v>10</v>
      </c>
      <c r="AG636" s="19">
        <f t="shared" si="119"/>
        <v>120</v>
      </c>
      <c r="AH636" s="25">
        <f t="shared" si="132"/>
        <v>34165344</v>
      </c>
      <c r="AI636" s="92"/>
      <c r="AJ636" s="92"/>
      <c r="AK636" s="27">
        <f t="shared" si="124"/>
        <v>34165344</v>
      </c>
      <c r="AL636" s="27">
        <f t="shared" si="128"/>
        <v>34165344</v>
      </c>
      <c r="AM636" s="27"/>
      <c r="AN636" s="27"/>
      <c r="AO636" s="27"/>
      <c r="AP636" s="27"/>
      <c r="AQ636" s="27"/>
      <c r="AR636" s="27"/>
      <c r="AS636" s="27"/>
      <c r="AT636" s="27"/>
      <c r="AU636" s="27"/>
      <c r="AV636" s="27"/>
      <c r="AW636" s="27">
        <f t="shared" si="136"/>
        <v>68330688</v>
      </c>
      <c r="AX636" s="79">
        <f t="shared" si="137"/>
        <v>4031510550</v>
      </c>
      <c r="AY636" s="79">
        <f t="shared" si="138"/>
        <v>68330688</v>
      </c>
      <c r="AZ636" s="25">
        <f t="shared" si="139"/>
        <v>1</v>
      </c>
      <c r="BA636" s="62"/>
      <c r="BB636" s="25">
        <v>1</v>
      </c>
      <c r="BC636" s="25"/>
      <c r="BD636" s="66"/>
      <c r="BE636" s="67">
        <f t="shared" si="125"/>
        <v>34165344</v>
      </c>
      <c r="BF636" s="67">
        <f t="shared" si="115"/>
        <v>0</v>
      </c>
      <c r="BG636" s="67">
        <f t="shared" si="114"/>
        <v>0</v>
      </c>
      <c r="BH636" s="67"/>
      <c r="BI636" s="19" t="str">
        <f t="shared" si="140"/>
        <v>BG</v>
      </c>
      <c r="BJ636" s="68" t="s">
        <v>1980</v>
      </c>
      <c r="BK636" s="68" t="s">
        <v>1980</v>
      </c>
      <c r="BQ636" s="1" t="e">
        <v>#N/A</v>
      </c>
    </row>
    <row r="637" spans="1:69" ht="15" hidden="1" customHeight="1">
      <c r="C637" s="1" t="str">
        <f t="shared" si="126"/>
        <v>3312</v>
      </c>
      <c r="D637" s="1" t="str">
        <f t="shared" si="127"/>
        <v>2401</v>
      </c>
      <c r="E637" s="19" t="s">
        <v>1895</v>
      </c>
      <c r="F637" s="19" t="s">
        <v>1896</v>
      </c>
      <c r="G637" s="62">
        <v>2112</v>
      </c>
      <c r="H637" s="19" t="s">
        <v>1919</v>
      </c>
      <c r="I637" s="156" t="s">
        <v>1795</v>
      </c>
      <c r="J637" s="86">
        <v>1</v>
      </c>
      <c r="K637" s="19" t="s">
        <v>1737</v>
      </c>
      <c r="L637" s="157" t="s">
        <v>1716</v>
      </c>
      <c r="M637" s="98" t="s">
        <v>1921</v>
      </c>
      <c r="N637" s="101">
        <v>45189</v>
      </c>
      <c r="O637" s="103">
        <v>174183.39</v>
      </c>
      <c r="P637" s="103">
        <v>24225</v>
      </c>
      <c r="Q637" s="73">
        <f t="shared" si="141"/>
        <v>4219592623</v>
      </c>
      <c r="R637" s="70"/>
      <c r="S637" s="19"/>
      <c r="T637" s="159">
        <v>16508177</v>
      </c>
      <c r="U637" s="19"/>
      <c r="V637" s="74">
        <f t="shared" si="135"/>
        <v>4236100800</v>
      </c>
      <c r="W637" s="75"/>
      <c r="X637" s="64">
        <f t="shared" si="133"/>
        <v>4236100800</v>
      </c>
      <c r="Y637" s="19"/>
      <c r="Z637" s="19"/>
      <c r="AA637" s="128"/>
      <c r="AB637" s="19"/>
      <c r="AC637" s="64">
        <f t="shared" si="134"/>
        <v>4236100800</v>
      </c>
      <c r="AD637" s="63">
        <v>45292</v>
      </c>
      <c r="AE637" s="65">
        <v>48944</v>
      </c>
      <c r="AF637" s="19">
        <v>10</v>
      </c>
      <c r="AG637" s="19">
        <f t="shared" si="119"/>
        <v>120</v>
      </c>
      <c r="AH637" s="25">
        <f t="shared" si="132"/>
        <v>35300840</v>
      </c>
      <c r="AI637" s="92"/>
      <c r="AJ637" s="92"/>
      <c r="AK637" s="27">
        <f t="shared" si="124"/>
        <v>35300840</v>
      </c>
      <c r="AL637" s="27">
        <f t="shared" si="128"/>
        <v>35300840</v>
      </c>
      <c r="AM637" s="27"/>
      <c r="AN637" s="27"/>
      <c r="AO637" s="27"/>
      <c r="AP637" s="27"/>
      <c r="AQ637" s="27"/>
      <c r="AR637" s="27"/>
      <c r="AS637" s="27"/>
      <c r="AT637" s="27"/>
      <c r="AU637" s="27"/>
      <c r="AV637" s="27"/>
      <c r="AW637" s="27">
        <f t="shared" si="136"/>
        <v>70601680</v>
      </c>
      <c r="AX637" s="79">
        <f t="shared" si="137"/>
        <v>4165499120</v>
      </c>
      <c r="AY637" s="79">
        <f t="shared" si="138"/>
        <v>70601680</v>
      </c>
      <c r="AZ637" s="25">
        <f t="shared" si="139"/>
        <v>1</v>
      </c>
      <c r="BA637" s="62"/>
      <c r="BB637" s="25">
        <v>1</v>
      </c>
      <c r="BC637" s="25"/>
      <c r="BD637" s="66"/>
      <c r="BE637" s="67">
        <f t="shared" si="125"/>
        <v>35300840</v>
      </c>
      <c r="BF637" s="67">
        <f t="shared" si="115"/>
        <v>0</v>
      </c>
      <c r="BG637" s="67">
        <f t="shared" si="114"/>
        <v>0</v>
      </c>
      <c r="BH637" s="67"/>
      <c r="BI637" s="19" t="str">
        <f t="shared" si="140"/>
        <v>BG</v>
      </c>
      <c r="BJ637" s="68" t="s">
        <v>1980</v>
      </c>
      <c r="BK637" s="68" t="s">
        <v>1980</v>
      </c>
      <c r="BQ637" s="1" t="e">
        <v>#N/A</v>
      </c>
    </row>
    <row r="638" spans="1:69" ht="15" hidden="1" customHeight="1">
      <c r="C638" s="1" t="str">
        <f t="shared" si="126"/>
        <v>3312</v>
      </c>
      <c r="D638" s="1" t="str">
        <f t="shared" si="127"/>
        <v>2401</v>
      </c>
      <c r="E638" s="19" t="s">
        <v>1895</v>
      </c>
      <c r="F638" s="19" t="s">
        <v>1896</v>
      </c>
      <c r="G638" s="62">
        <v>2112</v>
      </c>
      <c r="H638" s="19" t="s">
        <v>1920</v>
      </c>
      <c r="I638" s="156" t="s">
        <v>1796</v>
      </c>
      <c r="J638" s="86">
        <v>1</v>
      </c>
      <c r="K638" s="19" t="s">
        <v>1737</v>
      </c>
      <c r="L638" s="157" t="s">
        <v>1716</v>
      </c>
      <c r="M638" s="98" t="s">
        <v>1921</v>
      </c>
      <c r="N638" s="101">
        <v>45189</v>
      </c>
      <c r="O638" s="103">
        <v>96806.38</v>
      </c>
      <c r="P638" s="103">
        <v>24225</v>
      </c>
      <c r="Q638" s="73">
        <f t="shared" si="141"/>
        <v>2345134556</v>
      </c>
      <c r="R638" s="70"/>
      <c r="S638" s="19"/>
      <c r="T638" s="159">
        <v>9174796</v>
      </c>
      <c r="U638" s="19"/>
      <c r="V638" s="74">
        <f t="shared" si="135"/>
        <v>2354309352</v>
      </c>
      <c r="W638" s="75"/>
      <c r="X638" s="64">
        <f t="shared" si="133"/>
        <v>2354309352</v>
      </c>
      <c r="Y638" s="19"/>
      <c r="Z638" s="19"/>
      <c r="AA638" s="128"/>
      <c r="AB638" s="19"/>
      <c r="AC638" s="64">
        <f t="shared" si="134"/>
        <v>2354309352</v>
      </c>
      <c r="AD638" s="63">
        <v>45292</v>
      </c>
      <c r="AE638" s="65">
        <v>48944</v>
      </c>
      <c r="AF638" s="19">
        <v>10</v>
      </c>
      <c r="AG638" s="19">
        <f t="shared" si="119"/>
        <v>120</v>
      </c>
      <c r="AH638" s="25">
        <f t="shared" si="132"/>
        <v>19619245</v>
      </c>
      <c r="AI638" s="92"/>
      <c r="AJ638" s="92"/>
      <c r="AK638" s="27">
        <f t="shared" si="124"/>
        <v>19619245</v>
      </c>
      <c r="AL638" s="27">
        <f t="shared" si="128"/>
        <v>19619245</v>
      </c>
      <c r="AM638" s="27"/>
      <c r="AN638" s="27"/>
      <c r="AO638" s="27"/>
      <c r="AP638" s="27"/>
      <c r="AQ638" s="27"/>
      <c r="AR638" s="27"/>
      <c r="AS638" s="27"/>
      <c r="AT638" s="27"/>
      <c r="AU638" s="27"/>
      <c r="AV638" s="27"/>
      <c r="AW638" s="27">
        <f t="shared" si="136"/>
        <v>39238490</v>
      </c>
      <c r="AX638" s="79">
        <f t="shared" si="137"/>
        <v>2315070862</v>
      </c>
      <c r="AY638" s="79">
        <f t="shared" si="138"/>
        <v>39238490</v>
      </c>
      <c r="AZ638" s="25">
        <f t="shared" si="139"/>
        <v>1</v>
      </c>
      <c r="BA638" s="62"/>
      <c r="BB638" s="25">
        <v>1</v>
      </c>
      <c r="BC638" s="25"/>
      <c r="BD638" s="66"/>
      <c r="BE638" s="67">
        <f t="shared" si="125"/>
        <v>19619245</v>
      </c>
      <c r="BF638" s="67">
        <f t="shared" si="115"/>
        <v>0</v>
      </c>
      <c r="BG638" s="67">
        <f t="shared" si="114"/>
        <v>0</v>
      </c>
      <c r="BH638" s="67"/>
      <c r="BI638" s="19" t="str">
        <f t="shared" si="140"/>
        <v>BG</v>
      </c>
      <c r="BJ638" s="68" t="s">
        <v>1980</v>
      </c>
      <c r="BK638" s="68" t="s">
        <v>1980</v>
      </c>
      <c r="BQ638" s="1" t="e">
        <v>#N/A</v>
      </c>
    </row>
    <row r="639" spans="1:69" ht="15" hidden="1" customHeight="1">
      <c r="A639" s="5">
        <v>141967593</v>
      </c>
      <c r="C639" s="1" t="str">
        <f t="shared" si="126"/>
        <v>3312</v>
      </c>
      <c r="D639" s="1" t="str">
        <f t="shared" si="127"/>
        <v>2401</v>
      </c>
      <c r="E639" s="19" t="s">
        <v>1895</v>
      </c>
      <c r="F639" s="19" t="s">
        <v>1923</v>
      </c>
      <c r="G639" s="62">
        <v>2112</v>
      </c>
      <c r="H639" s="19" t="s">
        <v>1922</v>
      </c>
      <c r="I639" s="19" t="s">
        <v>1797</v>
      </c>
      <c r="J639" s="86">
        <v>1</v>
      </c>
      <c r="K639" s="19" t="s">
        <v>1737</v>
      </c>
      <c r="L639" s="157" t="s">
        <v>1788</v>
      </c>
      <c r="M639" s="98" t="s">
        <v>1985</v>
      </c>
      <c r="N639" s="101">
        <v>45189</v>
      </c>
      <c r="O639" s="161">
        <v>506124</v>
      </c>
      <c r="P639" s="161">
        <v>24384.800000000003</v>
      </c>
      <c r="Q639" s="73">
        <f t="shared" si="141"/>
        <v>12341732515</v>
      </c>
      <c r="R639" s="70"/>
      <c r="S639" s="19"/>
      <c r="T639" s="162">
        <v>141967593</v>
      </c>
      <c r="U639" s="19"/>
      <c r="V639" s="74">
        <f t="shared" si="135"/>
        <v>12483700108</v>
      </c>
      <c r="W639" s="75"/>
      <c r="X639" s="64">
        <f t="shared" si="133"/>
        <v>12483700108</v>
      </c>
      <c r="Y639" s="19"/>
      <c r="Z639" s="19"/>
      <c r="AA639" s="128"/>
      <c r="AB639" s="19"/>
      <c r="AC639" s="64">
        <f t="shared" si="134"/>
        <v>12483700108</v>
      </c>
      <c r="AD639" s="63">
        <v>45292</v>
      </c>
      <c r="AE639" s="65">
        <v>48944</v>
      </c>
      <c r="AF639" s="19">
        <v>10</v>
      </c>
      <c r="AG639" s="19">
        <f t="shared" si="119"/>
        <v>120</v>
      </c>
      <c r="AH639" s="25">
        <f t="shared" si="132"/>
        <v>104030834</v>
      </c>
      <c r="AI639" s="92"/>
      <c r="AJ639" s="92"/>
      <c r="AK639" s="27">
        <f t="shared" si="124"/>
        <v>104030834</v>
      </c>
      <c r="AL639" s="27">
        <f t="shared" si="128"/>
        <v>104030834</v>
      </c>
      <c r="AM639" s="27"/>
      <c r="AN639" s="27"/>
      <c r="AO639" s="27"/>
      <c r="AP639" s="27"/>
      <c r="AQ639" s="27"/>
      <c r="AR639" s="27"/>
      <c r="AS639" s="27"/>
      <c r="AT639" s="27"/>
      <c r="AU639" s="27"/>
      <c r="AV639" s="27"/>
      <c r="AW639" s="27">
        <f t="shared" si="136"/>
        <v>208061668</v>
      </c>
      <c r="AX639" s="79">
        <f t="shared" si="137"/>
        <v>12275638440</v>
      </c>
      <c r="AY639" s="79">
        <f t="shared" si="138"/>
        <v>208061668</v>
      </c>
      <c r="AZ639" s="25">
        <f t="shared" si="139"/>
        <v>1</v>
      </c>
      <c r="BA639" s="62"/>
      <c r="BB639" s="25">
        <v>1</v>
      </c>
      <c r="BC639" s="25"/>
      <c r="BD639" s="66"/>
      <c r="BE639" s="67">
        <f t="shared" si="125"/>
        <v>104030834</v>
      </c>
      <c r="BF639" s="67">
        <f t="shared" si="115"/>
        <v>0</v>
      </c>
      <c r="BG639" s="67">
        <f t="shared" si="114"/>
        <v>0</v>
      </c>
      <c r="BH639" s="67"/>
      <c r="BI639" s="19" t="str">
        <f t="shared" si="140"/>
        <v>BN</v>
      </c>
      <c r="BJ639" s="68" t="s">
        <v>644</v>
      </c>
      <c r="BK639" s="68" t="s">
        <v>644</v>
      </c>
      <c r="BQ639" s="1" t="e">
        <v>#N/A</v>
      </c>
    </row>
    <row r="640" spans="1:69" ht="15" hidden="1" customHeight="1">
      <c r="C640" s="1" t="str">
        <f t="shared" si="126"/>
        <v>2812</v>
      </c>
      <c r="D640" s="1" t="str">
        <f t="shared" si="127"/>
        <v>2401</v>
      </c>
      <c r="E640" s="19" t="s">
        <v>1895</v>
      </c>
      <c r="F640" s="19" t="s">
        <v>1896</v>
      </c>
      <c r="G640" s="62">
        <v>2114</v>
      </c>
      <c r="H640" s="19" t="s">
        <v>1924</v>
      </c>
      <c r="I640" s="156" t="s">
        <v>1789</v>
      </c>
      <c r="J640" s="86">
        <v>1</v>
      </c>
      <c r="K640" s="19" t="s">
        <v>1737</v>
      </c>
      <c r="L640" s="19" t="s">
        <v>1782</v>
      </c>
      <c r="M640" s="138" t="s">
        <v>1877</v>
      </c>
      <c r="N640" s="100">
        <v>45181</v>
      </c>
      <c r="O640" s="103">
        <v>2050</v>
      </c>
      <c r="P640" s="103">
        <v>24220</v>
      </c>
      <c r="Q640" s="73">
        <f t="shared" si="141"/>
        <v>49651000</v>
      </c>
      <c r="R640" s="70"/>
      <c r="S640" s="19"/>
      <c r="T640" s="159">
        <f>6072464/2</f>
        <v>3036232</v>
      </c>
      <c r="U640" s="19"/>
      <c r="V640" s="74">
        <f t="shared" si="135"/>
        <v>52687232</v>
      </c>
      <c r="W640" s="75"/>
      <c r="X640" s="64">
        <f t="shared" si="133"/>
        <v>52687232</v>
      </c>
      <c r="Y640" s="19"/>
      <c r="Z640" s="19"/>
      <c r="AA640" s="128"/>
      <c r="AB640" s="19"/>
      <c r="AC640" s="64">
        <f t="shared" si="134"/>
        <v>52687232</v>
      </c>
      <c r="AD640" s="63">
        <v>45292</v>
      </c>
      <c r="AE640" s="65">
        <v>47118</v>
      </c>
      <c r="AF640" s="19">
        <v>5</v>
      </c>
      <c r="AG640" s="19">
        <f t="shared" si="119"/>
        <v>60</v>
      </c>
      <c r="AH640" s="25">
        <f t="shared" si="132"/>
        <v>878121</v>
      </c>
      <c r="AI640" s="92"/>
      <c r="AJ640" s="92"/>
      <c r="AK640" s="27">
        <f t="shared" si="124"/>
        <v>878121</v>
      </c>
      <c r="AL640" s="27">
        <f t="shared" si="128"/>
        <v>878121</v>
      </c>
      <c r="AM640" s="27"/>
      <c r="AN640" s="27"/>
      <c r="AO640" s="27"/>
      <c r="AP640" s="27"/>
      <c r="AQ640" s="27"/>
      <c r="AR640" s="27"/>
      <c r="AS640" s="27"/>
      <c r="AT640" s="27"/>
      <c r="AU640" s="27"/>
      <c r="AV640" s="27"/>
      <c r="AW640" s="27">
        <f t="shared" si="136"/>
        <v>1756242</v>
      </c>
      <c r="AX640" s="79">
        <f t="shared" si="137"/>
        <v>50930990</v>
      </c>
      <c r="AY640" s="79">
        <f t="shared" si="138"/>
        <v>1756242</v>
      </c>
      <c r="AZ640" s="25">
        <f t="shared" si="139"/>
        <v>1</v>
      </c>
      <c r="BA640" s="62"/>
      <c r="BB640" s="25">
        <v>1</v>
      </c>
      <c r="BC640" s="25"/>
      <c r="BD640" s="66"/>
      <c r="BE640" s="67">
        <f t="shared" si="125"/>
        <v>878121</v>
      </c>
      <c r="BF640" s="67">
        <f t="shared" si="115"/>
        <v>0</v>
      </c>
      <c r="BG640" s="67">
        <f t="shared" si="114"/>
        <v>0</v>
      </c>
      <c r="BH640" s="67"/>
      <c r="BI640" s="19" t="str">
        <f t="shared" si="140"/>
        <v>BG</v>
      </c>
      <c r="BJ640" s="68" t="s">
        <v>1929</v>
      </c>
      <c r="BK640" s="68" t="s">
        <v>1989</v>
      </c>
      <c r="BQ640" s="1" t="e">
        <v>#N/A</v>
      </c>
    </row>
    <row r="641" spans="3:69" ht="15" hidden="1" customHeight="1">
      <c r="C641" s="1" t="str">
        <f t="shared" si="126"/>
        <v>2812</v>
      </c>
      <c r="D641" s="1" t="str">
        <f t="shared" si="127"/>
        <v>2401</v>
      </c>
      <c r="E641" s="19" t="s">
        <v>1895</v>
      </c>
      <c r="F641" s="19" t="s">
        <v>1896</v>
      </c>
      <c r="G641" s="62">
        <v>2114</v>
      </c>
      <c r="H641" s="19" t="s">
        <v>1925</v>
      </c>
      <c r="I641" s="105" t="s">
        <v>1785</v>
      </c>
      <c r="J641" s="86">
        <v>1</v>
      </c>
      <c r="K641" s="19" t="s">
        <v>1737</v>
      </c>
      <c r="L641" s="157" t="s">
        <v>1145</v>
      </c>
      <c r="M641" s="98" t="s">
        <v>1928</v>
      </c>
      <c r="N641" s="101">
        <v>45195</v>
      </c>
      <c r="O641" s="103"/>
      <c r="P641" s="103"/>
      <c r="Q641" s="163">
        <v>37450000</v>
      </c>
      <c r="R641" s="70"/>
      <c r="S641" s="19"/>
      <c r="T641" s="103"/>
      <c r="U641" s="19"/>
      <c r="V641" s="74">
        <f t="shared" si="135"/>
        <v>37450000</v>
      </c>
      <c r="W641" s="75"/>
      <c r="X641" s="64">
        <f t="shared" si="133"/>
        <v>37450000</v>
      </c>
      <c r="Y641" s="19"/>
      <c r="Z641" s="19"/>
      <c r="AA641" s="19"/>
      <c r="AB641" s="19"/>
      <c r="AC641" s="64">
        <f t="shared" si="134"/>
        <v>37450000</v>
      </c>
      <c r="AD641" s="63">
        <v>45292</v>
      </c>
      <c r="AE641" s="65">
        <v>47118</v>
      </c>
      <c r="AF641" s="19">
        <v>5</v>
      </c>
      <c r="AG641" s="19">
        <f t="shared" si="119"/>
        <v>60</v>
      </c>
      <c r="AH641" s="25">
        <f t="shared" si="132"/>
        <v>624167</v>
      </c>
      <c r="AI641" s="92"/>
      <c r="AJ641" s="92"/>
      <c r="AK641" s="27">
        <f t="shared" si="124"/>
        <v>624167</v>
      </c>
      <c r="AL641" s="27">
        <f t="shared" si="128"/>
        <v>624167</v>
      </c>
      <c r="AM641" s="27"/>
      <c r="AN641" s="27"/>
      <c r="AO641" s="27"/>
      <c r="AP641" s="27"/>
      <c r="AQ641" s="27"/>
      <c r="AR641" s="27"/>
      <c r="AS641" s="27"/>
      <c r="AT641" s="27"/>
      <c r="AU641" s="27"/>
      <c r="AV641" s="27"/>
      <c r="AW641" s="27">
        <f t="shared" si="136"/>
        <v>1248334</v>
      </c>
      <c r="AX641" s="79">
        <f t="shared" si="137"/>
        <v>36201666</v>
      </c>
      <c r="AY641" s="79">
        <f t="shared" si="138"/>
        <v>1248334</v>
      </c>
      <c r="AZ641" s="25">
        <f t="shared" si="139"/>
        <v>1</v>
      </c>
      <c r="BA641" s="62"/>
      <c r="BB641" s="25">
        <v>1</v>
      </c>
      <c r="BC641" s="19"/>
      <c r="BD641" s="19"/>
      <c r="BE641" s="67">
        <f t="shared" si="125"/>
        <v>624167</v>
      </c>
      <c r="BF641" s="67">
        <f t="shared" si="115"/>
        <v>0</v>
      </c>
      <c r="BG641" s="67">
        <f t="shared" si="114"/>
        <v>0</v>
      </c>
      <c r="BH641" s="19"/>
      <c r="BI641" s="19" t="str">
        <f t="shared" si="140"/>
        <v>BG</v>
      </c>
      <c r="BJ641" s="19" t="s">
        <v>1929</v>
      </c>
      <c r="BK641" s="19" t="s">
        <v>1989</v>
      </c>
      <c r="BQ641" s="1" t="e">
        <v>#N/A</v>
      </c>
    </row>
    <row r="642" spans="3:69" ht="15" hidden="1" customHeight="1">
      <c r="C642" s="1" t="str">
        <f t="shared" si="126"/>
        <v>2812</v>
      </c>
      <c r="D642" s="1" t="str">
        <f t="shared" si="127"/>
        <v>2401</v>
      </c>
      <c r="E642" s="19" t="s">
        <v>1895</v>
      </c>
      <c r="F642" s="19" t="s">
        <v>1896</v>
      </c>
      <c r="G642" s="62">
        <v>2114</v>
      </c>
      <c r="H642" s="19" t="s">
        <v>1926</v>
      </c>
      <c r="I642" s="105" t="s">
        <v>1786</v>
      </c>
      <c r="J642" s="86">
        <v>1</v>
      </c>
      <c r="K642" s="19" t="s">
        <v>1737</v>
      </c>
      <c r="L642" s="157" t="s">
        <v>1145</v>
      </c>
      <c r="M642" s="98" t="s">
        <v>1928</v>
      </c>
      <c r="N642" s="101">
        <v>45195</v>
      </c>
      <c r="O642" s="103"/>
      <c r="P642" s="19"/>
      <c r="Q642" s="163">
        <v>32325000</v>
      </c>
      <c r="R642" s="70"/>
      <c r="S642" s="19"/>
      <c r="T642" s="19"/>
      <c r="U642" s="19"/>
      <c r="V642" s="74">
        <f t="shared" si="135"/>
        <v>32325000</v>
      </c>
      <c r="W642" s="75"/>
      <c r="X642" s="64">
        <f t="shared" si="133"/>
        <v>32325000</v>
      </c>
      <c r="Y642" s="19"/>
      <c r="Z642" s="19"/>
      <c r="AA642" s="19"/>
      <c r="AB642" s="19"/>
      <c r="AC642" s="64">
        <f t="shared" si="134"/>
        <v>32325000</v>
      </c>
      <c r="AD642" s="63">
        <v>45292</v>
      </c>
      <c r="AE642" s="65">
        <v>47118</v>
      </c>
      <c r="AF642" s="19">
        <v>5</v>
      </c>
      <c r="AG642" s="19">
        <f t="shared" si="119"/>
        <v>60</v>
      </c>
      <c r="AH642" s="25">
        <f t="shared" si="132"/>
        <v>538750</v>
      </c>
      <c r="AI642" s="92"/>
      <c r="AJ642" s="92"/>
      <c r="AK642" s="27">
        <f t="shared" si="124"/>
        <v>538750</v>
      </c>
      <c r="AL642" s="27">
        <f t="shared" si="128"/>
        <v>538750</v>
      </c>
      <c r="AM642" s="27"/>
      <c r="AN642" s="27"/>
      <c r="AO642" s="27"/>
      <c r="AP642" s="27"/>
      <c r="AQ642" s="27"/>
      <c r="AR642" s="27"/>
      <c r="AS642" s="27"/>
      <c r="AT642" s="27"/>
      <c r="AU642" s="27"/>
      <c r="AV642" s="27"/>
      <c r="AW642" s="27">
        <f t="shared" si="136"/>
        <v>1077500</v>
      </c>
      <c r="AX642" s="79">
        <f t="shared" si="137"/>
        <v>31247500</v>
      </c>
      <c r="AY642" s="79">
        <f t="shared" si="138"/>
        <v>1077500</v>
      </c>
      <c r="AZ642" s="25">
        <f t="shared" si="139"/>
        <v>1</v>
      </c>
      <c r="BA642" s="62"/>
      <c r="BB642" s="25">
        <v>1</v>
      </c>
      <c r="BC642" s="19"/>
      <c r="BD642" s="19"/>
      <c r="BE642" s="67">
        <f t="shared" si="125"/>
        <v>538750</v>
      </c>
      <c r="BF642" s="67">
        <f t="shared" si="115"/>
        <v>0</v>
      </c>
      <c r="BG642" s="67">
        <f t="shared" si="114"/>
        <v>0</v>
      </c>
      <c r="BH642" s="19"/>
      <c r="BI642" s="19" t="str">
        <f t="shared" si="140"/>
        <v>BG</v>
      </c>
      <c r="BJ642" s="19" t="s">
        <v>1929</v>
      </c>
      <c r="BK642" s="19" t="s">
        <v>1989</v>
      </c>
      <c r="BQ642" s="1" t="e">
        <v>#N/A</v>
      </c>
    </row>
    <row r="643" spans="3:69" ht="15" hidden="1" customHeight="1">
      <c r="C643" s="1" t="str">
        <f t="shared" si="126"/>
        <v>2812</v>
      </c>
      <c r="D643" s="1" t="str">
        <f t="shared" si="127"/>
        <v>2401</v>
      </c>
      <c r="E643" s="19" t="s">
        <v>1895</v>
      </c>
      <c r="F643" s="19" t="s">
        <v>1896</v>
      </c>
      <c r="G643" s="62">
        <v>2114</v>
      </c>
      <c r="H643" s="19" t="s">
        <v>1927</v>
      </c>
      <c r="I643" s="105" t="s">
        <v>1787</v>
      </c>
      <c r="J643" s="86">
        <v>1</v>
      </c>
      <c r="K643" s="19" t="s">
        <v>1737</v>
      </c>
      <c r="L643" s="157" t="s">
        <v>1145</v>
      </c>
      <c r="M643" s="98" t="s">
        <v>1928</v>
      </c>
      <c r="N643" s="101">
        <v>45195</v>
      </c>
      <c r="O643" s="19"/>
      <c r="P643" s="19"/>
      <c r="Q643" s="163">
        <v>32455000</v>
      </c>
      <c r="R643" s="70"/>
      <c r="S643" s="19"/>
      <c r="T643" s="19"/>
      <c r="U643" s="19"/>
      <c r="V643" s="74">
        <f t="shared" si="135"/>
        <v>32455000</v>
      </c>
      <c r="W643" s="75"/>
      <c r="X643" s="64">
        <f t="shared" si="133"/>
        <v>32455000</v>
      </c>
      <c r="Y643" s="19"/>
      <c r="Z643" s="19"/>
      <c r="AA643" s="19"/>
      <c r="AB643" s="19"/>
      <c r="AC643" s="64">
        <f t="shared" si="134"/>
        <v>32455000</v>
      </c>
      <c r="AD643" s="63">
        <v>45292</v>
      </c>
      <c r="AE643" s="65">
        <v>47118</v>
      </c>
      <c r="AF643" s="19">
        <v>5</v>
      </c>
      <c r="AG643" s="19">
        <f t="shared" si="119"/>
        <v>60</v>
      </c>
      <c r="AH643" s="25">
        <f t="shared" si="132"/>
        <v>540917</v>
      </c>
      <c r="AI643" s="92"/>
      <c r="AJ643" s="92"/>
      <c r="AK643" s="27">
        <f t="shared" si="124"/>
        <v>540917</v>
      </c>
      <c r="AL643" s="27">
        <f t="shared" si="128"/>
        <v>540917</v>
      </c>
      <c r="AM643" s="27"/>
      <c r="AN643" s="27"/>
      <c r="AO643" s="27"/>
      <c r="AP643" s="27"/>
      <c r="AQ643" s="27"/>
      <c r="AR643" s="27"/>
      <c r="AS643" s="27"/>
      <c r="AT643" s="27"/>
      <c r="AU643" s="27"/>
      <c r="AV643" s="27"/>
      <c r="AW643" s="27">
        <f t="shared" si="136"/>
        <v>1081834</v>
      </c>
      <c r="AX643" s="79">
        <f t="shared" si="137"/>
        <v>31373166</v>
      </c>
      <c r="AY643" s="79">
        <f t="shared" si="138"/>
        <v>1081834</v>
      </c>
      <c r="AZ643" s="25">
        <f t="shared" si="139"/>
        <v>1</v>
      </c>
      <c r="BA643" s="62"/>
      <c r="BB643" s="25">
        <v>1</v>
      </c>
      <c r="BC643" s="19"/>
      <c r="BD643" s="19"/>
      <c r="BE643" s="67">
        <f t="shared" si="125"/>
        <v>540917</v>
      </c>
      <c r="BF643" s="67">
        <f t="shared" si="115"/>
        <v>0</v>
      </c>
      <c r="BG643" s="67">
        <f t="shared" si="114"/>
        <v>0</v>
      </c>
      <c r="BH643" s="19"/>
      <c r="BI643" s="19" t="str">
        <f t="shared" si="140"/>
        <v>BG</v>
      </c>
      <c r="BJ643" s="19" t="s">
        <v>1929</v>
      </c>
      <c r="BK643" s="19" t="s">
        <v>1989</v>
      </c>
      <c r="BQ643" s="1" t="e">
        <v>#N/A</v>
      </c>
    </row>
    <row r="644" spans="3:69" ht="15" hidden="1" customHeight="1">
      <c r="C644" s="1" t="str">
        <f t="shared" ref="C644:C681" si="142">+RIGHT(YEAR(AE644),2)&amp;IF(LEN(MONTH(AE644))=2,MONTH(AE644),"0"&amp;MONTH(AE644))</f>
        <v>3312</v>
      </c>
      <c r="D644" s="1" t="str">
        <f t="shared" ref="D644:D681" si="143">+RIGHT(YEAR(AD644),2)&amp;IF(LEN(MONTH(AD644))=2,MONTH(AD644),"0"&amp;MONTH(AD644))</f>
        <v>2401</v>
      </c>
      <c r="E644" s="19" t="s">
        <v>1895</v>
      </c>
      <c r="F644" s="19" t="s">
        <v>1896</v>
      </c>
      <c r="G644" s="62">
        <v>2112</v>
      </c>
      <c r="H644" s="19" t="s">
        <v>1931</v>
      </c>
      <c r="I644" s="105" t="s">
        <v>1832</v>
      </c>
      <c r="J644" s="86">
        <v>1</v>
      </c>
      <c r="K644" s="19" t="s">
        <v>619</v>
      </c>
      <c r="L644" s="157" t="s">
        <v>1716</v>
      </c>
      <c r="M644" s="98" t="s">
        <v>1932</v>
      </c>
      <c r="N644" s="101">
        <v>45202</v>
      </c>
      <c r="O644" s="19">
        <v>52827.45</v>
      </c>
      <c r="P644" s="19">
        <v>24425</v>
      </c>
      <c r="Q644" s="163">
        <f t="shared" ref="Q644:Q671" si="144">ROUND(O644*P644,0)</f>
        <v>1290310466</v>
      </c>
      <c r="R644" s="70"/>
      <c r="S644" s="19"/>
      <c r="T644" s="164">
        <v>8666081</v>
      </c>
      <c r="U644" s="19" t="s">
        <v>1933</v>
      </c>
      <c r="V644" s="74">
        <f t="shared" ref="V644:V686" si="145">+SUM(Q644:T644)</f>
        <v>1298976547</v>
      </c>
      <c r="W644" s="75"/>
      <c r="X644" s="64">
        <f t="shared" si="133"/>
        <v>1298976547</v>
      </c>
      <c r="Y644" s="19"/>
      <c r="Z644" s="19"/>
      <c r="AA644" s="19"/>
      <c r="AB644" s="19"/>
      <c r="AC644" s="64">
        <f t="shared" si="134"/>
        <v>1298976547</v>
      </c>
      <c r="AD644" s="63">
        <v>45292</v>
      </c>
      <c r="AE644" s="65">
        <v>48944</v>
      </c>
      <c r="AF644" s="19">
        <v>10</v>
      </c>
      <c r="AG644" s="19">
        <f t="shared" si="119"/>
        <v>120</v>
      </c>
      <c r="AH644" s="25">
        <f t="shared" si="132"/>
        <v>10824805</v>
      </c>
      <c r="AI644" s="92"/>
      <c r="AJ644" s="92"/>
      <c r="AK644" s="27">
        <f t="shared" si="124"/>
        <v>10824805</v>
      </c>
      <c r="AL644" s="27">
        <f t="shared" si="128"/>
        <v>10824805</v>
      </c>
      <c r="AM644" s="27"/>
      <c r="AN644" s="27"/>
      <c r="AO644" s="27"/>
      <c r="AP644" s="27"/>
      <c r="AQ644" s="27"/>
      <c r="AR644" s="27"/>
      <c r="AS644" s="27"/>
      <c r="AT644" s="27"/>
      <c r="AU644" s="27"/>
      <c r="AV644" s="27"/>
      <c r="AW644" s="27">
        <f t="shared" si="136"/>
        <v>21649610</v>
      </c>
      <c r="AX644" s="79">
        <f t="shared" si="137"/>
        <v>1277326937</v>
      </c>
      <c r="AY644" s="79">
        <f t="shared" si="138"/>
        <v>21649610</v>
      </c>
      <c r="AZ644" s="25">
        <f t="shared" si="139"/>
        <v>1</v>
      </c>
      <c r="BA644" s="62"/>
      <c r="BB644" s="25">
        <v>1</v>
      </c>
      <c r="BC644" s="19"/>
      <c r="BD644" s="19"/>
      <c r="BE644" s="67">
        <f t="shared" si="125"/>
        <v>10824805</v>
      </c>
      <c r="BF644" s="67">
        <f t="shared" si="115"/>
        <v>0</v>
      </c>
      <c r="BG644" s="67">
        <f t="shared" si="114"/>
        <v>0</v>
      </c>
      <c r="BH644" s="19"/>
      <c r="BI644" s="19" t="s">
        <v>1896</v>
      </c>
      <c r="BJ644" s="19" t="s">
        <v>1979</v>
      </c>
      <c r="BK644" s="19" t="s">
        <v>1979</v>
      </c>
      <c r="BQ644" s="1" t="e">
        <v>#N/A</v>
      </c>
    </row>
    <row r="645" spans="3:69" ht="15" hidden="1" customHeight="1">
      <c r="C645" s="1" t="str">
        <f t="shared" si="142"/>
        <v>3312</v>
      </c>
      <c r="D645" s="1" t="str">
        <f t="shared" si="143"/>
        <v>2401</v>
      </c>
      <c r="E645" s="19" t="s">
        <v>1895</v>
      </c>
      <c r="F645" s="19" t="s">
        <v>1896</v>
      </c>
      <c r="G645" s="62">
        <v>2112</v>
      </c>
      <c r="H645" s="19" t="s">
        <v>1934</v>
      </c>
      <c r="I645" s="105" t="s">
        <v>1833</v>
      </c>
      <c r="J645" s="86">
        <v>1</v>
      </c>
      <c r="K645" s="19" t="s">
        <v>619</v>
      </c>
      <c r="L645" s="157" t="s">
        <v>1716</v>
      </c>
      <c r="M645" s="98" t="s">
        <v>1932</v>
      </c>
      <c r="N645" s="101">
        <v>45202</v>
      </c>
      <c r="O645" s="19">
        <v>32765.81</v>
      </c>
      <c r="P645" s="19">
        <v>24425</v>
      </c>
      <c r="Q645" s="163">
        <f t="shared" si="144"/>
        <v>800304909</v>
      </c>
      <c r="R645" s="70"/>
      <c r="S645" s="19"/>
      <c r="T645" s="164">
        <v>5375068</v>
      </c>
      <c r="U645" s="19" t="s">
        <v>1933</v>
      </c>
      <c r="V645" s="74">
        <f t="shared" si="145"/>
        <v>805679977</v>
      </c>
      <c r="W645" s="75"/>
      <c r="X645" s="64">
        <f t="shared" si="133"/>
        <v>805679977</v>
      </c>
      <c r="Y645" s="19"/>
      <c r="Z645" s="19"/>
      <c r="AA645" s="19"/>
      <c r="AB645" s="19"/>
      <c r="AC645" s="64">
        <f t="shared" si="134"/>
        <v>805679977</v>
      </c>
      <c r="AD645" s="63">
        <v>45292</v>
      </c>
      <c r="AE645" s="65">
        <v>48944</v>
      </c>
      <c r="AF645" s="19">
        <v>10</v>
      </c>
      <c r="AG645" s="19">
        <f t="shared" si="119"/>
        <v>120</v>
      </c>
      <c r="AH645" s="25">
        <f t="shared" si="132"/>
        <v>6714000</v>
      </c>
      <c r="AI645" s="92"/>
      <c r="AJ645" s="92"/>
      <c r="AK645" s="27">
        <f t="shared" si="124"/>
        <v>6714000</v>
      </c>
      <c r="AL645" s="27">
        <f t="shared" si="128"/>
        <v>6714000</v>
      </c>
      <c r="AM645" s="27"/>
      <c r="AN645" s="27"/>
      <c r="AO645" s="27"/>
      <c r="AP645" s="27"/>
      <c r="AQ645" s="27"/>
      <c r="AR645" s="27"/>
      <c r="AS645" s="27"/>
      <c r="AT645" s="27"/>
      <c r="AU645" s="27"/>
      <c r="AV645" s="27"/>
      <c r="AW645" s="27">
        <f t="shared" si="136"/>
        <v>13428000</v>
      </c>
      <c r="AX645" s="79">
        <f t="shared" si="137"/>
        <v>792251977</v>
      </c>
      <c r="AY645" s="79">
        <f t="shared" si="138"/>
        <v>13428000</v>
      </c>
      <c r="AZ645" s="25">
        <f t="shared" si="139"/>
        <v>1</v>
      </c>
      <c r="BA645" s="62"/>
      <c r="BB645" s="25">
        <v>1</v>
      </c>
      <c r="BC645" s="19"/>
      <c r="BD645" s="19"/>
      <c r="BE645" s="67">
        <f t="shared" si="125"/>
        <v>6714000</v>
      </c>
      <c r="BF645" s="67">
        <f t="shared" si="115"/>
        <v>0</v>
      </c>
      <c r="BG645" s="67">
        <f t="shared" si="114"/>
        <v>0</v>
      </c>
      <c r="BH645" s="19"/>
      <c r="BI645" s="19" t="s">
        <v>1896</v>
      </c>
      <c r="BJ645" s="19" t="s">
        <v>1979</v>
      </c>
      <c r="BK645" s="19" t="s">
        <v>1979</v>
      </c>
      <c r="BQ645" s="1" t="e">
        <v>#N/A</v>
      </c>
    </row>
    <row r="646" spans="3:69" ht="15" hidden="1" customHeight="1">
      <c r="C646" s="1" t="str">
        <f t="shared" si="142"/>
        <v>3312</v>
      </c>
      <c r="D646" s="1" t="str">
        <f t="shared" si="143"/>
        <v>2401</v>
      </c>
      <c r="E646" s="19" t="s">
        <v>1895</v>
      </c>
      <c r="F646" s="19" t="s">
        <v>1896</v>
      </c>
      <c r="G646" s="62">
        <v>2112</v>
      </c>
      <c r="H646" s="19" t="s">
        <v>1935</v>
      </c>
      <c r="I646" s="105" t="s">
        <v>1834</v>
      </c>
      <c r="J646" s="86">
        <v>1</v>
      </c>
      <c r="K646" s="19" t="s">
        <v>619</v>
      </c>
      <c r="L646" s="157" t="s">
        <v>1716</v>
      </c>
      <c r="M646" s="98" t="s">
        <v>1932</v>
      </c>
      <c r="N646" s="101">
        <v>45202</v>
      </c>
      <c r="O646" s="19">
        <v>61216.33</v>
      </c>
      <c r="P646" s="19">
        <v>24425</v>
      </c>
      <c r="Q646" s="163">
        <f t="shared" si="144"/>
        <v>1495208860</v>
      </c>
      <c r="R646" s="70"/>
      <c r="S646" s="19"/>
      <c r="T646" s="164">
        <v>10042233</v>
      </c>
      <c r="U646" s="19" t="s">
        <v>1933</v>
      </c>
      <c r="V646" s="74">
        <f t="shared" si="145"/>
        <v>1505251093</v>
      </c>
      <c r="W646" s="75"/>
      <c r="X646" s="64">
        <f t="shared" si="133"/>
        <v>1505251093</v>
      </c>
      <c r="Y646" s="19"/>
      <c r="Z646" s="19"/>
      <c r="AA646" s="19"/>
      <c r="AB646" s="19"/>
      <c r="AC646" s="64">
        <f t="shared" si="134"/>
        <v>1505251093</v>
      </c>
      <c r="AD646" s="63">
        <v>45292</v>
      </c>
      <c r="AE646" s="65">
        <v>48944</v>
      </c>
      <c r="AF646" s="19">
        <v>10</v>
      </c>
      <c r="AG646" s="19">
        <f t="shared" si="119"/>
        <v>120</v>
      </c>
      <c r="AH646" s="25">
        <f t="shared" si="132"/>
        <v>12543759</v>
      </c>
      <c r="AI646" s="92"/>
      <c r="AJ646" s="92"/>
      <c r="AK646" s="27">
        <f t="shared" si="124"/>
        <v>12543759</v>
      </c>
      <c r="AL646" s="27">
        <f t="shared" si="128"/>
        <v>12543759</v>
      </c>
      <c r="AM646" s="27"/>
      <c r="AN646" s="27"/>
      <c r="AO646" s="27"/>
      <c r="AP646" s="27"/>
      <c r="AQ646" s="27"/>
      <c r="AR646" s="27"/>
      <c r="AS646" s="27"/>
      <c r="AT646" s="27"/>
      <c r="AU646" s="27"/>
      <c r="AV646" s="27"/>
      <c r="AW646" s="27">
        <f t="shared" si="136"/>
        <v>25087518</v>
      </c>
      <c r="AX646" s="79">
        <f t="shared" si="137"/>
        <v>1480163575</v>
      </c>
      <c r="AY646" s="79">
        <f t="shared" si="138"/>
        <v>25087518</v>
      </c>
      <c r="AZ646" s="25">
        <f t="shared" si="139"/>
        <v>1</v>
      </c>
      <c r="BA646" s="62"/>
      <c r="BB646" s="25">
        <v>1</v>
      </c>
      <c r="BC646" s="19"/>
      <c r="BD646" s="19"/>
      <c r="BE646" s="67">
        <f t="shared" si="125"/>
        <v>12543759</v>
      </c>
      <c r="BF646" s="67">
        <f t="shared" si="115"/>
        <v>0</v>
      </c>
      <c r="BG646" s="67">
        <f t="shared" si="114"/>
        <v>0</v>
      </c>
      <c r="BH646" s="19"/>
      <c r="BI646" s="19" t="s">
        <v>1896</v>
      </c>
      <c r="BJ646" s="19" t="s">
        <v>1979</v>
      </c>
      <c r="BK646" s="19" t="s">
        <v>1979</v>
      </c>
      <c r="BQ646" s="1" t="e">
        <v>#N/A</v>
      </c>
    </row>
    <row r="647" spans="3:69" ht="15" hidden="1" customHeight="1">
      <c r="C647" s="1" t="str">
        <f t="shared" si="142"/>
        <v>3312</v>
      </c>
      <c r="D647" s="1" t="str">
        <f t="shared" si="143"/>
        <v>2401</v>
      </c>
      <c r="E647" s="19" t="s">
        <v>1895</v>
      </c>
      <c r="F647" s="19" t="s">
        <v>1896</v>
      </c>
      <c r="G647" s="62">
        <v>2112</v>
      </c>
      <c r="H647" s="19" t="s">
        <v>1936</v>
      </c>
      <c r="I647" s="105" t="s">
        <v>1835</v>
      </c>
      <c r="J647" s="86">
        <v>1</v>
      </c>
      <c r="K647" s="19" t="s">
        <v>619</v>
      </c>
      <c r="L647" s="157" t="s">
        <v>1716</v>
      </c>
      <c r="M647" s="98" t="s">
        <v>1932</v>
      </c>
      <c r="N647" s="101">
        <v>45202</v>
      </c>
      <c r="O647" s="19">
        <v>61216.33</v>
      </c>
      <c r="P647" s="19">
        <v>24425</v>
      </c>
      <c r="Q647" s="163">
        <f t="shared" si="144"/>
        <v>1495208860</v>
      </c>
      <c r="R647" s="70"/>
      <c r="S647" s="19"/>
      <c r="T647" s="164">
        <v>10042233</v>
      </c>
      <c r="U647" s="19" t="s">
        <v>1933</v>
      </c>
      <c r="V647" s="74">
        <f t="shared" si="145"/>
        <v>1505251093</v>
      </c>
      <c r="W647" s="75"/>
      <c r="X647" s="64">
        <f t="shared" si="133"/>
        <v>1505251093</v>
      </c>
      <c r="Y647" s="19"/>
      <c r="Z647" s="19"/>
      <c r="AA647" s="19"/>
      <c r="AB647" s="19"/>
      <c r="AC647" s="64">
        <f t="shared" si="134"/>
        <v>1505251093</v>
      </c>
      <c r="AD647" s="63">
        <v>45292</v>
      </c>
      <c r="AE647" s="65">
        <v>48944</v>
      </c>
      <c r="AF647" s="19">
        <v>10</v>
      </c>
      <c r="AG647" s="19">
        <f t="shared" si="119"/>
        <v>120</v>
      </c>
      <c r="AH647" s="25">
        <f t="shared" si="132"/>
        <v>12543759</v>
      </c>
      <c r="AI647" s="92"/>
      <c r="AJ647" s="92"/>
      <c r="AK647" s="27">
        <f t="shared" si="124"/>
        <v>12543759</v>
      </c>
      <c r="AL647" s="27">
        <f t="shared" si="128"/>
        <v>12543759</v>
      </c>
      <c r="AM647" s="27"/>
      <c r="AN647" s="27"/>
      <c r="AO647" s="27"/>
      <c r="AP647" s="27"/>
      <c r="AQ647" s="27"/>
      <c r="AR647" s="27"/>
      <c r="AS647" s="27"/>
      <c r="AT647" s="27"/>
      <c r="AU647" s="27"/>
      <c r="AV647" s="27"/>
      <c r="AW647" s="27">
        <f t="shared" si="136"/>
        <v>25087518</v>
      </c>
      <c r="AX647" s="79">
        <f t="shared" si="137"/>
        <v>1480163575</v>
      </c>
      <c r="AY647" s="79">
        <f t="shared" si="138"/>
        <v>25087518</v>
      </c>
      <c r="AZ647" s="25">
        <f t="shared" si="139"/>
        <v>1</v>
      </c>
      <c r="BA647" s="62"/>
      <c r="BB647" s="25">
        <v>1</v>
      </c>
      <c r="BC647" s="19"/>
      <c r="BD647" s="19"/>
      <c r="BE647" s="67">
        <f t="shared" si="125"/>
        <v>12543759</v>
      </c>
      <c r="BF647" s="67">
        <f t="shared" si="115"/>
        <v>0</v>
      </c>
      <c r="BG647" s="67">
        <f t="shared" si="114"/>
        <v>0</v>
      </c>
      <c r="BH647" s="19"/>
      <c r="BI647" s="19" t="s">
        <v>1896</v>
      </c>
      <c r="BJ647" s="19" t="s">
        <v>1979</v>
      </c>
      <c r="BK647" s="19" t="s">
        <v>1979</v>
      </c>
      <c r="BQ647" s="1" t="e">
        <v>#N/A</v>
      </c>
    </row>
    <row r="648" spans="3:69" ht="15" hidden="1" customHeight="1">
      <c r="C648" s="1" t="str">
        <f t="shared" si="142"/>
        <v>3312</v>
      </c>
      <c r="D648" s="1" t="str">
        <f t="shared" si="143"/>
        <v>2401</v>
      </c>
      <c r="E648" s="19" t="s">
        <v>1895</v>
      </c>
      <c r="F648" s="19" t="s">
        <v>1896</v>
      </c>
      <c r="G648" s="62">
        <v>2112</v>
      </c>
      <c r="H648" s="19" t="s">
        <v>1937</v>
      </c>
      <c r="I648" s="105" t="s">
        <v>1833</v>
      </c>
      <c r="J648" s="86">
        <v>1</v>
      </c>
      <c r="K648" s="19" t="s">
        <v>619</v>
      </c>
      <c r="L648" s="157" t="s">
        <v>1716</v>
      </c>
      <c r="M648" s="98" t="s">
        <v>1932</v>
      </c>
      <c r="N648" s="101">
        <v>45202</v>
      </c>
      <c r="O648" s="19">
        <v>34582.36</v>
      </c>
      <c r="P648" s="19">
        <v>24425</v>
      </c>
      <c r="Q648" s="163">
        <f t="shared" si="144"/>
        <v>844674143</v>
      </c>
      <c r="R648" s="70"/>
      <c r="S648" s="19"/>
      <c r="T648" s="164">
        <v>5673065</v>
      </c>
      <c r="U648" s="19" t="s">
        <v>1933</v>
      </c>
      <c r="V648" s="74">
        <f t="shared" si="145"/>
        <v>850347208</v>
      </c>
      <c r="W648" s="75"/>
      <c r="X648" s="64">
        <f t="shared" si="133"/>
        <v>850347208</v>
      </c>
      <c r="Y648" s="19"/>
      <c r="Z648" s="19"/>
      <c r="AA648" s="19"/>
      <c r="AB648" s="19"/>
      <c r="AC648" s="64">
        <f t="shared" si="134"/>
        <v>850347208</v>
      </c>
      <c r="AD648" s="63">
        <v>45292</v>
      </c>
      <c r="AE648" s="65">
        <v>48944</v>
      </c>
      <c r="AF648" s="19">
        <v>10</v>
      </c>
      <c r="AG648" s="19">
        <f t="shared" si="119"/>
        <v>120</v>
      </c>
      <c r="AH648" s="25">
        <f t="shared" si="132"/>
        <v>7086227</v>
      </c>
      <c r="AI648" s="92"/>
      <c r="AJ648" s="92"/>
      <c r="AK648" s="27">
        <f t="shared" si="124"/>
        <v>7086227</v>
      </c>
      <c r="AL648" s="27">
        <f t="shared" si="128"/>
        <v>7086227</v>
      </c>
      <c r="AM648" s="27"/>
      <c r="AN648" s="27"/>
      <c r="AO648" s="27"/>
      <c r="AP648" s="27"/>
      <c r="AQ648" s="27"/>
      <c r="AR648" s="27"/>
      <c r="AS648" s="27"/>
      <c r="AT648" s="27"/>
      <c r="AU648" s="27"/>
      <c r="AV648" s="27"/>
      <c r="AW648" s="27">
        <f t="shared" si="136"/>
        <v>14172454</v>
      </c>
      <c r="AX648" s="79">
        <f t="shared" si="137"/>
        <v>836174754</v>
      </c>
      <c r="AY648" s="79">
        <f t="shared" si="138"/>
        <v>14172454</v>
      </c>
      <c r="AZ648" s="25">
        <f t="shared" si="139"/>
        <v>1</v>
      </c>
      <c r="BA648" s="62"/>
      <c r="BB648" s="25">
        <v>1</v>
      </c>
      <c r="BC648" s="19"/>
      <c r="BD648" s="19"/>
      <c r="BE648" s="67">
        <f t="shared" si="125"/>
        <v>7086227</v>
      </c>
      <c r="BF648" s="67">
        <f t="shared" si="115"/>
        <v>0</v>
      </c>
      <c r="BG648" s="67">
        <f t="shared" si="114"/>
        <v>0</v>
      </c>
      <c r="BH648" s="19"/>
      <c r="BI648" s="19" t="s">
        <v>1896</v>
      </c>
      <c r="BJ648" s="19" t="s">
        <v>1979</v>
      </c>
      <c r="BK648" s="19" t="s">
        <v>1979</v>
      </c>
      <c r="BQ648" s="1" t="e">
        <v>#N/A</v>
      </c>
    </row>
    <row r="649" spans="3:69" ht="15" hidden="1" customHeight="1">
      <c r="C649" s="1" t="str">
        <f t="shared" si="142"/>
        <v>2912</v>
      </c>
      <c r="D649" s="1" t="str">
        <f t="shared" si="143"/>
        <v>2401</v>
      </c>
      <c r="E649" s="19" t="s">
        <v>1895</v>
      </c>
      <c r="F649" s="19" t="s">
        <v>1896</v>
      </c>
      <c r="G649" s="62">
        <v>2112</v>
      </c>
      <c r="H649" s="19" t="s">
        <v>1938</v>
      </c>
      <c r="I649" s="105" t="s">
        <v>1836</v>
      </c>
      <c r="J649" s="86">
        <v>1</v>
      </c>
      <c r="K649" s="19" t="s">
        <v>619</v>
      </c>
      <c r="L649" s="157" t="s">
        <v>1716</v>
      </c>
      <c r="M649" s="98" t="s">
        <v>1932</v>
      </c>
      <c r="N649" s="101">
        <v>45202</v>
      </c>
      <c r="O649" s="19">
        <v>17922.060000000001</v>
      </c>
      <c r="P649" s="19">
        <v>24425</v>
      </c>
      <c r="Q649" s="163">
        <f t="shared" si="144"/>
        <v>437746316</v>
      </c>
      <c r="R649" s="70"/>
      <c r="S649" s="19"/>
      <c r="T649" s="164">
        <v>2940025</v>
      </c>
      <c r="U649" s="19" t="s">
        <v>1933</v>
      </c>
      <c r="V649" s="74">
        <f t="shared" si="145"/>
        <v>440686341</v>
      </c>
      <c r="W649" s="75"/>
      <c r="X649" s="64">
        <f t="shared" si="133"/>
        <v>440686341</v>
      </c>
      <c r="Y649" s="19"/>
      <c r="Z649" s="19"/>
      <c r="AA649" s="19"/>
      <c r="AB649" s="19"/>
      <c r="AC649" s="64">
        <f t="shared" si="134"/>
        <v>440686341</v>
      </c>
      <c r="AD649" s="63">
        <v>45292</v>
      </c>
      <c r="AE649" s="65">
        <v>47483</v>
      </c>
      <c r="AF649" s="19">
        <v>6</v>
      </c>
      <c r="AG649" s="19">
        <f t="shared" si="119"/>
        <v>72</v>
      </c>
      <c r="AH649" s="25">
        <f t="shared" si="132"/>
        <v>6120644</v>
      </c>
      <c r="AI649" s="92"/>
      <c r="AJ649" s="92"/>
      <c r="AK649" s="27">
        <f t="shared" si="124"/>
        <v>6120644</v>
      </c>
      <c r="AL649" s="27">
        <f t="shared" si="128"/>
        <v>6120644</v>
      </c>
      <c r="AM649" s="27"/>
      <c r="AN649" s="27"/>
      <c r="AO649" s="27"/>
      <c r="AP649" s="27"/>
      <c r="AQ649" s="27"/>
      <c r="AR649" s="27"/>
      <c r="AS649" s="27"/>
      <c r="AT649" s="27"/>
      <c r="AU649" s="27"/>
      <c r="AV649" s="27"/>
      <c r="AW649" s="27">
        <f t="shared" si="136"/>
        <v>12241288</v>
      </c>
      <c r="AX649" s="79">
        <f t="shared" si="137"/>
        <v>428445053</v>
      </c>
      <c r="AY649" s="79">
        <f t="shared" si="138"/>
        <v>12241288</v>
      </c>
      <c r="AZ649" s="25">
        <f t="shared" si="139"/>
        <v>1</v>
      </c>
      <c r="BA649" s="62"/>
      <c r="BB649" s="25">
        <v>1</v>
      </c>
      <c r="BC649" s="19"/>
      <c r="BD649" s="19"/>
      <c r="BE649" s="67">
        <f t="shared" si="125"/>
        <v>6120644</v>
      </c>
      <c r="BF649" s="67">
        <f t="shared" si="115"/>
        <v>0</v>
      </c>
      <c r="BG649" s="67">
        <f t="shared" si="114"/>
        <v>0</v>
      </c>
      <c r="BH649" s="19"/>
      <c r="BI649" s="19" t="s">
        <v>1896</v>
      </c>
      <c r="BJ649" s="19" t="s">
        <v>1979</v>
      </c>
      <c r="BK649" s="19" t="s">
        <v>1979</v>
      </c>
      <c r="BQ649" s="1" t="e">
        <v>#N/A</v>
      </c>
    </row>
    <row r="650" spans="3:69" ht="15" hidden="1" customHeight="1">
      <c r="C650" s="1" t="str">
        <f t="shared" si="142"/>
        <v>3112</v>
      </c>
      <c r="D650" s="1" t="str">
        <f t="shared" si="143"/>
        <v>2401</v>
      </c>
      <c r="E650" s="19" t="s">
        <v>1895</v>
      </c>
      <c r="F650" s="19" t="s">
        <v>1896</v>
      </c>
      <c r="G650" s="62">
        <v>2112</v>
      </c>
      <c r="H650" s="19" t="s">
        <v>1939</v>
      </c>
      <c r="I650" s="105" t="s">
        <v>1837</v>
      </c>
      <c r="J650" s="86">
        <v>1</v>
      </c>
      <c r="K650" s="19" t="s">
        <v>1293</v>
      </c>
      <c r="L650" s="157" t="s">
        <v>1716</v>
      </c>
      <c r="M650" s="98" t="s">
        <v>1932</v>
      </c>
      <c r="N650" s="101">
        <v>45202</v>
      </c>
      <c r="O650" s="19">
        <v>5527.9340000000002</v>
      </c>
      <c r="P650" s="19">
        <v>24425</v>
      </c>
      <c r="Q650" s="163">
        <f t="shared" si="144"/>
        <v>135019788</v>
      </c>
      <c r="R650" s="70"/>
      <c r="S650" s="19"/>
      <c r="T650" s="164">
        <v>906829</v>
      </c>
      <c r="U650" s="19" t="s">
        <v>1933</v>
      </c>
      <c r="V650" s="74">
        <f t="shared" si="145"/>
        <v>135926617</v>
      </c>
      <c r="W650" s="75"/>
      <c r="X650" s="64">
        <f t="shared" si="133"/>
        <v>135926617</v>
      </c>
      <c r="Y650" s="19"/>
      <c r="Z650" s="19"/>
      <c r="AA650" s="19"/>
      <c r="AB650" s="19"/>
      <c r="AC650" s="64">
        <f t="shared" si="134"/>
        <v>135926617</v>
      </c>
      <c r="AD650" s="63">
        <v>45292</v>
      </c>
      <c r="AE650" s="65">
        <v>48213</v>
      </c>
      <c r="AF650" s="19">
        <v>8</v>
      </c>
      <c r="AG650" s="19">
        <f t="shared" si="119"/>
        <v>96</v>
      </c>
      <c r="AH650" s="25">
        <f t="shared" si="132"/>
        <v>1415902</v>
      </c>
      <c r="AI650" s="92"/>
      <c r="AJ650" s="92"/>
      <c r="AK650" s="27">
        <f t="shared" si="124"/>
        <v>1415902</v>
      </c>
      <c r="AL650" s="27">
        <f t="shared" si="128"/>
        <v>1415902</v>
      </c>
      <c r="AM650" s="27"/>
      <c r="AN650" s="27"/>
      <c r="AO650" s="27"/>
      <c r="AP650" s="27"/>
      <c r="AQ650" s="27"/>
      <c r="AR650" s="27"/>
      <c r="AS650" s="27"/>
      <c r="AT650" s="27"/>
      <c r="AU650" s="27"/>
      <c r="AV650" s="27"/>
      <c r="AW650" s="27">
        <f t="shared" si="136"/>
        <v>2831804</v>
      </c>
      <c r="AX650" s="79">
        <f t="shared" si="137"/>
        <v>133094813</v>
      </c>
      <c r="AY650" s="79">
        <f t="shared" si="138"/>
        <v>2831804</v>
      </c>
      <c r="AZ650" s="25">
        <f t="shared" si="139"/>
        <v>1</v>
      </c>
      <c r="BA650" s="62"/>
      <c r="BB650" s="25">
        <v>1</v>
      </c>
      <c r="BC650" s="19"/>
      <c r="BD650" s="19"/>
      <c r="BE650" s="67">
        <f t="shared" si="125"/>
        <v>1415902</v>
      </c>
      <c r="BF650" s="67">
        <f t="shared" si="115"/>
        <v>0</v>
      </c>
      <c r="BG650" s="67">
        <f t="shared" ref="BG650:BG686" si="146">+$AL650*BD650</f>
        <v>0</v>
      </c>
      <c r="BH650" s="19"/>
      <c r="BI650" s="19" t="s">
        <v>1896</v>
      </c>
      <c r="BJ650" s="19" t="s">
        <v>1980</v>
      </c>
      <c r="BK650" s="68" t="s">
        <v>1980</v>
      </c>
      <c r="BQ650" s="1" t="e">
        <v>#N/A</v>
      </c>
    </row>
    <row r="651" spans="3:69" ht="15" hidden="1" customHeight="1">
      <c r="C651" s="1" t="str">
        <f t="shared" si="142"/>
        <v>3112</v>
      </c>
      <c r="D651" s="1" t="str">
        <f t="shared" si="143"/>
        <v>2401</v>
      </c>
      <c r="E651" s="19" t="s">
        <v>1895</v>
      </c>
      <c r="F651" s="19" t="s">
        <v>1896</v>
      </c>
      <c r="G651" s="62">
        <v>2112</v>
      </c>
      <c r="H651" s="19" t="s">
        <v>1940</v>
      </c>
      <c r="I651" s="105" t="s">
        <v>1837</v>
      </c>
      <c r="J651" s="86">
        <v>1</v>
      </c>
      <c r="K651" s="19" t="s">
        <v>1293</v>
      </c>
      <c r="L651" s="157" t="s">
        <v>1716</v>
      </c>
      <c r="M651" s="98" t="s">
        <v>1932</v>
      </c>
      <c r="N651" s="101">
        <v>45202</v>
      </c>
      <c r="O651" s="19">
        <v>5527.9340000000002</v>
      </c>
      <c r="P651" s="19">
        <v>24425</v>
      </c>
      <c r="Q651" s="163">
        <f t="shared" si="144"/>
        <v>135019788</v>
      </c>
      <c r="R651" s="70"/>
      <c r="S651" s="19"/>
      <c r="T651" s="164">
        <v>906829</v>
      </c>
      <c r="U651" s="19" t="s">
        <v>1933</v>
      </c>
      <c r="V651" s="74">
        <f t="shared" si="145"/>
        <v>135926617</v>
      </c>
      <c r="W651" s="75"/>
      <c r="X651" s="64">
        <f t="shared" si="133"/>
        <v>135926617</v>
      </c>
      <c r="Y651" s="19"/>
      <c r="Z651" s="19"/>
      <c r="AA651" s="19"/>
      <c r="AB651" s="19"/>
      <c r="AC651" s="64">
        <f t="shared" si="134"/>
        <v>135926617</v>
      </c>
      <c r="AD651" s="63">
        <v>45292</v>
      </c>
      <c r="AE651" s="65">
        <v>48213</v>
      </c>
      <c r="AF651" s="19">
        <v>8</v>
      </c>
      <c r="AG651" s="19">
        <f t="shared" si="119"/>
        <v>96</v>
      </c>
      <c r="AH651" s="25">
        <f t="shared" si="132"/>
        <v>1415902</v>
      </c>
      <c r="AI651" s="92"/>
      <c r="AJ651" s="92"/>
      <c r="AK651" s="27">
        <f t="shared" si="124"/>
        <v>1415902</v>
      </c>
      <c r="AL651" s="27">
        <f t="shared" si="128"/>
        <v>1415902</v>
      </c>
      <c r="AM651" s="27"/>
      <c r="AN651" s="27"/>
      <c r="AO651" s="27"/>
      <c r="AP651" s="27"/>
      <c r="AQ651" s="27"/>
      <c r="AR651" s="27"/>
      <c r="AS651" s="27"/>
      <c r="AT651" s="27"/>
      <c r="AU651" s="27"/>
      <c r="AV651" s="27"/>
      <c r="AW651" s="27">
        <f t="shared" si="136"/>
        <v>2831804</v>
      </c>
      <c r="AX651" s="79">
        <f t="shared" si="137"/>
        <v>133094813</v>
      </c>
      <c r="AY651" s="79">
        <f t="shared" si="138"/>
        <v>2831804</v>
      </c>
      <c r="AZ651" s="25">
        <f t="shared" si="139"/>
        <v>1</v>
      </c>
      <c r="BA651" s="62"/>
      <c r="BB651" s="25">
        <v>1</v>
      </c>
      <c r="BC651" s="19"/>
      <c r="BD651" s="19"/>
      <c r="BE651" s="67">
        <f t="shared" si="125"/>
        <v>1415902</v>
      </c>
      <c r="BF651" s="67">
        <f t="shared" ref="BF651:BF686" si="147">+$AL651*BC651</f>
        <v>0</v>
      </c>
      <c r="BG651" s="67">
        <f t="shared" si="146"/>
        <v>0</v>
      </c>
      <c r="BH651" s="19"/>
      <c r="BI651" s="19" t="s">
        <v>1896</v>
      </c>
      <c r="BJ651" s="19" t="s">
        <v>1980</v>
      </c>
      <c r="BK651" s="68" t="s">
        <v>1980</v>
      </c>
      <c r="BQ651" s="1" t="e">
        <v>#N/A</v>
      </c>
    </row>
    <row r="652" spans="3:69" ht="15" hidden="1" customHeight="1">
      <c r="C652" s="1" t="str">
        <f t="shared" si="142"/>
        <v>3112</v>
      </c>
      <c r="D652" s="1" t="str">
        <f t="shared" si="143"/>
        <v>2401</v>
      </c>
      <c r="E652" s="19" t="s">
        <v>1895</v>
      </c>
      <c r="F652" s="19" t="s">
        <v>1896</v>
      </c>
      <c r="G652" s="62">
        <v>2112</v>
      </c>
      <c r="H652" s="19" t="s">
        <v>1941</v>
      </c>
      <c r="I652" s="105" t="s">
        <v>1837</v>
      </c>
      <c r="J652" s="86">
        <v>1</v>
      </c>
      <c r="K652" s="19" t="s">
        <v>1293</v>
      </c>
      <c r="L652" s="157" t="s">
        <v>1716</v>
      </c>
      <c r="M652" s="98" t="s">
        <v>1932</v>
      </c>
      <c r="N652" s="101">
        <v>45202</v>
      </c>
      <c r="O652" s="19">
        <v>5527.9340000000002</v>
      </c>
      <c r="P652" s="19">
        <v>24425</v>
      </c>
      <c r="Q652" s="163">
        <f t="shared" si="144"/>
        <v>135019788</v>
      </c>
      <c r="R652" s="70"/>
      <c r="S652" s="19"/>
      <c r="T652" s="164">
        <v>906829</v>
      </c>
      <c r="U652" s="19" t="s">
        <v>1933</v>
      </c>
      <c r="V652" s="74">
        <f t="shared" si="145"/>
        <v>135926617</v>
      </c>
      <c r="W652" s="75"/>
      <c r="X652" s="64">
        <f t="shared" si="133"/>
        <v>135926617</v>
      </c>
      <c r="Y652" s="19"/>
      <c r="Z652" s="19"/>
      <c r="AA652" s="19"/>
      <c r="AB652" s="19"/>
      <c r="AC652" s="64">
        <f t="shared" si="134"/>
        <v>135926617</v>
      </c>
      <c r="AD652" s="63">
        <v>45292</v>
      </c>
      <c r="AE652" s="65">
        <v>48213</v>
      </c>
      <c r="AF652" s="19">
        <v>8</v>
      </c>
      <c r="AG652" s="19">
        <f t="shared" si="119"/>
        <v>96</v>
      </c>
      <c r="AH652" s="25">
        <f t="shared" si="132"/>
        <v>1415902</v>
      </c>
      <c r="AI652" s="92"/>
      <c r="AJ652" s="92"/>
      <c r="AK652" s="27">
        <f t="shared" si="124"/>
        <v>1415902</v>
      </c>
      <c r="AL652" s="27">
        <f t="shared" si="128"/>
        <v>1415902</v>
      </c>
      <c r="AM652" s="27"/>
      <c r="AN652" s="27"/>
      <c r="AO652" s="27"/>
      <c r="AP652" s="27"/>
      <c r="AQ652" s="27"/>
      <c r="AR652" s="27"/>
      <c r="AS652" s="27"/>
      <c r="AT652" s="27"/>
      <c r="AU652" s="27"/>
      <c r="AV652" s="27"/>
      <c r="AW652" s="27">
        <f t="shared" si="136"/>
        <v>2831804</v>
      </c>
      <c r="AX652" s="79">
        <f t="shared" si="137"/>
        <v>133094813</v>
      </c>
      <c r="AY652" s="79">
        <f t="shared" si="138"/>
        <v>2831804</v>
      </c>
      <c r="AZ652" s="25">
        <f t="shared" si="139"/>
        <v>1</v>
      </c>
      <c r="BA652" s="62"/>
      <c r="BB652" s="25">
        <v>1</v>
      </c>
      <c r="BC652" s="19"/>
      <c r="BD652" s="19"/>
      <c r="BE652" s="67">
        <f t="shared" si="125"/>
        <v>1415902</v>
      </c>
      <c r="BF652" s="67">
        <f t="shared" si="147"/>
        <v>0</v>
      </c>
      <c r="BG652" s="67">
        <f t="shared" si="146"/>
        <v>0</v>
      </c>
      <c r="BH652" s="19"/>
      <c r="BI652" s="19" t="s">
        <v>1896</v>
      </c>
      <c r="BJ652" s="19" t="s">
        <v>1980</v>
      </c>
      <c r="BK652" s="68" t="s">
        <v>1980</v>
      </c>
      <c r="BQ652" s="1" t="e">
        <v>#N/A</v>
      </c>
    </row>
    <row r="653" spans="3:69" ht="15" hidden="1" customHeight="1">
      <c r="C653" s="1" t="str">
        <f t="shared" si="142"/>
        <v>3112</v>
      </c>
      <c r="D653" s="1" t="str">
        <f t="shared" si="143"/>
        <v>2401</v>
      </c>
      <c r="E653" s="19" t="s">
        <v>1895</v>
      </c>
      <c r="F653" s="19" t="s">
        <v>1896</v>
      </c>
      <c r="G653" s="62">
        <v>2112</v>
      </c>
      <c r="H653" s="19" t="s">
        <v>1942</v>
      </c>
      <c r="I653" s="105" t="s">
        <v>1837</v>
      </c>
      <c r="J653" s="86">
        <v>1</v>
      </c>
      <c r="K653" s="19" t="s">
        <v>1293</v>
      </c>
      <c r="L653" s="157" t="s">
        <v>1716</v>
      </c>
      <c r="M653" s="98" t="s">
        <v>1932</v>
      </c>
      <c r="N653" s="101">
        <v>45202</v>
      </c>
      <c r="O653" s="19">
        <v>5527.9341000000004</v>
      </c>
      <c r="P653" s="19">
        <v>24425</v>
      </c>
      <c r="Q653" s="163">
        <f t="shared" si="144"/>
        <v>135019790</v>
      </c>
      <c r="R653" s="70"/>
      <c r="S653" s="19"/>
      <c r="T653" s="164">
        <v>906829</v>
      </c>
      <c r="U653" s="19" t="s">
        <v>1933</v>
      </c>
      <c r="V653" s="74">
        <f t="shared" si="145"/>
        <v>135926619</v>
      </c>
      <c r="W653" s="75"/>
      <c r="X653" s="64">
        <f t="shared" si="133"/>
        <v>135926619</v>
      </c>
      <c r="Y653" s="19"/>
      <c r="Z653" s="19"/>
      <c r="AA653" s="19"/>
      <c r="AB653" s="19"/>
      <c r="AC653" s="64">
        <f t="shared" si="134"/>
        <v>135926619</v>
      </c>
      <c r="AD653" s="63">
        <v>45292</v>
      </c>
      <c r="AE653" s="65">
        <v>48213</v>
      </c>
      <c r="AF653" s="19">
        <v>8</v>
      </c>
      <c r="AG653" s="19">
        <f t="shared" si="119"/>
        <v>96</v>
      </c>
      <c r="AH653" s="25">
        <f t="shared" si="132"/>
        <v>1415902</v>
      </c>
      <c r="AI653" s="92"/>
      <c r="AJ653" s="92"/>
      <c r="AK653" s="27">
        <f t="shared" si="124"/>
        <v>1415902</v>
      </c>
      <c r="AL653" s="27">
        <f t="shared" si="128"/>
        <v>1415902</v>
      </c>
      <c r="AM653" s="27"/>
      <c r="AN653" s="27"/>
      <c r="AO653" s="27"/>
      <c r="AP653" s="27"/>
      <c r="AQ653" s="27"/>
      <c r="AR653" s="27"/>
      <c r="AS653" s="27"/>
      <c r="AT653" s="27"/>
      <c r="AU653" s="27"/>
      <c r="AV653" s="27"/>
      <c r="AW653" s="27">
        <f t="shared" si="136"/>
        <v>2831804</v>
      </c>
      <c r="AX653" s="79">
        <f t="shared" si="137"/>
        <v>133094815</v>
      </c>
      <c r="AY653" s="79">
        <f t="shared" si="138"/>
        <v>2831804</v>
      </c>
      <c r="AZ653" s="25">
        <f t="shared" si="139"/>
        <v>1</v>
      </c>
      <c r="BA653" s="62"/>
      <c r="BB653" s="25">
        <v>1</v>
      </c>
      <c r="BC653" s="19"/>
      <c r="BD653" s="19"/>
      <c r="BE653" s="67">
        <f t="shared" si="125"/>
        <v>1415902</v>
      </c>
      <c r="BF653" s="67">
        <f t="shared" si="147"/>
        <v>0</v>
      </c>
      <c r="BG653" s="67">
        <f t="shared" si="146"/>
        <v>0</v>
      </c>
      <c r="BH653" s="19"/>
      <c r="BI653" s="19" t="s">
        <v>1896</v>
      </c>
      <c r="BJ653" s="19" t="s">
        <v>1980</v>
      </c>
      <c r="BK653" s="68" t="s">
        <v>1980</v>
      </c>
      <c r="BQ653" s="1" t="e">
        <v>#N/A</v>
      </c>
    </row>
    <row r="654" spans="3:69" ht="15" hidden="1" customHeight="1">
      <c r="C654" s="1" t="str">
        <f t="shared" si="142"/>
        <v>3112</v>
      </c>
      <c r="D654" s="1" t="str">
        <f t="shared" si="143"/>
        <v>2401</v>
      </c>
      <c r="E654" s="19" t="s">
        <v>1895</v>
      </c>
      <c r="F654" s="19" t="s">
        <v>1896</v>
      </c>
      <c r="G654" s="62">
        <v>2112</v>
      </c>
      <c r="H654" s="19" t="s">
        <v>1943</v>
      </c>
      <c r="I654" s="105" t="s">
        <v>1837</v>
      </c>
      <c r="J654" s="86">
        <v>1</v>
      </c>
      <c r="K654" s="19" t="s">
        <v>1293</v>
      </c>
      <c r="L654" s="157" t="s">
        <v>1716</v>
      </c>
      <c r="M654" s="98" t="s">
        <v>1932</v>
      </c>
      <c r="N654" s="101">
        <v>45202</v>
      </c>
      <c r="O654" s="19">
        <v>5527.9341000000004</v>
      </c>
      <c r="P654" s="19">
        <v>24425</v>
      </c>
      <c r="Q654" s="163">
        <f t="shared" si="144"/>
        <v>135019790</v>
      </c>
      <c r="R654" s="70"/>
      <c r="S654" s="19"/>
      <c r="T654" s="164">
        <v>906829</v>
      </c>
      <c r="U654" s="19" t="s">
        <v>1933</v>
      </c>
      <c r="V654" s="74">
        <f t="shared" si="145"/>
        <v>135926619</v>
      </c>
      <c r="W654" s="75"/>
      <c r="X654" s="64">
        <f t="shared" si="133"/>
        <v>135926619</v>
      </c>
      <c r="Y654" s="19"/>
      <c r="Z654" s="19"/>
      <c r="AA654" s="19"/>
      <c r="AB654" s="19"/>
      <c r="AC654" s="64">
        <f t="shared" si="134"/>
        <v>135926619</v>
      </c>
      <c r="AD654" s="63">
        <v>45292</v>
      </c>
      <c r="AE654" s="65">
        <v>48213</v>
      </c>
      <c r="AF654" s="19">
        <v>8</v>
      </c>
      <c r="AG654" s="19">
        <f t="shared" si="119"/>
        <v>96</v>
      </c>
      <c r="AH654" s="25">
        <f t="shared" si="132"/>
        <v>1415902</v>
      </c>
      <c r="AI654" s="92"/>
      <c r="AJ654" s="92"/>
      <c r="AK654" s="27">
        <f t="shared" si="124"/>
        <v>1415902</v>
      </c>
      <c r="AL654" s="27">
        <f t="shared" si="128"/>
        <v>1415902</v>
      </c>
      <c r="AM654" s="27"/>
      <c r="AN654" s="27"/>
      <c r="AO654" s="27"/>
      <c r="AP654" s="27"/>
      <c r="AQ654" s="27"/>
      <c r="AR654" s="27"/>
      <c r="AS654" s="27"/>
      <c r="AT654" s="27"/>
      <c r="AU654" s="27"/>
      <c r="AV654" s="27"/>
      <c r="AW654" s="27">
        <f t="shared" si="136"/>
        <v>2831804</v>
      </c>
      <c r="AX654" s="79">
        <f t="shared" si="137"/>
        <v>133094815</v>
      </c>
      <c r="AY654" s="79">
        <f t="shared" si="138"/>
        <v>2831804</v>
      </c>
      <c r="AZ654" s="25">
        <f t="shared" si="139"/>
        <v>1</v>
      </c>
      <c r="BA654" s="62"/>
      <c r="BB654" s="25">
        <v>1</v>
      </c>
      <c r="BC654" s="19"/>
      <c r="BD654" s="19"/>
      <c r="BE654" s="67">
        <f t="shared" si="125"/>
        <v>1415902</v>
      </c>
      <c r="BF654" s="67">
        <f t="shared" si="147"/>
        <v>0</v>
      </c>
      <c r="BG654" s="67">
        <f t="shared" si="146"/>
        <v>0</v>
      </c>
      <c r="BH654" s="19"/>
      <c r="BI654" s="19" t="s">
        <v>1896</v>
      </c>
      <c r="BJ654" s="19" t="s">
        <v>1980</v>
      </c>
      <c r="BK654" s="68" t="s">
        <v>1980</v>
      </c>
      <c r="BQ654" s="1" t="e">
        <v>#N/A</v>
      </c>
    </row>
    <row r="655" spans="3:69" ht="15" hidden="1" customHeight="1">
      <c r="C655" s="1" t="str">
        <f t="shared" si="142"/>
        <v>3112</v>
      </c>
      <c r="D655" s="1" t="str">
        <f t="shared" si="143"/>
        <v>2401</v>
      </c>
      <c r="E655" s="19" t="s">
        <v>1895</v>
      </c>
      <c r="F655" s="19" t="s">
        <v>1896</v>
      </c>
      <c r="G655" s="62">
        <v>2112</v>
      </c>
      <c r="H655" s="19" t="s">
        <v>1944</v>
      </c>
      <c r="I655" s="105" t="s">
        <v>1837</v>
      </c>
      <c r="J655" s="86">
        <v>1</v>
      </c>
      <c r="K655" s="19" t="s">
        <v>1293</v>
      </c>
      <c r="L655" s="157" t="s">
        <v>1716</v>
      </c>
      <c r="M655" s="98" t="s">
        <v>1932</v>
      </c>
      <c r="N655" s="101">
        <v>45202</v>
      </c>
      <c r="O655" s="19">
        <v>5527.9341000000004</v>
      </c>
      <c r="P655" s="19">
        <v>24425</v>
      </c>
      <c r="Q655" s="163">
        <f t="shared" si="144"/>
        <v>135019790</v>
      </c>
      <c r="R655" s="70"/>
      <c r="S655" s="19"/>
      <c r="T655" s="164">
        <v>906829</v>
      </c>
      <c r="U655" s="19" t="s">
        <v>1933</v>
      </c>
      <c r="V655" s="74">
        <f t="shared" si="145"/>
        <v>135926619</v>
      </c>
      <c r="W655" s="75"/>
      <c r="X655" s="64">
        <f t="shared" si="133"/>
        <v>135926619</v>
      </c>
      <c r="Y655" s="19"/>
      <c r="Z655" s="19"/>
      <c r="AA655" s="19"/>
      <c r="AB655" s="19"/>
      <c r="AC655" s="64">
        <f t="shared" si="134"/>
        <v>135926619</v>
      </c>
      <c r="AD655" s="63">
        <v>45292</v>
      </c>
      <c r="AE655" s="65">
        <v>48213</v>
      </c>
      <c r="AF655" s="19">
        <v>8</v>
      </c>
      <c r="AG655" s="19">
        <f t="shared" si="119"/>
        <v>96</v>
      </c>
      <c r="AH655" s="25">
        <f t="shared" si="132"/>
        <v>1415902</v>
      </c>
      <c r="AI655" s="92"/>
      <c r="AJ655" s="92"/>
      <c r="AK655" s="27">
        <f t="shared" si="124"/>
        <v>1415902</v>
      </c>
      <c r="AL655" s="27">
        <f t="shared" si="128"/>
        <v>1415902</v>
      </c>
      <c r="AM655" s="27"/>
      <c r="AN655" s="27"/>
      <c r="AO655" s="27"/>
      <c r="AP655" s="27"/>
      <c r="AQ655" s="27"/>
      <c r="AR655" s="27"/>
      <c r="AS655" s="27"/>
      <c r="AT655" s="27"/>
      <c r="AU655" s="27"/>
      <c r="AV655" s="27"/>
      <c r="AW655" s="27">
        <f t="shared" si="136"/>
        <v>2831804</v>
      </c>
      <c r="AX655" s="79">
        <f t="shared" si="137"/>
        <v>133094815</v>
      </c>
      <c r="AY655" s="79">
        <f t="shared" si="138"/>
        <v>2831804</v>
      </c>
      <c r="AZ655" s="25">
        <f t="shared" si="139"/>
        <v>1</v>
      </c>
      <c r="BA655" s="62"/>
      <c r="BB655" s="25">
        <v>1</v>
      </c>
      <c r="BC655" s="19"/>
      <c r="BD655" s="19"/>
      <c r="BE655" s="67">
        <f t="shared" si="125"/>
        <v>1415902</v>
      </c>
      <c r="BF655" s="67">
        <f t="shared" si="147"/>
        <v>0</v>
      </c>
      <c r="BG655" s="67">
        <f t="shared" si="146"/>
        <v>0</v>
      </c>
      <c r="BH655" s="19"/>
      <c r="BI655" s="19" t="s">
        <v>1896</v>
      </c>
      <c r="BJ655" s="19" t="s">
        <v>1980</v>
      </c>
      <c r="BK655" s="68" t="s">
        <v>1980</v>
      </c>
      <c r="BQ655" s="1" t="e">
        <v>#N/A</v>
      </c>
    </row>
    <row r="656" spans="3:69" ht="15" hidden="1" customHeight="1">
      <c r="C656" s="1" t="str">
        <f t="shared" si="142"/>
        <v>3112</v>
      </c>
      <c r="D656" s="1" t="str">
        <f t="shared" si="143"/>
        <v>2401</v>
      </c>
      <c r="E656" s="19" t="s">
        <v>1895</v>
      </c>
      <c r="F656" s="19" t="s">
        <v>1896</v>
      </c>
      <c r="G656" s="62">
        <v>2112</v>
      </c>
      <c r="H656" s="19" t="s">
        <v>1945</v>
      </c>
      <c r="I656" s="105" t="s">
        <v>1837</v>
      </c>
      <c r="J656" s="86">
        <v>1</v>
      </c>
      <c r="K656" s="19" t="s">
        <v>1293</v>
      </c>
      <c r="L656" s="157" t="s">
        <v>1716</v>
      </c>
      <c r="M656" s="98" t="s">
        <v>1932</v>
      </c>
      <c r="N656" s="101">
        <v>45202</v>
      </c>
      <c r="O656" s="19">
        <v>5527.9341000000004</v>
      </c>
      <c r="P656" s="19">
        <v>24425</v>
      </c>
      <c r="Q656" s="163">
        <f t="shared" si="144"/>
        <v>135019790</v>
      </c>
      <c r="R656" s="70"/>
      <c r="S656" s="19"/>
      <c r="T656" s="164">
        <v>906829</v>
      </c>
      <c r="U656" s="19" t="s">
        <v>1933</v>
      </c>
      <c r="V656" s="74">
        <f t="shared" si="145"/>
        <v>135926619</v>
      </c>
      <c r="W656" s="75"/>
      <c r="X656" s="64">
        <f t="shared" si="133"/>
        <v>135926619</v>
      </c>
      <c r="Y656" s="19"/>
      <c r="Z656" s="19"/>
      <c r="AA656" s="19"/>
      <c r="AB656" s="19"/>
      <c r="AC656" s="64">
        <f t="shared" si="134"/>
        <v>135926619</v>
      </c>
      <c r="AD656" s="63">
        <v>45292</v>
      </c>
      <c r="AE656" s="65">
        <v>48213</v>
      </c>
      <c r="AF656" s="19">
        <v>8</v>
      </c>
      <c r="AG656" s="19">
        <f t="shared" si="119"/>
        <v>96</v>
      </c>
      <c r="AH656" s="25">
        <f t="shared" si="132"/>
        <v>1415902</v>
      </c>
      <c r="AI656" s="92"/>
      <c r="AJ656" s="92"/>
      <c r="AK656" s="27">
        <f t="shared" si="124"/>
        <v>1415902</v>
      </c>
      <c r="AL656" s="27">
        <f t="shared" si="128"/>
        <v>1415902</v>
      </c>
      <c r="AM656" s="27"/>
      <c r="AN656" s="27"/>
      <c r="AO656" s="27"/>
      <c r="AP656" s="27"/>
      <c r="AQ656" s="27"/>
      <c r="AR656" s="27"/>
      <c r="AS656" s="27"/>
      <c r="AT656" s="27"/>
      <c r="AU656" s="27"/>
      <c r="AV656" s="27"/>
      <c r="AW656" s="27">
        <f t="shared" si="136"/>
        <v>2831804</v>
      </c>
      <c r="AX656" s="79">
        <f t="shared" si="137"/>
        <v>133094815</v>
      </c>
      <c r="AY656" s="79">
        <f t="shared" si="138"/>
        <v>2831804</v>
      </c>
      <c r="AZ656" s="25">
        <f t="shared" si="139"/>
        <v>1</v>
      </c>
      <c r="BA656" s="62"/>
      <c r="BB656" s="25">
        <v>1</v>
      </c>
      <c r="BC656" s="19"/>
      <c r="BD656" s="19"/>
      <c r="BE656" s="67">
        <f t="shared" si="125"/>
        <v>1415902</v>
      </c>
      <c r="BF656" s="67">
        <f t="shared" si="147"/>
        <v>0</v>
      </c>
      <c r="BG656" s="67">
        <f t="shared" si="146"/>
        <v>0</v>
      </c>
      <c r="BH656" s="19"/>
      <c r="BI656" s="19" t="s">
        <v>1896</v>
      </c>
      <c r="BJ656" s="19" t="s">
        <v>1980</v>
      </c>
      <c r="BK656" s="68" t="s">
        <v>1980</v>
      </c>
      <c r="BQ656" s="1" t="e">
        <v>#N/A</v>
      </c>
    </row>
    <row r="657" spans="3:69" ht="15" hidden="1" customHeight="1">
      <c r="C657" s="1" t="str">
        <f t="shared" si="142"/>
        <v>3112</v>
      </c>
      <c r="D657" s="1" t="str">
        <f t="shared" si="143"/>
        <v>2401</v>
      </c>
      <c r="E657" s="19" t="s">
        <v>1895</v>
      </c>
      <c r="F657" s="19" t="s">
        <v>1896</v>
      </c>
      <c r="G657" s="62">
        <v>2112</v>
      </c>
      <c r="H657" s="19" t="s">
        <v>1946</v>
      </c>
      <c r="I657" s="105" t="s">
        <v>1837</v>
      </c>
      <c r="J657" s="86">
        <v>1</v>
      </c>
      <c r="K657" s="19" t="s">
        <v>1293</v>
      </c>
      <c r="L657" s="157" t="s">
        <v>1716</v>
      </c>
      <c r="M657" s="98" t="s">
        <v>1932</v>
      </c>
      <c r="N657" s="101">
        <v>45202</v>
      </c>
      <c r="O657" s="19">
        <v>5527.9341000000004</v>
      </c>
      <c r="P657" s="19">
        <v>24425</v>
      </c>
      <c r="Q657" s="163">
        <f t="shared" si="144"/>
        <v>135019790</v>
      </c>
      <c r="R657" s="70"/>
      <c r="S657" s="19"/>
      <c r="T657" s="164">
        <v>906829</v>
      </c>
      <c r="U657" s="19" t="s">
        <v>1933</v>
      </c>
      <c r="V657" s="74">
        <f t="shared" si="145"/>
        <v>135926619</v>
      </c>
      <c r="W657" s="75"/>
      <c r="X657" s="64">
        <f t="shared" si="133"/>
        <v>135926619</v>
      </c>
      <c r="Y657" s="19"/>
      <c r="Z657" s="19"/>
      <c r="AA657" s="19"/>
      <c r="AB657" s="19"/>
      <c r="AC657" s="64">
        <f t="shared" si="134"/>
        <v>135926619</v>
      </c>
      <c r="AD657" s="63">
        <v>45292</v>
      </c>
      <c r="AE657" s="65">
        <v>48213</v>
      </c>
      <c r="AF657" s="19">
        <v>8</v>
      </c>
      <c r="AG657" s="19">
        <f t="shared" si="119"/>
        <v>96</v>
      </c>
      <c r="AH657" s="25">
        <f t="shared" si="132"/>
        <v>1415902</v>
      </c>
      <c r="AI657" s="92"/>
      <c r="AJ657" s="92"/>
      <c r="AK657" s="27">
        <f t="shared" si="124"/>
        <v>1415902</v>
      </c>
      <c r="AL657" s="27">
        <f t="shared" si="128"/>
        <v>1415902</v>
      </c>
      <c r="AM657" s="27"/>
      <c r="AN657" s="27"/>
      <c r="AO657" s="27"/>
      <c r="AP657" s="27"/>
      <c r="AQ657" s="27"/>
      <c r="AR657" s="27"/>
      <c r="AS657" s="27"/>
      <c r="AT657" s="27"/>
      <c r="AU657" s="27"/>
      <c r="AV657" s="27"/>
      <c r="AW657" s="27">
        <f t="shared" si="136"/>
        <v>2831804</v>
      </c>
      <c r="AX657" s="79">
        <f t="shared" si="137"/>
        <v>133094815</v>
      </c>
      <c r="AY657" s="79">
        <f t="shared" si="138"/>
        <v>2831804</v>
      </c>
      <c r="AZ657" s="25">
        <f t="shared" si="139"/>
        <v>1</v>
      </c>
      <c r="BA657" s="62"/>
      <c r="BB657" s="25">
        <v>1</v>
      </c>
      <c r="BC657" s="19"/>
      <c r="BD657" s="19"/>
      <c r="BE657" s="67">
        <f t="shared" si="125"/>
        <v>1415902</v>
      </c>
      <c r="BF657" s="67">
        <f t="shared" si="147"/>
        <v>0</v>
      </c>
      <c r="BG657" s="67">
        <f t="shared" si="146"/>
        <v>0</v>
      </c>
      <c r="BH657" s="19"/>
      <c r="BI657" s="19" t="s">
        <v>1896</v>
      </c>
      <c r="BJ657" s="19" t="s">
        <v>1980</v>
      </c>
      <c r="BK657" s="68" t="s">
        <v>1980</v>
      </c>
      <c r="BQ657" s="1" t="e">
        <v>#N/A</v>
      </c>
    </row>
    <row r="658" spans="3:69" ht="15" hidden="1" customHeight="1">
      <c r="C658" s="1" t="str">
        <f t="shared" si="142"/>
        <v>3112</v>
      </c>
      <c r="D658" s="1" t="str">
        <f t="shared" si="143"/>
        <v>2401</v>
      </c>
      <c r="E658" s="19" t="s">
        <v>1895</v>
      </c>
      <c r="F658" s="19" t="s">
        <v>1896</v>
      </c>
      <c r="G658" s="62">
        <v>2112</v>
      </c>
      <c r="H658" s="19" t="s">
        <v>1947</v>
      </c>
      <c r="I658" s="105" t="s">
        <v>1837</v>
      </c>
      <c r="J658" s="86">
        <v>1</v>
      </c>
      <c r="K658" s="19" t="s">
        <v>1293</v>
      </c>
      <c r="L658" s="157" t="s">
        <v>1716</v>
      </c>
      <c r="M658" s="98" t="s">
        <v>1932</v>
      </c>
      <c r="N658" s="101">
        <v>45202</v>
      </c>
      <c r="O658" s="19">
        <v>5527.9341000000004</v>
      </c>
      <c r="P658" s="19">
        <v>24425</v>
      </c>
      <c r="Q658" s="163">
        <f t="shared" si="144"/>
        <v>135019790</v>
      </c>
      <c r="R658" s="70"/>
      <c r="S658" s="19"/>
      <c r="T658" s="164">
        <v>906829</v>
      </c>
      <c r="U658" s="19" t="s">
        <v>1933</v>
      </c>
      <c r="V658" s="74">
        <f t="shared" si="145"/>
        <v>135926619</v>
      </c>
      <c r="W658" s="75"/>
      <c r="X658" s="64">
        <f t="shared" si="133"/>
        <v>135926619</v>
      </c>
      <c r="Y658" s="19"/>
      <c r="Z658" s="19"/>
      <c r="AA658" s="19"/>
      <c r="AB658" s="19"/>
      <c r="AC658" s="64">
        <f t="shared" si="134"/>
        <v>135926619</v>
      </c>
      <c r="AD658" s="63">
        <v>45292</v>
      </c>
      <c r="AE658" s="65">
        <v>48213</v>
      </c>
      <c r="AF658" s="19">
        <v>8</v>
      </c>
      <c r="AG658" s="19">
        <f t="shared" si="119"/>
        <v>96</v>
      </c>
      <c r="AH658" s="25">
        <f t="shared" si="132"/>
        <v>1415902</v>
      </c>
      <c r="AI658" s="92"/>
      <c r="AJ658" s="92"/>
      <c r="AK658" s="27">
        <f t="shared" si="124"/>
        <v>1415902</v>
      </c>
      <c r="AL658" s="27">
        <f t="shared" si="128"/>
        <v>1415902</v>
      </c>
      <c r="AM658" s="27"/>
      <c r="AN658" s="27"/>
      <c r="AO658" s="27"/>
      <c r="AP658" s="27"/>
      <c r="AQ658" s="27"/>
      <c r="AR658" s="27"/>
      <c r="AS658" s="27"/>
      <c r="AT658" s="27"/>
      <c r="AU658" s="27"/>
      <c r="AV658" s="27"/>
      <c r="AW658" s="27">
        <f t="shared" si="136"/>
        <v>2831804</v>
      </c>
      <c r="AX658" s="79">
        <f t="shared" si="137"/>
        <v>133094815</v>
      </c>
      <c r="AY658" s="79">
        <f t="shared" si="138"/>
        <v>2831804</v>
      </c>
      <c r="AZ658" s="25">
        <f t="shared" si="139"/>
        <v>1</v>
      </c>
      <c r="BA658" s="62"/>
      <c r="BB658" s="25">
        <v>1</v>
      </c>
      <c r="BC658" s="19"/>
      <c r="BD658" s="19"/>
      <c r="BE658" s="67">
        <f t="shared" si="125"/>
        <v>1415902</v>
      </c>
      <c r="BF658" s="67">
        <f t="shared" si="147"/>
        <v>0</v>
      </c>
      <c r="BG658" s="67">
        <f t="shared" si="146"/>
        <v>0</v>
      </c>
      <c r="BH658" s="19"/>
      <c r="BI658" s="19" t="s">
        <v>1896</v>
      </c>
      <c r="BJ658" s="19" t="s">
        <v>1980</v>
      </c>
      <c r="BK658" s="68" t="s">
        <v>1980</v>
      </c>
      <c r="BQ658" s="1" t="e">
        <v>#N/A</v>
      </c>
    </row>
    <row r="659" spans="3:69" ht="15" hidden="1" customHeight="1">
      <c r="C659" s="1" t="str">
        <f t="shared" si="142"/>
        <v>3112</v>
      </c>
      <c r="D659" s="1" t="str">
        <f t="shared" si="143"/>
        <v>2401</v>
      </c>
      <c r="E659" s="19" t="s">
        <v>1895</v>
      </c>
      <c r="F659" s="19" t="s">
        <v>1896</v>
      </c>
      <c r="G659" s="62">
        <v>2112</v>
      </c>
      <c r="H659" s="19" t="s">
        <v>1948</v>
      </c>
      <c r="I659" s="105" t="s">
        <v>1837</v>
      </c>
      <c r="J659" s="86">
        <v>1</v>
      </c>
      <c r="K659" s="19" t="s">
        <v>1293</v>
      </c>
      <c r="L659" s="157" t="s">
        <v>1716</v>
      </c>
      <c r="M659" s="98" t="s">
        <v>1932</v>
      </c>
      <c r="N659" s="101">
        <v>45202</v>
      </c>
      <c r="O659" s="19">
        <v>5527.9341000000004</v>
      </c>
      <c r="P659" s="19">
        <v>24425</v>
      </c>
      <c r="Q659" s="163">
        <f t="shared" si="144"/>
        <v>135019790</v>
      </c>
      <c r="R659" s="70"/>
      <c r="S659" s="19"/>
      <c r="T659" s="164">
        <v>906829</v>
      </c>
      <c r="U659" s="19" t="s">
        <v>1933</v>
      </c>
      <c r="V659" s="74">
        <f t="shared" si="145"/>
        <v>135926619</v>
      </c>
      <c r="W659" s="75"/>
      <c r="X659" s="64">
        <f t="shared" si="133"/>
        <v>135926619</v>
      </c>
      <c r="Y659" s="19"/>
      <c r="Z659" s="19"/>
      <c r="AA659" s="19"/>
      <c r="AB659" s="19"/>
      <c r="AC659" s="64">
        <f t="shared" si="134"/>
        <v>135926619</v>
      </c>
      <c r="AD659" s="63">
        <v>45292</v>
      </c>
      <c r="AE659" s="65">
        <v>48213</v>
      </c>
      <c r="AF659" s="19">
        <v>8</v>
      </c>
      <c r="AG659" s="19">
        <f t="shared" si="119"/>
        <v>96</v>
      </c>
      <c r="AH659" s="25">
        <f t="shared" si="132"/>
        <v>1415902</v>
      </c>
      <c r="AI659" s="92"/>
      <c r="AJ659" s="92"/>
      <c r="AK659" s="27">
        <f t="shared" si="124"/>
        <v>1415902</v>
      </c>
      <c r="AL659" s="27">
        <f t="shared" si="128"/>
        <v>1415902</v>
      </c>
      <c r="AM659" s="27"/>
      <c r="AN659" s="27"/>
      <c r="AO659" s="27"/>
      <c r="AP659" s="27"/>
      <c r="AQ659" s="27"/>
      <c r="AR659" s="27"/>
      <c r="AS659" s="27"/>
      <c r="AT659" s="27"/>
      <c r="AU659" s="27"/>
      <c r="AV659" s="27"/>
      <c r="AW659" s="27">
        <f t="shared" si="136"/>
        <v>2831804</v>
      </c>
      <c r="AX659" s="79">
        <f t="shared" si="137"/>
        <v>133094815</v>
      </c>
      <c r="AY659" s="79">
        <f t="shared" si="138"/>
        <v>2831804</v>
      </c>
      <c r="AZ659" s="25">
        <f t="shared" si="139"/>
        <v>1</v>
      </c>
      <c r="BA659" s="62"/>
      <c r="BB659" s="25">
        <v>1</v>
      </c>
      <c r="BC659" s="19"/>
      <c r="BD659" s="19"/>
      <c r="BE659" s="67">
        <f t="shared" si="125"/>
        <v>1415902</v>
      </c>
      <c r="BF659" s="67">
        <f t="shared" si="147"/>
        <v>0</v>
      </c>
      <c r="BG659" s="67">
        <f t="shared" si="146"/>
        <v>0</v>
      </c>
      <c r="BH659" s="19"/>
      <c r="BI659" s="19" t="s">
        <v>1896</v>
      </c>
      <c r="BJ659" s="19" t="s">
        <v>1980</v>
      </c>
      <c r="BK659" s="68" t="s">
        <v>1980</v>
      </c>
      <c r="BQ659" s="1" t="e">
        <v>#N/A</v>
      </c>
    </row>
    <row r="660" spans="3:69" ht="15" hidden="1" customHeight="1">
      <c r="C660" s="1" t="str">
        <f t="shared" si="142"/>
        <v>3112</v>
      </c>
      <c r="D660" s="1" t="str">
        <f t="shared" si="143"/>
        <v>2401</v>
      </c>
      <c r="E660" s="19" t="s">
        <v>1895</v>
      </c>
      <c r="F660" s="19" t="s">
        <v>1896</v>
      </c>
      <c r="G660" s="62">
        <v>2112</v>
      </c>
      <c r="H660" s="19" t="s">
        <v>1949</v>
      </c>
      <c r="I660" s="105" t="s">
        <v>1837</v>
      </c>
      <c r="J660" s="86">
        <v>1</v>
      </c>
      <c r="K660" s="19" t="s">
        <v>1293</v>
      </c>
      <c r="L660" s="157" t="s">
        <v>1716</v>
      </c>
      <c r="M660" s="98" t="s">
        <v>1932</v>
      </c>
      <c r="N660" s="101">
        <v>45202</v>
      </c>
      <c r="O660" s="19">
        <v>5527.9341000000004</v>
      </c>
      <c r="P660" s="19">
        <v>24425</v>
      </c>
      <c r="Q660" s="163">
        <f t="shared" si="144"/>
        <v>135019790</v>
      </c>
      <c r="R660" s="70"/>
      <c r="S660" s="19"/>
      <c r="T660" s="164">
        <v>906829</v>
      </c>
      <c r="U660" s="19" t="s">
        <v>1933</v>
      </c>
      <c r="V660" s="74">
        <f t="shared" si="145"/>
        <v>135926619</v>
      </c>
      <c r="W660" s="75"/>
      <c r="X660" s="64">
        <f t="shared" si="133"/>
        <v>135926619</v>
      </c>
      <c r="Y660" s="19"/>
      <c r="Z660" s="19"/>
      <c r="AA660" s="19"/>
      <c r="AB660" s="19"/>
      <c r="AC660" s="64">
        <f t="shared" si="134"/>
        <v>135926619</v>
      </c>
      <c r="AD660" s="63">
        <v>45292</v>
      </c>
      <c r="AE660" s="65">
        <v>48213</v>
      </c>
      <c r="AF660" s="19">
        <v>8</v>
      </c>
      <c r="AG660" s="19">
        <f t="shared" si="119"/>
        <v>96</v>
      </c>
      <c r="AH660" s="25">
        <f t="shared" si="132"/>
        <v>1415902</v>
      </c>
      <c r="AI660" s="92"/>
      <c r="AJ660" s="92"/>
      <c r="AK660" s="27">
        <f t="shared" si="124"/>
        <v>1415902</v>
      </c>
      <c r="AL660" s="27">
        <f t="shared" si="128"/>
        <v>1415902</v>
      </c>
      <c r="AM660" s="27"/>
      <c r="AN660" s="27"/>
      <c r="AO660" s="27"/>
      <c r="AP660" s="27"/>
      <c r="AQ660" s="27"/>
      <c r="AR660" s="27"/>
      <c r="AS660" s="27"/>
      <c r="AT660" s="27"/>
      <c r="AU660" s="27"/>
      <c r="AV660" s="27"/>
      <c r="AW660" s="27">
        <f t="shared" si="136"/>
        <v>2831804</v>
      </c>
      <c r="AX660" s="79">
        <f t="shared" si="137"/>
        <v>133094815</v>
      </c>
      <c r="AY660" s="79">
        <f t="shared" si="138"/>
        <v>2831804</v>
      </c>
      <c r="AZ660" s="25">
        <f t="shared" si="139"/>
        <v>1</v>
      </c>
      <c r="BA660" s="62"/>
      <c r="BB660" s="25">
        <v>1</v>
      </c>
      <c r="BC660" s="19"/>
      <c r="BD660" s="19"/>
      <c r="BE660" s="67">
        <f t="shared" si="125"/>
        <v>1415902</v>
      </c>
      <c r="BF660" s="67">
        <f t="shared" si="147"/>
        <v>0</v>
      </c>
      <c r="BG660" s="67">
        <f t="shared" si="146"/>
        <v>0</v>
      </c>
      <c r="BH660" s="19"/>
      <c r="BI660" s="19" t="s">
        <v>1896</v>
      </c>
      <c r="BJ660" s="19" t="s">
        <v>1980</v>
      </c>
      <c r="BK660" s="68" t="s">
        <v>1980</v>
      </c>
      <c r="BQ660" s="1" t="e">
        <v>#N/A</v>
      </c>
    </row>
    <row r="661" spans="3:69" ht="15" hidden="1" customHeight="1">
      <c r="C661" s="1" t="str">
        <f t="shared" si="142"/>
        <v>3112</v>
      </c>
      <c r="D661" s="1" t="str">
        <f t="shared" si="143"/>
        <v>2401</v>
      </c>
      <c r="E661" s="19" t="s">
        <v>1895</v>
      </c>
      <c r="F661" s="19" t="s">
        <v>1896</v>
      </c>
      <c r="G661" s="62">
        <v>2112</v>
      </c>
      <c r="H661" s="19" t="s">
        <v>1950</v>
      </c>
      <c r="I661" s="105" t="s">
        <v>1837</v>
      </c>
      <c r="J661" s="86">
        <v>1</v>
      </c>
      <c r="K661" s="19" t="s">
        <v>1293</v>
      </c>
      <c r="L661" s="157" t="s">
        <v>1716</v>
      </c>
      <c r="M661" s="98" t="s">
        <v>1932</v>
      </c>
      <c r="N661" s="101">
        <v>45202</v>
      </c>
      <c r="O661" s="19">
        <v>5527.9341000000004</v>
      </c>
      <c r="P661" s="19">
        <v>24425</v>
      </c>
      <c r="Q661" s="163">
        <f t="shared" si="144"/>
        <v>135019790</v>
      </c>
      <c r="R661" s="70"/>
      <c r="S661" s="19"/>
      <c r="T661" s="164">
        <v>906829</v>
      </c>
      <c r="U661" s="19" t="s">
        <v>1933</v>
      </c>
      <c r="V661" s="74">
        <f t="shared" si="145"/>
        <v>135926619</v>
      </c>
      <c r="W661" s="75"/>
      <c r="X661" s="64">
        <f t="shared" si="133"/>
        <v>135926619</v>
      </c>
      <c r="Y661" s="19"/>
      <c r="Z661" s="19"/>
      <c r="AA661" s="19"/>
      <c r="AB661" s="19"/>
      <c r="AC661" s="64">
        <f t="shared" si="134"/>
        <v>135926619</v>
      </c>
      <c r="AD661" s="63">
        <v>45292</v>
      </c>
      <c r="AE661" s="65">
        <v>48213</v>
      </c>
      <c r="AF661" s="19">
        <v>8</v>
      </c>
      <c r="AG661" s="19">
        <f t="shared" si="119"/>
        <v>96</v>
      </c>
      <c r="AH661" s="25">
        <f t="shared" si="132"/>
        <v>1415902</v>
      </c>
      <c r="AI661" s="92"/>
      <c r="AJ661" s="92"/>
      <c r="AK661" s="27">
        <f t="shared" si="124"/>
        <v>1415902</v>
      </c>
      <c r="AL661" s="27">
        <f t="shared" si="128"/>
        <v>1415902</v>
      </c>
      <c r="AM661" s="27"/>
      <c r="AN661" s="27"/>
      <c r="AO661" s="27"/>
      <c r="AP661" s="27"/>
      <c r="AQ661" s="27"/>
      <c r="AR661" s="27"/>
      <c r="AS661" s="27"/>
      <c r="AT661" s="27"/>
      <c r="AU661" s="27"/>
      <c r="AV661" s="27"/>
      <c r="AW661" s="27">
        <f t="shared" si="136"/>
        <v>2831804</v>
      </c>
      <c r="AX661" s="79">
        <f t="shared" si="137"/>
        <v>133094815</v>
      </c>
      <c r="AY661" s="79">
        <f t="shared" si="138"/>
        <v>2831804</v>
      </c>
      <c r="AZ661" s="25">
        <f t="shared" si="139"/>
        <v>1</v>
      </c>
      <c r="BA661" s="62"/>
      <c r="BB661" s="25">
        <v>1</v>
      </c>
      <c r="BC661" s="19"/>
      <c r="BD661" s="19"/>
      <c r="BE661" s="67">
        <f t="shared" ref="BE661:BE686" si="148">+$AL661*BB661</f>
        <v>1415902</v>
      </c>
      <c r="BF661" s="67">
        <f t="shared" si="147"/>
        <v>0</v>
      </c>
      <c r="BG661" s="67">
        <f t="shared" si="146"/>
        <v>0</v>
      </c>
      <c r="BH661" s="19"/>
      <c r="BI661" s="19" t="s">
        <v>1896</v>
      </c>
      <c r="BJ661" s="19" t="s">
        <v>1980</v>
      </c>
      <c r="BK661" s="68" t="s">
        <v>1980</v>
      </c>
      <c r="BQ661" s="1" t="e">
        <v>#N/A</v>
      </c>
    </row>
    <row r="662" spans="3:69" ht="15" hidden="1" customHeight="1">
      <c r="C662" s="1" t="str">
        <f t="shared" si="142"/>
        <v>3112</v>
      </c>
      <c r="D662" s="1" t="str">
        <f t="shared" si="143"/>
        <v>2401</v>
      </c>
      <c r="E662" s="19" t="s">
        <v>1895</v>
      </c>
      <c r="F662" s="19" t="s">
        <v>1896</v>
      </c>
      <c r="G662" s="62">
        <v>2112</v>
      </c>
      <c r="H662" s="19" t="s">
        <v>1951</v>
      </c>
      <c r="I662" s="105" t="s">
        <v>1838</v>
      </c>
      <c r="J662" s="86">
        <v>1</v>
      </c>
      <c r="K662" s="19" t="s">
        <v>1293</v>
      </c>
      <c r="L662" s="157" t="s">
        <v>1716</v>
      </c>
      <c r="M662" s="98" t="s">
        <v>1932</v>
      </c>
      <c r="N662" s="101">
        <v>45202</v>
      </c>
      <c r="O662" s="19">
        <v>5527.9340000000002</v>
      </c>
      <c r="P662" s="19">
        <v>24425</v>
      </c>
      <c r="Q662" s="163">
        <f t="shared" si="144"/>
        <v>135019788</v>
      </c>
      <c r="R662" s="70"/>
      <c r="S662" s="19"/>
      <c r="T662" s="164">
        <v>906829</v>
      </c>
      <c r="U662" s="19" t="s">
        <v>1933</v>
      </c>
      <c r="V662" s="74">
        <f t="shared" si="145"/>
        <v>135926617</v>
      </c>
      <c r="W662" s="75"/>
      <c r="X662" s="64">
        <f t="shared" si="133"/>
        <v>135926617</v>
      </c>
      <c r="Y662" s="19"/>
      <c r="Z662" s="19"/>
      <c r="AA662" s="19"/>
      <c r="AB662" s="19"/>
      <c r="AC662" s="64">
        <f t="shared" si="134"/>
        <v>135926617</v>
      </c>
      <c r="AD662" s="63">
        <v>45292</v>
      </c>
      <c r="AE662" s="65">
        <v>48213</v>
      </c>
      <c r="AF662" s="19">
        <v>8</v>
      </c>
      <c r="AG662" s="19">
        <f t="shared" si="119"/>
        <v>96</v>
      </c>
      <c r="AH662" s="25">
        <f t="shared" si="132"/>
        <v>1415902</v>
      </c>
      <c r="AI662" s="92"/>
      <c r="AJ662" s="92"/>
      <c r="AK662" s="27">
        <f t="shared" si="124"/>
        <v>1415902</v>
      </c>
      <c r="AL662" s="27">
        <f t="shared" si="128"/>
        <v>1415902</v>
      </c>
      <c r="AM662" s="27"/>
      <c r="AN662" s="27"/>
      <c r="AO662" s="27"/>
      <c r="AP662" s="27"/>
      <c r="AQ662" s="27"/>
      <c r="AR662" s="27"/>
      <c r="AS662" s="27"/>
      <c r="AT662" s="27"/>
      <c r="AU662" s="27"/>
      <c r="AV662" s="27"/>
      <c r="AW662" s="27">
        <f t="shared" si="136"/>
        <v>2831804</v>
      </c>
      <c r="AX662" s="79">
        <f t="shared" si="137"/>
        <v>133094813</v>
      </c>
      <c r="AY662" s="79">
        <f t="shared" si="138"/>
        <v>2831804</v>
      </c>
      <c r="AZ662" s="25">
        <f t="shared" si="139"/>
        <v>1</v>
      </c>
      <c r="BA662" s="62"/>
      <c r="BB662" s="25">
        <v>1</v>
      </c>
      <c r="BC662" s="19"/>
      <c r="BD662" s="19"/>
      <c r="BE662" s="67">
        <f t="shared" si="148"/>
        <v>1415902</v>
      </c>
      <c r="BF662" s="67">
        <f t="shared" si="147"/>
        <v>0</v>
      </c>
      <c r="BG662" s="67">
        <f t="shared" si="146"/>
        <v>0</v>
      </c>
      <c r="BH662" s="19"/>
      <c r="BI662" s="19" t="s">
        <v>1896</v>
      </c>
      <c r="BJ662" s="19" t="s">
        <v>1980</v>
      </c>
      <c r="BK662" s="68" t="s">
        <v>1980</v>
      </c>
      <c r="BQ662" s="1" t="e">
        <v>#N/A</v>
      </c>
    </row>
    <row r="663" spans="3:69" ht="15" hidden="1" customHeight="1">
      <c r="C663" s="1" t="str">
        <f t="shared" si="142"/>
        <v>3112</v>
      </c>
      <c r="D663" s="1" t="str">
        <f t="shared" si="143"/>
        <v>2401</v>
      </c>
      <c r="E663" s="19" t="s">
        <v>1895</v>
      </c>
      <c r="F663" s="19" t="s">
        <v>1896</v>
      </c>
      <c r="G663" s="62">
        <v>2112</v>
      </c>
      <c r="H663" s="19" t="s">
        <v>1952</v>
      </c>
      <c r="I663" s="105" t="s">
        <v>1838</v>
      </c>
      <c r="J663" s="86">
        <v>1</v>
      </c>
      <c r="K663" s="19" t="s">
        <v>1293</v>
      </c>
      <c r="L663" s="157" t="s">
        <v>1716</v>
      </c>
      <c r="M663" s="98" t="s">
        <v>1932</v>
      </c>
      <c r="N663" s="101">
        <v>45202</v>
      </c>
      <c r="O663" s="19">
        <v>5527.9340000000002</v>
      </c>
      <c r="P663" s="19">
        <v>24425</v>
      </c>
      <c r="Q663" s="163">
        <f t="shared" si="144"/>
        <v>135019788</v>
      </c>
      <c r="R663" s="70"/>
      <c r="S663" s="19"/>
      <c r="T663" s="164">
        <v>906829</v>
      </c>
      <c r="U663" s="19" t="s">
        <v>1933</v>
      </c>
      <c r="V663" s="74">
        <f t="shared" si="145"/>
        <v>135926617</v>
      </c>
      <c r="W663" s="75"/>
      <c r="X663" s="64">
        <f t="shared" si="133"/>
        <v>135926617</v>
      </c>
      <c r="Y663" s="19"/>
      <c r="Z663" s="19"/>
      <c r="AA663" s="19"/>
      <c r="AB663" s="19"/>
      <c r="AC663" s="64">
        <f t="shared" si="134"/>
        <v>135926617</v>
      </c>
      <c r="AD663" s="63">
        <v>45292</v>
      </c>
      <c r="AE663" s="65">
        <v>48213</v>
      </c>
      <c r="AF663" s="19">
        <v>8</v>
      </c>
      <c r="AG663" s="19">
        <f t="shared" si="119"/>
        <v>96</v>
      </c>
      <c r="AH663" s="25">
        <f t="shared" si="132"/>
        <v>1415902</v>
      </c>
      <c r="AI663" s="92"/>
      <c r="AJ663" s="92"/>
      <c r="AK663" s="27">
        <f t="shared" si="124"/>
        <v>1415902</v>
      </c>
      <c r="AL663" s="27">
        <f t="shared" si="128"/>
        <v>1415902</v>
      </c>
      <c r="AM663" s="27"/>
      <c r="AN663" s="27"/>
      <c r="AO663" s="27"/>
      <c r="AP663" s="27"/>
      <c r="AQ663" s="27"/>
      <c r="AR663" s="27"/>
      <c r="AS663" s="27"/>
      <c r="AT663" s="27"/>
      <c r="AU663" s="27"/>
      <c r="AV663" s="27"/>
      <c r="AW663" s="27">
        <f t="shared" si="136"/>
        <v>2831804</v>
      </c>
      <c r="AX663" s="79">
        <f t="shared" si="137"/>
        <v>133094813</v>
      </c>
      <c r="AY663" s="79">
        <f t="shared" si="138"/>
        <v>2831804</v>
      </c>
      <c r="AZ663" s="25">
        <f t="shared" si="139"/>
        <v>1</v>
      </c>
      <c r="BA663" s="62"/>
      <c r="BB663" s="25">
        <v>1</v>
      </c>
      <c r="BC663" s="19"/>
      <c r="BD663" s="19"/>
      <c r="BE663" s="67">
        <f t="shared" si="148"/>
        <v>1415902</v>
      </c>
      <c r="BF663" s="67">
        <f t="shared" si="147"/>
        <v>0</v>
      </c>
      <c r="BG663" s="67">
        <f t="shared" si="146"/>
        <v>0</v>
      </c>
      <c r="BH663" s="19"/>
      <c r="BI663" s="19" t="s">
        <v>1896</v>
      </c>
      <c r="BJ663" s="19" t="s">
        <v>1980</v>
      </c>
      <c r="BK663" s="68" t="s">
        <v>1980</v>
      </c>
      <c r="BQ663" s="1" t="e">
        <v>#N/A</v>
      </c>
    </row>
    <row r="664" spans="3:69" ht="15" hidden="1" customHeight="1">
      <c r="C664" s="1" t="str">
        <f t="shared" si="142"/>
        <v>3112</v>
      </c>
      <c r="D664" s="1" t="str">
        <f t="shared" si="143"/>
        <v>2401</v>
      </c>
      <c r="E664" s="19" t="s">
        <v>1895</v>
      </c>
      <c r="F664" s="19" t="s">
        <v>1896</v>
      </c>
      <c r="G664" s="62">
        <v>2112</v>
      </c>
      <c r="H664" s="19" t="s">
        <v>1953</v>
      </c>
      <c r="I664" s="105" t="s">
        <v>1838</v>
      </c>
      <c r="J664" s="86">
        <v>1</v>
      </c>
      <c r="K664" s="19" t="s">
        <v>1293</v>
      </c>
      <c r="L664" s="157" t="s">
        <v>1716</v>
      </c>
      <c r="M664" s="98" t="s">
        <v>1932</v>
      </c>
      <c r="N664" s="101">
        <v>45202</v>
      </c>
      <c r="O664" s="19">
        <v>5527.9340000000002</v>
      </c>
      <c r="P664" s="19">
        <v>24425</v>
      </c>
      <c r="Q664" s="163">
        <f t="shared" si="144"/>
        <v>135019788</v>
      </c>
      <c r="R664" s="70"/>
      <c r="S664" s="19"/>
      <c r="T664" s="164">
        <v>906829</v>
      </c>
      <c r="U664" s="19" t="s">
        <v>1933</v>
      </c>
      <c r="V664" s="74">
        <f t="shared" si="145"/>
        <v>135926617</v>
      </c>
      <c r="W664" s="75"/>
      <c r="X664" s="64">
        <f t="shared" si="133"/>
        <v>135926617</v>
      </c>
      <c r="Y664" s="19"/>
      <c r="Z664" s="19"/>
      <c r="AA664" s="19"/>
      <c r="AB664" s="19"/>
      <c r="AC664" s="64">
        <f t="shared" si="134"/>
        <v>135926617</v>
      </c>
      <c r="AD664" s="63">
        <v>45292</v>
      </c>
      <c r="AE664" s="65">
        <v>48213</v>
      </c>
      <c r="AF664" s="19">
        <v>8</v>
      </c>
      <c r="AG664" s="19">
        <f t="shared" si="119"/>
        <v>96</v>
      </c>
      <c r="AH664" s="25">
        <f t="shared" si="132"/>
        <v>1415902</v>
      </c>
      <c r="AI664" s="92"/>
      <c r="AJ664" s="92"/>
      <c r="AK664" s="27">
        <f t="shared" si="124"/>
        <v>1415902</v>
      </c>
      <c r="AL664" s="27">
        <f t="shared" ref="AL664:AL686" si="149">+IF(AND(AL$3&gt;=$D664,AL$3&lt;$C664),$AH664,$AJ664-SUM(AJ664:AK664))</f>
        <v>1415902</v>
      </c>
      <c r="AM664" s="27"/>
      <c r="AN664" s="27"/>
      <c r="AO664" s="27"/>
      <c r="AP664" s="27"/>
      <c r="AQ664" s="27"/>
      <c r="AR664" s="27"/>
      <c r="AS664" s="27"/>
      <c r="AT664" s="27"/>
      <c r="AU664" s="27"/>
      <c r="AV664" s="27"/>
      <c r="AW664" s="27">
        <f t="shared" si="136"/>
        <v>2831804</v>
      </c>
      <c r="AX664" s="79">
        <f t="shared" si="137"/>
        <v>133094813</v>
      </c>
      <c r="AY664" s="79">
        <f t="shared" si="138"/>
        <v>2831804</v>
      </c>
      <c r="AZ664" s="25">
        <f t="shared" si="139"/>
        <v>1</v>
      </c>
      <c r="BA664" s="62"/>
      <c r="BB664" s="25">
        <v>1</v>
      </c>
      <c r="BC664" s="19"/>
      <c r="BD664" s="19"/>
      <c r="BE664" s="67">
        <f t="shared" si="148"/>
        <v>1415902</v>
      </c>
      <c r="BF664" s="67">
        <f t="shared" si="147"/>
        <v>0</v>
      </c>
      <c r="BG664" s="67">
        <f t="shared" si="146"/>
        <v>0</v>
      </c>
      <c r="BH664" s="19"/>
      <c r="BI664" s="19" t="s">
        <v>1896</v>
      </c>
      <c r="BJ664" s="19" t="s">
        <v>1980</v>
      </c>
      <c r="BK664" s="68" t="s">
        <v>1980</v>
      </c>
      <c r="BQ664" s="1" t="e">
        <v>#N/A</v>
      </c>
    </row>
    <row r="665" spans="3:69" ht="15" hidden="1" customHeight="1">
      <c r="C665" s="1" t="str">
        <f t="shared" si="142"/>
        <v>3112</v>
      </c>
      <c r="D665" s="1" t="str">
        <f t="shared" si="143"/>
        <v>2401</v>
      </c>
      <c r="E665" s="19" t="s">
        <v>1895</v>
      </c>
      <c r="F665" s="19" t="s">
        <v>1896</v>
      </c>
      <c r="G665" s="62">
        <v>2112</v>
      </c>
      <c r="H665" s="19" t="s">
        <v>1954</v>
      </c>
      <c r="I665" s="105" t="s">
        <v>1838</v>
      </c>
      <c r="J665" s="86">
        <v>1</v>
      </c>
      <c r="K665" s="19" t="s">
        <v>1293</v>
      </c>
      <c r="L665" s="157" t="s">
        <v>1716</v>
      </c>
      <c r="M665" s="98" t="s">
        <v>1932</v>
      </c>
      <c r="N665" s="101">
        <v>45202</v>
      </c>
      <c r="O665" s="19">
        <v>5527.9340000000002</v>
      </c>
      <c r="P665" s="19">
        <v>24425</v>
      </c>
      <c r="Q665" s="163">
        <f t="shared" si="144"/>
        <v>135019788</v>
      </c>
      <c r="R665" s="70"/>
      <c r="S665" s="19"/>
      <c r="T665" s="164">
        <v>906828</v>
      </c>
      <c r="U665" s="19" t="s">
        <v>1933</v>
      </c>
      <c r="V665" s="74">
        <f t="shared" si="145"/>
        <v>135926616</v>
      </c>
      <c r="W665" s="75"/>
      <c r="X665" s="64">
        <f t="shared" si="133"/>
        <v>135926616</v>
      </c>
      <c r="Y665" s="19"/>
      <c r="Z665" s="19"/>
      <c r="AA665" s="19"/>
      <c r="AB665" s="19"/>
      <c r="AC665" s="64">
        <f t="shared" si="134"/>
        <v>135926616</v>
      </c>
      <c r="AD665" s="63">
        <v>45292</v>
      </c>
      <c r="AE665" s="65">
        <v>48213</v>
      </c>
      <c r="AF665" s="19">
        <v>8</v>
      </c>
      <c r="AG665" s="19">
        <f t="shared" si="119"/>
        <v>96</v>
      </c>
      <c r="AH665" s="25">
        <f t="shared" si="132"/>
        <v>1415902</v>
      </c>
      <c r="AI665" s="92"/>
      <c r="AJ665" s="92"/>
      <c r="AK665" s="27">
        <f t="shared" si="124"/>
        <v>1415902</v>
      </c>
      <c r="AL665" s="27">
        <f t="shared" si="149"/>
        <v>1415902</v>
      </c>
      <c r="AM665" s="27"/>
      <c r="AN665" s="27"/>
      <c r="AO665" s="27"/>
      <c r="AP665" s="27"/>
      <c r="AQ665" s="27"/>
      <c r="AR665" s="27"/>
      <c r="AS665" s="27"/>
      <c r="AT665" s="27"/>
      <c r="AU665" s="27"/>
      <c r="AV665" s="27"/>
      <c r="AW665" s="27">
        <f t="shared" si="136"/>
        <v>2831804</v>
      </c>
      <c r="AX665" s="79">
        <f t="shared" si="137"/>
        <v>133094812</v>
      </c>
      <c r="AY665" s="79">
        <f t="shared" si="138"/>
        <v>2831804</v>
      </c>
      <c r="AZ665" s="25">
        <f t="shared" si="139"/>
        <v>1</v>
      </c>
      <c r="BA665" s="62"/>
      <c r="BB665" s="25">
        <v>1</v>
      </c>
      <c r="BC665" s="19"/>
      <c r="BD665" s="19"/>
      <c r="BE665" s="67">
        <f t="shared" si="148"/>
        <v>1415902</v>
      </c>
      <c r="BF665" s="67">
        <f t="shared" si="147"/>
        <v>0</v>
      </c>
      <c r="BG665" s="67">
        <f t="shared" si="146"/>
        <v>0</v>
      </c>
      <c r="BH665" s="19"/>
      <c r="BI665" s="19" t="s">
        <v>1896</v>
      </c>
      <c r="BJ665" s="19" t="s">
        <v>1980</v>
      </c>
      <c r="BK665" s="68" t="s">
        <v>1980</v>
      </c>
      <c r="BQ665" s="1" t="e">
        <v>#N/A</v>
      </c>
    </row>
    <row r="666" spans="3:69" ht="15" hidden="1" customHeight="1">
      <c r="C666" s="1" t="str">
        <f t="shared" si="142"/>
        <v>3112</v>
      </c>
      <c r="D666" s="1" t="str">
        <f t="shared" si="143"/>
        <v>2401</v>
      </c>
      <c r="E666" s="19" t="s">
        <v>1895</v>
      </c>
      <c r="F666" s="19" t="s">
        <v>1896</v>
      </c>
      <c r="G666" s="62">
        <v>2112</v>
      </c>
      <c r="H666" s="19" t="s">
        <v>1955</v>
      </c>
      <c r="I666" s="105" t="s">
        <v>1838</v>
      </c>
      <c r="J666" s="86">
        <v>1</v>
      </c>
      <c r="K666" s="19" t="s">
        <v>1293</v>
      </c>
      <c r="L666" s="157" t="s">
        <v>1716</v>
      </c>
      <c r="M666" s="98" t="s">
        <v>1932</v>
      </c>
      <c r="N666" s="101">
        <v>45202</v>
      </c>
      <c r="O666" s="19">
        <v>5527.9340000000002</v>
      </c>
      <c r="P666" s="19">
        <v>24425</v>
      </c>
      <c r="Q666" s="163">
        <f t="shared" si="144"/>
        <v>135019788</v>
      </c>
      <c r="R666" s="70"/>
      <c r="S666" s="19"/>
      <c r="T666" s="164">
        <v>906828</v>
      </c>
      <c r="U666" s="19" t="s">
        <v>1933</v>
      </c>
      <c r="V666" s="74">
        <f t="shared" si="145"/>
        <v>135926616</v>
      </c>
      <c r="W666" s="75"/>
      <c r="X666" s="64">
        <f t="shared" si="133"/>
        <v>135926616</v>
      </c>
      <c r="Y666" s="19"/>
      <c r="Z666" s="19"/>
      <c r="AA666" s="19"/>
      <c r="AB666" s="19"/>
      <c r="AC666" s="64">
        <f t="shared" si="134"/>
        <v>135926616</v>
      </c>
      <c r="AD666" s="63">
        <v>45292</v>
      </c>
      <c r="AE666" s="65">
        <v>48213</v>
      </c>
      <c r="AF666" s="19">
        <v>8</v>
      </c>
      <c r="AG666" s="19">
        <f t="shared" si="119"/>
        <v>96</v>
      </c>
      <c r="AH666" s="25">
        <f t="shared" si="132"/>
        <v>1415902</v>
      </c>
      <c r="AI666" s="92"/>
      <c r="AJ666" s="92"/>
      <c r="AK666" s="27">
        <f t="shared" si="124"/>
        <v>1415902</v>
      </c>
      <c r="AL666" s="27">
        <f t="shared" si="149"/>
        <v>1415902</v>
      </c>
      <c r="AM666" s="27"/>
      <c r="AN666" s="27"/>
      <c r="AO666" s="27"/>
      <c r="AP666" s="27"/>
      <c r="AQ666" s="27"/>
      <c r="AR666" s="27"/>
      <c r="AS666" s="27"/>
      <c r="AT666" s="27"/>
      <c r="AU666" s="27"/>
      <c r="AV666" s="27"/>
      <c r="AW666" s="27">
        <f t="shared" si="136"/>
        <v>2831804</v>
      </c>
      <c r="AX666" s="79">
        <f t="shared" si="137"/>
        <v>133094812</v>
      </c>
      <c r="AY666" s="79">
        <f t="shared" si="138"/>
        <v>2831804</v>
      </c>
      <c r="AZ666" s="25">
        <f t="shared" si="139"/>
        <v>1</v>
      </c>
      <c r="BA666" s="62"/>
      <c r="BB666" s="25">
        <v>1</v>
      </c>
      <c r="BC666" s="19"/>
      <c r="BD666" s="19"/>
      <c r="BE666" s="67">
        <f t="shared" si="148"/>
        <v>1415902</v>
      </c>
      <c r="BF666" s="67">
        <f t="shared" si="147"/>
        <v>0</v>
      </c>
      <c r="BG666" s="67">
        <f t="shared" si="146"/>
        <v>0</v>
      </c>
      <c r="BH666" s="19"/>
      <c r="BI666" s="19" t="s">
        <v>1896</v>
      </c>
      <c r="BJ666" s="19" t="s">
        <v>1980</v>
      </c>
      <c r="BK666" s="68" t="s">
        <v>1980</v>
      </c>
      <c r="BQ666" s="1" t="e">
        <v>#N/A</v>
      </c>
    </row>
    <row r="667" spans="3:69" ht="15" hidden="1" customHeight="1">
      <c r="C667" s="1" t="str">
        <f t="shared" si="142"/>
        <v>3112</v>
      </c>
      <c r="D667" s="1" t="str">
        <f t="shared" si="143"/>
        <v>2401</v>
      </c>
      <c r="E667" s="19" t="s">
        <v>1895</v>
      </c>
      <c r="F667" s="19" t="s">
        <v>1896</v>
      </c>
      <c r="G667" s="62">
        <v>2112</v>
      </c>
      <c r="H667" s="19" t="s">
        <v>1956</v>
      </c>
      <c r="I667" s="105" t="s">
        <v>1838</v>
      </c>
      <c r="J667" s="86">
        <v>1</v>
      </c>
      <c r="K667" s="19" t="s">
        <v>1293</v>
      </c>
      <c r="L667" s="157" t="s">
        <v>1716</v>
      </c>
      <c r="M667" s="98" t="s">
        <v>1932</v>
      </c>
      <c r="N667" s="101">
        <v>45202</v>
      </c>
      <c r="O667" s="19">
        <v>5527.9340000000002</v>
      </c>
      <c r="P667" s="19">
        <v>24425</v>
      </c>
      <c r="Q667" s="163">
        <f t="shared" si="144"/>
        <v>135019788</v>
      </c>
      <c r="R667" s="70"/>
      <c r="S667" s="19"/>
      <c r="T667" s="164">
        <v>906828</v>
      </c>
      <c r="U667" s="19" t="s">
        <v>1933</v>
      </c>
      <c r="V667" s="74">
        <f t="shared" si="145"/>
        <v>135926616</v>
      </c>
      <c r="W667" s="75"/>
      <c r="X667" s="64">
        <f t="shared" si="133"/>
        <v>135926616</v>
      </c>
      <c r="Y667" s="19"/>
      <c r="Z667" s="19"/>
      <c r="AA667" s="19"/>
      <c r="AB667" s="19"/>
      <c r="AC667" s="64">
        <f t="shared" si="134"/>
        <v>135926616</v>
      </c>
      <c r="AD667" s="63">
        <v>45292</v>
      </c>
      <c r="AE667" s="65">
        <v>48213</v>
      </c>
      <c r="AF667" s="19">
        <v>8</v>
      </c>
      <c r="AG667" s="19">
        <f t="shared" si="119"/>
        <v>96</v>
      </c>
      <c r="AH667" s="25">
        <f t="shared" si="132"/>
        <v>1415902</v>
      </c>
      <c r="AI667" s="92"/>
      <c r="AJ667" s="92"/>
      <c r="AK667" s="27">
        <f t="shared" si="124"/>
        <v>1415902</v>
      </c>
      <c r="AL667" s="27">
        <f t="shared" si="149"/>
        <v>1415902</v>
      </c>
      <c r="AM667" s="27"/>
      <c r="AN667" s="27"/>
      <c r="AO667" s="27"/>
      <c r="AP667" s="27"/>
      <c r="AQ667" s="27"/>
      <c r="AR667" s="27"/>
      <c r="AS667" s="27"/>
      <c r="AT667" s="27"/>
      <c r="AU667" s="27"/>
      <c r="AV667" s="27"/>
      <c r="AW667" s="27">
        <f t="shared" si="136"/>
        <v>2831804</v>
      </c>
      <c r="AX667" s="79">
        <f t="shared" si="137"/>
        <v>133094812</v>
      </c>
      <c r="AY667" s="79">
        <f t="shared" si="138"/>
        <v>2831804</v>
      </c>
      <c r="AZ667" s="25">
        <f t="shared" si="139"/>
        <v>1</v>
      </c>
      <c r="BA667" s="62"/>
      <c r="BB667" s="25">
        <v>1</v>
      </c>
      <c r="BC667" s="19"/>
      <c r="BD667" s="19"/>
      <c r="BE667" s="67">
        <f t="shared" si="148"/>
        <v>1415902</v>
      </c>
      <c r="BF667" s="67">
        <f t="shared" si="147"/>
        <v>0</v>
      </c>
      <c r="BG667" s="67">
        <f t="shared" si="146"/>
        <v>0</v>
      </c>
      <c r="BH667" s="19"/>
      <c r="BI667" s="19" t="s">
        <v>1896</v>
      </c>
      <c r="BJ667" s="19" t="s">
        <v>1980</v>
      </c>
      <c r="BK667" s="68" t="s">
        <v>1980</v>
      </c>
      <c r="BQ667" s="1" t="e">
        <v>#N/A</v>
      </c>
    </row>
    <row r="668" spans="3:69" ht="15" hidden="1" customHeight="1">
      <c r="C668" s="1" t="str">
        <f t="shared" si="142"/>
        <v>3112</v>
      </c>
      <c r="D668" s="1" t="str">
        <f t="shared" si="143"/>
        <v>2401</v>
      </c>
      <c r="E668" s="19" t="s">
        <v>1895</v>
      </c>
      <c r="F668" s="19" t="s">
        <v>1896</v>
      </c>
      <c r="G668" s="62">
        <v>2112</v>
      </c>
      <c r="H668" s="19" t="s">
        <v>1957</v>
      </c>
      <c r="I668" s="105" t="s">
        <v>1838</v>
      </c>
      <c r="J668" s="86">
        <v>1</v>
      </c>
      <c r="K668" s="19" t="s">
        <v>1293</v>
      </c>
      <c r="L668" s="157" t="s">
        <v>1716</v>
      </c>
      <c r="M668" s="98" t="s">
        <v>1932</v>
      </c>
      <c r="N668" s="101">
        <v>45202</v>
      </c>
      <c r="O668" s="19">
        <v>5527.9340000000002</v>
      </c>
      <c r="P668" s="19">
        <v>24425</v>
      </c>
      <c r="Q668" s="163">
        <f t="shared" si="144"/>
        <v>135019788</v>
      </c>
      <c r="R668" s="70"/>
      <c r="S668" s="19"/>
      <c r="T668" s="164">
        <v>906828</v>
      </c>
      <c r="U668" s="19" t="s">
        <v>1933</v>
      </c>
      <c r="V668" s="74">
        <f t="shared" si="145"/>
        <v>135926616</v>
      </c>
      <c r="W668" s="75"/>
      <c r="X668" s="64">
        <f t="shared" si="133"/>
        <v>135926616</v>
      </c>
      <c r="Y668" s="19"/>
      <c r="Z668" s="19"/>
      <c r="AA668" s="19"/>
      <c r="AB668" s="19"/>
      <c r="AC668" s="64">
        <f t="shared" si="134"/>
        <v>135926616</v>
      </c>
      <c r="AD668" s="63">
        <v>45292</v>
      </c>
      <c r="AE668" s="65">
        <v>48213</v>
      </c>
      <c r="AF668" s="19">
        <v>8</v>
      </c>
      <c r="AG668" s="19">
        <f t="shared" si="119"/>
        <v>96</v>
      </c>
      <c r="AH668" s="25">
        <f t="shared" si="132"/>
        <v>1415902</v>
      </c>
      <c r="AI668" s="92"/>
      <c r="AJ668" s="92"/>
      <c r="AK668" s="27">
        <f t="shared" si="124"/>
        <v>1415902</v>
      </c>
      <c r="AL668" s="27">
        <f t="shared" si="149"/>
        <v>1415902</v>
      </c>
      <c r="AM668" s="27"/>
      <c r="AN668" s="27"/>
      <c r="AO668" s="27"/>
      <c r="AP668" s="27"/>
      <c r="AQ668" s="27"/>
      <c r="AR668" s="27"/>
      <c r="AS668" s="27"/>
      <c r="AT668" s="27"/>
      <c r="AU668" s="27"/>
      <c r="AV668" s="27"/>
      <c r="AW668" s="27">
        <f t="shared" si="136"/>
        <v>2831804</v>
      </c>
      <c r="AX668" s="79">
        <f t="shared" si="137"/>
        <v>133094812</v>
      </c>
      <c r="AY668" s="79">
        <f t="shared" si="138"/>
        <v>2831804</v>
      </c>
      <c r="AZ668" s="25">
        <f t="shared" si="139"/>
        <v>1</v>
      </c>
      <c r="BA668" s="62"/>
      <c r="BB668" s="25">
        <v>1</v>
      </c>
      <c r="BC668" s="19"/>
      <c r="BD668" s="19"/>
      <c r="BE668" s="67">
        <f t="shared" si="148"/>
        <v>1415902</v>
      </c>
      <c r="BF668" s="67">
        <f t="shared" si="147"/>
        <v>0</v>
      </c>
      <c r="BG668" s="67">
        <f t="shared" si="146"/>
        <v>0</v>
      </c>
      <c r="BH668" s="19"/>
      <c r="BI668" s="19" t="s">
        <v>1896</v>
      </c>
      <c r="BJ668" s="19" t="s">
        <v>1980</v>
      </c>
      <c r="BK668" s="68" t="s">
        <v>1980</v>
      </c>
      <c r="BQ668" s="1" t="e">
        <v>#N/A</v>
      </c>
    </row>
    <row r="669" spans="3:69" ht="15" hidden="1" customHeight="1">
      <c r="C669" s="1" t="str">
        <f t="shared" si="142"/>
        <v>3112</v>
      </c>
      <c r="D669" s="1" t="str">
        <f t="shared" si="143"/>
        <v>2401</v>
      </c>
      <c r="E669" s="19" t="s">
        <v>1895</v>
      </c>
      <c r="F669" s="19" t="s">
        <v>1896</v>
      </c>
      <c r="G669" s="62">
        <v>2112</v>
      </c>
      <c r="H669" s="19" t="s">
        <v>1958</v>
      </c>
      <c r="I669" s="105" t="s">
        <v>1838</v>
      </c>
      <c r="J669" s="86">
        <v>1</v>
      </c>
      <c r="K669" s="19" t="s">
        <v>1293</v>
      </c>
      <c r="L669" s="157" t="s">
        <v>1716</v>
      </c>
      <c r="M669" s="98" t="s">
        <v>1932</v>
      </c>
      <c r="N669" s="101">
        <v>45202</v>
      </c>
      <c r="O669" s="19">
        <v>5527.9340000000002</v>
      </c>
      <c r="P669" s="19">
        <v>24425</v>
      </c>
      <c r="Q669" s="163">
        <f t="shared" si="144"/>
        <v>135019788</v>
      </c>
      <c r="R669" s="70"/>
      <c r="S669" s="19"/>
      <c r="T669" s="164">
        <v>906828</v>
      </c>
      <c r="U669" s="19" t="s">
        <v>1933</v>
      </c>
      <c r="V669" s="74">
        <f t="shared" si="145"/>
        <v>135926616</v>
      </c>
      <c r="W669" s="75"/>
      <c r="X669" s="64">
        <f t="shared" si="133"/>
        <v>135926616</v>
      </c>
      <c r="Y669" s="19"/>
      <c r="Z669" s="19"/>
      <c r="AA669" s="19"/>
      <c r="AB669" s="19"/>
      <c r="AC669" s="64">
        <f t="shared" si="134"/>
        <v>135926616</v>
      </c>
      <c r="AD669" s="63">
        <v>45292</v>
      </c>
      <c r="AE669" s="65">
        <v>48213</v>
      </c>
      <c r="AF669" s="19">
        <v>8</v>
      </c>
      <c r="AG669" s="19">
        <f t="shared" si="119"/>
        <v>96</v>
      </c>
      <c r="AH669" s="25">
        <f t="shared" si="132"/>
        <v>1415902</v>
      </c>
      <c r="AI669" s="92"/>
      <c r="AJ669" s="92"/>
      <c r="AK669" s="27">
        <f t="shared" si="124"/>
        <v>1415902</v>
      </c>
      <c r="AL669" s="27">
        <f t="shared" si="149"/>
        <v>1415902</v>
      </c>
      <c r="AM669" s="27"/>
      <c r="AN669" s="27"/>
      <c r="AO669" s="27"/>
      <c r="AP669" s="27"/>
      <c r="AQ669" s="27"/>
      <c r="AR669" s="27"/>
      <c r="AS669" s="27"/>
      <c r="AT669" s="27"/>
      <c r="AU669" s="27"/>
      <c r="AV669" s="27"/>
      <c r="AW669" s="27">
        <f t="shared" si="136"/>
        <v>2831804</v>
      </c>
      <c r="AX669" s="79">
        <f t="shared" si="137"/>
        <v>133094812</v>
      </c>
      <c r="AY669" s="79">
        <f t="shared" si="138"/>
        <v>2831804</v>
      </c>
      <c r="AZ669" s="25">
        <f t="shared" si="139"/>
        <v>1</v>
      </c>
      <c r="BA669" s="62"/>
      <c r="BB669" s="25">
        <v>1</v>
      </c>
      <c r="BC669" s="19"/>
      <c r="BD669" s="19"/>
      <c r="BE669" s="67">
        <f t="shared" si="148"/>
        <v>1415902</v>
      </c>
      <c r="BF669" s="67">
        <f t="shared" si="147"/>
        <v>0</v>
      </c>
      <c r="BG669" s="67">
        <f t="shared" si="146"/>
        <v>0</v>
      </c>
      <c r="BH669" s="19"/>
      <c r="BI669" s="19" t="s">
        <v>1896</v>
      </c>
      <c r="BJ669" s="19" t="s">
        <v>1980</v>
      </c>
      <c r="BK669" s="68" t="s">
        <v>1980</v>
      </c>
      <c r="BQ669" s="1" t="e">
        <v>#N/A</v>
      </c>
    </row>
    <row r="670" spans="3:69" ht="15" hidden="1" customHeight="1">
      <c r="C670" s="1" t="str">
        <f t="shared" si="142"/>
        <v>3312</v>
      </c>
      <c r="D670" s="1" t="str">
        <f t="shared" si="143"/>
        <v>2401</v>
      </c>
      <c r="E670" s="19" t="s">
        <v>1895</v>
      </c>
      <c r="F670" s="19" t="s">
        <v>1896</v>
      </c>
      <c r="G670" s="62">
        <v>2112</v>
      </c>
      <c r="H670" s="19" t="s">
        <v>1959</v>
      </c>
      <c r="I670" s="105" t="s">
        <v>1839</v>
      </c>
      <c r="J670" s="86">
        <v>1</v>
      </c>
      <c r="K670" s="19" t="s">
        <v>619</v>
      </c>
      <c r="L670" s="157" t="s">
        <v>1716</v>
      </c>
      <c r="M670" s="98" t="s">
        <v>1858</v>
      </c>
      <c r="N670" s="101">
        <v>45210</v>
      </c>
      <c r="O670" s="19">
        <v>468509.71</v>
      </c>
      <c r="P670" s="19">
        <v>24460</v>
      </c>
      <c r="Q670" s="163">
        <f t="shared" si="144"/>
        <v>11459747507</v>
      </c>
      <c r="R670" s="70"/>
      <c r="S670" s="19"/>
      <c r="T670" s="164">
        <v>61203471</v>
      </c>
      <c r="U670" s="19" t="s">
        <v>1960</v>
      </c>
      <c r="V670" s="74">
        <f t="shared" si="145"/>
        <v>11520950978</v>
      </c>
      <c r="W670" s="75"/>
      <c r="X670" s="64">
        <f t="shared" si="133"/>
        <v>11520950978</v>
      </c>
      <c r="Y670" s="19"/>
      <c r="Z670" s="19"/>
      <c r="AA670" s="19"/>
      <c r="AB670" s="19"/>
      <c r="AC670" s="64">
        <f t="shared" si="134"/>
        <v>11520950978</v>
      </c>
      <c r="AD670" s="63">
        <v>45292</v>
      </c>
      <c r="AE670" s="65">
        <v>48944</v>
      </c>
      <c r="AF670" s="19">
        <v>10</v>
      </c>
      <c r="AG670" s="19">
        <f t="shared" si="119"/>
        <v>120</v>
      </c>
      <c r="AH670" s="25">
        <f t="shared" si="132"/>
        <v>96007925</v>
      </c>
      <c r="AI670" s="92"/>
      <c r="AJ670" s="92"/>
      <c r="AK670" s="27">
        <f t="shared" si="124"/>
        <v>96007925</v>
      </c>
      <c r="AL670" s="27">
        <f t="shared" si="149"/>
        <v>96007925</v>
      </c>
      <c r="AM670" s="27"/>
      <c r="AN670" s="27"/>
      <c r="AO670" s="27"/>
      <c r="AP670" s="27"/>
      <c r="AQ670" s="27"/>
      <c r="AR670" s="27"/>
      <c r="AS670" s="27"/>
      <c r="AT670" s="27"/>
      <c r="AU670" s="27"/>
      <c r="AV670" s="27"/>
      <c r="AW670" s="27">
        <f t="shared" si="136"/>
        <v>192015850</v>
      </c>
      <c r="AX670" s="79">
        <f t="shared" si="137"/>
        <v>11328935128</v>
      </c>
      <c r="AY670" s="79">
        <f t="shared" si="138"/>
        <v>192015850</v>
      </c>
      <c r="AZ670" s="25">
        <f t="shared" si="139"/>
        <v>1</v>
      </c>
      <c r="BA670" s="62"/>
      <c r="BB670" s="25">
        <v>1</v>
      </c>
      <c r="BC670" s="19"/>
      <c r="BD670" s="19"/>
      <c r="BE670" s="67">
        <f t="shared" si="148"/>
        <v>96007925</v>
      </c>
      <c r="BF670" s="67">
        <f t="shared" si="147"/>
        <v>0</v>
      </c>
      <c r="BG670" s="67">
        <f t="shared" si="146"/>
        <v>0</v>
      </c>
      <c r="BH670" s="19"/>
      <c r="BI670" s="19" t="s">
        <v>1896</v>
      </c>
      <c r="BJ670" s="19" t="s">
        <v>1981</v>
      </c>
      <c r="BK670" s="19" t="s">
        <v>1989</v>
      </c>
      <c r="BQ670" s="1" t="e">
        <v>#N/A</v>
      </c>
    </row>
    <row r="671" spans="3:69" ht="15" hidden="1" customHeight="1">
      <c r="C671" s="1" t="str">
        <f t="shared" si="142"/>
        <v>2812</v>
      </c>
      <c r="D671" s="1" t="str">
        <f t="shared" si="143"/>
        <v>2401</v>
      </c>
      <c r="E671" s="19" t="s">
        <v>1895</v>
      </c>
      <c r="F671" s="19" t="s">
        <v>1896</v>
      </c>
      <c r="G671" s="62">
        <v>2114</v>
      </c>
      <c r="H671" s="19" t="s">
        <v>1961</v>
      </c>
      <c r="I671" s="105" t="s">
        <v>1842</v>
      </c>
      <c r="J671" s="86">
        <v>1</v>
      </c>
      <c r="K671" s="19" t="s">
        <v>1293</v>
      </c>
      <c r="L671" s="157" t="s">
        <v>1841</v>
      </c>
      <c r="M671" s="98" t="s">
        <v>1962</v>
      </c>
      <c r="N671" s="101">
        <v>45223</v>
      </c>
      <c r="O671" s="19">
        <v>11600</v>
      </c>
      <c r="P671" s="19">
        <v>24608</v>
      </c>
      <c r="Q671" s="163">
        <f t="shared" si="144"/>
        <v>285452800</v>
      </c>
      <c r="R671" s="70"/>
      <c r="S671" s="19"/>
      <c r="T671" s="164">
        <v>12242263</v>
      </c>
      <c r="U671" s="19" t="s">
        <v>1963</v>
      </c>
      <c r="V671" s="74">
        <f t="shared" si="145"/>
        <v>297695063</v>
      </c>
      <c r="W671" s="75"/>
      <c r="X671" s="64">
        <f t="shared" si="133"/>
        <v>297695063</v>
      </c>
      <c r="Y671" s="19"/>
      <c r="Z671" s="19"/>
      <c r="AA671" s="19"/>
      <c r="AB671" s="19"/>
      <c r="AC671" s="64">
        <f t="shared" si="134"/>
        <v>297695063</v>
      </c>
      <c r="AD671" s="63">
        <v>45292</v>
      </c>
      <c r="AE671" s="65">
        <v>47118</v>
      </c>
      <c r="AF671" s="19">
        <v>5</v>
      </c>
      <c r="AG671" s="19">
        <f t="shared" si="119"/>
        <v>60</v>
      </c>
      <c r="AH671" s="25">
        <f t="shared" si="132"/>
        <v>4961584</v>
      </c>
      <c r="AI671" s="92"/>
      <c r="AJ671" s="92"/>
      <c r="AK671" s="27">
        <f t="shared" si="124"/>
        <v>4961584</v>
      </c>
      <c r="AL671" s="27">
        <f t="shared" si="149"/>
        <v>4961584</v>
      </c>
      <c r="AM671" s="27"/>
      <c r="AN671" s="27"/>
      <c r="AO671" s="27"/>
      <c r="AP671" s="27"/>
      <c r="AQ671" s="27"/>
      <c r="AR671" s="27"/>
      <c r="AS671" s="27"/>
      <c r="AT671" s="27"/>
      <c r="AU671" s="27"/>
      <c r="AV671" s="27"/>
      <c r="AW671" s="27">
        <f t="shared" si="136"/>
        <v>9923168</v>
      </c>
      <c r="AX671" s="79">
        <f t="shared" si="137"/>
        <v>287771895</v>
      </c>
      <c r="AY671" s="79">
        <f t="shared" si="138"/>
        <v>9923168</v>
      </c>
      <c r="AZ671" s="25">
        <f t="shared" si="139"/>
        <v>1</v>
      </c>
      <c r="BA671" s="62"/>
      <c r="BB671" s="25">
        <v>1</v>
      </c>
      <c r="BC671" s="19"/>
      <c r="BD671" s="19"/>
      <c r="BE671" s="67">
        <f t="shared" si="148"/>
        <v>4961584</v>
      </c>
      <c r="BF671" s="67">
        <f t="shared" si="147"/>
        <v>0</v>
      </c>
      <c r="BG671" s="67">
        <f t="shared" si="146"/>
        <v>0</v>
      </c>
      <c r="BH671" s="19"/>
      <c r="BI671" s="19" t="s">
        <v>1896</v>
      </c>
      <c r="BJ671" s="19" t="s">
        <v>1929</v>
      </c>
      <c r="BK671" s="19" t="s">
        <v>1989</v>
      </c>
      <c r="BQ671" s="1" t="e">
        <v>#N/A</v>
      </c>
    </row>
    <row r="672" spans="3:69" ht="15" hidden="1" customHeight="1">
      <c r="C672" s="1" t="str">
        <f t="shared" si="142"/>
        <v>2812</v>
      </c>
      <c r="D672" s="1" t="str">
        <f t="shared" si="143"/>
        <v>2401</v>
      </c>
      <c r="E672" s="19" t="s">
        <v>1895</v>
      </c>
      <c r="F672" s="19" t="s">
        <v>1896</v>
      </c>
      <c r="G672" s="62">
        <v>2114</v>
      </c>
      <c r="H672" s="19" t="s">
        <v>1964</v>
      </c>
      <c r="I672" s="105" t="s">
        <v>1831</v>
      </c>
      <c r="J672" s="86">
        <v>1</v>
      </c>
      <c r="K672" s="19" t="s">
        <v>1192</v>
      </c>
      <c r="L672" s="157" t="s">
        <v>1828</v>
      </c>
      <c r="M672" s="98" t="s">
        <v>1965</v>
      </c>
      <c r="N672" s="101">
        <v>45224</v>
      </c>
      <c r="O672" s="19"/>
      <c r="P672" s="19"/>
      <c r="Q672" s="163">
        <v>93500000</v>
      </c>
      <c r="R672" s="70"/>
      <c r="S672" s="19"/>
      <c r="T672" s="70"/>
      <c r="U672" s="19"/>
      <c r="V672" s="74">
        <f t="shared" si="145"/>
        <v>93500000</v>
      </c>
      <c r="W672" s="75"/>
      <c r="X672" s="64">
        <f t="shared" si="133"/>
        <v>93500000</v>
      </c>
      <c r="Y672" s="19"/>
      <c r="Z672" s="19"/>
      <c r="AA672" s="19"/>
      <c r="AB672" s="19"/>
      <c r="AC672" s="64">
        <f t="shared" si="134"/>
        <v>93500000</v>
      </c>
      <c r="AD672" s="63">
        <v>45292</v>
      </c>
      <c r="AE672" s="65">
        <v>47118</v>
      </c>
      <c r="AF672" s="19">
        <v>5</v>
      </c>
      <c r="AG672" s="19">
        <f t="shared" si="119"/>
        <v>60</v>
      </c>
      <c r="AH672" s="25">
        <f t="shared" si="132"/>
        <v>1558333</v>
      </c>
      <c r="AI672" s="92"/>
      <c r="AJ672" s="92"/>
      <c r="AK672" s="27">
        <f t="shared" si="124"/>
        <v>1558333</v>
      </c>
      <c r="AL672" s="27">
        <f t="shared" si="149"/>
        <v>1558333</v>
      </c>
      <c r="AM672" s="27"/>
      <c r="AN672" s="27"/>
      <c r="AO672" s="27"/>
      <c r="AP672" s="27"/>
      <c r="AQ672" s="27"/>
      <c r="AR672" s="27"/>
      <c r="AS672" s="27"/>
      <c r="AT672" s="27"/>
      <c r="AU672" s="27"/>
      <c r="AV672" s="27"/>
      <c r="AW672" s="27">
        <f t="shared" si="136"/>
        <v>3116666</v>
      </c>
      <c r="AX672" s="79">
        <f t="shared" si="137"/>
        <v>90383334</v>
      </c>
      <c r="AY672" s="79">
        <f t="shared" si="138"/>
        <v>3116666</v>
      </c>
      <c r="AZ672" s="25">
        <f t="shared" si="139"/>
        <v>1</v>
      </c>
      <c r="BA672" s="62"/>
      <c r="BB672" s="25">
        <v>1</v>
      </c>
      <c r="BC672" s="19"/>
      <c r="BD672" s="19"/>
      <c r="BE672" s="67">
        <f t="shared" si="148"/>
        <v>1558333</v>
      </c>
      <c r="BF672" s="67">
        <f t="shared" si="147"/>
        <v>0</v>
      </c>
      <c r="BG672" s="67">
        <f t="shared" si="146"/>
        <v>0</v>
      </c>
      <c r="BH672" s="19"/>
      <c r="BI672" s="19" t="s">
        <v>1896</v>
      </c>
      <c r="BJ672" s="19" t="s">
        <v>1929</v>
      </c>
      <c r="BK672" s="19" t="s">
        <v>1989</v>
      </c>
      <c r="BQ672" s="1" t="e">
        <v>#N/A</v>
      </c>
    </row>
    <row r="673" spans="3:69" ht="15" hidden="1" customHeight="1">
      <c r="C673" s="1" t="str">
        <f t="shared" si="142"/>
        <v>3112</v>
      </c>
      <c r="D673" s="1" t="str">
        <f t="shared" si="143"/>
        <v>2401</v>
      </c>
      <c r="E673" s="19" t="s">
        <v>1895</v>
      </c>
      <c r="F673" s="19" t="s">
        <v>1896</v>
      </c>
      <c r="G673" s="62">
        <v>2112</v>
      </c>
      <c r="H673" s="19" t="s">
        <v>1966</v>
      </c>
      <c r="I673" s="105" t="s">
        <v>1967</v>
      </c>
      <c r="J673" s="86">
        <v>1</v>
      </c>
      <c r="K673" s="19" t="s">
        <v>1192</v>
      </c>
      <c r="L673" s="157" t="s">
        <v>1153</v>
      </c>
      <c r="M673" s="98" t="s">
        <v>1968</v>
      </c>
      <c r="N673" s="101">
        <v>45225</v>
      </c>
      <c r="O673" s="19"/>
      <c r="P673" s="19"/>
      <c r="Q673" s="163">
        <v>636140000</v>
      </c>
      <c r="R673" s="70"/>
      <c r="S673" s="19"/>
      <c r="T673" s="70"/>
      <c r="U673" s="19"/>
      <c r="V673" s="74">
        <f t="shared" si="145"/>
        <v>636140000</v>
      </c>
      <c r="W673" s="75"/>
      <c r="X673" s="64">
        <f t="shared" si="133"/>
        <v>636140000</v>
      </c>
      <c r="Y673" s="19"/>
      <c r="Z673" s="19"/>
      <c r="AA673" s="19"/>
      <c r="AB673" s="19"/>
      <c r="AC673" s="64">
        <f t="shared" si="134"/>
        <v>636140000</v>
      </c>
      <c r="AD673" s="63">
        <v>45292</v>
      </c>
      <c r="AE673" s="65">
        <v>48213</v>
      </c>
      <c r="AF673" s="19">
        <v>8</v>
      </c>
      <c r="AG673" s="19">
        <f t="shared" si="119"/>
        <v>96</v>
      </c>
      <c r="AH673" s="25">
        <f t="shared" si="132"/>
        <v>6626458</v>
      </c>
      <c r="AI673" s="92"/>
      <c r="AJ673" s="92"/>
      <c r="AK673" s="27">
        <f t="shared" si="124"/>
        <v>6626458</v>
      </c>
      <c r="AL673" s="27">
        <f t="shared" si="149"/>
        <v>6626458</v>
      </c>
      <c r="AM673" s="27"/>
      <c r="AN673" s="27"/>
      <c r="AO673" s="27"/>
      <c r="AP673" s="27"/>
      <c r="AQ673" s="27"/>
      <c r="AR673" s="27"/>
      <c r="AS673" s="27"/>
      <c r="AT673" s="27"/>
      <c r="AU673" s="27"/>
      <c r="AV673" s="27"/>
      <c r="AW673" s="27">
        <f t="shared" si="136"/>
        <v>13252916</v>
      </c>
      <c r="AX673" s="79">
        <f t="shared" si="137"/>
        <v>622887084</v>
      </c>
      <c r="AY673" s="79">
        <f t="shared" si="138"/>
        <v>13252916</v>
      </c>
      <c r="AZ673" s="25">
        <f t="shared" si="139"/>
        <v>1</v>
      </c>
      <c r="BA673" s="62"/>
      <c r="BB673" s="25">
        <v>1</v>
      </c>
      <c r="BC673" s="19"/>
      <c r="BD673" s="19"/>
      <c r="BE673" s="67">
        <f t="shared" si="148"/>
        <v>6626458</v>
      </c>
      <c r="BF673" s="67">
        <f t="shared" si="147"/>
        <v>0</v>
      </c>
      <c r="BG673" s="67">
        <f t="shared" si="146"/>
        <v>0</v>
      </c>
      <c r="BH673" s="19"/>
      <c r="BI673" s="19" t="s">
        <v>1896</v>
      </c>
      <c r="BJ673" s="19" t="s">
        <v>1929</v>
      </c>
      <c r="BK673" s="19" t="s">
        <v>1989</v>
      </c>
      <c r="BQ673" s="1" t="e">
        <v>#N/A</v>
      </c>
    </row>
    <row r="674" spans="3:69" ht="15" hidden="1" customHeight="1">
      <c r="C674" s="1" t="str">
        <f t="shared" si="142"/>
        <v>3312</v>
      </c>
      <c r="D674" s="1" t="str">
        <f t="shared" si="143"/>
        <v>2401</v>
      </c>
      <c r="E674" s="19" t="s">
        <v>1895</v>
      </c>
      <c r="F674" s="19" t="s">
        <v>1896</v>
      </c>
      <c r="G674" s="62">
        <v>2112</v>
      </c>
      <c r="H674" s="19" t="s">
        <v>1969</v>
      </c>
      <c r="I674" s="105" t="s">
        <v>1970</v>
      </c>
      <c r="J674" s="86">
        <v>1</v>
      </c>
      <c r="K674" s="19" t="s">
        <v>1192</v>
      </c>
      <c r="L674" s="157" t="s">
        <v>1873</v>
      </c>
      <c r="M674" s="98" t="s">
        <v>1971</v>
      </c>
      <c r="N674" s="101">
        <v>45240</v>
      </c>
      <c r="O674" s="19"/>
      <c r="P674" s="19"/>
      <c r="Q674" s="163">
        <v>1090000000</v>
      </c>
      <c r="R674" s="70"/>
      <c r="S674" s="19"/>
      <c r="T674" s="70"/>
      <c r="U674" s="19"/>
      <c r="V674" s="74">
        <f t="shared" si="145"/>
        <v>1090000000</v>
      </c>
      <c r="W674" s="75"/>
      <c r="X674" s="64">
        <f t="shared" si="133"/>
        <v>1090000000</v>
      </c>
      <c r="Y674" s="19"/>
      <c r="Z674" s="19"/>
      <c r="AA674" s="19"/>
      <c r="AB674" s="19"/>
      <c r="AC674" s="64">
        <f t="shared" si="134"/>
        <v>1090000000</v>
      </c>
      <c r="AD674" s="63">
        <v>45292</v>
      </c>
      <c r="AE674" s="65">
        <v>48944</v>
      </c>
      <c r="AF674" s="19">
        <v>10</v>
      </c>
      <c r="AG674" s="19">
        <f t="shared" si="119"/>
        <v>120</v>
      </c>
      <c r="AH674" s="25">
        <f t="shared" si="132"/>
        <v>9083333</v>
      </c>
      <c r="AI674" s="92"/>
      <c r="AJ674" s="92"/>
      <c r="AK674" s="27">
        <f t="shared" si="124"/>
        <v>9083333</v>
      </c>
      <c r="AL674" s="27">
        <f t="shared" si="149"/>
        <v>9083333</v>
      </c>
      <c r="AM674" s="27"/>
      <c r="AN674" s="27"/>
      <c r="AO674" s="27"/>
      <c r="AP674" s="27"/>
      <c r="AQ674" s="27"/>
      <c r="AR674" s="27"/>
      <c r="AS674" s="27"/>
      <c r="AT674" s="27"/>
      <c r="AU674" s="27"/>
      <c r="AV674" s="27"/>
      <c r="AW674" s="27">
        <f t="shared" si="136"/>
        <v>18166666</v>
      </c>
      <c r="AX674" s="79">
        <f t="shared" si="137"/>
        <v>1071833334</v>
      </c>
      <c r="AY674" s="79">
        <f t="shared" si="138"/>
        <v>18166666</v>
      </c>
      <c r="AZ674" s="25">
        <f t="shared" si="139"/>
        <v>1</v>
      </c>
      <c r="BA674" s="62"/>
      <c r="BB674" s="25">
        <v>1</v>
      </c>
      <c r="BC674" s="19"/>
      <c r="BD674" s="19"/>
      <c r="BE674" s="67">
        <f t="shared" si="148"/>
        <v>9083333</v>
      </c>
      <c r="BF674" s="67">
        <f t="shared" si="147"/>
        <v>0</v>
      </c>
      <c r="BG674" s="67">
        <f t="shared" si="146"/>
        <v>0</v>
      </c>
      <c r="BH674" s="19"/>
      <c r="BI674" s="19" t="s">
        <v>1896</v>
      </c>
      <c r="BJ674" s="19" t="s">
        <v>1929</v>
      </c>
      <c r="BK674" s="19" t="s">
        <v>1989</v>
      </c>
      <c r="BQ674" s="1" t="e">
        <v>#N/A</v>
      </c>
    </row>
    <row r="675" spans="3:69" ht="15" hidden="1" customHeight="1">
      <c r="C675" s="1" t="str">
        <f t="shared" si="142"/>
        <v>3312</v>
      </c>
      <c r="D675" s="1" t="str">
        <f t="shared" si="143"/>
        <v>2401</v>
      </c>
      <c r="E675" s="19" t="s">
        <v>1895</v>
      </c>
      <c r="F675" s="19" t="s">
        <v>1896</v>
      </c>
      <c r="G675" s="62">
        <v>2112</v>
      </c>
      <c r="H675" s="19" t="s">
        <v>1972</v>
      </c>
      <c r="I675" s="105" t="s">
        <v>1875</v>
      </c>
      <c r="J675" s="86">
        <v>1</v>
      </c>
      <c r="K675" s="19" t="s">
        <v>1192</v>
      </c>
      <c r="L675" s="157" t="s">
        <v>1716</v>
      </c>
      <c r="M675" s="98" t="s">
        <v>1973</v>
      </c>
      <c r="N675" s="101">
        <v>45252</v>
      </c>
      <c r="O675" s="19">
        <v>48575.08</v>
      </c>
      <c r="P675" s="19">
        <v>24540</v>
      </c>
      <c r="Q675" s="163">
        <f>ROUND(O675*P675,0)</f>
        <v>1192032463</v>
      </c>
      <c r="R675" s="70"/>
      <c r="S675" s="19"/>
      <c r="T675" s="164">
        <v>18708100</v>
      </c>
      <c r="U675" s="19" t="s">
        <v>1974</v>
      </c>
      <c r="V675" s="74">
        <f t="shared" si="145"/>
        <v>1210740563</v>
      </c>
      <c r="W675" s="75"/>
      <c r="X675" s="64">
        <f t="shared" si="133"/>
        <v>1210740563</v>
      </c>
      <c r="Y675" s="19"/>
      <c r="Z675" s="19"/>
      <c r="AA675" s="19"/>
      <c r="AB675" s="19"/>
      <c r="AC675" s="64">
        <f t="shared" si="134"/>
        <v>1210740563</v>
      </c>
      <c r="AD675" s="63">
        <v>45292</v>
      </c>
      <c r="AE675" s="65">
        <v>48944</v>
      </c>
      <c r="AF675" s="19">
        <v>10</v>
      </c>
      <c r="AG675" s="19">
        <f t="shared" si="119"/>
        <v>120</v>
      </c>
      <c r="AH675" s="25">
        <f t="shared" si="132"/>
        <v>10089505</v>
      </c>
      <c r="AI675" s="92"/>
      <c r="AJ675" s="92"/>
      <c r="AK675" s="27">
        <f t="shared" si="124"/>
        <v>10089505</v>
      </c>
      <c r="AL675" s="27">
        <f t="shared" si="149"/>
        <v>10089505</v>
      </c>
      <c r="AM675" s="27"/>
      <c r="AN675" s="27"/>
      <c r="AO675" s="27"/>
      <c r="AP675" s="27"/>
      <c r="AQ675" s="27"/>
      <c r="AR675" s="27"/>
      <c r="AS675" s="27"/>
      <c r="AT675" s="27"/>
      <c r="AU675" s="27"/>
      <c r="AV675" s="27"/>
      <c r="AW675" s="27">
        <f t="shared" si="136"/>
        <v>20179010</v>
      </c>
      <c r="AX675" s="79">
        <f t="shared" si="137"/>
        <v>1190561553</v>
      </c>
      <c r="AY675" s="79">
        <f t="shared" si="138"/>
        <v>20179010</v>
      </c>
      <c r="AZ675" s="25">
        <f t="shared" si="139"/>
        <v>1</v>
      </c>
      <c r="BA675" s="62"/>
      <c r="BB675" s="25">
        <v>1</v>
      </c>
      <c r="BC675" s="19"/>
      <c r="BD675" s="19"/>
      <c r="BE675" s="67">
        <f t="shared" si="148"/>
        <v>10089505</v>
      </c>
      <c r="BF675" s="67">
        <f t="shared" si="147"/>
        <v>0</v>
      </c>
      <c r="BG675" s="67">
        <f t="shared" si="146"/>
        <v>0</v>
      </c>
      <c r="BH675" s="19"/>
      <c r="BI675" s="19" t="s">
        <v>1896</v>
      </c>
      <c r="BJ675" s="19" t="s">
        <v>1982</v>
      </c>
      <c r="BK675" s="19" t="s">
        <v>1982</v>
      </c>
      <c r="BQ675" s="1" t="e">
        <v>#N/A</v>
      </c>
    </row>
    <row r="676" spans="3:69" ht="15" hidden="1" customHeight="1">
      <c r="C676" s="1" t="str">
        <f t="shared" si="142"/>
        <v>2812</v>
      </c>
      <c r="D676" s="1" t="str">
        <f t="shared" si="143"/>
        <v>2401</v>
      </c>
      <c r="E676" s="19" t="s">
        <v>1895</v>
      </c>
      <c r="F676" s="19" t="s">
        <v>1896</v>
      </c>
      <c r="G676" s="62">
        <v>2114</v>
      </c>
      <c r="H676" s="19" t="s">
        <v>1975</v>
      </c>
      <c r="I676" s="105" t="s">
        <v>1874</v>
      </c>
      <c r="J676" s="86">
        <v>1</v>
      </c>
      <c r="K676" s="19" t="s">
        <v>1192</v>
      </c>
      <c r="L676" s="157" t="s">
        <v>1591</v>
      </c>
      <c r="M676" s="98" t="s">
        <v>1976</v>
      </c>
      <c r="N676" s="101">
        <v>45253</v>
      </c>
      <c r="O676" s="19"/>
      <c r="P676" s="19"/>
      <c r="Q676" s="163">
        <v>177000000</v>
      </c>
      <c r="R676" s="70"/>
      <c r="S676" s="19"/>
      <c r="T676" s="70"/>
      <c r="U676" s="19"/>
      <c r="V676" s="74">
        <f t="shared" si="145"/>
        <v>177000000</v>
      </c>
      <c r="W676" s="75"/>
      <c r="X676" s="64">
        <f t="shared" si="133"/>
        <v>177000000</v>
      </c>
      <c r="Y676" s="19"/>
      <c r="Z676" s="19"/>
      <c r="AA676" s="19"/>
      <c r="AB676" s="19"/>
      <c r="AC676" s="64">
        <f t="shared" si="134"/>
        <v>177000000</v>
      </c>
      <c r="AD676" s="63">
        <v>45292</v>
      </c>
      <c r="AE676" s="65">
        <v>47118</v>
      </c>
      <c r="AF676" s="19">
        <v>5</v>
      </c>
      <c r="AG676" s="19">
        <f t="shared" si="119"/>
        <v>60</v>
      </c>
      <c r="AH676" s="25">
        <f t="shared" si="132"/>
        <v>2950000</v>
      </c>
      <c r="AI676" s="92"/>
      <c r="AJ676" s="92"/>
      <c r="AK676" s="27">
        <f t="shared" si="124"/>
        <v>2950000</v>
      </c>
      <c r="AL676" s="27">
        <f t="shared" si="149"/>
        <v>2950000</v>
      </c>
      <c r="AM676" s="27"/>
      <c r="AN676" s="27"/>
      <c r="AO676" s="27"/>
      <c r="AP676" s="27"/>
      <c r="AQ676" s="27"/>
      <c r="AR676" s="27"/>
      <c r="AS676" s="27"/>
      <c r="AT676" s="27"/>
      <c r="AU676" s="27"/>
      <c r="AV676" s="27"/>
      <c r="AW676" s="27">
        <f t="shared" si="136"/>
        <v>5900000</v>
      </c>
      <c r="AX676" s="79">
        <f t="shared" si="137"/>
        <v>171100000</v>
      </c>
      <c r="AY676" s="79">
        <f t="shared" si="138"/>
        <v>5900000</v>
      </c>
      <c r="AZ676" s="25">
        <f t="shared" si="139"/>
        <v>1</v>
      </c>
      <c r="BA676" s="62"/>
      <c r="BB676" s="25">
        <v>1</v>
      </c>
      <c r="BC676" s="19"/>
      <c r="BD676" s="19"/>
      <c r="BE676" s="67">
        <f t="shared" si="148"/>
        <v>2950000</v>
      </c>
      <c r="BF676" s="67">
        <f t="shared" si="147"/>
        <v>0</v>
      </c>
      <c r="BG676" s="67">
        <f t="shared" si="146"/>
        <v>0</v>
      </c>
      <c r="BH676" s="19"/>
      <c r="BI676" s="19" t="s">
        <v>1896</v>
      </c>
      <c r="BJ676" s="19" t="s">
        <v>1929</v>
      </c>
      <c r="BK676" s="19" t="s">
        <v>1989</v>
      </c>
      <c r="BQ676" s="1" t="e">
        <v>#N/A</v>
      </c>
    </row>
    <row r="677" spans="3:69" ht="15" hidden="1" customHeight="1">
      <c r="C677" s="1" t="str">
        <f t="shared" si="142"/>
        <v>2912</v>
      </c>
      <c r="D677" s="1" t="str">
        <f t="shared" si="143"/>
        <v>2401</v>
      </c>
      <c r="E677" s="19" t="s">
        <v>1895</v>
      </c>
      <c r="F677" s="19" t="s">
        <v>1896</v>
      </c>
      <c r="G677" s="62">
        <v>2113</v>
      </c>
      <c r="H677" s="19" t="s">
        <v>1977</v>
      </c>
      <c r="I677" s="105" t="s">
        <v>1882</v>
      </c>
      <c r="J677" s="86">
        <v>1</v>
      </c>
      <c r="K677" s="19" t="s">
        <v>1233</v>
      </c>
      <c r="L677" s="157" t="s">
        <v>1881</v>
      </c>
      <c r="M677" s="98" t="s">
        <v>1978</v>
      </c>
      <c r="N677" s="101">
        <v>45273</v>
      </c>
      <c r="O677" s="19"/>
      <c r="P677" s="19"/>
      <c r="Q677" s="163">
        <v>458000000</v>
      </c>
      <c r="R677" s="19"/>
      <c r="S677" s="19"/>
      <c r="T677" s="70"/>
      <c r="U677" s="19"/>
      <c r="V677" s="74">
        <f t="shared" si="145"/>
        <v>458000000</v>
      </c>
      <c r="W677" s="75"/>
      <c r="X677" s="64">
        <f t="shared" si="133"/>
        <v>458000000</v>
      </c>
      <c r="Y677" s="19"/>
      <c r="Z677" s="19"/>
      <c r="AA677" s="19"/>
      <c r="AB677" s="19"/>
      <c r="AC677" s="64">
        <f t="shared" si="134"/>
        <v>458000000</v>
      </c>
      <c r="AD677" s="63">
        <v>45292</v>
      </c>
      <c r="AE677" s="65">
        <v>47483</v>
      </c>
      <c r="AF677" s="19">
        <v>6</v>
      </c>
      <c r="AG677" s="19">
        <f t="shared" si="119"/>
        <v>72</v>
      </c>
      <c r="AH677" s="25">
        <f t="shared" si="132"/>
        <v>6361111</v>
      </c>
      <c r="AI677" s="92"/>
      <c r="AJ677" s="92"/>
      <c r="AK677" s="27">
        <f t="shared" si="124"/>
        <v>6361111</v>
      </c>
      <c r="AL677" s="27">
        <f t="shared" si="149"/>
        <v>6361111</v>
      </c>
      <c r="AM677" s="27"/>
      <c r="AN677" s="27"/>
      <c r="AO677" s="27"/>
      <c r="AP677" s="27"/>
      <c r="AQ677" s="27"/>
      <c r="AR677" s="27"/>
      <c r="AS677" s="27"/>
      <c r="AT677" s="27"/>
      <c r="AU677" s="27"/>
      <c r="AV677" s="27"/>
      <c r="AW677" s="27">
        <f t="shared" si="136"/>
        <v>12722222</v>
      </c>
      <c r="AX677" s="79">
        <f t="shared" si="137"/>
        <v>445277778</v>
      </c>
      <c r="AY677" s="79">
        <f t="shared" si="138"/>
        <v>12722222</v>
      </c>
      <c r="AZ677" s="25">
        <f t="shared" si="139"/>
        <v>1</v>
      </c>
      <c r="BA677" s="62"/>
      <c r="BB677" s="25">
        <v>1</v>
      </c>
      <c r="BC677" s="19"/>
      <c r="BD677" s="19"/>
      <c r="BE677" s="67">
        <f t="shared" si="148"/>
        <v>6361111</v>
      </c>
      <c r="BF677" s="67">
        <f t="shared" si="147"/>
        <v>0</v>
      </c>
      <c r="BG677" s="67">
        <f t="shared" si="146"/>
        <v>0</v>
      </c>
      <c r="BH677" s="19"/>
      <c r="BI677" s="19" t="s">
        <v>1896</v>
      </c>
      <c r="BJ677" s="19" t="s">
        <v>1929</v>
      </c>
      <c r="BK677" s="19" t="s">
        <v>1989</v>
      </c>
      <c r="BQ677" s="1" t="e">
        <v>#N/A</v>
      </c>
    </row>
    <row r="678" spans="3:69" ht="15" hidden="1" customHeight="1">
      <c r="C678" s="1" t="str">
        <f t="shared" si="142"/>
        <v>3312</v>
      </c>
      <c r="D678" s="1" t="str">
        <f t="shared" si="143"/>
        <v>2401</v>
      </c>
      <c r="E678" s="19" t="s">
        <v>1895</v>
      </c>
      <c r="F678" s="19" t="s">
        <v>1896</v>
      </c>
      <c r="G678" s="62">
        <v>2112</v>
      </c>
      <c r="H678" s="19" t="s">
        <v>1983</v>
      </c>
      <c r="I678" s="105" t="s">
        <v>1880</v>
      </c>
      <c r="J678" s="86">
        <v>1</v>
      </c>
      <c r="K678" s="19" t="s">
        <v>1233</v>
      </c>
      <c r="L678" s="157" t="s">
        <v>1843</v>
      </c>
      <c r="M678" s="98" t="s">
        <v>1984</v>
      </c>
      <c r="N678" s="101">
        <v>45231</v>
      </c>
      <c r="O678" s="19">
        <v>76000</v>
      </c>
      <c r="P678" s="19">
        <v>24587</v>
      </c>
      <c r="Q678" s="163">
        <f>ROUND(O678*P678,0)</f>
        <v>1868612000</v>
      </c>
      <c r="R678" s="70"/>
      <c r="S678" s="19"/>
      <c r="T678" s="164">
        <v>24969123</v>
      </c>
      <c r="U678" s="19"/>
      <c r="V678" s="74">
        <f t="shared" si="145"/>
        <v>1893581123</v>
      </c>
      <c r="W678" s="75"/>
      <c r="X678" s="64">
        <f t="shared" si="133"/>
        <v>1893581123</v>
      </c>
      <c r="Y678" s="19"/>
      <c r="Z678" s="19"/>
      <c r="AA678" s="19"/>
      <c r="AB678" s="19"/>
      <c r="AC678" s="64">
        <f t="shared" si="134"/>
        <v>1893581123</v>
      </c>
      <c r="AD678" s="63">
        <v>45292</v>
      </c>
      <c r="AE678" s="65">
        <v>48944</v>
      </c>
      <c r="AF678" s="19">
        <v>10</v>
      </c>
      <c r="AG678" s="19">
        <f t="shared" si="119"/>
        <v>120</v>
      </c>
      <c r="AH678" s="25">
        <f t="shared" si="132"/>
        <v>15779843</v>
      </c>
      <c r="AI678" s="92"/>
      <c r="AJ678" s="92"/>
      <c r="AK678" s="27">
        <f t="shared" si="124"/>
        <v>15779843</v>
      </c>
      <c r="AL678" s="27">
        <f t="shared" si="149"/>
        <v>15779843</v>
      </c>
      <c r="AM678" s="27"/>
      <c r="AN678" s="27"/>
      <c r="AO678" s="27"/>
      <c r="AP678" s="27"/>
      <c r="AQ678" s="27"/>
      <c r="AR678" s="27"/>
      <c r="AS678" s="27"/>
      <c r="AT678" s="27"/>
      <c r="AU678" s="27"/>
      <c r="AV678" s="27"/>
      <c r="AW678" s="27">
        <f t="shared" si="136"/>
        <v>31559686</v>
      </c>
      <c r="AX678" s="79">
        <f t="shared" si="137"/>
        <v>1862021437</v>
      </c>
      <c r="AY678" s="79">
        <f t="shared" si="138"/>
        <v>31559686</v>
      </c>
      <c r="AZ678" s="25">
        <f t="shared" si="139"/>
        <v>1</v>
      </c>
      <c r="BA678" s="62"/>
      <c r="BB678" s="25">
        <v>1</v>
      </c>
      <c r="BC678" s="19"/>
      <c r="BD678" s="19"/>
      <c r="BE678" s="67">
        <f t="shared" si="148"/>
        <v>15779843</v>
      </c>
      <c r="BF678" s="67">
        <f t="shared" si="147"/>
        <v>0</v>
      </c>
      <c r="BG678" s="67">
        <f t="shared" si="146"/>
        <v>0</v>
      </c>
      <c r="BH678" s="19"/>
      <c r="BI678" s="19" t="s">
        <v>1896</v>
      </c>
      <c r="BJ678" s="19" t="s">
        <v>1929</v>
      </c>
      <c r="BK678" s="19" t="s">
        <v>1989</v>
      </c>
      <c r="BQ678" s="1" t="e">
        <v>#N/A</v>
      </c>
    </row>
    <row r="679" spans="3:69" ht="15" hidden="1" customHeight="1">
      <c r="C679" s="1" t="str">
        <f t="shared" si="142"/>
        <v>4401</v>
      </c>
      <c r="D679" s="1" t="str">
        <f t="shared" si="143"/>
        <v>2401</v>
      </c>
      <c r="E679" s="19" t="s">
        <v>1895</v>
      </c>
      <c r="F679" s="19" t="s">
        <v>1896</v>
      </c>
      <c r="G679" s="62">
        <v>2111</v>
      </c>
      <c r="H679" s="19" t="s">
        <v>1986</v>
      </c>
      <c r="I679" s="105" t="s">
        <v>1988</v>
      </c>
      <c r="J679" s="86">
        <v>1</v>
      </c>
      <c r="K679" s="19"/>
      <c r="L679" s="157" t="s">
        <v>1783</v>
      </c>
      <c r="M679" s="98" t="s">
        <v>1987</v>
      </c>
      <c r="N679" s="101"/>
      <c r="O679" s="19"/>
      <c r="P679" s="19"/>
      <c r="Q679" s="163">
        <v>50000000000</v>
      </c>
      <c r="R679" s="19"/>
      <c r="S679" s="19"/>
      <c r="T679" s="70"/>
      <c r="U679" s="19"/>
      <c r="V679" s="74">
        <f t="shared" si="145"/>
        <v>50000000000</v>
      </c>
      <c r="W679" s="75"/>
      <c r="X679" s="64">
        <f t="shared" si="133"/>
        <v>50000000000</v>
      </c>
      <c r="Y679" s="19"/>
      <c r="Z679" s="19"/>
      <c r="AA679" s="19"/>
      <c r="AB679" s="19"/>
      <c r="AC679" s="64">
        <f t="shared" si="134"/>
        <v>50000000000</v>
      </c>
      <c r="AD679" s="63">
        <v>45311</v>
      </c>
      <c r="AE679" s="65">
        <v>52615</v>
      </c>
      <c r="AF679" s="19">
        <v>20</v>
      </c>
      <c r="AG679" s="19">
        <f t="shared" si="119"/>
        <v>240</v>
      </c>
      <c r="AH679" s="25">
        <f t="shared" ref="AH679:AH686" si="150">+ROUND(AC679/AG679,0)</f>
        <v>208333333</v>
      </c>
      <c r="AI679" s="92"/>
      <c r="AJ679" s="92"/>
      <c r="AK679" s="27">
        <f>+AH679*12/31</f>
        <v>80645161.161290318</v>
      </c>
      <c r="AL679" s="27">
        <f t="shared" si="149"/>
        <v>208333333</v>
      </c>
      <c r="AM679" s="27"/>
      <c r="AN679" s="27"/>
      <c r="AO679" s="27"/>
      <c r="AP679" s="27"/>
      <c r="AQ679" s="27"/>
      <c r="AR679" s="27"/>
      <c r="AS679" s="27"/>
      <c r="AT679" s="27"/>
      <c r="AU679" s="27"/>
      <c r="AV679" s="27"/>
      <c r="AW679" s="27">
        <f t="shared" si="136"/>
        <v>288978494.16129029</v>
      </c>
      <c r="AX679" s="79">
        <f t="shared" si="137"/>
        <v>49711021505.838707</v>
      </c>
      <c r="AY679" s="79">
        <f t="shared" si="138"/>
        <v>288978494.16129029</v>
      </c>
      <c r="AZ679" s="25">
        <f t="shared" si="139"/>
        <v>1</v>
      </c>
      <c r="BA679" s="62"/>
      <c r="BB679" s="25">
        <v>1</v>
      </c>
      <c r="BC679" s="19"/>
      <c r="BD679" s="19"/>
      <c r="BE679" s="67">
        <f t="shared" si="148"/>
        <v>208333333</v>
      </c>
      <c r="BF679" s="67">
        <f t="shared" si="147"/>
        <v>0</v>
      </c>
      <c r="BG679" s="67">
        <f t="shared" si="146"/>
        <v>0</v>
      </c>
      <c r="BH679" s="19"/>
      <c r="BI679" s="19" t="s">
        <v>1896</v>
      </c>
      <c r="BJ679" s="19" t="s">
        <v>1929</v>
      </c>
      <c r="BK679" s="19" t="s">
        <v>1989</v>
      </c>
      <c r="BQ679" s="1" t="e">
        <v>#N/A</v>
      </c>
    </row>
    <row r="680" spans="3:69" ht="15" hidden="1" customHeight="1">
      <c r="C680" s="1" t="str">
        <f t="shared" si="142"/>
        <v>2901</v>
      </c>
      <c r="D680" s="1" t="str">
        <f t="shared" si="143"/>
        <v>2402</v>
      </c>
      <c r="E680" s="19" t="s">
        <v>2025</v>
      </c>
      <c r="F680" s="19" t="s">
        <v>1896</v>
      </c>
      <c r="G680" s="62">
        <v>2114</v>
      </c>
      <c r="H680" s="19" t="s">
        <v>1999</v>
      </c>
      <c r="I680" s="105" t="s">
        <v>2000</v>
      </c>
      <c r="J680" s="86">
        <v>1</v>
      </c>
      <c r="K680" s="19" t="s">
        <v>2001</v>
      </c>
      <c r="L680" s="157" t="s">
        <v>2002</v>
      </c>
      <c r="M680" s="98" t="s">
        <v>1429</v>
      </c>
      <c r="N680" s="101">
        <v>45321</v>
      </c>
      <c r="O680" s="19"/>
      <c r="P680" s="19"/>
      <c r="Q680" s="163">
        <v>426000000</v>
      </c>
      <c r="R680" s="19"/>
      <c r="S680" s="19"/>
      <c r="T680" s="70"/>
      <c r="U680" s="19"/>
      <c r="V680" s="74">
        <f t="shared" si="145"/>
        <v>426000000</v>
      </c>
      <c r="W680" s="75"/>
      <c r="X680" s="64">
        <f t="shared" si="133"/>
        <v>426000000</v>
      </c>
      <c r="Y680" s="19"/>
      <c r="Z680" s="19"/>
      <c r="AA680" s="19"/>
      <c r="AB680" s="19"/>
      <c r="AC680" s="64">
        <f t="shared" si="134"/>
        <v>426000000</v>
      </c>
      <c r="AD680" s="63">
        <v>45323</v>
      </c>
      <c r="AE680" s="65">
        <v>47149</v>
      </c>
      <c r="AF680" s="19">
        <v>5</v>
      </c>
      <c r="AG680" s="19">
        <f t="shared" ref="AG680:AG686" si="151">+AF680*12</f>
        <v>60</v>
      </c>
      <c r="AH680" s="25">
        <f t="shared" si="150"/>
        <v>7100000</v>
      </c>
      <c r="AI680" s="92"/>
      <c r="AJ680" s="92"/>
      <c r="AK680" s="27"/>
      <c r="AL680" s="27">
        <f t="shared" si="149"/>
        <v>7100000</v>
      </c>
      <c r="AM680" s="27"/>
      <c r="AN680" s="27"/>
      <c r="AO680" s="27"/>
      <c r="AP680" s="27"/>
      <c r="AQ680" s="27"/>
      <c r="AR680" s="27"/>
      <c r="AS680" s="27"/>
      <c r="AT680" s="27"/>
      <c r="AU680" s="27"/>
      <c r="AV680" s="27"/>
      <c r="AW680" s="27">
        <f t="shared" ref="AW680:AW693" si="152">+SUM(AK680:AV680)</f>
        <v>7100000</v>
      </c>
      <c r="AX680" s="79">
        <f t="shared" ref="AX680:AX693" si="153">AC680-AI680-AW680</f>
        <v>418900000</v>
      </c>
      <c r="AY680" s="79">
        <f t="shared" ref="AY680:AY693" si="154">AW680+AI680</f>
        <v>7100000</v>
      </c>
      <c r="AZ680" s="25">
        <f t="shared" si="139"/>
        <v>1</v>
      </c>
      <c r="BA680" s="62"/>
      <c r="BB680" s="25">
        <v>1</v>
      </c>
      <c r="BC680" s="19"/>
      <c r="BD680" s="19"/>
      <c r="BE680" s="67">
        <f t="shared" si="148"/>
        <v>7100000</v>
      </c>
      <c r="BF680" s="67">
        <f t="shared" si="147"/>
        <v>0</v>
      </c>
      <c r="BG680" s="67">
        <f t="shared" si="146"/>
        <v>0</v>
      </c>
      <c r="BH680" s="19"/>
      <c r="BI680" s="19" t="s">
        <v>1896</v>
      </c>
      <c r="BJ680" s="19" t="s">
        <v>1929</v>
      </c>
      <c r="BK680" s="19" t="s">
        <v>1989</v>
      </c>
      <c r="BQ680" s="1" t="e">
        <v>#N/A</v>
      </c>
    </row>
    <row r="681" spans="3:69" ht="15" hidden="1" customHeight="1">
      <c r="C681" s="1" t="str">
        <f t="shared" si="142"/>
        <v>3401</v>
      </c>
      <c r="D681" s="1" t="str">
        <f t="shared" si="143"/>
        <v>2402</v>
      </c>
      <c r="E681" s="19" t="s">
        <v>2025</v>
      </c>
      <c r="F681" s="19" t="s">
        <v>1896</v>
      </c>
      <c r="G681" s="62">
        <v>2114</v>
      </c>
      <c r="H681" s="19" t="s">
        <v>2003</v>
      </c>
      <c r="I681" s="105" t="s">
        <v>2004</v>
      </c>
      <c r="J681" s="86">
        <v>1</v>
      </c>
      <c r="K681" s="19" t="s">
        <v>2005</v>
      </c>
      <c r="L681" s="157" t="s">
        <v>2006</v>
      </c>
      <c r="M681" s="98" t="s">
        <v>1429</v>
      </c>
      <c r="N681" s="101">
        <v>45321</v>
      </c>
      <c r="O681" s="19"/>
      <c r="P681" s="19"/>
      <c r="Q681" s="163">
        <f>122314545+283590000</f>
        <v>405904545</v>
      </c>
      <c r="R681" s="19"/>
      <c r="S681" s="19"/>
      <c r="T681" s="70"/>
      <c r="U681" s="19"/>
      <c r="V681" s="74">
        <f t="shared" si="145"/>
        <v>405904545</v>
      </c>
      <c r="W681" s="75"/>
      <c r="X681" s="64">
        <f t="shared" si="133"/>
        <v>405904545</v>
      </c>
      <c r="Y681" s="19"/>
      <c r="Z681" s="19"/>
      <c r="AA681" s="19"/>
      <c r="AB681" s="19"/>
      <c r="AC681" s="64">
        <f t="shared" si="134"/>
        <v>405904545</v>
      </c>
      <c r="AD681" s="63">
        <v>45323</v>
      </c>
      <c r="AE681" s="65">
        <v>48975</v>
      </c>
      <c r="AF681" s="19">
        <v>10</v>
      </c>
      <c r="AG681" s="19">
        <f t="shared" si="151"/>
        <v>120</v>
      </c>
      <c r="AH681" s="25">
        <f t="shared" si="150"/>
        <v>3382538</v>
      </c>
      <c r="AI681" s="92"/>
      <c r="AJ681" s="92"/>
      <c r="AK681" s="27"/>
      <c r="AL681" s="27">
        <f t="shared" si="149"/>
        <v>3382538</v>
      </c>
      <c r="AM681" s="27"/>
      <c r="AN681" s="27"/>
      <c r="AO681" s="27"/>
      <c r="AP681" s="27"/>
      <c r="AQ681" s="27"/>
      <c r="AR681" s="27"/>
      <c r="AS681" s="27"/>
      <c r="AT681" s="27"/>
      <c r="AU681" s="27"/>
      <c r="AV681" s="27"/>
      <c r="AW681" s="27">
        <f t="shared" si="152"/>
        <v>3382538</v>
      </c>
      <c r="AX681" s="79">
        <f t="shared" si="153"/>
        <v>402522007</v>
      </c>
      <c r="AY681" s="79">
        <f t="shared" si="154"/>
        <v>3382538</v>
      </c>
      <c r="AZ681" s="25">
        <f t="shared" si="139"/>
        <v>1</v>
      </c>
      <c r="BA681" s="62"/>
      <c r="BB681" s="66">
        <v>1</v>
      </c>
      <c r="BC681" s="19"/>
      <c r="BD681" s="19"/>
      <c r="BE681" s="67">
        <f t="shared" si="148"/>
        <v>3382538</v>
      </c>
      <c r="BF681" s="67">
        <f t="shared" si="147"/>
        <v>0</v>
      </c>
      <c r="BG681" s="67">
        <f t="shared" si="146"/>
        <v>0</v>
      </c>
      <c r="BH681" s="19"/>
      <c r="BI681" s="19" t="s">
        <v>1896</v>
      </c>
      <c r="BJ681" s="19" t="s">
        <v>1929</v>
      </c>
      <c r="BK681" s="19" t="s">
        <v>1989</v>
      </c>
      <c r="BQ681" s="1" t="e">
        <v>#N/A</v>
      </c>
    </row>
    <row r="682" spans="3:69" ht="15" hidden="1" customHeight="1">
      <c r="C682" s="1" t="str">
        <f t="shared" ref="C682:C701" si="155">+RIGHT(YEAR(AE682),2)&amp;IF(LEN(MONTH(AE682))=2,MONTH(AE682),"0"&amp;MONTH(AE682))</f>
        <v>3401</v>
      </c>
      <c r="D682" s="1" t="str">
        <f t="shared" ref="D682:D701" si="156">+RIGHT(YEAR(AD682),2)&amp;IF(LEN(MONTH(AD682))=2,MONTH(AD682),"0"&amp;MONTH(AD682))</f>
        <v>2402</v>
      </c>
      <c r="E682" s="19" t="s">
        <v>2025</v>
      </c>
      <c r="F682" s="19" t="s">
        <v>1896</v>
      </c>
      <c r="G682" s="62">
        <v>2112</v>
      </c>
      <c r="H682" s="19" t="s">
        <v>2007</v>
      </c>
      <c r="I682" s="105" t="s">
        <v>2008</v>
      </c>
      <c r="J682" s="86">
        <v>1</v>
      </c>
      <c r="K682" s="19" t="s">
        <v>2005</v>
      </c>
      <c r="L682" s="157" t="s">
        <v>2009</v>
      </c>
      <c r="M682" s="98">
        <v>10042023</v>
      </c>
      <c r="N682" s="101">
        <v>45317</v>
      </c>
      <c r="O682" s="19"/>
      <c r="P682" s="19"/>
      <c r="Q682" s="163">
        <v>4995000000</v>
      </c>
      <c r="R682" s="19"/>
      <c r="S682" s="19"/>
      <c r="T682" s="19"/>
      <c r="U682" s="19"/>
      <c r="V682" s="74">
        <f t="shared" si="145"/>
        <v>4995000000</v>
      </c>
      <c r="W682" s="75"/>
      <c r="X682" s="64">
        <f t="shared" si="133"/>
        <v>4995000000</v>
      </c>
      <c r="Y682" s="19"/>
      <c r="Z682" s="19"/>
      <c r="AA682" s="19"/>
      <c r="AB682" s="19"/>
      <c r="AC682" s="64">
        <f t="shared" si="134"/>
        <v>4995000000</v>
      </c>
      <c r="AD682" s="63">
        <v>45323</v>
      </c>
      <c r="AE682" s="65">
        <v>48975</v>
      </c>
      <c r="AF682" s="19">
        <v>10</v>
      </c>
      <c r="AG682" s="19">
        <f t="shared" si="151"/>
        <v>120</v>
      </c>
      <c r="AH682" s="25">
        <f t="shared" si="150"/>
        <v>41625000</v>
      </c>
      <c r="AI682" s="92"/>
      <c r="AJ682" s="92"/>
      <c r="AK682" s="27"/>
      <c r="AL682" s="27">
        <f t="shared" si="149"/>
        <v>41625000</v>
      </c>
      <c r="AM682" s="27"/>
      <c r="AN682" s="27"/>
      <c r="AO682" s="27"/>
      <c r="AP682" s="27"/>
      <c r="AQ682" s="27"/>
      <c r="AR682" s="27"/>
      <c r="AS682" s="27"/>
      <c r="AT682" s="27"/>
      <c r="AU682" s="27"/>
      <c r="AV682" s="27"/>
      <c r="AW682" s="27">
        <f t="shared" si="152"/>
        <v>41625000</v>
      </c>
      <c r="AX682" s="79">
        <f t="shared" si="153"/>
        <v>4953375000</v>
      </c>
      <c r="AY682" s="79">
        <f t="shared" si="154"/>
        <v>41625000</v>
      </c>
      <c r="AZ682" s="25">
        <f t="shared" si="139"/>
        <v>1</v>
      </c>
      <c r="BA682" s="62"/>
      <c r="BB682" s="66">
        <v>1</v>
      </c>
      <c r="BC682" s="19"/>
      <c r="BD682" s="19"/>
      <c r="BE682" s="67">
        <f t="shared" si="148"/>
        <v>41625000</v>
      </c>
      <c r="BF682" s="67">
        <f t="shared" si="147"/>
        <v>0</v>
      </c>
      <c r="BG682" s="67">
        <f t="shared" si="146"/>
        <v>0</v>
      </c>
      <c r="BH682" s="19"/>
      <c r="BI682" s="19" t="s">
        <v>1896</v>
      </c>
      <c r="BJ682" s="19" t="s">
        <v>1980</v>
      </c>
      <c r="BK682" s="68" t="s">
        <v>1980</v>
      </c>
      <c r="BQ682" s="1" t="e">
        <v>#N/A</v>
      </c>
    </row>
    <row r="683" spans="3:69" ht="15" hidden="1" customHeight="1">
      <c r="C683" s="1" t="str">
        <f t="shared" si="155"/>
        <v>3401</v>
      </c>
      <c r="D683" s="1" t="str">
        <f t="shared" si="156"/>
        <v>2402</v>
      </c>
      <c r="E683" s="19" t="s">
        <v>2025</v>
      </c>
      <c r="F683" s="19" t="s">
        <v>1923</v>
      </c>
      <c r="G683" s="62">
        <v>2112</v>
      </c>
      <c r="H683" s="19" t="s">
        <v>2010</v>
      </c>
      <c r="I683" s="105" t="s">
        <v>2011</v>
      </c>
      <c r="J683" s="165">
        <v>1</v>
      </c>
      <c r="K683" s="165" t="s">
        <v>619</v>
      </c>
      <c r="L683" s="165" t="s">
        <v>858</v>
      </c>
      <c r="M683" s="166" t="s">
        <v>2023</v>
      </c>
      <c r="N683" s="101">
        <v>45290</v>
      </c>
      <c r="O683" s="167">
        <v>25600</v>
      </c>
      <c r="P683" s="19">
        <v>24400</v>
      </c>
      <c r="Q683" s="163">
        <f>+O683*P683</f>
        <v>624640000</v>
      </c>
      <c r="R683" s="19"/>
      <c r="S683" s="19"/>
      <c r="T683" s="19">
        <v>12256068</v>
      </c>
      <c r="U683" s="19" t="s">
        <v>2024</v>
      </c>
      <c r="V683" s="74">
        <f>+SUM(Q683:T683)</f>
        <v>636896068</v>
      </c>
      <c r="W683" s="75"/>
      <c r="X683" s="64">
        <f t="shared" ref="X683:X695" si="157">+V683</f>
        <v>636896068</v>
      </c>
      <c r="Y683" s="19"/>
      <c r="Z683" s="19"/>
      <c r="AA683" s="19"/>
      <c r="AB683" s="19"/>
      <c r="AC683" s="64">
        <f t="shared" ref="AC683:AC702" si="158">+X683-Y683</f>
        <v>636896068</v>
      </c>
      <c r="AD683" s="63">
        <v>45323</v>
      </c>
      <c r="AE683" s="65">
        <v>48975</v>
      </c>
      <c r="AF683" s="19">
        <v>10</v>
      </c>
      <c r="AG683" s="19">
        <f t="shared" si="151"/>
        <v>120</v>
      </c>
      <c r="AH683" s="25">
        <f t="shared" si="150"/>
        <v>5307467</v>
      </c>
      <c r="AI683" s="92"/>
      <c r="AJ683" s="92"/>
      <c r="AK683" s="27"/>
      <c r="AL683" s="27">
        <f t="shared" si="149"/>
        <v>5307467</v>
      </c>
      <c r="AM683" s="27"/>
      <c r="AN683" s="27"/>
      <c r="AO683" s="27"/>
      <c r="AP683" s="27"/>
      <c r="AQ683" s="27"/>
      <c r="AR683" s="27"/>
      <c r="AS683" s="27"/>
      <c r="AT683" s="27"/>
      <c r="AU683" s="27"/>
      <c r="AV683" s="27"/>
      <c r="AW683" s="27">
        <f t="shared" si="152"/>
        <v>5307467</v>
      </c>
      <c r="AX683" s="79">
        <f t="shared" si="153"/>
        <v>631588601</v>
      </c>
      <c r="AY683" s="79">
        <f t="shared" si="154"/>
        <v>5307467</v>
      </c>
      <c r="AZ683" s="25">
        <f t="shared" si="139"/>
        <v>1</v>
      </c>
      <c r="BA683" s="62"/>
      <c r="BB683" s="66">
        <v>1</v>
      </c>
      <c r="BC683" s="19"/>
      <c r="BD683" s="19"/>
      <c r="BE683" s="67">
        <f t="shared" si="148"/>
        <v>5307467</v>
      </c>
      <c r="BF683" s="67">
        <f t="shared" si="147"/>
        <v>0</v>
      </c>
      <c r="BG683" s="67">
        <f t="shared" si="146"/>
        <v>0</v>
      </c>
      <c r="BH683" s="19"/>
      <c r="BI683" s="19" t="s">
        <v>1923</v>
      </c>
      <c r="BJ683" s="19" t="s">
        <v>58</v>
      </c>
      <c r="BK683" s="19" t="s">
        <v>59</v>
      </c>
      <c r="BQ683" s="1" t="e">
        <v>#N/A</v>
      </c>
    </row>
    <row r="684" spans="3:69" ht="15" hidden="1" customHeight="1">
      <c r="C684" s="1" t="str">
        <f t="shared" si="155"/>
        <v>2901</v>
      </c>
      <c r="D684" s="1" t="str">
        <f t="shared" si="156"/>
        <v>2402</v>
      </c>
      <c r="E684" s="19" t="s">
        <v>2025</v>
      </c>
      <c r="F684" s="19" t="s">
        <v>1896</v>
      </c>
      <c r="G684" s="62">
        <v>2112</v>
      </c>
      <c r="H684" s="19" t="s">
        <v>2012</v>
      </c>
      <c r="I684" s="105" t="s">
        <v>2013</v>
      </c>
      <c r="J684" s="86">
        <v>1</v>
      </c>
      <c r="K684" s="19" t="s">
        <v>2005</v>
      </c>
      <c r="L684" s="157" t="s">
        <v>2014</v>
      </c>
      <c r="M684" s="98">
        <v>4</v>
      </c>
      <c r="N684" s="101">
        <v>45311</v>
      </c>
      <c r="O684" s="19"/>
      <c r="P684" s="19"/>
      <c r="Q684" s="163">
        <v>126000000</v>
      </c>
      <c r="R684" s="19"/>
      <c r="S684" s="19"/>
      <c r="T684" s="19"/>
      <c r="U684" s="19"/>
      <c r="V684" s="74">
        <f t="shared" si="145"/>
        <v>126000000</v>
      </c>
      <c r="W684" s="75"/>
      <c r="X684" s="64">
        <f t="shared" si="157"/>
        <v>126000000</v>
      </c>
      <c r="Y684" s="19"/>
      <c r="Z684" s="19"/>
      <c r="AA684" s="19"/>
      <c r="AB684" s="19"/>
      <c r="AC684" s="64">
        <f t="shared" si="158"/>
        <v>126000000</v>
      </c>
      <c r="AD684" s="63">
        <v>45323</v>
      </c>
      <c r="AE684" s="65">
        <v>47149</v>
      </c>
      <c r="AF684" s="19">
        <v>5</v>
      </c>
      <c r="AG684" s="19">
        <f t="shared" si="151"/>
        <v>60</v>
      </c>
      <c r="AH684" s="25">
        <f t="shared" si="150"/>
        <v>2100000</v>
      </c>
      <c r="AI684" s="92"/>
      <c r="AJ684" s="92"/>
      <c r="AK684" s="27"/>
      <c r="AL684" s="27">
        <f t="shared" si="149"/>
        <v>2100000</v>
      </c>
      <c r="AM684" s="27"/>
      <c r="AN684" s="27"/>
      <c r="AO684" s="27"/>
      <c r="AP684" s="27"/>
      <c r="AQ684" s="27"/>
      <c r="AR684" s="27"/>
      <c r="AS684" s="27"/>
      <c r="AT684" s="27"/>
      <c r="AU684" s="27"/>
      <c r="AV684" s="27"/>
      <c r="AW684" s="27">
        <f t="shared" si="152"/>
        <v>2100000</v>
      </c>
      <c r="AX684" s="79">
        <f t="shared" si="153"/>
        <v>123900000</v>
      </c>
      <c r="AY684" s="79">
        <f t="shared" si="154"/>
        <v>2100000</v>
      </c>
      <c r="AZ684" s="25">
        <f t="shared" si="139"/>
        <v>1</v>
      </c>
      <c r="BA684" s="62"/>
      <c r="BB684" s="66">
        <v>1</v>
      </c>
      <c r="BC684" s="19"/>
      <c r="BD684" s="19"/>
      <c r="BE684" s="67">
        <f t="shared" si="148"/>
        <v>2100000</v>
      </c>
      <c r="BF684" s="67">
        <f t="shared" si="147"/>
        <v>0</v>
      </c>
      <c r="BG684" s="67">
        <f t="shared" si="146"/>
        <v>0</v>
      </c>
      <c r="BH684" s="19"/>
      <c r="BI684" s="19" t="s">
        <v>1896</v>
      </c>
      <c r="BJ684" s="19" t="s">
        <v>1979</v>
      </c>
      <c r="BK684" s="19" t="s">
        <v>1979</v>
      </c>
      <c r="BQ684" s="1" t="e">
        <v>#N/A</v>
      </c>
    </row>
    <row r="685" spans="3:69" ht="15" hidden="1" customHeight="1">
      <c r="C685" s="1" t="str">
        <f t="shared" si="155"/>
        <v>2901</v>
      </c>
      <c r="D685" s="1" t="str">
        <f t="shared" si="156"/>
        <v>2402</v>
      </c>
      <c r="E685" s="19" t="s">
        <v>2025</v>
      </c>
      <c r="F685" s="19" t="s">
        <v>1896</v>
      </c>
      <c r="G685" s="62">
        <v>2112</v>
      </c>
      <c r="H685" s="19" t="s">
        <v>2015</v>
      </c>
      <c r="I685" s="105" t="s">
        <v>2016</v>
      </c>
      <c r="J685" s="86">
        <v>1</v>
      </c>
      <c r="K685" s="19" t="s">
        <v>2017</v>
      </c>
      <c r="L685" s="157" t="s">
        <v>2018</v>
      </c>
      <c r="M685" s="98">
        <v>8</v>
      </c>
      <c r="N685" s="101">
        <v>45318</v>
      </c>
      <c r="O685" s="19"/>
      <c r="P685" s="19"/>
      <c r="Q685" s="163">
        <v>98000000</v>
      </c>
      <c r="R685" s="19"/>
      <c r="S685" s="19"/>
      <c r="T685" s="19"/>
      <c r="U685" s="19"/>
      <c r="V685" s="74">
        <f t="shared" si="145"/>
        <v>98000000</v>
      </c>
      <c r="W685" s="75"/>
      <c r="X685" s="64">
        <f t="shared" si="157"/>
        <v>98000000</v>
      </c>
      <c r="Y685" s="19"/>
      <c r="Z685" s="19"/>
      <c r="AA685" s="19"/>
      <c r="AB685" s="19"/>
      <c r="AC685" s="64">
        <f t="shared" si="158"/>
        <v>98000000</v>
      </c>
      <c r="AD685" s="63">
        <v>45323</v>
      </c>
      <c r="AE685" s="65">
        <v>47149</v>
      </c>
      <c r="AF685" s="19">
        <v>5</v>
      </c>
      <c r="AG685" s="19">
        <f t="shared" si="151"/>
        <v>60</v>
      </c>
      <c r="AH685" s="25">
        <f t="shared" si="150"/>
        <v>1633333</v>
      </c>
      <c r="AI685" s="92"/>
      <c r="AJ685" s="92"/>
      <c r="AK685" s="27"/>
      <c r="AL685" s="27">
        <f t="shared" si="149"/>
        <v>1633333</v>
      </c>
      <c r="AM685" s="27"/>
      <c r="AN685" s="27"/>
      <c r="AO685" s="27"/>
      <c r="AP685" s="27"/>
      <c r="AQ685" s="27"/>
      <c r="AR685" s="27"/>
      <c r="AS685" s="27"/>
      <c r="AT685" s="27"/>
      <c r="AU685" s="27"/>
      <c r="AV685" s="27"/>
      <c r="AW685" s="27">
        <f t="shared" si="152"/>
        <v>1633333</v>
      </c>
      <c r="AX685" s="79">
        <f t="shared" si="153"/>
        <v>96366667</v>
      </c>
      <c r="AY685" s="79">
        <f t="shared" si="154"/>
        <v>1633333</v>
      </c>
      <c r="AZ685" s="25">
        <f t="shared" ref="AZ685:AZ701" si="159">+J685-Z685</f>
        <v>1</v>
      </c>
      <c r="BA685" s="62"/>
      <c r="BB685" s="66">
        <v>1</v>
      </c>
      <c r="BC685" s="19"/>
      <c r="BD685" s="19"/>
      <c r="BE685" s="67">
        <f t="shared" si="148"/>
        <v>1633333</v>
      </c>
      <c r="BF685" s="67">
        <f t="shared" si="147"/>
        <v>0</v>
      </c>
      <c r="BG685" s="67">
        <f t="shared" si="146"/>
        <v>0</v>
      </c>
      <c r="BH685" s="19"/>
      <c r="BI685" s="19" t="s">
        <v>1896</v>
      </c>
      <c r="BJ685" s="19" t="s">
        <v>1980</v>
      </c>
      <c r="BK685" s="68" t="s">
        <v>1980</v>
      </c>
      <c r="BQ685" s="1" t="e">
        <v>#N/A</v>
      </c>
    </row>
    <row r="686" spans="3:69" ht="15" hidden="1" customHeight="1">
      <c r="C686" s="1" t="str">
        <f t="shared" si="155"/>
        <v>3401</v>
      </c>
      <c r="D686" s="1" t="str">
        <f t="shared" si="156"/>
        <v>2402</v>
      </c>
      <c r="E686" s="19" t="s">
        <v>2025</v>
      </c>
      <c r="F686" s="19" t="s">
        <v>1896</v>
      </c>
      <c r="G686" s="62">
        <v>2111</v>
      </c>
      <c r="H686" s="19" t="s">
        <v>2019</v>
      </c>
      <c r="I686" s="105" t="s">
        <v>2020</v>
      </c>
      <c r="J686" s="86">
        <v>1</v>
      </c>
      <c r="K686" s="19" t="s">
        <v>2005</v>
      </c>
      <c r="L686" s="157" t="s">
        <v>2021</v>
      </c>
      <c r="M686" s="98" t="s">
        <v>2022</v>
      </c>
      <c r="N686" s="101">
        <v>45321</v>
      </c>
      <c r="O686" s="19"/>
      <c r="P686" s="19"/>
      <c r="Q686" s="163">
        <v>700000000</v>
      </c>
      <c r="R686" s="19"/>
      <c r="S686" s="19"/>
      <c r="T686" s="19"/>
      <c r="U686" s="19"/>
      <c r="V686" s="74">
        <f t="shared" si="145"/>
        <v>700000000</v>
      </c>
      <c r="W686" s="75"/>
      <c r="X686" s="64">
        <f t="shared" si="157"/>
        <v>700000000</v>
      </c>
      <c r="Y686" s="19"/>
      <c r="Z686" s="19"/>
      <c r="AA686" s="19"/>
      <c r="AB686" s="19"/>
      <c r="AC686" s="64">
        <f t="shared" si="158"/>
        <v>700000000</v>
      </c>
      <c r="AD686" s="63">
        <v>45323</v>
      </c>
      <c r="AE686" s="65">
        <v>48975</v>
      </c>
      <c r="AF686" s="19">
        <v>10</v>
      </c>
      <c r="AG686" s="19">
        <f t="shared" si="151"/>
        <v>120</v>
      </c>
      <c r="AH686" s="25">
        <f t="shared" si="150"/>
        <v>5833333</v>
      </c>
      <c r="AI686" s="92"/>
      <c r="AJ686" s="92"/>
      <c r="AK686" s="27"/>
      <c r="AL686" s="27">
        <f t="shared" si="149"/>
        <v>5833333</v>
      </c>
      <c r="AM686" s="27"/>
      <c r="AN686" s="27"/>
      <c r="AO686" s="27"/>
      <c r="AP686" s="27"/>
      <c r="AQ686" s="27"/>
      <c r="AR686" s="27"/>
      <c r="AS686" s="27"/>
      <c r="AT686" s="27"/>
      <c r="AU686" s="27"/>
      <c r="AV686" s="27"/>
      <c r="AW686" s="27">
        <f t="shared" si="152"/>
        <v>5833333</v>
      </c>
      <c r="AX686" s="79">
        <f t="shared" si="153"/>
        <v>694166667</v>
      </c>
      <c r="AY686" s="79">
        <f t="shared" si="154"/>
        <v>5833333</v>
      </c>
      <c r="AZ686" s="25">
        <f t="shared" si="159"/>
        <v>1</v>
      </c>
      <c r="BA686" s="62"/>
      <c r="BB686" s="66">
        <v>1</v>
      </c>
      <c r="BC686" s="19"/>
      <c r="BD686" s="19"/>
      <c r="BE686" s="67">
        <f t="shared" si="148"/>
        <v>5833333</v>
      </c>
      <c r="BF686" s="67">
        <f t="shared" si="147"/>
        <v>0</v>
      </c>
      <c r="BG686" s="67">
        <f t="shared" si="146"/>
        <v>0</v>
      </c>
      <c r="BH686" s="19"/>
      <c r="BI686" s="19" t="s">
        <v>1896</v>
      </c>
      <c r="BJ686" s="19" t="s">
        <v>1929</v>
      </c>
      <c r="BK686" s="19" t="s">
        <v>1989</v>
      </c>
      <c r="BQ686" s="1" t="e">
        <v>#N/A</v>
      </c>
    </row>
    <row r="687" spans="3:69" ht="15" customHeight="1">
      <c r="C687" s="1" t="str">
        <f t="shared" si="155"/>
        <v>0001</v>
      </c>
      <c r="D687" s="1" t="str">
        <f t="shared" si="156"/>
        <v>0001</v>
      </c>
      <c r="E687" s="19"/>
      <c r="F687" s="19"/>
      <c r="G687" s="62"/>
      <c r="H687" s="19"/>
      <c r="I687" s="105"/>
      <c r="J687" s="86"/>
      <c r="K687" s="19"/>
      <c r="L687" s="157"/>
      <c r="M687" s="98"/>
      <c r="N687" s="101"/>
      <c r="O687" s="19"/>
      <c r="P687" s="19"/>
      <c r="Q687" s="163"/>
      <c r="R687" s="19"/>
      <c r="S687" s="19"/>
      <c r="T687" s="19"/>
      <c r="U687" s="19"/>
      <c r="V687" s="74"/>
      <c r="W687" s="75"/>
      <c r="X687" s="64">
        <f t="shared" si="157"/>
        <v>0</v>
      </c>
      <c r="Y687" s="19"/>
      <c r="Z687" s="19"/>
      <c r="AA687" s="19"/>
      <c r="AB687" s="19"/>
      <c r="AC687" s="64">
        <f t="shared" si="158"/>
        <v>0</v>
      </c>
      <c r="AD687" s="63"/>
      <c r="AE687" s="65"/>
      <c r="AF687" s="19"/>
      <c r="AG687" s="19"/>
      <c r="AH687" s="25"/>
      <c r="AI687" s="92"/>
      <c r="AJ687" s="92"/>
      <c r="AK687" s="27"/>
      <c r="AL687" s="26"/>
      <c r="AM687" s="27"/>
      <c r="AN687" s="27"/>
      <c r="AO687" s="27"/>
      <c r="AP687" s="27"/>
      <c r="AQ687" s="27"/>
      <c r="AR687" s="27"/>
      <c r="AS687" s="27"/>
      <c r="AT687" s="27"/>
      <c r="AU687" s="27"/>
      <c r="AV687" s="27"/>
      <c r="AW687" s="27">
        <f t="shared" si="152"/>
        <v>0</v>
      </c>
      <c r="AX687" s="79">
        <f t="shared" si="153"/>
        <v>0</v>
      </c>
      <c r="AY687" s="79">
        <f t="shared" si="154"/>
        <v>0</v>
      </c>
      <c r="AZ687" s="25">
        <f t="shared" si="159"/>
        <v>0</v>
      </c>
      <c r="BA687" s="62"/>
      <c r="BB687" s="66"/>
      <c r="BC687" s="19"/>
      <c r="BD687" s="19"/>
      <c r="BE687" s="67">
        <f t="shared" ref="BE687:BE693" si="160">+$AK687*BB687</f>
        <v>0</v>
      </c>
      <c r="BF687" s="67">
        <f t="shared" ref="BF687:BF693" si="161">+$AK687*BC687</f>
        <v>0</v>
      </c>
      <c r="BG687" s="67">
        <f t="shared" ref="BG687:BG693" si="162">+$AK687*BD687</f>
        <v>0</v>
      </c>
      <c r="BH687" s="19"/>
      <c r="BI687" s="19"/>
      <c r="BJ687" s="19"/>
      <c r="BK687" s="19"/>
    </row>
    <row r="688" spans="3:69" ht="15" customHeight="1">
      <c r="C688" s="1" t="str">
        <f t="shared" si="155"/>
        <v>0001</v>
      </c>
      <c r="D688" s="1" t="str">
        <f t="shared" si="156"/>
        <v>0001</v>
      </c>
      <c r="E688" s="19"/>
      <c r="F688" s="19"/>
      <c r="G688" s="62"/>
      <c r="H688" s="19"/>
      <c r="I688" s="105"/>
      <c r="J688" s="86"/>
      <c r="K688" s="19"/>
      <c r="L688" s="157"/>
      <c r="M688" s="98"/>
      <c r="N688" s="101"/>
      <c r="O688" s="19"/>
      <c r="P688" s="19"/>
      <c r="Q688" s="163"/>
      <c r="R688" s="19"/>
      <c r="S688" s="19"/>
      <c r="T688" s="19"/>
      <c r="U688" s="19"/>
      <c r="V688" s="74"/>
      <c r="W688" s="75"/>
      <c r="X688" s="64">
        <f t="shared" si="157"/>
        <v>0</v>
      </c>
      <c r="Y688" s="19"/>
      <c r="Z688" s="19"/>
      <c r="AA688" s="19"/>
      <c r="AB688" s="19"/>
      <c r="AC688" s="64">
        <f t="shared" si="158"/>
        <v>0</v>
      </c>
      <c r="AD688" s="63"/>
      <c r="AE688" s="65"/>
      <c r="AF688" s="19"/>
      <c r="AG688" s="19"/>
      <c r="AH688" s="25"/>
      <c r="AI688" s="92"/>
      <c r="AJ688" s="92"/>
      <c r="AK688" s="27"/>
      <c r="AL688" s="26"/>
      <c r="AM688" s="27"/>
      <c r="AN688" s="27"/>
      <c r="AO688" s="27"/>
      <c r="AP688" s="27"/>
      <c r="AQ688" s="27"/>
      <c r="AR688" s="27"/>
      <c r="AS688" s="27"/>
      <c r="AT688" s="27"/>
      <c r="AU688" s="27"/>
      <c r="AV688" s="27"/>
      <c r="AW688" s="27">
        <f t="shared" si="152"/>
        <v>0</v>
      </c>
      <c r="AX688" s="79">
        <f t="shared" si="153"/>
        <v>0</v>
      </c>
      <c r="AY688" s="79">
        <f t="shared" si="154"/>
        <v>0</v>
      </c>
      <c r="AZ688" s="25">
        <f t="shared" si="159"/>
        <v>0</v>
      </c>
      <c r="BA688" s="62"/>
      <c r="BB688" s="66"/>
      <c r="BC688" s="19"/>
      <c r="BD688" s="19"/>
      <c r="BE688" s="67">
        <f t="shared" si="160"/>
        <v>0</v>
      </c>
      <c r="BF688" s="67">
        <f t="shared" si="161"/>
        <v>0</v>
      </c>
      <c r="BG688" s="67">
        <f t="shared" si="162"/>
        <v>0</v>
      </c>
      <c r="BH688" s="19"/>
      <c r="BI688" s="19"/>
      <c r="BJ688" s="19"/>
      <c r="BK688" s="19"/>
    </row>
    <row r="689" spans="3:63" ht="15" customHeight="1">
      <c r="C689" s="1" t="str">
        <f t="shared" si="155"/>
        <v>0001</v>
      </c>
      <c r="D689" s="1" t="str">
        <f t="shared" si="156"/>
        <v>0001</v>
      </c>
      <c r="E689" s="19"/>
      <c r="F689" s="19"/>
      <c r="G689" s="62"/>
      <c r="H689" s="19"/>
      <c r="I689" s="105"/>
      <c r="J689" s="86"/>
      <c r="K689" s="19"/>
      <c r="L689" s="157"/>
      <c r="M689" s="98"/>
      <c r="N689" s="101"/>
      <c r="O689" s="19"/>
      <c r="P689" s="19"/>
      <c r="Q689" s="163"/>
      <c r="R689" s="19"/>
      <c r="S689" s="19"/>
      <c r="T689" s="19"/>
      <c r="U689" s="19"/>
      <c r="V689" s="74"/>
      <c r="W689" s="75"/>
      <c r="X689" s="64">
        <f t="shared" si="157"/>
        <v>0</v>
      </c>
      <c r="Y689" s="19"/>
      <c r="Z689" s="19"/>
      <c r="AA689" s="19"/>
      <c r="AB689" s="19"/>
      <c r="AC689" s="64">
        <f t="shared" si="158"/>
        <v>0</v>
      </c>
      <c r="AD689" s="63"/>
      <c r="AE689" s="65"/>
      <c r="AF689" s="19"/>
      <c r="AG689" s="19"/>
      <c r="AH689" s="25"/>
      <c r="AI689" s="92"/>
      <c r="AJ689" s="92"/>
      <c r="AK689" s="27"/>
      <c r="AL689" s="26"/>
      <c r="AM689" s="27"/>
      <c r="AN689" s="27"/>
      <c r="AO689" s="27"/>
      <c r="AP689" s="27"/>
      <c r="AQ689" s="27"/>
      <c r="AR689" s="27"/>
      <c r="AS689" s="27"/>
      <c r="AT689" s="27"/>
      <c r="AU689" s="27"/>
      <c r="AV689" s="27"/>
      <c r="AW689" s="27">
        <f t="shared" si="152"/>
        <v>0</v>
      </c>
      <c r="AX689" s="79">
        <f t="shared" si="153"/>
        <v>0</v>
      </c>
      <c r="AY689" s="79">
        <f t="shared" si="154"/>
        <v>0</v>
      </c>
      <c r="AZ689" s="25">
        <f t="shared" si="159"/>
        <v>0</v>
      </c>
      <c r="BA689" s="62"/>
      <c r="BB689" s="66"/>
      <c r="BC689" s="19"/>
      <c r="BD689" s="19"/>
      <c r="BE689" s="67">
        <f t="shared" si="160"/>
        <v>0</v>
      </c>
      <c r="BF689" s="67">
        <f t="shared" si="161"/>
        <v>0</v>
      </c>
      <c r="BG689" s="67">
        <f t="shared" si="162"/>
        <v>0</v>
      </c>
      <c r="BH689" s="19"/>
      <c r="BI689" s="19"/>
      <c r="BJ689" s="19"/>
      <c r="BK689" s="19"/>
    </row>
    <row r="690" spans="3:63" ht="15" customHeight="1">
      <c r="C690" s="1" t="str">
        <f t="shared" si="155"/>
        <v>0001</v>
      </c>
      <c r="D690" s="1" t="str">
        <f t="shared" si="156"/>
        <v>0001</v>
      </c>
      <c r="E690" s="19"/>
      <c r="F690" s="19"/>
      <c r="G690" s="62"/>
      <c r="H690" s="19"/>
      <c r="I690" s="105"/>
      <c r="J690" s="86"/>
      <c r="K690" s="19"/>
      <c r="L690" s="157"/>
      <c r="M690" s="98"/>
      <c r="N690" s="101"/>
      <c r="O690" s="19"/>
      <c r="P690" s="19"/>
      <c r="Q690" s="163"/>
      <c r="R690" s="19"/>
      <c r="S690" s="19"/>
      <c r="T690" s="19"/>
      <c r="U690" s="19"/>
      <c r="V690" s="74"/>
      <c r="W690" s="75"/>
      <c r="X690" s="64">
        <f t="shared" si="157"/>
        <v>0</v>
      </c>
      <c r="Y690" s="19"/>
      <c r="Z690" s="19"/>
      <c r="AA690" s="19"/>
      <c r="AB690" s="19"/>
      <c r="AC690" s="64">
        <f t="shared" si="158"/>
        <v>0</v>
      </c>
      <c r="AD690" s="63"/>
      <c r="AE690" s="65"/>
      <c r="AF690" s="117"/>
      <c r="AG690" s="19"/>
      <c r="AH690" s="25"/>
      <c r="AI690" s="92"/>
      <c r="AJ690" s="92"/>
      <c r="AK690" s="27"/>
      <c r="AL690" s="26"/>
      <c r="AM690" s="27"/>
      <c r="AN690" s="27"/>
      <c r="AO690" s="27"/>
      <c r="AP690" s="27"/>
      <c r="AQ690" s="27"/>
      <c r="AR690" s="27"/>
      <c r="AS690" s="27"/>
      <c r="AT690" s="27"/>
      <c r="AU690" s="27"/>
      <c r="AV690" s="27"/>
      <c r="AW690" s="27">
        <f t="shared" si="152"/>
        <v>0</v>
      </c>
      <c r="AX690" s="79">
        <f t="shared" si="153"/>
        <v>0</v>
      </c>
      <c r="AY690" s="79">
        <f t="shared" si="154"/>
        <v>0</v>
      </c>
      <c r="AZ690" s="25">
        <f t="shared" si="159"/>
        <v>0</v>
      </c>
      <c r="BA690" s="62"/>
      <c r="BB690" s="66"/>
      <c r="BC690" s="19"/>
      <c r="BD690" s="19"/>
      <c r="BE690" s="67">
        <f t="shared" si="160"/>
        <v>0</v>
      </c>
      <c r="BF690" s="67">
        <f t="shared" si="161"/>
        <v>0</v>
      </c>
      <c r="BG690" s="67">
        <f t="shared" si="162"/>
        <v>0</v>
      </c>
      <c r="BH690" s="19"/>
      <c r="BI690" s="19"/>
      <c r="BJ690" s="19"/>
      <c r="BK690" s="19"/>
    </row>
    <row r="691" spans="3:63" ht="15" customHeight="1">
      <c r="C691" s="1" t="str">
        <f t="shared" si="155"/>
        <v>0001</v>
      </c>
      <c r="D691" s="1" t="str">
        <f t="shared" si="156"/>
        <v>0001</v>
      </c>
      <c r="E691" s="19"/>
      <c r="F691" s="19"/>
      <c r="G691" s="62"/>
      <c r="H691" s="19"/>
      <c r="I691" s="105"/>
      <c r="J691" s="86"/>
      <c r="K691" s="19"/>
      <c r="L691" s="157"/>
      <c r="M691" s="98"/>
      <c r="N691" s="101"/>
      <c r="O691" s="19"/>
      <c r="P691" s="19"/>
      <c r="Q691" s="163"/>
      <c r="R691" s="19"/>
      <c r="S691" s="19"/>
      <c r="T691" s="19"/>
      <c r="U691" s="19"/>
      <c r="V691" s="74"/>
      <c r="W691" s="75"/>
      <c r="X691" s="64">
        <f t="shared" si="157"/>
        <v>0</v>
      </c>
      <c r="Y691" s="19"/>
      <c r="Z691" s="19"/>
      <c r="AA691" s="19"/>
      <c r="AB691" s="19"/>
      <c r="AC691" s="64">
        <f t="shared" si="158"/>
        <v>0</v>
      </c>
      <c r="AD691" s="63"/>
      <c r="AE691" s="65"/>
      <c r="AF691" s="161"/>
      <c r="AG691" s="19"/>
      <c r="AH691" s="25"/>
      <c r="AI691" s="92"/>
      <c r="AJ691" s="92"/>
      <c r="AK691" s="27"/>
      <c r="AL691" s="26"/>
      <c r="AM691" s="27"/>
      <c r="AN691" s="27"/>
      <c r="AO691" s="27"/>
      <c r="AP691" s="27"/>
      <c r="AQ691" s="27"/>
      <c r="AR691" s="27"/>
      <c r="AS691" s="27"/>
      <c r="AT691" s="27"/>
      <c r="AU691" s="27"/>
      <c r="AV691" s="27"/>
      <c r="AW691" s="27">
        <f t="shared" si="152"/>
        <v>0</v>
      </c>
      <c r="AX691" s="79">
        <f t="shared" si="153"/>
        <v>0</v>
      </c>
      <c r="AY691" s="79">
        <f t="shared" si="154"/>
        <v>0</v>
      </c>
      <c r="AZ691" s="25">
        <f t="shared" si="159"/>
        <v>0</v>
      </c>
      <c r="BA691" s="62"/>
      <c r="BB691" s="66"/>
      <c r="BC691" s="19"/>
      <c r="BD691" s="19"/>
      <c r="BE691" s="67">
        <f t="shared" si="160"/>
        <v>0</v>
      </c>
      <c r="BF691" s="67">
        <f t="shared" si="161"/>
        <v>0</v>
      </c>
      <c r="BG691" s="67">
        <f t="shared" si="162"/>
        <v>0</v>
      </c>
      <c r="BH691" s="19"/>
      <c r="BI691" s="19"/>
      <c r="BJ691" s="19"/>
      <c r="BK691" s="19"/>
    </row>
    <row r="692" spans="3:63" ht="15" customHeight="1">
      <c r="C692" s="1" t="str">
        <f t="shared" si="155"/>
        <v>0001</v>
      </c>
      <c r="D692" s="1" t="str">
        <f t="shared" si="156"/>
        <v>0001</v>
      </c>
      <c r="E692" s="19"/>
      <c r="F692" s="19"/>
      <c r="G692" s="62"/>
      <c r="H692" s="19"/>
      <c r="I692" s="105"/>
      <c r="J692" s="86"/>
      <c r="K692" s="19"/>
      <c r="L692" s="99"/>
      <c r="M692" s="98"/>
      <c r="N692" s="101"/>
      <c r="O692" s="19"/>
      <c r="P692" s="19"/>
      <c r="Q692" s="104"/>
      <c r="R692" s="19"/>
      <c r="S692" s="19"/>
      <c r="T692" s="19"/>
      <c r="U692" s="19"/>
      <c r="V692" s="74"/>
      <c r="W692" s="75"/>
      <c r="X692" s="64">
        <f t="shared" si="157"/>
        <v>0</v>
      </c>
      <c r="Y692" s="19"/>
      <c r="Z692" s="19"/>
      <c r="AA692" s="19"/>
      <c r="AB692" s="19"/>
      <c r="AC692" s="64">
        <f t="shared" si="158"/>
        <v>0</v>
      </c>
      <c r="AD692" s="63"/>
      <c r="AE692" s="65"/>
      <c r="AF692" s="117"/>
      <c r="AG692" s="19"/>
      <c r="AH692" s="25"/>
      <c r="AI692" s="92"/>
      <c r="AJ692" s="92"/>
      <c r="AK692" s="27"/>
      <c r="AL692" s="26"/>
      <c r="AM692" s="27"/>
      <c r="AN692" s="27"/>
      <c r="AO692" s="27"/>
      <c r="AP692" s="27"/>
      <c r="AQ692" s="27"/>
      <c r="AR692" s="27"/>
      <c r="AS692" s="27"/>
      <c r="AT692" s="27"/>
      <c r="AU692" s="27"/>
      <c r="AV692" s="27"/>
      <c r="AW692" s="27">
        <f t="shared" si="152"/>
        <v>0</v>
      </c>
      <c r="AX692" s="79">
        <f t="shared" si="153"/>
        <v>0</v>
      </c>
      <c r="AY692" s="79">
        <f t="shared" si="154"/>
        <v>0</v>
      </c>
      <c r="AZ692" s="25">
        <f t="shared" si="159"/>
        <v>0</v>
      </c>
      <c r="BA692" s="62"/>
      <c r="BB692" s="66"/>
      <c r="BC692" s="19"/>
      <c r="BD692" s="19"/>
      <c r="BE692" s="67">
        <f t="shared" si="160"/>
        <v>0</v>
      </c>
      <c r="BF692" s="67">
        <f t="shared" si="161"/>
        <v>0</v>
      </c>
      <c r="BG692" s="67">
        <f t="shared" si="162"/>
        <v>0</v>
      </c>
      <c r="BH692" s="19"/>
      <c r="BI692" s="19"/>
      <c r="BJ692" s="19"/>
      <c r="BK692" s="19"/>
    </row>
    <row r="693" spans="3:63" ht="15" customHeight="1">
      <c r="C693" s="1" t="str">
        <f t="shared" si="155"/>
        <v>0001</v>
      </c>
      <c r="D693" s="1" t="str">
        <f t="shared" si="156"/>
        <v>0001</v>
      </c>
      <c r="E693" s="19"/>
      <c r="F693" s="19"/>
      <c r="G693" s="62"/>
      <c r="H693" s="19"/>
      <c r="I693" s="105"/>
      <c r="J693" s="86"/>
      <c r="K693" s="19"/>
      <c r="L693" s="99"/>
      <c r="M693" s="98"/>
      <c r="N693" s="101"/>
      <c r="O693" s="19"/>
      <c r="P693" s="19"/>
      <c r="Q693" s="104"/>
      <c r="R693" s="19"/>
      <c r="S693" s="19"/>
      <c r="T693" s="19"/>
      <c r="U693" s="19"/>
      <c r="V693" s="74"/>
      <c r="W693" s="75"/>
      <c r="X693" s="64">
        <f t="shared" si="157"/>
        <v>0</v>
      </c>
      <c r="Y693" s="19"/>
      <c r="Z693" s="19"/>
      <c r="AA693" s="19"/>
      <c r="AB693" s="19"/>
      <c r="AC693" s="64">
        <f t="shared" si="158"/>
        <v>0</v>
      </c>
      <c r="AD693" s="63"/>
      <c r="AE693" s="65"/>
      <c r="AF693" s="19"/>
      <c r="AG693" s="19"/>
      <c r="AH693" s="25"/>
      <c r="AI693" s="92"/>
      <c r="AJ693" s="92"/>
      <c r="AK693" s="27"/>
      <c r="AL693" s="26"/>
      <c r="AM693" s="27"/>
      <c r="AN693" s="27"/>
      <c r="AO693" s="27"/>
      <c r="AP693" s="27"/>
      <c r="AQ693" s="27"/>
      <c r="AR693" s="27"/>
      <c r="AS693" s="27"/>
      <c r="AT693" s="27"/>
      <c r="AU693" s="27"/>
      <c r="AV693" s="27"/>
      <c r="AW693" s="27">
        <f t="shared" si="152"/>
        <v>0</v>
      </c>
      <c r="AX693" s="79">
        <f t="shared" si="153"/>
        <v>0</v>
      </c>
      <c r="AY693" s="79">
        <f t="shared" si="154"/>
        <v>0</v>
      </c>
      <c r="AZ693" s="25">
        <f t="shared" si="159"/>
        <v>0</v>
      </c>
      <c r="BA693" s="62"/>
      <c r="BB693" s="66"/>
      <c r="BC693" s="19"/>
      <c r="BD693" s="19"/>
      <c r="BE693" s="67">
        <f t="shared" si="160"/>
        <v>0</v>
      </c>
      <c r="BF693" s="67">
        <f t="shared" si="161"/>
        <v>0</v>
      </c>
      <c r="BG693" s="67">
        <f t="shared" si="162"/>
        <v>0</v>
      </c>
      <c r="BH693" s="19"/>
      <c r="BI693" s="19"/>
      <c r="BJ693" s="19"/>
      <c r="BK693" s="19"/>
    </row>
    <row r="694" spans="3:63" ht="15" customHeight="1">
      <c r="C694" s="1" t="str">
        <f t="shared" si="155"/>
        <v>0001</v>
      </c>
      <c r="D694" s="1" t="str">
        <f t="shared" si="156"/>
        <v>0001</v>
      </c>
      <c r="E694" s="19"/>
      <c r="F694" s="19"/>
      <c r="G694" s="62"/>
      <c r="H694" s="19"/>
      <c r="I694" s="105"/>
      <c r="J694" s="86"/>
      <c r="K694" s="19"/>
      <c r="L694" s="99"/>
      <c r="M694" s="98"/>
      <c r="N694" s="101"/>
      <c r="O694" s="19"/>
      <c r="P694" s="19"/>
      <c r="Q694" s="104"/>
      <c r="R694" s="19"/>
      <c r="S694" s="19"/>
      <c r="T694" s="19"/>
      <c r="U694" s="19"/>
      <c r="V694" s="74"/>
      <c r="W694" s="75"/>
      <c r="X694" s="64">
        <f t="shared" si="157"/>
        <v>0</v>
      </c>
      <c r="Y694" s="19"/>
      <c r="Z694" s="19"/>
      <c r="AA694" s="19"/>
      <c r="AB694" s="19"/>
      <c r="AC694" s="64">
        <f t="shared" si="158"/>
        <v>0</v>
      </c>
      <c r="AD694" s="63"/>
      <c r="AE694" s="65"/>
      <c r="AF694" s="19"/>
      <c r="AG694" s="19"/>
      <c r="AH694" s="25"/>
      <c r="AI694" s="92"/>
      <c r="AJ694" s="92"/>
      <c r="AK694" s="27"/>
      <c r="AL694" s="26"/>
      <c r="AM694" s="27"/>
      <c r="AN694" s="27"/>
      <c r="AO694" s="27"/>
      <c r="AP694" s="27"/>
      <c r="AQ694" s="27"/>
      <c r="AR694" s="27"/>
      <c r="AS694" s="27"/>
      <c r="AT694" s="27"/>
      <c r="AU694" s="27"/>
      <c r="AV694" s="27"/>
      <c r="AW694" s="27"/>
      <c r="AX694" s="79"/>
      <c r="AY694" s="79"/>
      <c r="AZ694" s="25">
        <f t="shared" si="159"/>
        <v>0</v>
      </c>
      <c r="BA694" s="62"/>
      <c r="BB694" s="66"/>
      <c r="BC694" s="19"/>
      <c r="BD694" s="19"/>
      <c r="BE694" s="67"/>
      <c r="BF694" s="67"/>
      <c r="BG694" s="67"/>
      <c r="BH694" s="19"/>
      <c r="BI694" s="19"/>
      <c r="BJ694" s="19"/>
      <c r="BK694" s="19"/>
    </row>
    <row r="695" spans="3:63" ht="15" customHeight="1">
      <c r="C695" s="1" t="str">
        <f t="shared" si="155"/>
        <v>0001</v>
      </c>
      <c r="D695" s="1" t="str">
        <f t="shared" si="156"/>
        <v>0001</v>
      </c>
      <c r="E695" s="19"/>
      <c r="F695" s="19"/>
      <c r="G695" s="62"/>
      <c r="H695" s="19"/>
      <c r="I695" s="105"/>
      <c r="J695" s="86"/>
      <c r="K695" s="19"/>
      <c r="L695" s="99"/>
      <c r="M695" s="98"/>
      <c r="N695" s="101"/>
      <c r="O695" s="19"/>
      <c r="P695" s="19"/>
      <c r="Q695" s="104"/>
      <c r="R695" s="19"/>
      <c r="S695" s="19"/>
      <c r="T695" s="19"/>
      <c r="U695" s="19"/>
      <c r="V695" s="74"/>
      <c r="W695" s="75"/>
      <c r="X695" s="64">
        <f t="shared" si="157"/>
        <v>0</v>
      </c>
      <c r="Y695" s="19"/>
      <c r="Z695" s="19"/>
      <c r="AA695" s="19"/>
      <c r="AB695" s="19"/>
      <c r="AC695" s="64">
        <f t="shared" si="158"/>
        <v>0</v>
      </c>
      <c r="AD695" s="63"/>
      <c r="AE695" s="65"/>
      <c r="AF695" s="19"/>
      <c r="AG695" s="19"/>
      <c r="AH695" s="25"/>
      <c r="AI695" s="92"/>
      <c r="AJ695" s="92"/>
      <c r="AK695" s="27"/>
      <c r="AL695" s="26"/>
      <c r="AM695" s="27"/>
      <c r="AN695" s="27"/>
      <c r="AO695" s="27"/>
      <c r="AP695" s="27"/>
      <c r="AQ695" s="27"/>
      <c r="AR695" s="27"/>
      <c r="AS695" s="27"/>
      <c r="AT695" s="27"/>
      <c r="AU695" s="27"/>
      <c r="AV695" s="27"/>
      <c r="AW695" s="27"/>
      <c r="AX695" s="79"/>
      <c r="AY695" s="79"/>
      <c r="AZ695" s="25">
        <f t="shared" si="159"/>
        <v>0</v>
      </c>
      <c r="BA695" s="62"/>
      <c r="BB695" s="66"/>
      <c r="BC695" s="19"/>
      <c r="BD695" s="19"/>
      <c r="BE695" s="67"/>
      <c r="BF695" s="67"/>
      <c r="BG695" s="67"/>
      <c r="BH695" s="19"/>
      <c r="BI695" s="19"/>
      <c r="BJ695" s="19"/>
      <c r="BK695" s="19"/>
    </row>
    <row r="696" spans="3:63" ht="15" customHeight="1">
      <c r="C696" s="1" t="str">
        <f t="shared" si="155"/>
        <v>0001</v>
      </c>
      <c r="D696" s="1" t="str">
        <f t="shared" si="156"/>
        <v>0001</v>
      </c>
      <c r="E696" s="19"/>
      <c r="F696" s="19"/>
      <c r="G696" s="62"/>
      <c r="H696" s="19"/>
      <c r="I696" s="105"/>
      <c r="J696" s="86"/>
      <c r="K696" s="19"/>
      <c r="L696" s="99"/>
      <c r="M696" s="98"/>
      <c r="N696" s="101"/>
      <c r="O696" s="19"/>
      <c r="P696" s="19"/>
      <c r="Q696" s="104"/>
      <c r="R696" s="19"/>
      <c r="S696" s="19"/>
      <c r="T696" s="19"/>
      <c r="U696" s="19"/>
      <c r="V696" s="74"/>
      <c r="W696" s="75"/>
      <c r="X696" s="64"/>
      <c r="Y696" s="19"/>
      <c r="Z696" s="19"/>
      <c r="AA696" s="19"/>
      <c r="AB696" s="19"/>
      <c r="AC696" s="64">
        <f t="shared" si="158"/>
        <v>0</v>
      </c>
      <c r="AD696" s="63"/>
      <c r="AE696" s="65"/>
      <c r="AF696" s="19"/>
      <c r="AG696" s="19"/>
      <c r="AH696" s="25"/>
      <c r="AI696" s="92"/>
      <c r="AJ696" s="92"/>
      <c r="AK696" s="27"/>
      <c r="AL696" s="26"/>
      <c r="AM696" s="27"/>
      <c r="AN696" s="27"/>
      <c r="AO696" s="27"/>
      <c r="AP696" s="27"/>
      <c r="AQ696" s="27"/>
      <c r="AR696" s="27"/>
      <c r="AS696" s="27"/>
      <c r="AT696" s="27"/>
      <c r="AU696" s="27"/>
      <c r="AV696" s="27"/>
      <c r="AW696" s="27"/>
      <c r="AX696" s="79"/>
      <c r="AY696" s="79"/>
      <c r="AZ696" s="25">
        <f t="shared" si="159"/>
        <v>0</v>
      </c>
      <c r="BA696" s="62"/>
      <c r="BB696" s="66"/>
      <c r="BC696" s="19"/>
      <c r="BD696" s="19"/>
      <c r="BE696" s="67"/>
      <c r="BF696" s="67"/>
      <c r="BG696" s="67"/>
      <c r="BH696" s="19"/>
      <c r="BI696" s="19"/>
      <c r="BJ696" s="19"/>
      <c r="BK696" s="19"/>
    </row>
    <row r="697" spans="3:63" ht="15" customHeight="1">
      <c r="C697" s="1" t="str">
        <f t="shared" si="155"/>
        <v>0001</v>
      </c>
      <c r="D697" s="1" t="str">
        <f t="shared" si="156"/>
        <v>0001</v>
      </c>
      <c r="E697" s="19"/>
      <c r="F697" s="19"/>
      <c r="G697" s="62"/>
      <c r="H697" s="19"/>
      <c r="I697" s="105"/>
      <c r="J697" s="86"/>
      <c r="K697" s="19"/>
      <c r="L697" s="99"/>
      <c r="M697" s="98"/>
      <c r="N697" s="101"/>
      <c r="O697" s="19"/>
      <c r="P697" s="19"/>
      <c r="Q697" s="104"/>
      <c r="R697" s="19"/>
      <c r="S697" s="19"/>
      <c r="T697" s="19"/>
      <c r="U697" s="19"/>
      <c r="V697" s="74"/>
      <c r="W697" s="75"/>
      <c r="X697" s="64"/>
      <c r="Y697" s="19"/>
      <c r="Z697" s="19"/>
      <c r="AA697" s="19"/>
      <c r="AB697" s="19"/>
      <c r="AC697" s="64">
        <f t="shared" si="158"/>
        <v>0</v>
      </c>
      <c r="AD697" s="63"/>
      <c r="AE697" s="65"/>
      <c r="AF697" s="19"/>
      <c r="AG697" s="19"/>
      <c r="AH697" s="25"/>
      <c r="AI697" s="92"/>
      <c r="AJ697" s="92"/>
      <c r="AK697" s="27"/>
      <c r="AL697" s="26"/>
      <c r="AM697" s="27"/>
      <c r="AN697" s="27"/>
      <c r="AO697" s="27"/>
      <c r="AP697" s="27"/>
      <c r="AQ697" s="27"/>
      <c r="AR697" s="27"/>
      <c r="AS697" s="27"/>
      <c r="AT697" s="27"/>
      <c r="AU697" s="27"/>
      <c r="AV697" s="27"/>
      <c r="AW697" s="27"/>
      <c r="AX697" s="79"/>
      <c r="AY697" s="79"/>
      <c r="AZ697" s="25">
        <f t="shared" si="159"/>
        <v>0</v>
      </c>
      <c r="BA697" s="62"/>
      <c r="BB697" s="66"/>
      <c r="BC697" s="19"/>
      <c r="BD697" s="19"/>
      <c r="BE697" s="67"/>
      <c r="BF697" s="67"/>
      <c r="BG697" s="67"/>
      <c r="BH697" s="19"/>
      <c r="BI697" s="19"/>
      <c r="BJ697" s="19"/>
      <c r="BK697" s="19"/>
    </row>
    <row r="698" spans="3:63" ht="15" customHeight="1">
      <c r="C698" s="1" t="str">
        <f t="shared" si="155"/>
        <v>0001</v>
      </c>
      <c r="D698" s="1" t="str">
        <f t="shared" si="156"/>
        <v>0001</v>
      </c>
      <c r="E698" s="19"/>
      <c r="F698" s="19"/>
      <c r="G698" s="62"/>
      <c r="H698" s="19"/>
      <c r="I698" s="105"/>
      <c r="J698" s="86"/>
      <c r="K698" s="19"/>
      <c r="L698" s="99"/>
      <c r="M698" s="98"/>
      <c r="N698" s="101"/>
      <c r="O698" s="19"/>
      <c r="P698" s="19"/>
      <c r="Q698" s="104"/>
      <c r="R698" s="19"/>
      <c r="S698" s="19"/>
      <c r="T698" s="19"/>
      <c r="U698" s="19"/>
      <c r="V698" s="74"/>
      <c r="W698" s="75"/>
      <c r="X698" s="64"/>
      <c r="Y698" s="19"/>
      <c r="Z698" s="19"/>
      <c r="AA698" s="19"/>
      <c r="AB698" s="19"/>
      <c r="AC698" s="64">
        <f t="shared" si="158"/>
        <v>0</v>
      </c>
      <c r="AD698" s="63"/>
      <c r="AE698" s="65"/>
      <c r="AF698" s="19"/>
      <c r="AG698" s="19"/>
      <c r="AH698" s="25"/>
      <c r="AI698" s="92"/>
      <c r="AJ698" s="92"/>
      <c r="AK698" s="27"/>
      <c r="AL698" s="26"/>
      <c r="AM698" s="27"/>
      <c r="AN698" s="27"/>
      <c r="AO698" s="27"/>
      <c r="AP698" s="27"/>
      <c r="AQ698" s="27"/>
      <c r="AR698" s="27"/>
      <c r="AS698" s="27"/>
      <c r="AT698" s="27"/>
      <c r="AU698" s="27"/>
      <c r="AV698" s="27"/>
      <c r="AW698" s="27"/>
      <c r="AX698" s="79"/>
      <c r="AY698" s="79"/>
      <c r="AZ698" s="25">
        <f t="shared" si="159"/>
        <v>0</v>
      </c>
      <c r="BA698" s="62"/>
      <c r="BB698" s="66"/>
      <c r="BC698" s="19"/>
      <c r="BD698" s="19"/>
      <c r="BE698" s="67"/>
      <c r="BF698" s="67"/>
      <c r="BG698" s="67"/>
      <c r="BH698" s="19"/>
      <c r="BI698" s="19"/>
      <c r="BJ698" s="19"/>
      <c r="BK698" s="19"/>
    </row>
    <row r="699" spans="3:63" ht="15" customHeight="1">
      <c r="C699" s="1" t="str">
        <f t="shared" si="155"/>
        <v>0001</v>
      </c>
      <c r="D699" s="1" t="str">
        <f t="shared" si="156"/>
        <v>0001</v>
      </c>
      <c r="E699" s="19"/>
      <c r="F699" s="19"/>
      <c r="G699" s="62"/>
      <c r="H699" s="19"/>
      <c r="I699" s="105"/>
      <c r="J699" s="86"/>
      <c r="K699" s="19"/>
      <c r="L699" s="99"/>
      <c r="M699" s="98"/>
      <c r="N699" s="101"/>
      <c r="O699" s="19"/>
      <c r="P699" s="19"/>
      <c r="Q699" s="104"/>
      <c r="R699" s="19"/>
      <c r="S699" s="19"/>
      <c r="T699" s="19"/>
      <c r="U699" s="19"/>
      <c r="V699" s="74"/>
      <c r="W699" s="75"/>
      <c r="X699" s="64"/>
      <c r="Y699" s="19"/>
      <c r="Z699" s="19"/>
      <c r="AA699" s="19"/>
      <c r="AB699" s="19"/>
      <c r="AC699" s="64">
        <f t="shared" si="158"/>
        <v>0</v>
      </c>
      <c r="AD699" s="63"/>
      <c r="AE699" s="65"/>
      <c r="AF699" s="19"/>
      <c r="AG699" s="19"/>
      <c r="AH699" s="25"/>
      <c r="AI699" s="92"/>
      <c r="AJ699" s="92"/>
      <c r="AK699" s="27"/>
      <c r="AL699" s="26"/>
      <c r="AM699" s="27"/>
      <c r="AN699" s="27"/>
      <c r="AO699" s="27"/>
      <c r="AP699" s="27"/>
      <c r="AQ699" s="27"/>
      <c r="AR699" s="27"/>
      <c r="AS699" s="27"/>
      <c r="AT699" s="27"/>
      <c r="AU699" s="27"/>
      <c r="AV699" s="27"/>
      <c r="AW699" s="27"/>
      <c r="AX699" s="79"/>
      <c r="AY699" s="79"/>
      <c r="AZ699" s="25">
        <f t="shared" si="159"/>
        <v>0</v>
      </c>
      <c r="BA699" s="62"/>
      <c r="BB699" s="66"/>
      <c r="BC699" s="19"/>
      <c r="BD699" s="19"/>
      <c r="BE699" s="67"/>
      <c r="BF699" s="67"/>
      <c r="BG699" s="67"/>
      <c r="BH699" s="19"/>
      <c r="BI699" s="19"/>
      <c r="BJ699" s="19"/>
      <c r="BK699" s="19"/>
    </row>
    <row r="700" spans="3:63" ht="15" customHeight="1">
      <c r="C700" s="1" t="str">
        <f t="shared" si="155"/>
        <v>0001</v>
      </c>
      <c r="D700" s="1" t="str">
        <f t="shared" si="156"/>
        <v>0001</v>
      </c>
      <c r="E700" s="19"/>
      <c r="F700" s="19"/>
      <c r="G700" s="62"/>
      <c r="H700" s="19"/>
      <c r="I700" s="105"/>
      <c r="J700" s="86"/>
      <c r="K700" s="19"/>
      <c r="L700" s="99"/>
      <c r="M700" s="98"/>
      <c r="N700" s="101"/>
      <c r="O700" s="19"/>
      <c r="P700" s="19"/>
      <c r="Q700" s="104"/>
      <c r="R700" s="19"/>
      <c r="S700" s="19"/>
      <c r="T700" s="19"/>
      <c r="U700" s="19"/>
      <c r="V700" s="74"/>
      <c r="W700" s="75"/>
      <c r="X700" s="64"/>
      <c r="Y700" s="19"/>
      <c r="Z700" s="19"/>
      <c r="AA700" s="19"/>
      <c r="AB700" s="19"/>
      <c r="AC700" s="64">
        <f t="shared" si="158"/>
        <v>0</v>
      </c>
      <c r="AD700" s="63"/>
      <c r="AE700" s="65"/>
      <c r="AF700" s="19"/>
      <c r="AG700" s="19"/>
      <c r="AH700" s="25"/>
      <c r="AI700" s="92"/>
      <c r="AJ700" s="92"/>
      <c r="AK700" s="27"/>
      <c r="AL700" s="26"/>
      <c r="AM700" s="27"/>
      <c r="AN700" s="27"/>
      <c r="AO700" s="27"/>
      <c r="AP700" s="27"/>
      <c r="AQ700" s="27"/>
      <c r="AR700" s="27"/>
      <c r="AS700" s="27"/>
      <c r="AT700" s="27"/>
      <c r="AU700" s="27"/>
      <c r="AV700" s="27"/>
      <c r="AW700" s="27"/>
      <c r="AX700" s="79"/>
      <c r="AY700" s="79"/>
      <c r="AZ700" s="25">
        <f t="shared" si="159"/>
        <v>0</v>
      </c>
      <c r="BA700" s="62"/>
      <c r="BB700" s="66"/>
      <c r="BC700" s="19"/>
      <c r="BD700" s="19"/>
      <c r="BE700" s="67"/>
      <c r="BF700" s="67"/>
      <c r="BG700" s="67"/>
      <c r="BH700" s="19"/>
      <c r="BI700" s="19"/>
      <c r="BJ700" s="19"/>
      <c r="BK700" s="19"/>
    </row>
    <row r="701" spans="3:63" ht="15" customHeight="1">
      <c r="C701" s="1" t="str">
        <f t="shared" si="155"/>
        <v>0001</v>
      </c>
      <c r="D701" s="1" t="str">
        <f t="shared" si="156"/>
        <v>0001</v>
      </c>
      <c r="E701" s="19"/>
      <c r="F701" s="19"/>
      <c r="G701" s="62"/>
      <c r="H701" s="19"/>
      <c r="I701" s="105"/>
      <c r="J701" s="86"/>
      <c r="K701" s="19"/>
      <c r="L701" s="99"/>
      <c r="M701" s="98"/>
      <c r="N701" s="101"/>
      <c r="O701" s="19"/>
      <c r="P701" s="19"/>
      <c r="Q701" s="104"/>
      <c r="R701" s="19"/>
      <c r="S701" s="19"/>
      <c r="T701" s="19"/>
      <c r="U701" s="19"/>
      <c r="V701" s="74"/>
      <c r="W701" s="75"/>
      <c r="X701" s="64"/>
      <c r="Y701" s="19"/>
      <c r="Z701" s="19"/>
      <c r="AA701" s="19"/>
      <c r="AB701" s="19"/>
      <c r="AC701" s="64">
        <f t="shared" si="158"/>
        <v>0</v>
      </c>
      <c r="AD701" s="63"/>
      <c r="AE701" s="65"/>
      <c r="AF701" s="19"/>
      <c r="AG701" s="19"/>
      <c r="AH701" s="25"/>
      <c r="AI701" s="92"/>
      <c r="AJ701" s="92"/>
      <c r="AK701" s="27"/>
      <c r="AL701" s="26"/>
      <c r="AM701" s="27"/>
      <c r="AN701" s="27"/>
      <c r="AO701" s="27"/>
      <c r="AP701" s="27"/>
      <c r="AQ701" s="27"/>
      <c r="AR701" s="27"/>
      <c r="AS701" s="27"/>
      <c r="AT701" s="27"/>
      <c r="AU701" s="27"/>
      <c r="AV701" s="27"/>
      <c r="AW701" s="27"/>
      <c r="AX701" s="79"/>
      <c r="AY701" s="79"/>
      <c r="AZ701" s="25">
        <f t="shared" si="159"/>
        <v>0</v>
      </c>
      <c r="BA701" s="62"/>
      <c r="BB701" s="66"/>
      <c r="BC701" s="19"/>
      <c r="BD701" s="19"/>
      <c r="BE701" s="67"/>
      <c r="BF701" s="67"/>
      <c r="BG701" s="67"/>
      <c r="BH701" s="19"/>
      <c r="BI701" s="19"/>
      <c r="BJ701" s="19"/>
      <c r="BK701" s="19"/>
    </row>
    <row r="702" spans="3:63" ht="15" customHeight="1">
      <c r="E702" s="19"/>
      <c r="F702" s="19"/>
      <c r="G702" s="62"/>
      <c r="H702" s="19"/>
      <c r="I702" s="105"/>
      <c r="J702" s="86"/>
      <c r="K702" s="19"/>
      <c r="L702" s="99"/>
      <c r="M702" s="98"/>
      <c r="N702" s="101"/>
      <c r="O702" s="19"/>
      <c r="P702" s="19"/>
      <c r="Q702" s="104"/>
      <c r="R702" s="19"/>
      <c r="S702" s="19"/>
      <c r="T702" s="19"/>
      <c r="U702" s="19"/>
      <c r="V702" s="74"/>
      <c r="W702" s="75"/>
      <c r="X702" s="64"/>
      <c r="Y702" s="19"/>
      <c r="Z702" s="19"/>
      <c r="AA702" s="19"/>
      <c r="AB702" s="19"/>
      <c r="AC702" s="64">
        <f t="shared" si="158"/>
        <v>0</v>
      </c>
      <c r="AD702" s="63"/>
      <c r="AE702" s="65"/>
      <c r="AF702" s="19"/>
      <c r="AG702" s="19"/>
      <c r="AH702" s="25"/>
      <c r="AI702" s="92"/>
      <c r="AJ702" s="92"/>
      <c r="AK702" s="27"/>
      <c r="AL702" s="26"/>
      <c r="AM702" s="27"/>
      <c r="AN702" s="27"/>
      <c r="AO702" s="27"/>
      <c r="AP702" s="27"/>
      <c r="AQ702" s="27"/>
      <c r="AR702" s="27"/>
      <c r="AS702" s="27"/>
      <c r="AT702" s="27"/>
      <c r="AU702" s="27"/>
      <c r="AV702" s="27"/>
      <c r="AW702" s="27"/>
      <c r="AX702" s="79"/>
      <c r="AY702" s="79"/>
      <c r="AZ702" s="25"/>
      <c r="BA702" s="62"/>
      <c r="BB702" s="66"/>
      <c r="BC702" s="19"/>
      <c r="BD702" s="19"/>
      <c r="BE702" s="67"/>
      <c r="BF702" s="67"/>
      <c r="BG702" s="67"/>
      <c r="BH702" s="19"/>
      <c r="BI702" s="19"/>
      <c r="BJ702" s="19"/>
      <c r="BK702" s="19"/>
    </row>
    <row r="703" spans="3:63" ht="15" customHeight="1">
      <c r="E703" s="19"/>
      <c r="F703" s="19"/>
      <c r="G703" s="62"/>
      <c r="H703" s="19"/>
      <c r="I703" s="105"/>
      <c r="J703" s="86"/>
      <c r="K703" s="19"/>
      <c r="L703" s="99"/>
      <c r="M703" s="98"/>
      <c r="N703" s="101"/>
      <c r="O703" s="19"/>
      <c r="P703" s="19"/>
      <c r="Q703" s="104"/>
      <c r="R703" s="19"/>
      <c r="S703" s="19"/>
      <c r="T703" s="19"/>
      <c r="U703" s="19"/>
      <c r="V703" s="74"/>
      <c r="W703" s="75"/>
      <c r="X703" s="64"/>
      <c r="Y703" s="19"/>
      <c r="Z703" s="19"/>
      <c r="AA703" s="19"/>
      <c r="AB703" s="19"/>
      <c r="AC703" s="64"/>
      <c r="AD703" s="63"/>
      <c r="AE703" s="65"/>
      <c r="AF703" s="19"/>
      <c r="AG703" s="19"/>
      <c r="AH703" s="25"/>
      <c r="AI703" s="92"/>
      <c r="AJ703" s="92"/>
      <c r="AK703" s="27"/>
      <c r="AL703" s="26"/>
      <c r="AM703" s="27"/>
      <c r="AN703" s="27"/>
      <c r="AO703" s="27"/>
      <c r="AP703" s="27"/>
      <c r="AQ703" s="27"/>
      <c r="AR703" s="27"/>
      <c r="AS703" s="27"/>
      <c r="AT703" s="27"/>
      <c r="AU703" s="27"/>
      <c r="AV703" s="27"/>
      <c r="AW703" s="27"/>
      <c r="AX703" s="79"/>
      <c r="AY703" s="79"/>
      <c r="AZ703" s="25"/>
      <c r="BA703" s="62"/>
      <c r="BB703" s="66"/>
      <c r="BC703" s="19"/>
      <c r="BD703" s="19"/>
      <c r="BE703" s="67"/>
      <c r="BF703" s="67"/>
      <c r="BG703" s="67"/>
      <c r="BH703" s="19"/>
      <c r="BI703" s="19"/>
      <c r="BJ703" s="19"/>
      <c r="BK703" s="19"/>
    </row>
    <row r="704" spans="3:63" ht="15" customHeight="1">
      <c r="E704" s="19"/>
      <c r="F704" s="19"/>
      <c r="G704" s="62"/>
      <c r="H704" s="19"/>
      <c r="I704" s="105"/>
      <c r="J704" s="86"/>
      <c r="K704" s="19"/>
      <c r="L704" s="99"/>
      <c r="M704" s="98"/>
      <c r="N704" s="101"/>
      <c r="O704" s="19"/>
      <c r="P704" s="19"/>
      <c r="Q704" s="104"/>
      <c r="R704" s="19"/>
      <c r="S704" s="19"/>
      <c r="T704" s="19"/>
      <c r="U704" s="19"/>
      <c r="V704" s="74"/>
      <c r="W704" s="75"/>
      <c r="X704" s="64"/>
      <c r="Y704" s="19"/>
      <c r="Z704" s="19"/>
      <c r="AA704" s="19"/>
      <c r="AB704" s="19"/>
      <c r="AC704" s="64"/>
      <c r="AD704" s="63"/>
      <c r="AE704" s="65"/>
      <c r="AF704" s="19"/>
      <c r="AG704" s="19"/>
      <c r="AH704" s="25"/>
      <c r="AI704" s="92"/>
      <c r="AJ704" s="92"/>
      <c r="AK704" s="27"/>
      <c r="AL704" s="26"/>
      <c r="AM704" s="27"/>
      <c r="AN704" s="27"/>
      <c r="AO704" s="27"/>
      <c r="AP704" s="27"/>
      <c r="AQ704" s="27"/>
      <c r="AR704" s="27"/>
      <c r="AS704" s="27"/>
      <c r="AT704" s="27"/>
      <c r="AU704" s="27"/>
      <c r="AV704" s="27"/>
      <c r="AW704" s="27"/>
      <c r="AX704" s="79"/>
      <c r="AY704" s="79"/>
      <c r="AZ704" s="25"/>
      <c r="BA704" s="62"/>
      <c r="BB704" s="66"/>
      <c r="BC704" s="19"/>
      <c r="BD704" s="19"/>
      <c r="BE704" s="67"/>
      <c r="BF704" s="67"/>
      <c r="BG704" s="67"/>
      <c r="BH704" s="19"/>
      <c r="BI704" s="19"/>
      <c r="BJ704" s="19"/>
      <c r="BK704" s="19"/>
    </row>
    <row r="705" spans="5:63" ht="15" customHeight="1">
      <c r="E705" s="19"/>
      <c r="F705" s="19"/>
      <c r="G705" s="62"/>
      <c r="H705" s="19"/>
      <c r="I705" s="105"/>
      <c r="J705" s="86"/>
      <c r="K705" s="19"/>
      <c r="L705" s="99"/>
      <c r="M705" s="98"/>
      <c r="N705" s="101"/>
      <c r="O705" s="19"/>
      <c r="P705" s="19"/>
      <c r="Q705" s="104"/>
      <c r="R705" s="19"/>
      <c r="S705" s="19"/>
      <c r="T705" s="19"/>
      <c r="U705" s="19"/>
      <c r="V705" s="74"/>
      <c r="W705" s="75"/>
      <c r="X705" s="64"/>
      <c r="Y705" s="19"/>
      <c r="Z705" s="19"/>
      <c r="AA705" s="19"/>
      <c r="AB705" s="19"/>
      <c r="AC705" s="64"/>
      <c r="AD705" s="63"/>
      <c r="AE705" s="65"/>
      <c r="AF705" s="19"/>
      <c r="AG705" s="19"/>
      <c r="AH705" s="25"/>
      <c r="AI705" s="92"/>
      <c r="AJ705" s="92"/>
      <c r="AK705" s="27"/>
      <c r="AL705" s="26"/>
      <c r="AM705" s="27"/>
      <c r="AN705" s="27"/>
      <c r="AO705" s="27"/>
      <c r="AP705" s="27"/>
      <c r="AQ705" s="27"/>
      <c r="AR705" s="27"/>
      <c r="AS705" s="27"/>
      <c r="AT705" s="27"/>
      <c r="AU705" s="27"/>
      <c r="AV705" s="27"/>
      <c r="AW705" s="27"/>
      <c r="AX705" s="79"/>
      <c r="AY705" s="79"/>
      <c r="AZ705" s="25"/>
      <c r="BA705" s="62"/>
      <c r="BB705" s="66"/>
      <c r="BC705" s="19"/>
      <c r="BD705" s="19"/>
      <c r="BE705" s="67"/>
      <c r="BF705" s="67"/>
      <c r="BG705" s="67"/>
      <c r="BH705" s="19"/>
      <c r="BI705" s="19"/>
      <c r="BJ705" s="19"/>
      <c r="BK705" s="19"/>
    </row>
    <row r="706" spans="5:63" ht="15" customHeight="1">
      <c r="E706" s="19"/>
      <c r="F706" s="19"/>
      <c r="G706" s="62"/>
      <c r="H706" s="19"/>
      <c r="I706" s="105"/>
      <c r="J706" s="86"/>
      <c r="K706" s="19"/>
      <c r="L706" s="99"/>
      <c r="M706" s="98"/>
      <c r="N706" s="101"/>
      <c r="O706" s="19"/>
      <c r="P706" s="19"/>
      <c r="Q706" s="104"/>
      <c r="R706" s="19"/>
      <c r="S706" s="19"/>
      <c r="T706" s="19"/>
      <c r="U706" s="19"/>
      <c r="V706" s="74"/>
      <c r="W706" s="75"/>
      <c r="X706" s="64"/>
      <c r="Y706" s="19"/>
      <c r="Z706" s="19"/>
      <c r="AA706" s="19"/>
      <c r="AB706" s="19"/>
      <c r="AC706" s="64"/>
      <c r="AD706" s="63"/>
      <c r="AE706" s="65"/>
      <c r="AF706" s="19"/>
      <c r="AG706" s="19"/>
      <c r="AH706" s="25"/>
      <c r="AI706" s="92"/>
      <c r="AJ706" s="92"/>
      <c r="AK706" s="27"/>
      <c r="AL706" s="26"/>
      <c r="AM706" s="27"/>
      <c r="AN706" s="27"/>
      <c r="AO706" s="27"/>
      <c r="AP706" s="27"/>
      <c r="AQ706" s="27"/>
      <c r="AR706" s="27"/>
      <c r="AS706" s="27"/>
      <c r="AT706" s="27"/>
      <c r="AU706" s="27"/>
      <c r="AV706" s="27"/>
      <c r="AW706" s="27"/>
      <c r="AX706" s="79"/>
      <c r="AY706" s="79"/>
      <c r="AZ706" s="25"/>
      <c r="BA706" s="62"/>
      <c r="BB706" s="66"/>
      <c r="BC706" s="19"/>
      <c r="BD706" s="19"/>
      <c r="BE706" s="67"/>
      <c r="BF706" s="67"/>
      <c r="BG706" s="67"/>
      <c r="BH706" s="19"/>
      <c r="BI706" s="19"/>
      <c r="BJ706" s="19"/>
      <c r="BK706" s="19"/>
    </row>
    <row r="707" spans="5:63" ht="15" customHeight="1">
      <c r="E707" s="19"/>
      <c r="F707" s="19"/>
      <c r="G707" s="62"/>
      <c r="H707" s="19"/>
      <c r="I707" s="105"/>
      <c r="J707" s="86"/>
      <c r="K707" s="19"/>
      <c r="L707" s="99"/>
      <c r="M707" s="98"/>
      <c r="N707" s="101"/>
      <c r="O707" s="19"/>
      <c r="P707" s="19"/>
      <c r="Q707" s="104"/>
      <c r="R707" s="19"/>
      <c r="S707" s="19"/>
      <c r="T707" s="19"/>
      <c r="U707" s="19"/>
      <c r="V707" s="74"/>
      <c r="W707" s="75"/>
      <c r="X707" s="64"/>
      <c r="Y707" s="19"/>
      <c r="Z707" s="19"/>
      <c r="AA707" s="19"/>
      <c r="AB707" s="19"/>
      <c r="AC707" s="64"/>
      <c r="AD707" s="63"/>
      <c r="AE707" s="65"/>
      <c r="AF707" s="19"/>
      <c r="AG707" s="19"/>
      <c r="AH707" s="25"/>
      <c r="AI707" s="92"/>
      <c r="AJ707" s="92"/>
      <c r="AK707" s="27"/>
      <c r="AL707" s="26"/>
      <c r="AM707" s="27"/>
      <c r="AN707" s="27"/>
      <c r="AO707" s="27"/>
      <c r="AP707" s="27"/>
      <c r="AQ707" s="27"/>
      <c r="AR707" s="27"/>
      <c r="AS707" s="27"/>
      <c r="AT707" s="27"/>
      <c r="AU707" s="27"/>
      <c r="AV707" s="27"/>
      <c r="AW707" s="27"/>
      <c r="AX707" s="79"/>
      <c r="AY707" s="79"/>
      <c r="AZ707" s="25"/>
      <c r="BA707" s="62"/>
      <c r="BB707" s="66"/>
      <c r="BC707" s="19"/>
      <c r="BD707" s="19"/>
      <c r="BE707" s="67"/>
      <c r="BF707" s="67"/>
      <c r="BG707" s="67"/>
      <c r="BH707" s="19"/>
      <c r="BI707" s="19"/>
      <c r="BJ707" s="19"/>
      <c r="BK707" s="19"/>
    </row>
    <row r="708" spans="5:63" ht="15" customHeight="1">
      <c r="E708" s="19"/>
      <c r="F708" s="19"/>
      <c r="G708" s="62"/>
      <c r="H708" s="19"/>
      <c r="I708" s="105"/>
      <c r="J708" s="86"/>
      <c r="K708" s="19"/>
      <c r="L708" s="99"/>
      <c r="M708" s="98"/>
      <c r="N708" s="101"/>
      <c r="O708" s="19"/>
      <c r="P708" s="19"/>
      <c r="Q708" s="104"/>
      <c r="R708" s="19"/>
      <c r="S708" s="19"/>
      <c r="T708" s="19"/>
      <c r="U708" s="19"/>
      <c r="V708" s="74"/>
      <c r="W708" s="75"/>
      <c r="X708" s="64"/>
      <c r="Y708" s="19"/>
      <c r="Z708" s="19"/>
      <c r="AA708" s="19"/>
      <c r="AB708" s="19"/>
      <c r="AC708" s="64"/>
      <c r="AD708" s="63"/>
      <c r="AE708" s="65"/>
      <c r="AF708" s="19"/>
      <c r="AG708" s="19"/>
      <c r="AH708" s="25"/>
      <c r="AI708" s="92"/>
      <c r="AJ708" s="92"/>
      <c r="AK708" s="27"/>
      <c r="AL708" s="26"/>
      <c r="AM708" s="27"/>
      <c r="AN708" s="27"/>
      <c r="AO708" s="27"/>
      <c r="AP708" s="27"/>
      <c r="AQ708" s="27"/>
      <c r="AR708" s="27"/>
      <c r="AS708" s="27"/>
      <c r="AT708" s="27"/>
      <c r="AU708" s="27"/>
      <c r="AV708" s="27"/>
      <c r="AW708" s="27"/>
      <c r="AX708" s="79"/>
      <c r="AY708" s="79"/>
      <c r="AZ708" s="25"/>
      <c r="BA708" s="62"/>
      <c r="BB708" s="66"/>
      <c r="BC708" s="19"/>
      <c r="BD708" s="19"/>
      <c r="BE708" s="67"/>
      <c r="BF708" s="67"/>
      <c r="BG708" s="67"/>
      <c r="BH708" s="19"/>
      <c r="BI708" s="19"/>
      <c r="BJ708" s="19"/>
      <c r="BK708" s="19"/>
    </row>
    <row r="709" spans="5:63" ht="15" customHeight="1">
      <c r="E709" s="19"/>
      <c r="F709" s="19"/>
      <c r="G709" s="62"/>
      <c r="H709" s="19"/>
      <c r="I709" s="105"/>
      <c r="J709" s="86"/>
      <c r="K709" s="19"/>
      <c r="L709" s="99"/>
      <c r="M709" s="98"/>
      <c r="N709" s="101"/>
      <c r="O709" s="19"/>
      <c r="P709" s="19"/>
      <c r="Q709" s="104"/>
      <c r="R709" s="19"/>
      <c r="S709" s="19"/>
      <c r="T709" s="19"/>
      <c r="U709" s="19"/>
      <c r="V709" s="74"/>
      <c r="W709" s="75"/>
      <c r="X709" s="64"/>
      <c r="Y709" s="19"/>
      <c r="Z709" s="19"/>
      <c r="AA709" s="19"/>
      <c r="AB709" s="19"/>
      <c r="AC709" s="64"/>
      <c r="AD709" s="63"/>
      <c r="AE709" s="65"/>
      <c r="AF709" s="19"/>
      <c r="AG709" s="19"/>
      <c r="AH709" s="25"/>
      <c r="AI709" s="92"/>
      <c r="AJ709" s="92"/>
      <c r="AK709" s="27"/>
      <c r="AL709" s="26"/>
      <c r="AM709" s="27"/>
      <c r="AN709" s="27"/>
      <c r="AO709" s="27"/>
      <c r="AP709" s="27"/>
      <c r="AQ709" s="27"/>
      <c r="AR709" s="27"/>
      <c r="AS709" s="27"/>
      <c r="AT709" s="27"/>
      <c r="AU709" s="27"/>
      <c r="AV709" s="27"/>
      <c r="AW709" s="27"/>
      <c r="AX709" s="79"/>
      <c r="AY709" s="79"/>
      <c r="AZ709" s="25"/>
      <c r="BA709" s="62"/>
      <c r="BB709" s="66"/>
      <c r="BC709" s="19"/>
      <c r="BD709" s="19"/>
      <c r="BE709" s="67"/>
      <c r="BF709" s="67"/>
      <c r="BG709" s="67"/>
      <c r="BH709" s="19"/>
      <c r="BI709" s="19"/>
      <c r="BJ709" s="19"/>
      <c r="BK709" s="19"/>
    </row>
    <row r="710" spans="5:63" ht="15" customHeight="1">
      <c r="E710" s="19"/>
      <c r="F710" s="19"/>
      <c r="G710" s="62"/>
      <c r="H710" s="19"/>
      <c r="I710" s="105"/>
      <c r="J710" s="86"/>
      <c r="K710" s="19"/>
      <c r="L710" s="99"/>
      <c r="M710" s="98"/>
      <c r="N710" s="101"/>
      <c r="O710" s="19"/>
      <c r="P710" s="19"/>
      <c r="Q710" s="104"/>
      <c r="R710" s="19"/>
      <c r="S710" s="19"/>
      <c r="T710" s="19"/>
      <c r="U710" s="19"/>
      <c r="V710" s="74"/>
      <c r="W710" s="75"/>
      <c r="X710" s="64"/>
      <c r="Y710" s="19"/>
      <c r="Z710" s="19"/>
      <c r="AA710" s="19"/>
      <c r="AB710" s="19"/>
      <c r="AC710" s="64"/>
      <c r="AD710" s="63"/>
      <c r="AE710" s="65"/>
      <c r="AF710" s="19"/>
      <c r="AG710" s="19"/>
      <c r="AH710" s="25"/>
      <c r="AI710" s="92"/>
      <c r="AJ710" s="92"/>
      <c r="AK710" s="27"/>
      <c r="AL710" s="26"/>
      <c r="AM710" s="27"/>
      <c r="AN710" s="27"/>
      <c r="AO710" s="27"/>
      <c r="AP710" s="27"/>
      <c r="AQ710" s="27"/>
      <c r="AR710" s="27"/>
      <c r="AS710" s="27"/>
      <c r="AT710" s="27"/>
      <c r="AU710" s="27"/>
      <c r="AV710" s="27"/>
      <c r="AW710" s="27"/>
      <c r="AX710" s="79"/>
      <c r="AY710" s="79"/>
      <c r="AZ710" s="25"/>
      <c r="BA710" s="62"/>
      <c r="BB710" s="66"/>
      <c r="BC710" s="19"/>
      <c r="BD710" s="19"/>
      <c r="BE710" s="67"/>
      <c r="BF710" s="67"/>
      <c r="BG710" s="67"/>
      <c r="BH710" s="19"/>
      <c r="BI710" s="19"/>
      <c r="BJ710" s="19"/>
      <c r="BK710" s="19"/>
    </row>
    <row r="711" spans="5:63" ht="15" customHeight="1">
      <c r="E711" s="19"/>
      <c r="F711" s="19"/>
      <c r="G711" s="62"/>
      <c r="H711" s="19"/>
      <c r="I711" s="105"/>
      <c r="J711" s="86"/>
      <c r="K711" s="19"/>
      <c r="L711" s="99"/>
      <c r="M711" s="98"/>
      <c r="N711" s="101"/>
      <c r="O711" s="19"/>
      <c r="P711" s="19"/>
      <c r="Q711" s="104"/>
      <c r="R711" s="19"/>
      <c r="S711" s="19"/>
      <c r="T711" s="19"/>
      <c r="U711" s="19"/>
      <c r="V711" s="74"/>
      <c r="W711" s="75"/>
      <c r="X711" s="64"/>
      <c r="Y711" s="19"/>
      <c r="Z711" s="19"/>
      <c r="AA711" s="19"/>
      <c r="AB711" s="19"/>
      <c r="AC711" s="64"/>
      <c r="AD711" s="63"/>
      <c r="AE711" s="65"/>
      <c r="AF711" s="19"/>
      <c r="AG711" s="19"/>
      <c r="AH711" s="25"/>
      <c r="AI711" s="92"/>
      <c r="AJ711" s="92"/>
      <c r="AK711" s="27"/>
      <c r="AL711" s="26"/>
      <c r="AM711" s="27"/>
      <c r="AN711" s="27"/>
      <c r="AO711" s="27"/>
      <c r="AP711" s="27"/>
      <c r="AQ711" s="27"/>
      <c r="AR711" s="27"/>
      <c r="AS711" s="27"/>
      <c r="AT711" s="27"/>
      <c r="AU711" s="27"/>
      <c r="AV711" s="27"/>
      <c r="AW711" s="27"/>
      <c r="AX711" s="79"/>
      <c r="AY711" s="79"/>
      <c r="AZ711" s="25"/>
      <c r="BA711" s="62"/>
      <c r="BB711" s="66"/>
      <c r="BC711" s="19"/>
      <c r="BD711" s="19"/>
      <c r="BE711" s="67"/>
      <c r="BF711" s="67"/>
      <c r="BG711" s="67"/>
      <c r="BH711" s="19"/>
      <c r="BI711" s="19"/>
      <c r="BJ711" s="19"/>
      <c r="BK711" s="19"/>
    </row>
    <row r="712" spans="5:63" ht="15" customHeight="1">
      <c r="E712" s="19"/>
      <c r="F712" s="19"/>
      <c r="G712" s="62"/>
      <c r="H712" s="19"/>
      <c r="I712" s="105"/>
      <c r="J712" s="86"/>
      <c r="K712" s="19"/>
      <c r="L712" s="99"/>
      <c r="M712" s="98"/>
      <c r="N712" s="101"/>
      <c r="O712" s="19"/>
      <c r="P712" s="19"/>
      <c r="Q712" s="104"/>
      <c r="R712" s="19"/>
      <c r="S712" s="19"/>
      <c r="T712" s="19"/>
      <c r="U712" s="19"/>
      <c r="V712" s="74"/>
      <c r="W712" s="75"/>
      <c r="X712" s="64"/>
      <c r="Y712" s="19"/>
      <c r="Z712" s="19"/>
      <c r="AA712" s="19"/>
      <c r="AB712" s="19"/>
      <c r="AC712" s="64"/>
      <c r="AD712" s="63"/>
      <c r="AE712" s="65"/>
      <c r="AF712" s="19"/>
      <c r="AG712" s="19"/>
      <c r="AH712" s="25"/>
      <c r="AI712" s="92"/>
      <c r="AJ712" s="92"/>
      <c r="AK712" s="27"/>
      <c r="AL712" s="26"/>
      <c r="AM712" s="27"/>
      <c r="AN712" s="27"/>
      <c r="AO712" s="27"/>
      <c r="AP712" s="27"/>
      <c r="AQ712" s="27"/>
      <c r="AR712" s="27"/>
      <c r="AS712" s="27"/>
      <c r="AT712" s="27"/>
      <c r="AU712" s="27"/>
      <c r="AV712" s="27"/>
      <c r="AW712" s="27"/>
      <c r="AX712" s="79"/>
      <c r="AY712" s="79"/>
      <c r="AZ712" s="25"/>
      <c r="BA712" s="62"/>
      <c r="BB712" s="66"/>
      <c r="BC712" s="19"/>
      <c r="BD712" s="19"/>
      <c r="BE712" s="67"/>
      <c r="BF712" s="67"/>
      <c r="BG712" s="67"/>
      <c r="BH712" s="19"/>
      <c r="BI712" s="19"/>
      <c r="BJ712" s="19"/>
      <c r="BK712" s="19"/>
    </row>
    <row r="713" spans="5:63" ht="15" customHeight="1">
      <c r="E713" s="19"/>
      <c r="F713" s="19"/>
      <c r="G713" s="62"/>
      <c r="H713" s="19"/>
      <c r="I713" s="105"/>
      <c r="J713" s="86"/>
      <c r="K713" s="19"/>
      <c r="L713" s="99"/>
      <c r="M713" s="98"/>
      <c r="N713" s="101"/>
      <c r="O713" s="19"/>
      <c r="P713" s="19"/>
      <c r="Q713" s="104"/>
      <c r="R713" s="19"/>
      <c r="S713" s="19"/>
      <c r="T713" s="19"/>
      <c r="U713" s="19"/>
      <c r="V713" s="74"/>
      <c r="W713" s="75"/>
      <c r="X713" s="64"/>
      <c r="Y713" s="19"/>
      <c r="Z713" s="19"/>
      <c r="AA713" s="19"/>
      <c r="AB713" s="19"/>
      <c r="AC713" s="64"/>
      <c r="AD713" s="63"/>
      <c r="AE713" s="65"/>
      <c r="AF713" s="19"/>
      <c r="AG713" s="19"/>
      <c r="AH713" s="25"/>
      <c r="AI713" s="92"/>
      <c r="AJ713" s="92"/>
      <c r="AK713" s="27"/>
      <c r="AL713" s="26"/>
      <c r="AM713" s="27"/>
      <c r="AN713" s="27"/>
      <c r="AO713" s="27"/>
      <c r="AP713" s="27"/>
      <c r="AQ713" s="27"/>
      <c r="AR713" s="27"/>
      <c r="AS713" s="27"/>
      <c r="AT713" s="27"/>
      <c r="AU713" s="27"/>
      <c r="AV713" s="27"/>
      <c r="AW713" s="27"/>
      <c r="AX713" s="79"/>
      <c r="AY713" s="79"/>
      <c r="AZ713" s="25"/>
      <c r="BA713" s="62"/>
      <c r="BB713" s="66"/>
      <c r="BC713" s="19"/>
      <c r="BD713" s="19"/>
      <c r="BE713" s="67"/>
      <c r="BF713" s="67"/>
      <c r="BG713" s="67"/>
      <c r="BH713" s="19"/>
      <c r="BI713" s="19"/>
      <c r="BJ713" s="19"/>
      <c r="BK713" s="19"/>
    </row>
    <row r="714" spans="5:63" ht="15" customHeight="1">
      <c r="E714" s="19"/>
      <c r="F714" s="19"/>
      <c r="G714" s="62"/>
      <c r="H714" s="19"/>
      <c r="I714" s="105"/>
      <c r="J714" s="86"/>
      <c r="K714" s="19"/>
      <c r="L714" s="99"/>
      <c r="M714" s="98"/>
      <c r="N714" s="101"/>
      <c r="O714" s="19"/>
      <c r="P714" s="19"/>
      <c r="Q714" s="104"/>
      <c r="R714" s="19"/>
      <c r="S714" s="19"/>
      <c r="T714" s="19"/>
      <c r="U714" s="19"/>
      <c r="V714" s="74"/>
      <c r="W714" s="75"/>
      <c r="X714" s="64"/>
      <c r="Y714" s="19"/>
      <c r="Z714" s="19"/>
      <c r="AA714" s="19"/>
      <c r="AB714" s="19"/>
      <c r="AC714" s="64"/>
      <c r="AD714" s="63"/>
      <c r="AE714" s="65"/>
      <c r="AF714" s="19"/>
      <c r="AG714" s="19"/>
      <c r="AH714" s="25"/>
      <c r="AI714" s="92"/>
      <c r="AJ714" s="92"/>
      <c r="AK714" s="27"/>
      <c r="AL714" s="26"/>
      <c r="AM714" s="27"/>
      <c r="AN714" s="27"/>
      <c r="AO714" s="27"/>
      <c r="AP714" s="27"/>
      <c r="AQ714" s="27"/>
      <c r="AR714" s="27"/>
      <c r="AS714" s="27"/>
      <c r="AT714" s="27"/>
      <c r="AU714" s="27"/>
      <c r="AV714" s="27"/>
      <c r="AW714" s="27"/>
      <c r="AX714" s="79"/>
      <c r="AY714" s="79"/>
      <c r="AZ714" s="25"/>
      <c r="BA714" s="62"/>
      <c r="BB714" s="66"/>
      <c r="BC714" s="19"/>
      <c r="BD714" s="19"/>
      <c r="BE714" s="67"/>
      <c r="BF714" s="67"/>
      <c r="BG714" s="67"/>
      <c r="BH714" s="19"/>
      <c r="BI714" s="19"/>
      <c r="BJ714" s="19"/>
      <c r="BK714" s="19"/>
    </row>
    <row r="715" spans="5:63" ht="15" customHeight="1">
      <c r="E715" s="19"/>
      <c r="F715" s="19"/>
      <c r="G715" s="62"/>
      <c r="H715" s="19"/>
      <c r="I715" s="105"/>
      <c r="J715" s="86"/>
      <c r="K715" s="19"/>
      <c r="L715" s="99"/>
      <c r="M715" s="98"/>
      <c r="N715" s="101"/>
      <c r="O715" s="19"/>
      <c r="P715" s="19"/>
      <c r="Q715" s="104"/>
      <c r="R715" s="19"/>
      <c r="S715" s="19"/>
      <c r="T715" s="19"/>
      <c r="U715" s="19"/>
      <c r="V715" s="74"/>
      <c r="W715" s="75"/>
      <c r="X715" s="64"/>
      <c r="Y715" s="19"/>
      <c r="Z715" s="19"/>
      <c r="AA715" s="19"/>
      <c r="AB715" s="19"/>
      <c r="AC715" s="64"/>
      <c r="AD715" s="63"/>
      <c r="AE715" s="65"/>
      <c r="AF715" s="19"/>
      <c r="AG715" s="19"/>
      <c r="AH715" s="25"/>
      <c r="AI715" s="92"/>
      <c r="AJ715" s="92"/>
      <c r="AK715" s="27"/>
      <c r="AL715" s="26"/>
      <c r="AM715" s="27"/>
      <c r="AN715" s="27"/>
      <c r="AO715" s="27"/>
      <c r="AP715" s="27"/>
      <c r="AQ715" s="27"/>
      <c r="AR715" s="27"/>
      <c r="AS715" s="27"/>
      <c r="AT715" s="27"/>
      <c r="AU715" s="27"/>
      <c r="AV715" s="27"/>
      <c r="AW715" s="27"/>
      <c r="AX715" s="79"/>
      <c r="AY715" s="79"/>
      <c r="AZ715" s="25"/>
      <c r="BA715" s="62"/>
      <c r="BB715" s="66"/>
      <c r="BC715" s="19"/>
      <c r="BD715" s="19"/>
      <c r="BE715" s="67"/>
      <c r="BF715" s="67"/>
      <c r="BG715" s="67"/>
      <c r="BH715" s="19"/>
      <c r="BI715" s="19"/>
      <c r="BJ715" s="19"/>
      <c r="BK715" s="19"/>
    </row>
    <row r="716" spans="5:63" ht="15" customHeight="1">
      <c r="E716" s="19"/>
      <c r="F716" s="19"/>
      <c r="G716" s="62"/>
      <c r="H716" s="19"/>
      <c r="I716" s="105"/>
      <c r="J716" s="86"/>
      <c r="K716" s="19"/>
      <c r="L716" s="99"/>
      <c r="M716" s="98"/>
      <c r="N716" s="101"/>
      <c r="O716" s="19"/>
      <c r="P716" s="19"/>
      <c r="Q716" s="104"/>
      <c r="R716" s="19"/>
      <c r="S716" s="19"/>
      <c r="T716" s="19"/>
      <c r="U716" s="19"/>
      <c r="V716" s="74"/>
      <c r="W716" s="75"/>
      <c r="X716" s="64"/>
      <c r="Y716" s="19"/>
      <c r="Z716" s="19"/>
      <c r="AA716" s="19"/>
      <c r="AB716" s="19"/>
      <c r="AC716" s="64"/>
      <c r="AD716" s="63"/>
      <c r="AE716" s="65"/>
      <c r="AF716" s="19"/>
      <c r="AG716" s="19"/>
      <c r="AH716" s="25"/>
      <c r="AI716" s="92"/>
      <c r="AJ716" s="92"/>
      <c r="AK716" s="27"/>
      <c r="AL716" s="26"/>
      <c r="AM716" s="27"/>
      <c r="AN716" s="27"/>
      <c r="AO716" s="27"/>
      <c r="AP716" s="27"/>
      <c r="AQ716" s="27"/>
      <c r="AR716" s="27"/>
      <c r="AS716" s="27"/>
      <c r="AT716" s="27"/>
      <c r="AU716" s="27"/>
      <c r="AV716" s="27"/>
      <c r="AW716" s="27"/>
      <c r="AX716" s="79"/>
      <c r="AY716" s="79"/>
      <c r="AZ716" s="25"/>
      <c r="BA716" s="62"/>
      <c r="BB716" s="66"/>
      <c r="BC716" s="19"/>
      <c r="BD716" s="19"/>
      <c r="BE716" s="67"/>
      <c r="BF716" s="67"/>
      <c r="BG716" s="67"/>
      <c r="BH716" s="19"/>
      <c r="BI716" s="19"/>
      <c r="BJ716" s="19"/>
      <c r="BK716" s="19"/>
    </row>
    <row r="717" spans="5:63" ht="15" customHeight="1">
      <c r="E717" s="19"/>
      <c r="F717" s="19"/>
      <c r="G717" s="62"/>
      <c r="H717" s="19"/>
      <c r="I717" s="105"/>
      <c r="J717" s="86"/>
      <c r="K717" s="19"/>
      <c r="L717" s="99"/>
      <c r="M717" s="98"/>
      <c r="N717" s="101"/>
      <c r="O717" s="19"/>
      <c r="P717" s="19"/>
      <c r="Q717" s="104"/>
      <c r="R717" s="19"/>
      <c r="S717" s="19"/>
      <c r="T717" s="19"/>
      <c r="U717" s="19"/>
      <c r="V717" s="74"/>
      <c r="W717" s="75"/>
      <c r="X717" s="64"/>
      <c r="Y717" s="19"/>
      <c r="Z717" s="19"/>
      <c r="AA717" s="19"/>
      <c r="AB717" s="19"/>
      <c r="AC717" s="64"/>
      <c r="AD717" s="63"/>
      <c r="AE717" s="65"/>
      <c r="AF717" s="19"/>
      <c r="AG717" s="19"/>
      <c r="AH717" s="25"/>
      <c r="AI717" s="92"/>
      <c r="AJ717" s="92"/>
      <c r="AK717" s="27"/>
      <c r="AL717" s="26"/>
      <c r="AM717" s="27"/>
      <c r="AN717" s="27"/>
      <c r="AO717" s="27"/>
      <c r="AP717" s="27"/>
      <c r="AQ717" s="27"/>
      <c r="AR717" s="27"/>
      <c r="AS717" s="27"/>
      <c r="AT717" s="27"/>
      <c r="AU717" s="27"/>
      <c r="AV717" s="27"/>
      <c r="AW717" s="27"/>
      <c r="AX717" s="79"/>
      <c r="AY717" s="79"/>
      <c r="AZ717" s="25"/>
      <c r="BA717" s="62"/>
      <c r="BB717" s="66"/>
      <c r="BC717" s="19"/>
      <c r="BD717" s="19"/>
      <c r="BE717" s="67"/>
      <c r="BF717" s="67"/>
      <c r="BG717" s="67"/>
      <c r="BH717" s="19"/>
      <c r="BI717" s="19"/>
      <c r="BJ717" s="19"/>
      <c r="BK717" s="19"/>
    </row>
    <row r="718" spans="5:63" ht="15" customHeight="1">
      <c r="E718" s="19"/>
      <c r="F718" s="19"/>
      <c r="G718" s="62"/>
      <c r="H718" s="19"/>
      <c r="I718" s="105"/>
      <c r="J718" s="86"/>
      <c r="K718" s="19"/>
      <c r="L718" s="99"/>
      <c r="M718" s="98"/>
      <c r="N718" s="101"/>
      <c r="O718" s="19"/>
      <c r="P718" s="19"/>
      <c r="Q718" s="104"/>
      <c r="R718" s="19"/>
      <c r="S718" s="19"/>
      <c r="T718" s="19"/>
      <c r="U718" s="19"/>
      <c r="V718" s="74"/>
      <c r="W718" s="75"/>
      <c r="X718" s="64"/>
      <c r="Y718" s="19"/>
      <c r="Z718" s="19"/>
      <c r="AA718" s="19"/>
      <c r="AB718" s="19"/>
      <c r="AC718" s="64"/>
      <c r="AD718" s="63"/>
      <c r="AE718" s="65"/>
      <c r="AF718" s="19"/>
      <c r="AG718" s="19"/>
      <c r="AH718" s="25"/>
      <c r="AI718" s="92"/>
      <c r="AJ718" s="92"/>
      <c r="AK718" s="27"/>
      <c r="AL718" s="26"/>
      <c r="AM718" s="27"/>
      <c r="AN718" s="27"/>
      <c r="AO718" s="27"/>
      <c r="AP718" s="27"/>
      <c r="AQ718" s="27"/>
      <c r="AR718" s="27"/>
      <c r="AS718" s="27"/>
      <c r="AT718" s="27"/>
      <c r="AU718" s="27"/>
      <c r="AV718" s="27"/>
      <c r="AW718" s="27"/>
      <c r="AX718" s="79"/>
      <c r="AY718" s="79"/>
      <c r="AZ718" s="25"/>
      <c r="BA718" s="62"/>
      <c r="BB718" s="66"/>
      <c r="BC718" s="19"/>
      <c r="BD718" s="19"/>
      <c r="BE718" s="67"/>
      <c r="BF718" s="67"/>
      <c r="BG718" s="67"/>
      <c r="BH718" s="19"/>
      <c r="BI718" s="19"/>
      <c r="BJ718" s="19"/>
      <c r="BK718" s="19"/>
    </row>
    <row r="719" spans="5:63" ht="15" customHeight="1">
      <c r="E719" s="19"/>
      <c r="F719" s="19"/>
      <c r="G719" s="62"/>
      <c r="H719" s="19"/>
      <c r="I719" s="105"/>
      <c r="J719" s="86"/>
      <c r="K719" s="19"/>
      <c r="L719" s="99"/>
      <c r="M719" s="98"/>
      <c r="N719" s="101"/>
      <c r="O719" s="19"/>
      <c r="P719" s="19"/>
      <c r="Q719" s="104"/>
      <c r="R719" s="19"/>
      <c r="S719" s="19"/>
      <c r="T719" s="19"/>
      <c r="U719" s="19"/>
      <c r="V719" s="74"/>
      <c r="W719" s="75"/>
      <c r="X719" s="64"/>
      <c r="Y719" s="19"/>
      <c r="Z719" s="19"/>
      <c r="AA719" s="19"/>
      <c r="AB719" s="19"/>
      <c r="AC719" s="64"/>
      <c r="AD719" s="63"/>
      <c r="AE719" s="65"/>
      <c r="AF719" s="19"/>
      <c r="AG719" s="19"/>
      <c r="AH719" s="25"/>
      <c r="AI719" s="92"/>
      <c r="AJ719" s="92"/>
      <c r="AK719" s="27"/>
      <c r="AL719" s="26"/>
      <c r="AM719" s="27"/>
      <c r="AN719" s="27"/>
      <c r="AO719" s="27"/>
      <c r="AP719" s="27"/>
      <c r="AQ719" s="27"/>
      <c r="AR719" s="27"/>
      <c r="AS719" s="27"/>
      <c r="AT719" s="27"/>
      <c r="AU719" s="27"/>
      <c r="AV719" s="27"/>
      <c r="AW719" s="27"/>
      <c r="AX719" s="79"/>
      <c r="AY719" s="79"/>
      <c r="AZ719" s="25"/>
      <c r="BA719" s="62"/>
      <c r="BB719" s="66"/>
      <c r="BC719" s="19"/>
      <c r="BD719" s="19"/>
      <c r="BE719" s="67"/>
      <c r="BF719" s="67"/>
      <c r="BG719" s="67"/>
      <c r="BH719" s="19"/>
      <c r="BI719" s="19"/>
      <c r="BJ719" s="19"/>
      <c r="BK719" s="19"/>
    </row>
    <row r="720" spans="5:63" ht="15" customHeight="1">
      <c r="E720" s="19"/>
      <c r="F720" s="19"/>
      <c r="G720" s="62"/>
      <c r="H720" s="19"/>
      <c r="I720" s="105"/>
      <c r="J720" s="86"/>
      <c r="K720" s="19"/>
      <c r="L720" s="99"/>
      <c r="M720" s="98"/>
      <c r="N720" s="101"/>
      <c r="O720" s="19"/>
      <c r="P720" s="19"/>
      <c r="Q720" s="104"/>
      <c r="R720" s="19"/>
      <c r="S720" s="19"/>
      <c r="T720" s="19"/>
      <c r="U720" s="19"/>
      <c r="V720" s="74"/>
      <c r="W720" s="75"/>
      <c r="X720" s="64"/>
      <c r="Y720" s="19"/>
      <c r="Z720" s="19"/>
      <c r="AA720" s="19"/>
      <c r="AB720" s="19"/>
      <c r="AC720" s="64"/>
      <c r="AD720" s="63"/>
      <c r="AE720" s="65"/>
      <c r="AF720" s="19"/>
      <c r="AG720" s="19"/>
      <c r="AH720" s="25"/>
      <c r="AI720" s="92"/>
      <c r="AJ720" s="92"/>
      <c r="AK720" s="27"/>
      <c r="AL720" s="26"/>
      <c r="AM720" s="27"/>
      <c r="AN720" s="27"/>
      <c r="AO720" s="27"/>
      <c r="AP720" s="27"/>
      <c r="AQ720" s="27"/>
      <c r="AR720" s="27"/>
      <c r="AS720" s="27"/>
      <c r="AT720" s="27"/>
      <c r="AU720" s="27"/>
      <c r="AV720" s="27"/>
      <c r="AW720" s="27"/>
      <c r="AX720" s="79"/>
      <c r="AY720" s="79"/>
      <c r="AZ720" s="25"/>
      <c r="BA720" s="62"/>
      <c r="BB720" s="66"/>
      <c r="BC720" s="19"/>
      <c r="BD720" s="19"/>
      <c r="BE720" s="67"/>
      <c r="BF720" s="67"/>
      <c r="BG720" s="67"/>
      <c r="BH720" s="19"/>
      <c r="BI720" s="19"/>
      <c r="BJ720" s="19"/>
      <c r="BK720" s="19"/>
    </row>
    <row r="721" spans="5:63" ht="15" customHeight="1">
      <c r="E721" s="19"/>
      <c r="F721" s="19"/>
      <c r="G721" s="62"/>
      <c r="H721" s="19"/>
      <c r="I721" s="105"/>
      <c r="J721" s="86"/>
      <c r="K721" s="19"/>
      <c r="L721" s="99"/>
      <c r="M721" s="98"/>
      <c r="N721" s="101"/>
      <c r="O721" s="19"/>
      <c r="P721" s="19"/>
      <c r="Q721" s="104"/>
      <c r="R721" s="19"/>
      <c r="S721" s="19"/>
      <c r="T721" s="19"/>
      <c r="U721" s="19"/>
      <c r="V721" s="74"/>
      <c r="W721" s="75"/>
      <c r="X721" s="64"/>
      <c r="Y721" s="19"/>
      <c r="Z721" s="19"/>
      <c r="AA721" s="19"/>
      <c r="AB721" s="19"/>
      <c r="AC721" s="64"/>
      <c r="AD721" s="63"/>
      <c r="AE721" s="65"/>
      <c r="AF721" s="19"/>
      <c r="AG721" s="19"/>
      <c r="AH721" s="25"/>
      <c r="AI721" s="92"/>
      <c r="AJ721" s="92"/>
      <c r="AK721" s="27"/>
      <c r="AL721" s="26"/>
      <c r="AM721" s="27"/>
      <c r="AN721" s="27"/>
      <c r="AO721" s="27"/>
      <c r="AP721" s="27"/>
      <c r="AQ721" s="27"/>
      <c r="AR721" s="27"/>
      <c r="AS721" s="27"/>
      <c r="AT721" s="27"/>
      <c r="AU721" s="27"/>
      <c r="AV721" s="27"/>
      <c r="AW721" s="27"/>
      <c r="AX721" s="79"/>
      <c r="AY721" s="79"/>
      <c r="AZ721" s="25"/>
      <c r="BA721" s="62"/>
      <c r="BB721" s="66"/>
      <c r="BC721" s="19"/>
      <c r="BD721" s="19"/>
      <c r="BE721" s="67"/>
      <c r="BF721" s="67"/>
      <c r="BG721" s="67"/>
      <c r="BH721" s="19"/>
      <c r="BI721" s="19"/>
      <c r="BJ721" s="19"/>
      <c r="BK721" s="19"/>
    </row>
    <row r="722" spans="5:63" ht="15" customHeight="1">
      <c r="E722" s="19"/>
      <c r="F722" s="19"/>
      <c r="G722" s="62"/>
      <c r="H722" s="19"/>
      <c r="I722" s="105"/>
      <c r="J722" s="86"/>
      <c r="K722" s="19"/>
      <c r="L722" s="99"/>
      <c r="M722" s="98"/>
      <c r="N722" s="101"/>
      <c r="O722" s="19"/>
      <c r="P722" s="19"/>
      <c r="Q722" s="104"/>
      <c r="R722" s="19"/>
      <c r="S722" s="19"/>
      <c r="T722" s="19"/>
      <c r="U722" s="19"/>
      <c r="V722" s="74"/>
      <c r="W722" s="75"/>
      <c r="X722" s="64"/>
      <c r="Y722" s="19"/>
      <c r="Z722" s="19"/>
      <c r="AA722" s="19"/>
      <c r="AB722" s="19"/>
      <c r="AC722" s="64"/>
      <c r="AD722" s="63"/>
      <c r="AE722" s="65"/>
      <c r="AF722" s="19"/>
      <c r="AG722" s="19"/>
      <c r="AH722" s="25"/>
      <c r="AI722" s="92"/>
      <c r="AJ722" s="92"/>
      <c r="AK722" s="27"/>
      <c r="AL722" s="26"/>
      <c r="AM722" s="27"/>
      <c r="AN722" s="27"/>
      <c r="AO722" s="27"/>
      <c r="AP722" s="27"/>
      <c r="AQ722" s="27"/>
      <c r="AR722" s="27"/>
      <c r="AS722" s="27"/>
      <c r="AT722" s="27"/>
      <c r="AU722" s="27"/>
      <c r="AV722" s="27"/>
      <c r="AW722" s="27"/>
      <c r="AX722" s="79"/>
      <c r="AY722" s="79"/>
      <c r="AZ722" s="25"/>
      <c r="BA722" s="62"/>
      <c r="BB722" s="66"/>
      <c r="BC722" s="19"/>
      <c r="BD722" s="19"/>
      <c r="BE722" s="67"/>
      <c r="BF722" s="67"/>
      <c r="BG722" s="67"/>
      <c r="BH722" s="19"/>
      <c r="BI722" s="19"/>
      <c r="BJ722" s="19"/>
      <c r="BK722" s="19"/>
    </row>
    <row r="723" spans="5:63" ht="15" customHeight="1">
      <c r="E723" s="19"/>
      <c r="F723" s="19"/>
      <c r="G723" s="62"/>
      <c r="H723" s="19"/>
      <c r="I723" s="105"/>
      <c r="J723" s="86"/>
      <c r="K723" s="19"/>
      <c r="L723" s="99"/>
      <c r="M723" s="98"/>
      <c r="N723" s="101"/>
      <c r="O723" s="19"/>
      <c r="P723" s="19"/>
      <c r="Q723" s="104"/>
      <c r="R723" s="19"/>
      <c r="S723" s="19"/>
      <c r="T723" s="19"/>
      <c r="U723" s="19"/>
      <c r="V723" s="74"/>
      <c r="W723" s="75"/>
      <c r="X723" s="64"/>
      <c r="Y723" s="19"/>
      <c r="Z723" s="19"/>
      <c r="AA723" s="19"/>
      <c r="AB723" s="19"/>
      <c r="AC723" s="64"/>
      <c r="AD723" s="63"/>
      <c r="AE723" s="65"/>
      <c r="AF723" s="19"/>
      <c r="AG723" s="19"/>
      <c r="AH723" s="25"/>
      <c r="AI723" s="92"/>
      <c r="AJ723" s="92"/>
      <c r="AK723" s="27"/>
      <c r="AL723" s="26"/>
      <c r="AM723" s="27"/>
      <c r="AN723" s="27"/>
      <c r="AO723" s="27"/>
      <c r="AP723" s="27"/>
      <c r="AQ723" s="27"/>
      <c r="AR723" s="27"/>
      <c r="AS723" s="27"/>
      <c r="AT723" s="27"/>
      <c r="AU723" s="27"/>
      <c r="AV723" s="27"/>
      <c r="AW723" s="27"/>
      <c r="AX723" s="79"/>
      <c r="AY723" s="79"/>
      <c r="AZ723" s="25"/>
      <c r="BA723" s="62"/>
      <c r="BB723" s="66"/>
      <c r="BC723" s="19"/>
      <c r="BD723" s="19"/>
      <c r="BE723" s="67"/>
      <c r="BF723" s="67"/>
      <c r="BG723" s="67"/>
      <c r="BH723" s="19"/>
      <c r="BI723" s="19"/>
      <c r="BJ723" s="19"/>
      <c r="BK723" s="19"/>
    </row>
    <row r="724" spans="5:63" ht="15" customHeight="1">
      <c r="E724" s="19"/>
      <c r="F724" s="19"/>
      <c r="G724" s="62"/>
      <c r="H724" s="19"/>
      <c r="I724" s="105"/>
      <c r="J724" s="86"/>
      <c r="K724" s="19"/>
      <c r="L724" s="99"/>
      <c r="M724" s="98"/>
      <c r="N724" s="101"/>
      <c r="O724" s="19"/>
      <c r="P724" s="19"/>
      <c r="Q724" s="104"/>
      <c r="R724" s="19"/>
      <c r="S724" s="19"/>
      <c r="T724" s="19"/>
      <c r="U724" s="19"/>
      <c r="V724" s="74"/>
      <c r="W724" s="75"/>
      <c r="X724" s="64"/>
      <c r="Y724" s="19"/>
      <c r="Z724" s="19"/>
      <c r="AA724" s="19"/>
      <c r="AB724" s="19"/>
      <c r="AC724" s="64"/>
      <c r="AD724" s="63"/>
      <c r="AE724" s="65"/>
      <c r="AF724" s="19"/>
      <c r="AG724" s="19"/>
      <c r="AH724" s="25"/>
      <c r="AI724" s="92"/>
      <c r="AJ724" s="92"/>
      <c r="AK724" s="27"/>
      <c r="AL724" s="26"/>
      <c r="AM724" s="27"/>
      <c r="AN724" s="27"/>
      <c r="AO724" s="27"/>
      <c r="AP724" s="27"/>
      <c r="AQ724" s="27"/>
      <c r="AR724" s="27"/>
      <c r="AS724" s="27"/>
      <c r="AT724" s="27"/>
      <c r="AU724" s="27"/>
      <c r="AV724" s="27"/>
      <c r="AW724" s="27"/>
      <c r="AX724" s="79"/>
      <c r="AY724" s="79"/>
      <c r="AZ724" s="25"/>
      <c r="BA724" s="62"/>
      <c r="BB724" s="66"/>
      <c r="BC724" s="19"/>
      <c r="BD724" s="19"/>
      <c r="BE724" s="67"/>
      <c r="BF724" s="67"/>
      <c r="BG724" s="67"/>
      <c r="BH724" s="19"/>
      <c r="BI724" s="19"/>
      <c r="BJ724" s="19"/>
      <c r="BK724" s="19"/>
    </row>
    <row r="725" spans="5:63" ht="15" customHeight="1">
      <c r="E725" s="19"/>
      <c r="F725" s="19"/>
      <c r="G725" s="62"/>
      <c r="H725" s="19"/>
      <c r="I725" s="105"/>
      <c r="J725" s="86"/>
      <c r="K725" s="19"/>
      <c r="L725" s="99"/>
      <c r="M725" s="98"/>
      <c r="N725" s="101"/>
      <c r="O725" s="19"/>
      <c r="P725" s="19"/>
      <c r="Q725" s="104"/>
      <c r="R725" s="19"/>
      <c r="S725" s="19"/>
      <c r="T725" s="19"/>
      <c r="U725" s="19"/>
      <c r="V725" s="74"/>
      <c r="W725" s="75"/>
      <c r="X725" s="64"/>
      <c r="Y725" s="19"/>
      <c r="Z725" s="19"/>
      <c r="AA725" s="19"/>
      <c r="AB725" s="19"/>
      <c r="AC725" s="64"/>
      <c r="AD725" s="63"/>
      <c r="AE725" s="65"/>
      <c r="AF725" s="19"/>
      <c r="AG725" s="19"/>
      <c r="AH725" s="25"/>
      <c r="AI725" s="92"/>
      <c r="AJ725" s="92"/>
      <c r="AK725" s="27"/>
      <c r="AL725" s="26"/>
      <c r="AM725" s="27"/>
      <c r="AN725" s="27"/>
      <c r="AO725" s="27"/>
      <c r="AP725" s="27"/>
      <c r="AQ725" s="27"/>
      <c r="AR725" s="27"/>
      <c r="AS725" s="27"/>
      <c r="AT725" s="27"/>
      <c r="AU725" s="27"/>
      <c r="AV725" s="27"/>
      <c r="AW725" s="27"/>
      <c r="AX725" s="79"/>
      <c r="AY725" s="79"/>
      <c r="AZ725" s="25"/>
      <c r="BA725" s="62"/>
      <c r="BB725" s="66"/>
      <c r="BC725" s="19"/>
      <c r="BD725" s="19"/>
      <c r="BE725" s="67"/>
      <c r="BF725" s="67"/>
      <c r="BG725" s="67"/>
      <c r="BH725" s="19"/>
      <c r="BI725" s="19"/>
      <c r="BJ725" s="19"/>
      <c r="BK725" s="19"/>
    </row>
    <row r="726" spans="5:63" ht="15" customHeight="1">
      <c r="E726" s="19"/>
      <c r="F726" s="19"/>
      <c r="G726" s="62"/>
      <c r="H726" s="19"/>
      <c r="I726" s="105"/>
      <c r="J726" s="86"/>
      <c r="K726" s="19"/>
      <c r="L726" s="99"/>
      <c r="M726" s="98"/>
      <c r="N726" s="101"/>
      <c r="O726" s="19"/>
      <c r="P726" s="19"/>
      <c r="Q726" s="104"/>
      <c r="R726" s="19"/>
      <c r="S726" s="19"/>
      <c r="T726" s="19"/>
      <c r="U726" s="19"/>
      <c r="V726" s="74"/>
      <c r="W726" s="75"/>
      <c r="X726" s="64"/>
      <c r="Y726" s="19"/>
      <c r="Z726" s="19"/>
      <c r="AA726" s="19"/>
      <c r="AB726" s="19"/>
      <c r="AC726" s="64"/>
      <c r="AD726" s="63"/>
      <c r="AE726" s="65"/>
      <c r="AF726" s="19"/>
      <c r="AG726" s="19"/>
      <c r="AH726" s="25"/>
      <c r="AI726" s="92"/>
      <c r="AJ726" s="92"/>
      <c r="AK726" s="27"/>
      <c r="AL726" s="26"/>
      <c r="AM726" s="27"/>
      <c r="AN726" s="27"/>
      <c r="AO726" s="27"/>
      <c r="AP726" s="27"/>
      <c r="AQ726" s="27"/>
      <c r="AR726" s="27"/>
      <c r="AS726" s="27"/>
      <c r="AT726" s="27"/>
      <c r="AU726" s="27"/>
      <c r="AV726" s="27"/>
      <c r="AW726" s="27"/>
      <c r="AX726" s="79"/>
      <c r="AY726" s="79"/>
      <c r="AZ726" s="25"/>
      <c r="BA726" s="62"/>
      <c r="BB726" s="66"/>
      <c r="BC726" s="19"/>
      <c r="BD726" s="19"/>
      <c r="BE726" s="67"/>
      <c r="BF726" s="67"/>
      <c r="BG726" s="67"/>
      <c r="BH726" s="19"/>
      <c r="BI726" s="19"/>
      <c r="BJ726" s="19"/>
      <c r="BK726" s="19"/>
    </row>
    <row r="727" spans="5:63" ht="15" customHeight="1">
      <c r="E727" s="19"/>
      <c r="F727" s="19"/>
      <c r="G727" s="62"/>
      <c r="H727" s="19"/>
      <c r="I727" s="105"/>
      <c r="J727" s="86"/>
      <c r="K727" s="19"/>
      <c r="L727" s="99"/>
      <c r="M727" s="98"/>
      <c r="N727" s="101"/>
      <c r="O727" s="19"/>
      <c r="P727" s="19"/>
      <c r="Q727" s="104"/>
      <c r="R727" s="19"/>
      <c r="S727" s="19"/>
      <c r="T727" s="19"/>
      <c r="U727" s="19"/>
      <c r="V727" s="74"/>
      <c r="W727" s="75"/>
      <c r="X727" s="64"/>
      <c r="Y727" s="19"/>
      <c r="Z727" s="19"/>
      <c r="AA727" s="19"/>
      <c r="AB727" s="19"/>
      <c r="AC727" s="64"/>
      <c r="AD727" s="63"/>
      <c r="AE727" s="65"/>
      <c r="AF727" s="19"/>
      <c r="AG727" s="19"/>
      <c r="AH727" s="25"/>
      <c r="AI727" s="92"/>
      <c r="AJ727" s="92"/>
      <c r="AK727" s="27"/>
      <c r="AL727" s="26"/>
      <c r="AM727" s="27"/>
      <c r="AN727" s="27"/>
      <c r="AO727" s="27"/>
      <c r="AP727" s="27"/>
      <c r="AQ727" s="27"/>
      <c r="AR727" s="27"/>
      <c r="AS727" s="27"/>
      <c r="AT727" s="27"/>
      <c r="AU727" s="27"/>
      <c r="AV727" s="27"/>
      <c r="AW727" s="27"/>
      <c r="AX727" s="79"/>
      <c r="AY727" s="79"/>
      <c r="AZ727" s="25"/>
      <c r="BA727" s="62"/>
      <c r="BB727" s="66"/>
      <c r="BC727" s="19"/>
      <c r="BD727" s="19"/>
      <c r="BE727" s="67"/>
      <c r="BF727" s="67"/>
      <c r="BG727" s="67"/>
      <c r="BH727" s="19"/>
      <c r="BI727" s="19"/>
      <c r="BJ727" s="19"/>
      <c r="BK727" s="19"/>
    </row>
    <row r="728" spans="5:63" ht="15" customHeight="1">
      <c r="E728" s="19"/>
      <c r="F728" s="19"/>
      <c r="G728" s="62"/>
      <c r="H728" s="19"/>
      <c r="I728" s="105"/>
      <c r="J728" s="86"/>
      <c r="K728" s="19"/>
      <c r="L728" s="99"/>
      <c r="M728" s="98"/>
      <c r="N728" s="101"/>
      <c r="O728" s="19"/>
      <c r="P728" s="19"/>
      <c r="Q728" s="104"/>
      <c r="R728" s="19"/>
      <c r="S728" s="19"/>
      <c r="T728" s="19"/>
      <c r="U728" s="19"/>
      <c r="V728" s="74"/>
      <c r="W728" s="75"/>
      <c r="X728" s="64"/>
      <c r="Y728" s="19"/>
      <c r="Z728" s="19"/>
      <c r="AA728" s="19"/>
      <c r="AB728" s="19"/>
      <c r="AC728" s="64"/>
      <c r="AD728" s="63"/>
      <c r="AE728" s="65"/>
      <c r="AF728" s="19"/>
      <c r="AG728" s="19"/>
      <c r="AH728" s="25"/>
      <c r="AI728" s="92"/>
      <c r="AJ728" s="92"/>
      <c r="AK728" s="27"/>
      <c r="AL728" s="26"/>
      <c r="AM728" s="27"/>
      <c r="AN728" s="27"/>
      <c r="AO728" s="27"/>
      <c r="AP728" s="27"/>
      <c r="AQ728" s="27"/>
      <c r="AR728" s="27"/>
      <c r="AS728" s="27"/>
      <c r="AT728" s="27"/>
      <c r="AU728" s="27"/>
      <c r="AV728" s="27"/>
      <c r="AW728" s="27"/>
      <c r="AX728" s="79"/>
      <c r="AY728" s="79"/>
      <c r="AZ728" s="25"/>
      <c r="BA728" s="62"/>
      <c r="BB728" s="66"/>
      <c r="BC728" s="19"/>
      <c r="BD728" s="19"/>
      <c r="BE728" s="67"/>
      <c r="BF728" s="67"/>
      <c r="BG728" s="67"/>
      <c r="BH728" s="19"/>
      <c r="BI728" s="19"/>
      <c r="BJ728" s="19"/>
      <c r="BK728" s="19"/>
    </row>
    <row r="729" spans="5:63" ht="15" customHeight="1">
      <c r="E729" s="19"/>
      <c r="F729" s="19"/>
      <c r="G729" s="62"/>
      <c r="H729" s="19"/>
      <c r="I729" s="105"/>
      <c r="J729" s="86"/>
      <c r="K729" s="19"/>
      <c r="L729" s="99"/>
      <c r="M729" s="98"/>
      <c r="N729" s="101"/>
      <c r="O729" s="19"/>
      <c r="P729" s="19"/>
      <c r="Q729" s="104"/>
      <c r="R729" s="19"/>
      <c r="S729" s="19"/>
      <c r="T729" s="19"/>
      <c r="U729" s="19"/>
      <c r="V729" s="74"/>
      <c r="W729" s="75"/>
      <c r="X729" s="64"/>
      <c r="Y729" s="19"/>
      <c r="Z729" s="19"/>
      <c r="AA729" s="19"/>
      <c r="AB729" s="19"/>
      <c r="AC729" s="64"/>
      <c r="AD729" s="63"/>
      <c r="AE729" s="65"/>
      <c r="AF729" s="19"/>
      <c r="AG729" s="19"/>
      <c r="AH729" s="25"/>
      <c r="AI729" s="92"/>
      <c r="AJ729" s="92"/>
      <c r="AK729" s="27"/>
      <c r="AL729" s="26"/>
      <c r="AM729" s="27"/>
      <c r="AN729" s="27"/>
      <c r="AO729" s="27"/>
      <c r="AP729" s="27"/>
      <c r="AQ729" s="27"/>
      <c r="AR729" s="27"/>
      <c r="AS729" s="27"/>
      <c r="AT729" s="27"/>
      <c r="AU729" s="27"/>
      <c r="AV729" s="27"/>
      <c r="AW729" s="27"/>
      <c r="AX729" s="79"/>
      <c r="AY729" s="79"/>
      <c r="AZ729" s="25"/>
      <c r="BA729" s="62"/>
      <c r="BB729" s="66"/>
      <c r="BC729" s="19"/>
      <c r="BD729" s="19"/>
      <c r="BE729" s="67"/>
      <c r="BF729" s="67"/>
      <c r="BG729" s="67"/>
      <c r="BH729" s="19"/>
      <c r="BI729" s="19"/>
      <c r="BJ729" s="19"/>
      <c r="BK729" s="19"/>
    </row>
    <row r="730" spans="5:63" ht="15" customHeight="1">
      <c r="E730" s="19"/>
      <c r="F730" s="19"/>
      <c r="G730" s="62"/>
      <c r="H730" s="19"/>
      <c r="I730" s="105"/>
      <c r="J730" s="86"/>
      <c r="K730" s="19"/>
      <c r="L730" s="99"/>
      <c r="M730" s="98"/>
      <c r="N730" s="101"/>
      <c r="O730" s="19"/>
      <c r="P730" s="19"/>
      <c r="Q730" s="104"/>
      <c r="R730" s="19"/>
      <c r="S730" s="19"/>
      <c r="T730" s="19"/>
      <c r="U730" s="19"/>
      <c r="V730" s="74"/>
      <c r="W730" s="75"/>
      <c r="X730" s="64"/>
      <c r="Y730" s="19"/>
      <c r="Z730" s="19"/>
      <c r="AA730" s="19"/>
      <c r="AB730" s="19"/>
      <c r="AC730" s="64"/>
      <c r="AD730" s="63"/>
      <c r="AE730" s="65"/>
      <c r="AF730" s="19"/>
      <c r="AG730" s="19"/>
      <c r="AH730" s="25"/>
      <c r="AI730" s="92"/>
      <c r="AJ730" s="92"/>
      <c r="AK730" s="27"/>
      <c r="AL730" s="26"/>
      <c r="AM730" s="27"/>
      <c r="AN730" s="27"/>
      <c r="AO730" s="27"/>
      <c r="AP730" s="27"/>
      <c r="AQ730" s="27"/>
      <c r="AR730" s="27"/>
      <c r="AS730" s="27"/>
      <c r="AT730" s="27"/>
      <c r="AU730" s="27"/>
      <c r="AV730" s="27"/>
      <c r="AW730" s="27"/>
      <c r="AX730" s="79"/>
      <c r="AY730" s="79"/>
      <c r="AZ730" s="25"/>
      <c r="BA730" s="62"/>
      <c r="BB730" s="66"/>
      <c r="BC730" s="19"/>
      <c r="BD730" s="19"/>
      <c r="BE730" s="67"/>
      <c r="BF730" s="67"/>
      <c r="BG730" s="67"/>
      <c r="BH730" s="19"/>
      <c r="BI730" s="19"/>
      <c r="BJ730" s="19"/>
      <c r="BK730" s="19"/>
    </row>
    <row r="731" spans="5:63" ht="15" customHeight="1">
      <c r="E731" s="19"/>
      <c r="F731" s="19"/>
      <c r="G731" s="62"/>
      <c r="H731" s="19"/>
      <c r="I731" s="105"/>
      <c r="J731" s="86"/>
      <c r="K731" s="19"/>
      <c r="L731" s="99"/>
      <c r="M731" s="98"/>
      <c r="N731" s="101"/>
      <c r="O731" s="19"/>
      <c r="P731" s="19"/>
      <c r="Q731" s="104"/>
      <c r="R731" s="19"/>
      <c r="S731" s="19"/>
      <c r="T731" s="19"/>
      <c r="U731" s="19"/>
      <c r="V731" s="74"/>
      <c r="W731" s="75"/>
      <c r="X731" s="64"/>
      <c r="Y731" s="19"/>
      <c r="Z731" s="19"/>
      <c r="AA731" s="19"/>
      <c r="AB731" s="19"/>
      <c r="AC731" s="64"/>
      <c r="AD731" s="63"/>
      <c r="AE731" s="65"/>
      <c r="AF731" s="19"/>
      <c r="AG731" s="19"/>
      <c r="AH731" s="25"/>
      <c r="AI731" s="92"/>
      <c r="AJ731" s="92"/>
      <c r="AK731" s="27"/>
      <c r="AL731" s="26"/>
      <c r="AM731" s="27"/>
      <c r="AN731" s="27"/>
      <c r="AO731" s="27"/>
      <c r="AP731" s="27"/>
      <c r="AQ731" s="27"/>
      <c r="AR731" s="27"/>
      <c r="AS731" s="27"/>
      <c r="AT731" s="27"/>
      <c r="AU731" s="27"/>
      <c r="AV731" s="27"/>
      <c r="AW731" s="27"/>
      <c r="AX731" s="79"/>
      <c r="AY731" s="79"/>
      <c r="AZ731" s="25"/>
      <c r="BA731" s="62"/>
      <c r="BB731" s="66"/>
      <c r="BC731" s="19"/>
      <c r="BD731" s="19"/>
      <c r="BE731" s="67"/>
      <c r="BF731" s="67"/>
      <c r="BG731" s="67"/>
      <c r="BH731" s="19"/>
      <c r="BI731" s="19"/>
      <c r="BJ731" s="19"/>
      <c r="BK731" s="19"/>
    </row>
    <row r="732" spans="5:63" ht="15" customHeight="1">
      <c r="E732" s="19"/>
      <c r="F732" s="19"/>
      <c r="G732" s="62"/>
      <c r="H732" s="19"/>
      <c r="I732" s="105"/>
      <c r="J732" s="86"/>
      <c r="K732" s="19"/>
      <c r="L732" s="99"/>
      <c r="M732" s="98"/>
      <c r="N732" s="101"/>
      <c r="O732" s="19"/>
      <c r="P732" s="19"/>
      <c r="Q732" s="104"/>
      <c r="R732" s="19"/>
      <c r="S732" s="19"/>
      <c r="T732" s="19"/>
      <c r="U732" s="19"/>
      <c r="V732" s="74"/>
      <c r="W732" s="75"/>
      <c r="X732" s="64"/>
      <c r="Y732" s="19"/>
      <c r="Z732" s="19"/>
      <c r="AA732" s="19"/>
      <c r="AB732" s="19"/>
      <c r="AC732" s="64"/>
      <c r="AD732" s="63"/>
      <c r="AE732" s="65"/>
      <c r="AF732" s="19"/>
      <c r="AG732" s="19"/>
      <c r="AH732" s="25"/>
      <c r="AI732" s="92"/>
      <c r="AJ732" s="92"/>
      <c r="AK732" s="27"/>
      <c r="AL732" s="26"/>
      <c r="AM732" s="27"/>
      <c r="AN732" s="27"/>
      <c r="AO732" s="27"/>
      <c r="AP732" s="27"/>
      <c r="AQ732" s="27"/>
      <c r="AR732" s="27"/>
      <c r="AS732" s="27"/>
      <c r="AT732" s="27"/>
      <c r="AU732" s="27"/>
      <c r="AV732" s="27"/>
      <c r="AW732" s="27"/>
      <c r="AX732" s="79"/>
      <c r="AY732" s="79"/>
      <c r="AZ732" s="25"/>
      <c r="BA732" s="62"/>
      <c r="BB732" s="66"/>
      <c r="BC732" s="19"/>
      <c r="BD732" s="19"/>
      <c r="BE732" s="67"/>
      <c r="BF732" s="67"/>
      <c r="BG732" s="67"/>
      <c r="BH732" s="19"/>
      <c r="BI732" s="19"/>
      <c r="BJ732" s="19"/>
      <c r="BK732" s="19"/>
    </row>
    <row r="733" spans="5:63" ht="15" customHeight="1">
      <c r="E733" s="19"/>
      <c r="F733" s="19"/>
      <c r="G733" s="62"/>
      <c r="H733" s="19"/>
      <c r="I733" s="105"/>
      <c r="J733" s="86"/>
      <c r="K733" s="19"/>
      <c r="L733" s="99"/>
      <c r="M733" s="98"/>
      <c r="N733" s="101"/>
      <c r="O733" s="19"/>
      <c r="P733" s="19"/>
      <c r="Q733" s="104"/>
      <c r="R733" s="19"/>
      <c r="S733" s="19"/>
      <c r="T733" s="19"/>
      <c r="U733" s="19"/>
      <c r="V733" s="74"/>
      <c r="W733" s="75"/>
      <c r="X733" s="64"/>
      <c r="Y733" s="19"/>
      <c r="Z733" s="19"/>
      <c r="AA733" s="19"/>
      <c r="AB733" s="19"/>
      <c r="AC733" s="64"/>
      <c r="AD733" s="63"/>
      <c r="AE733" s="65"/>
      <c r="AF733" s="19"/>
      <c r="AG733" s="19"/>
      <c r="AH733" s="25"/>
      <c r="AI733" s="92"/>
      <c r="AJ733" s="92"/>
      <c r="AK733" s="27"/>
      <c r="AL733" s="26"/>
      <c r="AM733" s="27"/>
      <c r="AN733" s="27"/>
      <c r="AO733" s="27"/>
      <c r="AP733" s="27"/>
      <c r="AQ733" s="27"/>
      <c r="AR733" s="27"/>
      <c r="AS733" s="27"/>
      <c r="AT733" s="27"/>
      <c r="AU733" s="27"/>
      <c r="AV733" s="27"/>
      <c r="AW733" s="27"/>
      <c r="AX733" s="79"/>
      <c r="AY733" s="79"/>
      <c r="AZ733" s="25"/>
      <c r="BA733" s="62"/>
      <c r="BB733" s="66"/>
      <c r="BC733" s="19"/>
      <c r="BD733" s="19"/>
      <c r="BE733" s="67"/>
      <c r="BF733" s="67"/>
      <c r="BG733" s="67"/>
      <c r="BH733" s="19"/>
      <c r="BI733" s="19"/>
      <c r="BJ733" s="19"/>
      <c r="BK733" s="19"/>
    </row>
    <row r="734" spans="5:63" ht="15" customHeight="1">
      <c r="E734" s="19"/>
      <c r="F734" s="19"/>
      <c r="G734" s="62"/>
      <c r="H734" s="19"/>
      <c r="I734" s="105"/>
      <c r="J734" s="86"/>
      <c r="K734" s="19"/>
      <c r="L734" s="99"/>
      <c r="M734" s="98"/>
      <c r="N734" s="101"/>
      <c r="O734" s="19"/>
      <c r="P734" s="19"/>
      <c r="Q734" s="104"/>
      <c r="R734" s="19"/>
      <c r="S734" s="19"/>
      <c r="T734" s="19"/>
      <c r="U734" s="19"/>
      <c r="V734" s="74"/>
      <c r="W734" s="75"/>
      <c r="X734" s="64"/>
      <c r="Y734" s="19"/>
      <c r="Z734" s="19"/>
      <c r="AA734" s="19"/>
      <c r="AB734" s="19"/>
      <c r="AC734" s="64"/>
      <c r="AD734" s="63"/>
      <c r="AE734" s="65"/>
      <c r="AF734" s="19"/>
      <c r="AG734" s="19"/>
      <c r="AH734" s="25"/>
      <c r="AI734" s="92"/>
      <c r="AJ734" s="92"/>
      <c r="AK734" s="27"/>
      <c r="AL734" s="26"/>
      <c r="AM734" s="27"/>
      <c r="AN734" s="27"/>
      <c r="AO734" s="27"/>
      <c r="AP734" s="27"/>
      <c r="AQ734" s="27"/>
      <c r="AR734" s="27"/>
      <c r="AS734" s="27"/>
      <c r="AT734" s="27"/>
      <c r="AU734" s="27"/>
      <c r="AV734" s="27"/>
      <c r="AW734" s="27"/>
      <c r="AX734" s="79"/>
      <c r="AY734" s="79"/>
      <c r="AZ734" s="25"/>
      <c r="BA734" s="62"/>
      <c r="BB734" s="66"/>
      <c r="BC734" s="19"/>
      <c r="BD734" s="19"/>
      <c r="BE734" s="67"/>
      <c r="BF734" s="67"/>
      <c r="BG734" s="67"/>
      <c r="BH734" s="19"/>
      <c r="BI734" s="19"/>
      <c r="BJ734" s="19"/>
      <c r="BK734" s="19"/>
    </row>
    <row r="735" spans="5:63" ht="15" customHeight="1">
      <c r="E735" s="19"/>
      <c r="F735" s="19"/>
      <c r="G735" s="62"/>
      <c r="H735" s="19"/>
      <c r="I735" s="105"/>
      <c r="J735" s="86"/>
      <c r="K735" s="19"/>
      <c r="L735" s="99"/>
      <c r="M735" s="98"/>
      <c r="N735" s="101"/>
      <c r="O735" s="19"/>
      <c r="P735" s="19"/>
      <c r="Q735" s="104"/>
      <c r="R735" s="19"/>
      <c r="S735" s="19"/>
      <c r="T735" s="19"/>
      <c r="U735" s="19"/>
      <c r="V735" s="74"/>
      <c r="W735" s="75"/>
      <c r="X735" s="64"/>
      <c r="Y735" s="19"/>
      <c r="Z735" s="19"/>
      <c r="AA735" s="19"/>
      <c r="AB735" s="19"/>
      <c r="AC735" s="64"/>
      <c r="AD735" s="63"/>
      <c r="AE735" s="65"/>
      <c r="AF735" s="19"/>
      <c r="AG735" s="19"/>
      <c r="AH735" s="25"/>
      <c r="AI735" s="92"/>
      <c r="AJ735" s="92"/>
      <c r="AK735" s="27"/>
      <c r="AL735" s="26"/>
      <c r="AM735" s="27"/>
      <c r="AN735" s="27"/>
      <c r="AO735" s="27"/>
      <c r="AP735" s="27"/>
      <c r="AQ735" s="27"/>
      <c r="AR735" s="27"/>
      <c r="AS735" s="27"/>
      <c r="AT735" s="27"/>
      <c r="AU735" s="27"/>
      <c r="AV735" s="27"/>
      <c r="AW735" s="27"/>
      <c r="AX735" s="79"/>
      <c r="AY735" s="79"/>
      <c r="AZ735" s="25"/>
      <c r="BA735" s="62"/>
      <c r="BB735" s="66"/>
      <c r="BC735" s="19"/>
      <c r="BD735" s="19"/>
      <c r="BE735" s="67"/>
      <c r="BF735" s="67"/>
      <c r="BG735" s="67"/>
      <c r="BH735" s="19"/>
      <c r="BI735" s="19"/>
      <c r="BJ735" s="19"/>
      <c r="BK735" s="19"/>
    </row>
    <row r="736" spans="5:63" ht="15" customHeight="1">
      <c r="E736" s="19"/>
      <c r="F736" s="19"/>
      <c r="G736" s="62"/>
      <c r="H736" s="19"/>
      <c r="I736" s="105"/>
      <c r="J736" s="86"/>
      <c r="K736" s="19"/>
      <c r="L736" s="99"/>
      <c r="M736" s="98"/>
      <c r="N736" s="101"/>
      <c r="O736" s="19"/>
      <c r="P736" s="19"/>
      <c r="Q736" s="104"/>
      <c r="R736" s="19"/>
      <c r="S736" s="19"/>
      <c r="T736" s="19"/>
      <c r="U736" s="19"/>
      <c r="V736" s="74"/>
      <c r="W736" s="75"/>
      <c r="X736" s="64"/>
      <c r="Y736" s="19"/>
      <c r="Z736" s="19"/>
      <c r="AA736" s="19"/>
      <c r="AB736" s="19"/>
      <c r="AC736" s="64"/>
      <c r="AD736" s="63"/>
      <c r="AE736" s="65"/>
      <c r="AF736" s="19"/>
      <c r="AG736" s="19"/>
      <c r="AH736" s="25"/>
      <c r="AI736" s="92"/>
      <c r="AJ736" s="92"/>
      <c r="AK736" s="27"/>
      <c r="AL736" s="26"/>
      <c r="AM736" s="27"/>
      <c r="AN736" s="27"/>
      <c r="AO736" s="27"/>
      <c r="AP736" s="27"/>
      <c r="AQ736" s="27"/>
      <c r="AR736" s="27"/>
      <c r="AS736" s="27"/>
      <c r="AT736" s="27"/>
      <c r="AU736" s="27"/>
      <c r="AV736" s="27"/>
      <c r="AW736" s="27"/>
      <c r="AX736" s="79"/>
      <c r="AY736" s="79"/>
      <c r="AZ736" s="25"/>
      <c r="BA736" s="62"/>
      <c r="BB736" s="66"/>
      <c r="BC736" s="19"/>
      <c r="BD736" s="19"/>
      <c r="BE736" s="67"/>
      <c r="BF736" s="67"/>
      <c r="BG736" s="67"/>
      <c r="BH736" s="19"/>
      <c r="BI736" s="19"/>
      <c r="BJ736" s="19"/>
      <c r="BK736" s="19"/>
    </row>
    <row r="737" spans="5:64" ht="15" customHeight="1">
      <c r="E737" s="19"/>
      <c r="F737" s="19"/>
      <c r="G737" s="62"/>
      <c r="H737" s="19"/>
      <c r="I737" s="105"/>
      <c r="J737" s="86"/>
      <c r="K737" s="19"/>
      <c r="L737" s="99"/>
      <c r="M737" s="98"/>
      <c r="N737" s="101"/>
      <c r="O737" s="19"/>
      <c r="P737" s="19"/>
      <c r="Q737" s="104"/>
      <c r="R737" s="19"/>
      <c r="S737" s="19"/>
      <c r="T737" s="19"/>
      <c r="U737" s="19"/>
      <c r="V737" s="74"/>
      <c r="W737" s="75"/>
      <c r="X737" s="64"/>
      <c r="Y737" s="19"/>
      <c r="Z737" s="19"/>
      <c r="AA737" s="19"/>
      <c r="AB737" s="19"/>
      <c r="AC737" s="64"/>
      <c r="AD737" s="63"/>
      <c r="AE737" s="65"/>
      <c r="AF737" s="19"/>
      <c r="AG737" s="19"/>
      <c r="AH737" s="25"/>
      <c r="AI737" s="92"/>
      <c r="AJ737" s="92"/>
      <c r="AK737" s="27"/>
      <c r="AL737" s="26"/>
      <c r="AM737" s="27"/>
      <c r="AN737" s="27"/>
      <c r="AO737" s="27"/>
      <c r="AP737" s="27"/>
      <c r="AQ737" s="27"/>
      <c r="AR737" s="27"/>
      <c r="AS737" s="27"/>
      <c r="AT737" s="27"/>
      <c r="AU737" s="27"/>
      <c r="AV737" s="27"/>
      <c r="AW737" s="27"/>
      <c r="AX737" s="79"/>
      <c r="AY737" s="79"/>
      <c r="AZ737" s="25"/>
      <c r="BA737" s="62"/>
      <c r="BB737" s="66"/>
      <c r="BC737" s="19"/>
      <c r="BD737" s="19"/>
      <c r="BE737" s="67"/>
      <c r="BF737" s="67"/>
      <c r="BG737" s="67"/>
      <c r="BH737" s="19"/>
      <c r="BI737" s="19"/>
      <c r="BJ737" s="19"/>
      <c r="BK737" s="19"/>
    </row>
    <row r="738" spans="5:64" ht="15" customHeight="1">
      <c r="E738" s="19"/>
      <c r="F738" s="19"/>
      <c r="G738" s="62"/>
      <c r="H738" s="19"/>
      <c r="I738" s="105"/>
      <c r="J738" s="86"/>
      <c r="K738" s="19"/>
      <c r="L738" s="99"/>
      <c r="M738" s="98"/>
      <c r="N738" s="101"/>
      <c r="O738" s="19"/>
      <c r="P738" s="19"/>
      <c r="Q738" s="104"/>
      <c r="R738" s="19"/>
      <c r="S738" s="19"/>
      <c r="T738" s="19"/>
      <c r="U738" s="19"/>
      <c r="V738" s="74"/>
      <c r="W738" s="75"/>
      <c r="X738" s="64"/>
      <c r="Y738" s="19"/>
      <c r="Z738" s="19"/>
      <c r="AA738" s="19"/>
      <c r="AB738" s="19"/>
      <c r="AC738" s="64"/>
      <c r="AD738" s="63"/>
      <c r="AE738" s="65"/>
      <c r="AF738" s="19"/>
      <c r="AG738" s="19"/>
      <c r="AH738" s="25"/>
      <c r="AI738" s="92"/>
      <c r="AJ738" s="92"/>
      <c r="AK738" s="27"/>
      <c r="AL738" s="26"/>
      <c r="AM738" s="27"/>
      <c r="AN738" s="27"/>
      <c r="AO738" s="27"/>
      <c r="AP738" s="27"/>
      <c r="AQ738" s="27"/>
      <c r="AR738" s="27"/>
      <c r="AS738" s="27"/>
      <c r="AT738" s="27"/>
      <c r="AU738" s="27"/>
      <c r="AV738" s="27"/>
      <c r="AW738" s="27"/>
      <c r="AX738" s="79"/>
      <c r="AY738" s="79"/>
      <c r="AZ738" s="25"/>
      <c r="BA738" s="62"/>
      <c r="BB738" s="66"/>
      <c r="BC738" s="19"/>
      <c r="BD738" s="19"/>
      <c r="BE738" s="67"/>
      <c r="BF738" s="67"/>
      <c r="BG738" s="67"/>
      <c r="BH738" s="19"/>
      <c r="BI738" s="19"/>
      <c r="BJ738" s="19"/>
      <c r="BK738" s="19"/>
    </row>
    <row r="739" spans="5:64" ht="15" customHeight="1">
      <c r="E739" s="19"/>
      <c r="F739" s="19"/>
      <c r="G739" s="62"/>
      <c r="H739" s="19"/>
      <c r="I739" s="105"/>
      <c r="J739" s="86"/>
      <c r="K739" s="19"/>
      <c r="L739" s="99"/>
      <c r="M739" s="98"/>
      <c r="N739" s="101"/>
      <c r="O739" s="19"/>
      <c r="P739" s="19"/>
      <c r="Q739" s="104"/>
      <c r="R739" s="19"/>
      <c r="S739" s="19"/>
      <c r="T739" s="19"/>
      <c r="U739" s="19"/>
      <c r="V739" s="74"/>
      <c r="W739" s="75"/>
      <c r="X739" s="64"/>
      <c r="Y739" s="19"/>
      <c r="Z739" s="19"/>
      <c r="AA739" s="19"/>
      <c r="AB739" s="19"/>
      <c r="AC739" s="64"/>
      <c r="AD739" s="63"/>
      <c r="AE739" s="65"/>
      <c r="AF739" s="19"/>
      <c r="AG739" s="19"/>
      <c r="AH739" s="25"/>
      <c r="AI739" s="92"/>
      <c r="AJ739" s="92"/>
      <c r="AK739" s="27"/>
      <c r="AL739" s="26"/>
      <c r="AM739" s="27"/>
      <c r="AN739" s="27"/>
      <c r="AO739" s="27"/>
      <c r="AP739" s="27"/>
      <c r="AQ739" s="27"/>
      <c r="AR739" s="27"/>
      <c r="AS739" s="27"/>
      <c r="AT739" s="27"/>
      <c r="AU739" s="27"/>
      <c r="AV739" s="27"/>
      <c r="AW739" s="27"/>
      <c r="AX739" s="79"/>
      <c r="AY739" s="79"/>
      <c r="AZ739" s="25"/>
      <c r="BA739" s="62"/>
      <c r="BB739" s="66"/>
      <c r="BC739" s="19"/>
      <c r="BD739" s="19"/>
      <c r="BE739" s="67"/>
      <c r="BF739" s="67"/>
      <c r="BG739" s="67"/>
      <c r="BH739" s="19"/>
      <c r="BI739" s="19"/>
      <c r="BJ739" s="19"/>
      <c r="BK739" s="19"/>
    </row>
    <row r="740" spans="5:64" ht="15" customHeight="1">
      <c r="E740" s="19"/>
      <c r="F740" s="19"/>
      <c r="G740" s="62"/>
      <c r="H740" s="19"/>
      <c r="I740" s="105"/>
      <c r="J740" s="86"/>
      <c r="K740" s="19"/>
      <c r="L740" s="99"/>
      <c r="M740" s="98"/>
      <c r="N740" s="101"/>
      <c r="O740" s="19"/>
      <c r="P740" s="19"/>
      <c r="Q740" s="104"/>
      <c r="R740" s="19"/>
      <c r="S740" s="19"/>
      <c r="T740" s="19"/>
      <c r="U740" s="19"/>
      <c r="V740" s="74"/>
      <c r="W740" s="75"/>
      <c r="X740" s="64"/>
      <c r="Y740" s="19"/>
      <c r="Z740" s="19"/>
      <c r="AA740" s="19"/>
      <c r="AB740" s="19"/>
      <c r="AC740" s="64"/>
      <c r="AD740" s="63"/>
      <c r="AE740" s="65"/>
      <c r="AF740" s="19"/>
      <c r="AG740" s="19"/>
      <c r="AH740" s="25"/>
      <c r="AI740" s="92"/>
      <c r="AJ740" s="92"/>
      <c r="AK740" s="27"/>
      <c r="AL740" s="26"/>
      <c r="AM740" s="27"/>
      <c r="AN740" s="27"/>
      <c r="AO740" s="27"/>
      <c r="AP740" s="27"/>
      <c r="AQ740" s="27"/>
      <c r="AR740" s="27"/>
      <c r="AS740" s="27"/>
      <c r="AT740" s="27"/>
      <c r="AU740" s="27"/>
      <c r="AV740" s="27"/>
      <c r="AW740" s="27"/>
      <c r="AX740" s="79"/>
      <c r="AY740" s="79"/>
      <c r="AZ740" s="25"/>
      <c r="BA740" s="62"/>
      <c r="BB740" s="66"/>
      <c r="BC740" s="19"/>
      <c r="BD740" s="19"/>
      <c r="BE740" s="67"/>
      <c r="BF740" s="67"/>
      <c r="BG740" s="67"/>
      <c r="BH740" s="19"/>
      <c r="BI740" s="19"/>
      <c r="BJ740" s="19"/>
      <c r="BK740" s="19"/>
    </row>
    <row r="741" spans="5:64" ht="15" customHeight="1">
      <c r="E741" s="19"/>
      <c r="F741" s="19"/>
      <c r="G741" s="62"/>
      <c r="H741" s="19"/>
      <c r="I741" s="105"/>
      <c r="J741" s="86"/>
      <c r="K741" s="19"/>
      <c r="L741" s="99"/>
      <c r="M741" s="98"/>
      <c r="N741" s="101"/>
      <c r="O741" s="19"/>
      <c r="P741" s="19"/>
      <c r="Q741" s="104"/>
      <c r="R741" s="19"/>
      <c r="S741" s="19"/>
      <c r="T741" s="19"/>
      <c r="U741" s="19"/>
      <c r="V741" s="74"/>
      <c r="W741" s="75"/>
      <c r="X741" s="64"/>
      <c r="Y741" s="19"/>
      <c r="Z741" s="19"/>
      <c r="AA741" s="19"/>
      <c r="AB741" s="19"/>
      <c r="AC741" s="64"/>
      <c r="AD741" s="63"/>
      <c r="AE741" s="65"/>
      <c r="AF741" s="19"/>
      <c r="AG741" s="19"/>
      <c r="AH741" s="25"/>
      <c r="AI741" s="92"/>
      <c r="AJ741" s="92"/>
      <c r="AK741" s="27"/>
      <c r="AL741" s="26"/>
      <c r="AM741" s="27"/>
      <c r="AN741" s="27"/>
      <c r="AO741" s="27"/>
      <c r="AP741" s="27"/>
      <c r="AQ741" s="27"/>
      <c r="AR741" s="27"/>
      <c r="AS741" s="27"/>
      <c r="AT741" s="27"/>
      <c r="AU741" s="27"/>
      <c r="AV741" s="27"/>
      <c r="AW741" s="27"/>
      <c r="AX741" s="79"/>
      <c r="AY741" s="79"/>
      <c r="AZ741" s="25"/>
      <c r="BA741" s="62"/>
      <c r="BB741" s="66"/>
      <c r="BC741" s="19"/>
      <c r="BD741" s="19"/>
      <c r="BE741" s="67"/>
      <c r="BF741" s="67"/>
      <c r="BG741" s="67"/>
      <c r="BH741" s="19"/>
      <c r="BI741" s="19"/>
      <c r="BJ741" s="19"/>
      <c r="BK741" s="19"/>
    </row>
    <row r="742" spans="5:64" ht="15" customHeight="1">
      <c r="E742" s="19"/>
      <c r="F742" s="19"/>
      <c r="G742" s="62"/>
      <c r="H742" s="19"/>
      <c r="I742" s="105"/>
      <c r="J742" s="86"/>
      <c r="K742" s="19"/>
      <c r="L742" s="99"/>
      <c r="M742" s="98"/>
      <c r="N742" s="101"/>
      <c r="O742" s="19"/>
      <c r="P742" s="19"/>
      <c r="Q742" s="104"/>
      <c r="R742" s="19"/>
      <c r="S742" s="19"/>
      <c r="T742" s="19"/>
      <c r="U742" s="19"/>
      <c r="V742" s="74"/>
      <c r="W742" s="75"/>
      <c r="X742" s="64"/>
      <c r="Y742" s="19"/>
      <c r="Z742" s="19"/>
      <c r="AA742" s="19"/>
      <c r="AB742" s="19"/>
      <c r="AC742" s="64"/>
      <c r="AD742" s="63"/>
      <c r="AE742" s="65"/>
      <c r="AF742" s="19"/>
      <c r="AG742" s="19"/>
      <c r="AH742" s="25"/>
      <c r="AI742" s="92"/>
      <c r="AJ742" s="92"/>
      <c r="AK742" s="27"/>
      <c r="AL742" s="26"/>
      <c r="AM742" s="27"/>
      <c r="AN742" s="27"/>
      <c r="AO742" s="27"/>
      <c r="AP742" s="27"/>
      <c r="AQ742" s="27"/>
      <c r="AR742" s="27"/>
      <c r="AS742" s="27"/>
      <c r="AT742" s="27"/>
      <c r="AU742" s="27"/>
      <c r="AV742" s="27"/>
      <c r="AW742" s="27"/>
      <c r="AX742" s="79"/>
      <c r="AY742" s="79"/>
      <c r="AZ742" s="25"/>
      <c r="BA742" s="62"/>
      <c r="BB742" s="66"/>
      <c r="BC742" s="19"/>
      <c r="BD742" s="19"/>
      <c r="BE742" s="67"/>
      <c r="BF742" s="67"/>
      <c r="BG742" s="67"/>
      <c r="BH742" s="19"/>
      <c r="BI742" s="19"/>
      <c r="BJ742" s="19"/>
      <c r="BK742" s="19"/>
    </row>
    <row r="743" spans="5:64" ht="15" customHeight="1">
      <c r="E743" s="19"/>
      <c r="F743" s="19"/>
      <c r="G743" s="62"/>
      <c r="H743" s="19"/>
      <c r="I743" s="105"/>
      <c r="J743" s="86"/>
      <c r="K743" s="19"/>
      <c r="L743" s="99"/>
      <c r="M743" s="98"/>
      <c r="N743" s="101"/>
      <c r="O743" s="19"/>
      <c r="P743" s="19"/>
      <c r="Q743" s="104"/>
      <c r="R743" s="19"/>
      <c r="S743" s="19"/>
      <c r="T743" s="19"/>
      <c r="U743" s="19"/>
      <c r="V743" s="74"/>
      <c r="W743" s="75"/>
      <c r="X743" s="64"/>
      <c r="Y743" s="19"/>
      <c r="Z743" s="19"/>
      <c r="AA743" s="19"/>
      <c r="AB743" s="19"/>
      <c r="AC743" s="64"/>
      <c r="AD743" s="63"/>
      <c r="AE743" s="65"/>
      <c r="AF743" s="19"/>
      <c r="AG743" s="19"/>
      <c r="AH743" s="25"/>
      <c r="AI743" s="92"/>
      <c r="AJ743" s="92"/>
      <c r="AK743" s="27"/>
      <c r="AL743" s="26"/>
      <c r="AM743" s="27"/>
      <c r="AN743" s="27"/>
      <c r="AO743" s="27"/>
      <c r="AP743" s="27"/>
      <c r="AQ743" s="27"/>
      <c r="AR743" s="27"/>
      <c r="AS743" s="27"/>
      <c r="AT743" s="27"/>
      <c r="AU743" s="27"/>
      <c r="AV743" s="27"/>
      <c r="AW743" s="27"/>
      <c r="AX743" s="79"/>
      <c r="AY743" s="79"/>
      <c r="AZ743" s="25"/>
      <c r="BA743" s="62"/>
      <c r="BB743" s="66"/>
      <c r="BC743" s="19"/>
      <c r="BD743" s="19"/>
      <c r="BE743" s="67"/>
      <c r="BF743" s="67"/>
      <c r="BG743" s="67"/>
      <c r="BH743" s="19"/>
      <c r="BI743" s="19"/>
      <c r="BJ743" s="19"/>
      <c r="BK743" s="19"/>
    </row>
    <row r="744" spans="5:64" ht="15" customHeight="1">
      <c r="E744" s="19"/>
      <c r="F744" s="19"/>
      <c r="G744" s="62"/>
      <c r="H744" s="19"/>
      <c r="I744" s="105"/>
      <c r="J744" s="86"/>
      <c r="K744" s="19"/>
      <c r="L744" s="99"/>
      <c r="M744" s="98"/>
      <c r="N744" s="101"/>
      <c r="O744" s="19"/>
      <c r="P744" s="19"/>
      <c r="Q744" s="104"/>
      <c r="R744" s="19"/>
      <c r="S744" s="19"/>
      <c r="T744" s="19"/>
      <c r="U744" s="19"/>
      <c r="V744" s="74"/>
      <c r="W744" s="75"/>
      <c r="X744" s="64"/>
      <c r="Y744" s="19"/>
      <c r="Z744" s="19"/>
      <c r="AA744" s="19"/>
      <c r="AB744" s="19"/>
      <c r="AC744" s="64"/>
      <c r="AD744" s="63"/>
      <c r="AE744" s="65"/>
      <c r="AF744" s="19"/>
      <c r="AG744" s="19"/>
      <c r="AH744" s="25"/>
      <c r="AI744" s="92"/>
      <c r="AJ744" s="92"/>
      <c r="AK744" s="27"/>
      <c r="AL744" s="26"/>
      <c r="AM744" s="27"/>
      <c r="AN744" s="27"/>
      <c r="AO744" s="27"/>
      <c r="AP744" s="27"/>
      <c r="AQ744" s="27"/>
      <c r="AR744" s="27"/>
      <c r="AS744" s="27"/>
      <c r="AT744" s="27"/>
      <c r="AU744" s="27"/>
      <c r="AV744" s="27"/>
      <c r="AW744" s="27"/>
      <c r="AX744" s="79"/>
      <c r="AY744" s="79"/>
      <c r="AZ744" s="25"/>
      <c r="BA744" s="62"/>
      <c r="BB744" s="66"/>
      <c r="BC744" s="19"/>
      <c r="BD744" s="19"/>
      <c r="BE744" s="67"/>
      <c r="BF744" s="67"/>
      <c r="BG744" s="67"/>
      <c r="BH744" s="19"/>
      <c r="BI744" s="19"/>
      <c r="BJ744" s="19"/>
      <c r="BK744" s="19"/>
    </row>
    <row r="745" spans="5:64" ht="15" customHeight="1">
      <c r="E745" s="19"/>
      <c r="F745" s="19"/>
      <c r="G745" s="62"/>
      <c r="H745" s="19"/>
      <c r="I745" s="105"/>
      <c r="J745" s="86"/>
      <c r="K745" s="19"/>
      <c r="L745" s="99"/>
      <c r="M745" s="98"/>
      <c r="N745" s="101"/>
      <c r="O745" s="19"/>
      <c r="P745" s="19"/>
      <c r="Q745" s="104"/>
      <c r="R745" s="19"/>
      <c r="S745" s="19"/>
      <c r="T745" s="19"/>
      <c r="U745" s="19"/>
      <c r="V745" s="74"/>
      <c r="W745" s="75"/>
      <c r="X745" s="64"/>
      <c r="Y745" s="19"/>
      <c r="Z745" s="19"/>
      <c r="AA745" s="19"/>
      <c r="AB745" s="19"/>
      <c r="AC745" s="64"/>
      <c r="AD745" s="63"/>
      <c r="AE745" s="65"/>
      <c r="AF745" s="19"/>
      <c r="AG745" s="19"/>
      <c r="AH745" s="25"/>
      <c r="AI745" s="92"/>
      <c r="AJ745" s="92"/>
      <c r="AK745" s="27"/>
      <c r="AL745" s="26"/>
      <c r="AM745" s="27"/>
      <c r="AN745" s="27"/>
      <c r="AO745" s="27"/>
      <c r="AP745" s="27"/>
      <c r="AQ745" s="27"/>
      <c r="AR745" s="27"/>
      <c r="AS745" s="27"/>
      <c r="AT745" s="27"/>
      <c r="AU745" s="27"/>
      <c r="AV745" s="27"/>
      <c r="AW745" s="27"/>
      <c r="AX745" s="79"/>
      <c r="AY745" s="79"/>
      <c r="AZ745" s="25"/>
      <c r="BA745" s="62"/>
      <c r="BB745" s="66"/>
      <c r="BC745" s="19"/>
      <c r="BD745" s="19"/>
      <c r="BE745" s="67"/>
      <c r="BF745" s="67"/>
      <c r="BG745" s="67"/>
      <c r="BH745" s="19"/>
      <c r="BI745" s="19"/>
      <c r="BJ745" s="19"/>
      <c r="BK745" s="19"/>
    </row>
    <row r="746" spans="5:64" ht="15" customHeight="1">
      <c r="E746" s="19"/>
      <c r="F746" s="19"/>
      <c r="G746" s="62"/>
      <c r="H746" s="19"/>
      <c r="I746" s="105"/>
      <c r="J746" s="86"/>
      <c r="K746" s="19"/>
      <c r="L746" s="99"/>
      <c r="M746" s="98"/>
      <c r="N746" s="101"/>
      <c r="O746" s="19"/>
      <c r="P746" s="19"/>
      <c r="Q746" s="104"/>
      <c r="R746" s="19"/>
      <c r="S746" s="19"/>
      <c r="T746" s="19"/>
      <c r="U746" s="19"/>
      <c r="V746" s="74"/>
      <c r="W746" s="75"/>
      <c r="X746" s="64"/>
      <c r="Y746" s="19"/>
      <c r="Z746" s="19"/>
      <c r="AA746" s="19"/>
      <c r="AB746" s="19"/>
      <c r="AC746" s="64"/>
      <c r="AD746" s="63"/>
      <c r="AE746" s="65"/>
      <c r="AF746" s="19"/>
      <c r="AG746" s="19"/>
      <c r="AH746" s="25"/>
      <c r="AI746" s="92"/>
      <c r="AJ746" s="92"/>
      <c r="AK746" s="27"/>
      <c r="AL746" s="26"/>
      <c r="AM746" s="27"/>
      <c r="AN746" s="27"/>
      <c r="AO746" s="27"/>
      <c r="AP746" s="27"/>
      <c r="AQ746" s="27"/>
      <c r="AR746" s="27"/>
      <c r="AS746" s="27"/>
      <c r="AT746" s="27"/>
      <c r="AU746" s="27"/>
      <c r="AV746" s="27"/>
      <c r="AW746" s="27"/>
      <c r="AX746" s="79"/>
      <c r="AY746" s="79"/>
      <c r="AZ746" s="25"/>
      <c r="BA746" s="62"/>
      <c r="BB746" s="66"/>
      <c r="BC746" s="19"/>
      <c r="BD746" s="19"/>
      <c r="BE746" s="67"/>
      <c r="BF746" s="67"/>
      <c r="BG746" s="67"/>
      <c r="BH746" s="19"/>
      <c r="BI746" s="19"/>
      <c r="BJ746" s="19"/>
      <c r="BK746" s="19"/>
    </row>
    <row r="747" spans="5:64" ht="15" customHeight="1">
      <c r="E747" s="19"/>
      <c r="F747" s="19"/>
      <c r="G747" s="62"/>
      <c r="H747" s="19"/>
      <c r="I747" s="105"/>
      <c r="J747" s="86"/>
      <c r="K747" s="19"/>
      <c r="L747" s="99"/>
      <c r="M747" s="98"/>
      <c r="N747" s="101"/>
      <c r="O747" s="19"/>
      <c r="P747" s="19"/>
      <c r="Q747" s="104"/>
      <c r="R747" s="19"/>
      <c r="S747" s="19"/>
      <c r="T747" s="19"/>
      <c r="U747" s="19"/>
      <c r="V747" s="74"/>
      <c r="W747" s="75"/>
      <c r="X747" s="64"/>
      <c r="Y747" s="19"/>
      <c r="Z747" s="19"/>
      <c r="AA747" s="19"/>
      <c r="AB747" s="19"/>
      <c r="AC747" s="64"/>
      <c r="AD747" s="63"/>
      <c r="AE747" s="65"/>
      <c r="AF747" s="19"/>
      <c r="AG747" s="19"/>
      <c r="AH747" s="25"/>
      <c r="AI747" s="92"/>
      <c r="AJ747" s="92"/>
      <c r="AK747" s="27"/>
      <c r="AL747" s="26"/>
      <c r="AM747" s="27"/>
      <c r="AN747" s="27"/>
      <c r="AO747" s="27"/>
      <c r="AP747" s="27"/>
      <c r="AQ747" s="27"/>
      <c r="AR747" s="27"/>
      <c r="AS747" s="27"/>
      <c r="AT747" s="27"/>
      <c r="AU747" s="27"/>
      <c r="AV747" s="27"/>
      <c r="AW747" s="27"/>
      <c r="AX747" s="79"/>
      <c r="AY747" s="79"/>
      <c r="AZ747" s="25"/>
      <c r="BA747" s="62"/>
      <c r="BB747" s="66"/>
      <c r="BC747" s="19"/>
      <c r="BD747" s="19"/>
      <c r="BE747" s="67"/>
      <c r="BF747" s="67"/>
      <c r="BG747" s="67"/>
      <c r="BH747" s="19"/>
      <c r="BI747" s="19"/>
      <c r="BJ747" s="19"/>
      <c r="BK747" s="19"/>
    </row>
    <row r="748" spans="5:64" ht="15" customHeight="1">
      <c r="E748" s="19"/>
      <c r="F748" s="19"/>
      <c r="G748" s="62"/>
      <c r="H748" s="19"/>
      <c r="I748" s="105"/>
      <c r="J748" s="86"/>
      <c r="K748" s="19"/>
      <c r="L748" s="99"/>
      <c r="M748" s="98"/>
      <c r="N748" s="101"/>
      <c r="O748" s="19"/>
      <c r="P748" s="19"/>
      <c r="Q748" s="104"/>
      <c r="R748" s="19"/>
      <c r="S748" s="19"/>
      <c r="T748" s="19"/>
      <c r="U748" s="19"/>
      <c r="V748" s="74"/>
      <c r="W748" s="75"/>
      <c r="X748" s="64"/>
      <c r="Y748" s="19"/>
      <c r="Z748" s="19"/>
      <c r="AA748" s="19"/>
      <c r="AB748" s="19"/>
      <c r="AC748" s="64"/>
      <c r="AD748" s="63"/>
      <c r="AE748" s="65"/>
      <c r="AF748" s="19"/>
      <c r="AG748" s="19"/>
      <c r="AH748" s="25"/>
      <c r="AI748" s="92"/>
      <c r="AJ748" s="92"/>
      <c r="AK748" s="27"/>
      <c r="AL748" s="26"/>
      <c r="AM748" s="27"/>
      <c r="AN748" s="27"/>
      <c r="AO748" s="27"/>
      <c r="AP748" s="27"/>
      <c r="AQ748" s="27"/>
      <c r="AR748" s="27"/>
      <c r="AS748" s="27"/>
      <c r="AT748" s="27"/>
      <c r="AU748" s="27"/>
      <c r="AV748" s="27"/>
      <c r="AW748" s="27"/>
      <c r="AX748" s="79"/>
      <c r="AY748" s="79"/>
      <c r="AZ748" s="25"/>
      <c r="BA748" s="62"/>
      <c r="BB748" s="66"/>
      <c r="BC748" s="19"/>
      <c r="BD748" s="19"/>
      <c r="BE748" s="67"/>
      <c r="BF748" s="67"/>
      <c r="BG748" s="67"/>
      <c r="BH748" s="19"/>
      <c r="BI748" s="19"/>
      <c r="BJ748" s="19"/>
      <c r="BK748" s="19"/>
    </row>
    <row r="749" spans="5:64" ht="15" customHeight="1">
      <c r="E749" s="19"/>
      <c r="F749" s="19"/>
      <c r="G749" s="62"/>
      <c r="H749" s="19"/>
      <c r="I749" s="105"/>
      <c r="J749" s="86"/>
      <c r="K749" s="19"/>
      <c r="L749" s="99"/>
      <c r="M749" s="98"/>
      <c r="N749" s="101"/>
      <c r="O749" s="19"/>
      <c r="P749" s="19"/>
      <c r="Q749" s="104"/>
      <c r="R749" s="19"/>
      <c r="S749" s="19"/>
      <c r="T749" s="19"/>
      <c r="U749" s="19"/>
      <c r="V749" s="74"/>
      <c r="W749" s="75"/>
      <c r="X749" s="64"/>
      <c r="Y749" s="19"/>
      <c r="Z749" s="19"/>
      <c r="AA749" s="19"/>
      <c r="AB749" s="19"/>
      <c r="AC749" s="64"/>
      <c r="AD749" s="63"/>
      <c r="AE749" s="65"/>
      <c r="AF749" s="19"/>
      <c r="AG749" s="19"/>
      <c r="AH749" s="25"/>
      <c r="AI749" s="92"/>
      <c r="AJ749" s="92"/>
      <c r="AK749" s="27"/>
      <c r="AL749" s="26"/>
      <c r="AM749" s="27"/>
      <c r="AN749" s="27"/>
      <c r="AO749" s="27"/>
      <c r="AP749" s="27"/>
      <c r="AQ749" s="27"/>
      <c r="AR749" s="27"/>
      <c r="AS749" s="27"/>
      <c r="AT749" s="27"/>
      <c r="AU749" s="27"/>
      <c r="AV749" s="27"/>
      <c r="AW749" s="27"/>
      <c r="AX749" s="79"/>
      <c r="AY749" s="79"/>
      <c r="AZ749" s="25"/>
      <c r="BA749" s="62"/>
      <c r="BB749" s="66"/>
      <c r="BC749" s="19"/>
      <c r="BD749" s="19"/>
      <c r="BE749" s="67"/>
      <c r="BF749" s="67"/>
      <c r="BG749" s="67"/>
      <c r="BH749" s="19"/>
      <c r="BI749" s="19"/>
      <c r="BJ749" s="19"/>
      <c r="BK749" s="19"/>
    </row>
    <row r="750" spans="5:64" ht="15" customHeight="1">
      <c r="E750" s="19"/>
      <c r="F750" s="19"/>
      <c r="G750" s="62"/>
      <c r="H750" s="19"/>
      <c r="I750" s="106"/>
      <c r="J750" s="86"/>
      <c r="K750" s="19"/>
      <c r="L750" s="19"/>
      <c r="M750" s="19"/>
      <c r="N750" s="42"/>
      <c r="O750" s="19"/>
      <c r="P750" s="19"/>
      <c r="Q750" s="73"/>
      <c r="R750" s="19"/>
      <c r="S750" s="19"/>
      <c r="T750" s="19"/>
      <c r="U750" s="19"/>
      <c r="V750" s="74"/>
      <c r="W750" s="75"/>
      <c r="X750" s="64"/>
      <c r="Y750" s="19"/>
      <c r="Z750" s="19"/>
      <c r="AA750" s="19"/>
      <c r="AB750" s="19"/>
      <c r="AC750" s="64"/>
      <c r="AD750" s="63"/>
      <c r="AE750" s="65"/>
      <c r="AF750" s="19"/>
      <c r="AG750" s="19"/>
      <c r="AH750" s="25"/>
      <c r="AI750" s="92"/>
      <c r="AJ750" s="92"/>
      <c r="AK750" s="27"/>
      <c r="AL750" s="26"/>
      <c r="AM750" s="27"/>
      <c r="AN750" s="27"/>
      <c r="AO750" s="27"/>
      <c r="AP750" s="27"/>
      <c r="AQ750" s="27"/>
      <c r="AR750" s="27"/>
      <c r="AS750" s="27"/>
      <c r="AT750" s="27"/>
      <c r="AU750" s="27"/>
      <c r="AV750" s="27"/>
      <c r="AW750" s="27"/>
      <c r="AX750" s="79"/>
      <c r="AY750" s="79"/>
      <c r="AZ750" s="25"/>
      <c r="BA750" s="62"/>
      <c r="BB750" s="66"/>
      <c r="BC750" s="19"/>
      <c r="BD750" s="19"/>
      <c r="BE750" s="67"/>
      <c r="BF750" s="67"/>
      <c r="BG750" s="67"/>
      <c r="BH750" s="19"/>
      <c r="BI750" s="19"/>
      <c r="BJ750" s="19"/>
      <c r="BK750" s="19"/>
    </row>
    <row r="751" spans="5:64" ht="15" customHeight="1">
      <c r="E751" s="19"/>
      <c r="F751" s="19"/>
      <c r="G751" s="62"/>
      <c r="H751" s="19"/>
      <c r="I751" s="106"/>
      <c r="J751" s="86"/>
      <c r="K751" s="19"/>
      <c r="L751" s="19"/>
      <c r="M751" s="19"/>
      <c r="N751" s="42"/>
      <c r="O751" s="19"/>
      <c r="P751" s="19"/>
      <c r="Q751" s="73"/>
      <c r="R751" s="19"/>
      <c r="S751" s="19"/>
      <c r="T751" s="19"/>
      <c r="U751" s="19"/>
      <c r="V751" s="74"/>
      <c r="W751" s="75"/>
      <c r="X751" s="64"/>
      <c r="Y751" s="19"/>
      <c r="Z751" s="19"/>
      <c r="AA751" s="19"/>
      <c r="AB751" s="19"/>
      <c r="AC751" s="64"/>
      <c r="AD751" s="63"/>
      <c r="AE751" s="65"/>
      <c r="AF751" s="19"/>
      <c r="AG751" s="19"/>
      <c r="AH751" s="25"/>
      <c r="AI751" s="92"/>
      <c r="AJ751" s="92"/>
      <c r="AK751" s="27"/>
      <c r="AL751" s="26"/>
      <c r="AM751" s="27"/>
      <c r="AN751" s="27"/>
      <c r="AO751" s="27"/>
      <c r="AP751" s="27"/>
      <c r="AQ751" s="27"/>
      <c r="AR751" s="27"/>
      <c r="AS751" s="27"/>
      <c r="AT751" s="27"/>
      <c r="AU751" s="27"/>
      <c r="AV751" s="27"/>
      <c r="AW751" s="27"/>
      <c r="AX751" s="79"/>
      <c r="AY751" s="79"/>
      <c r="AZ751" s="25"/>
      <c r="BA751" s="62"/>
      <c r="BB751" s="66"/>
      <c r="BC751" s="19"/>
      <c r="BD751" s="19"/>
      <c r="BE751" s="67"/>
      <c r="BF751" s="67"/>
      <c r="BG751" s="67"/>
      <c r="BH751" s="19"/>
      <c r="BI751" s="19"/>
      <c r="BJ751" s="19"/>
      <c r="BK751" s="19"/>
    </row>
    <row r="752" spans="5:64" ht="15" customHeight="1">
      <c r="E752" s="19"/>
      <c r="F752" s="19"/>
      <c r="G752" s="62"/>
      <c r="H752" s="19"/>
      <c r="I752" s="19"/>
      <c r="J752" s="86"/>
      <c r="K752" s="19"/>
      <c r="L752" s="19"/>
      <c r="M752" s="19"/>
      <c r="N752" s="42"/>
      <c r="O752" s="70"/>
      <c r="P752" s="70"/>
      <c r="Q752" s="73"/>
      <c r="R752" s="70"/>
      <c r="S752" s="19"/>
      <c r="T752" s="19"/>
      <c r="U752" s="19"/>
      <c r="V752" s="74"/>
      <c r="W752" s="75"/>
      <c r="X752" s="64"/>
      <c r="Y752" s="19"/>
      <c r="Z752" s="19"/>
      <c r="AA752" s="19"/>
      <c r="AB752" s="19"/>
      <c r="AC752" s="64"/>
      <c r="AD752" s="63"/>
      <c r="AE752" s="65"/>
      <c r="AF752" s="19"/>
      <c r="AG752" s="19"/>
      <c r="AH752" s="25"/>
      <c r="AI752" s="92"/>
      <c r="AJ752" s="92"/>
      <c r="AK752" s="27"/>
      <c r="AL752" s="26"/>
      <c r="AM752" s="27"/>
      <c r="AN752" s="27"/>
      <c r="AO752" s="27"/>
      <c r="AP752" s="27"/>
      <c r="AQ752" s="27"/>
      <c r="AR752" s="27"/>
      <c r="AS752" s="27"/>
      <c r="AT752" s="27"/>
      <c r="AU752" s="27"/>
      <c r="AV752" s="27"/>
      <c r="AW752" s="27"/>
      <c r="AX752" s="79"/>
      <c r="AY752" s="79"/>
      <c r="AZ752" s="62"/>
      <c r="BA752" s="62"/>
      <c r="BB752" s="25"/>
      <c r="BC752" s="62"/>
      <c r="BD752" s="66"/>
      <c r="BE752" s="67"/>
      <c r="BF752" s="67"/>
      <c r="BG752" s="67"/>
      <c r="BH752" s="67"/>
      <c r="BI752" s="19"/>
      <c r="BJ752" s="19"/>
      <c r="BK752" s="19"/>
      <c r="BL752" s="19"/>
    </row>
    <row r="753" spans="5:49" ht="15" customHeight="1">
      <c r="E753" s="19"/>
      <c r="O753" s="5"/>
      <c r="Q753" s="73"/>
      <c r="V753" s="74"/>
      <c r="X753" s="64"/>
      <c r="AC753" s="64"/>
      <c r="AG753" s="19"/>
      <c r="AH753" s="25"/>
      <c r="AK753" s="27"/>
    </row>
    <row r="754" spans="5:49" ht="15" customHeight="1">
      <c r="E754" s="19"/>
      <c r="Q754" s="73"/>
      <c r="V754" s="74"/>
      <c r="X754" s="64"/>
      <c r="Y754" s="50"/>
      <c r="AA754" s="47"/>
      <c r="AC754" s="64"/>
      <c r="AG754" s="19"/>
      <c r="AH754" s="25"/>
      <c r="AK754" s="27"/>
    </row>
    <row r="755" spans="5:49" ht="15" customHeight="1">
      <c r="E755" s="19"/>
      <c r="Q755" s="73"/>
      <c r="V755" s="74"/>
      <c r="X755" s="64"/>
      <c r="AA755" s="47"/>
      <c r="AC755" s="64"/>
      <c r="AG755" s="19"/>
      <c r="AH755" s="25"/>
      <c r="AK755" s="27"/>
    </row>
    <row r="756" spans="5:49" ht="15" customHeight="1">
      <c r="E756" s="19"/>
      <c r="Q756" s="73"/>
      <c r="V756" s="74"/>
      <c r="X756" s="64"/>
      <c r="AA756" s="47"/>
      <c r="AC756" s="64"/>
      <c r="AG756" s="19"/>
      <c r="AH756" s="25"/>
      <c r="AK756" s="27"/>
    </row>
    <row r="757" spans="5:49" ht="15" customHeight="1">
      <c r="E757" s="19"/>
      <c r="Q757" s="73"/>
      <c r="V757" s="74"/>
      <c r="X757" s="64"/>
      <c r="AA757" s="47"/>
      <c r="AC757" s="64"/>
      <c r="AG757" s="19"/>
      <c r="AH757" s="25"/>
      <c r="AK757" s="27"/>
    </row>
    <row r="758" spans="5:49" ht="15" customHeight="1">
      <c r="E758" s="19"/>
      <c r="Q758" s="73"/>
      <c r="V758" s="74"/>
      <c r="X758" s="64"/>
      <c r="AC758" s="64"/>
      <c r="AG758" s="19"/>
      <c r="AH758" s="25"/>
      <c r="AK758" s="27"/>
    </row>
    <row r="759" spans="5:49" ht="15" customHeight="1">
      <c r="E759" s="19"/>
      <c r="Q759" s="73"/>
      <c r="V759" s="74"/>
      <c r="X759" s="64"/>
      <c r="AC759" s="64"/>
      <c r="AG759" s="19"/>
      <c r="AH759" s="25"/>
      <c r="AK759" s="27"/>
    </row>
    <row r="761" spans="5:49" ht="15" customHeight="1">
      <c r="AW761" s="50"/>
    </row>
    <row r="762" spans="5:49" ht="15" customHeight="1">
      <c r="AW762" s="50"/>
    </row>
  </sheetData>
  <autoFilter ref="A8:BQ686" xr:uid="{AA14F7C5-6523-45FA-B306-33D5E6625836}">
    <filterColumn colId="7">
      <filters>
        <filter val="VINA00077"/>
      </filters>
    </filterColumn>
  </autoFilter>
  <mergeCells count="7">
    <mergeCell ref="J613:J615"/>
    <mergeCell ref="J616:J618"/>
    <mergeCell ref="BB7:BD7"/>
    <mergeCell ref="BE7:BG7"/>
    <mergeCell ref="J604:J606"/>
    <mergeCell ref="J607:J609"/>
    <mergeCell ref="J610:J612"/>
  </mergeCells>
  <phoneticPr fontId="17" type="noConversion"/>
  <conditionalFormatting sqref="G239">
    <cfRule type="duplicateValues" dxfId="9" priority="4"/>
  </conditionalFormatting>
  <conditionalFormatting sqref="H239 AF239 BA239">
    <cfRule type="duplicateValues" dxfId="8" priority="5"/>
  </conditionalFormatting>
  <conditionalFormatting sqref="I239">
    <cfRule type="duplicateValues" dxfId="7" priority="3"/>
  </conditionalFormatting>
  <conditionalFormatting sqref="M239">
    <cfRule type="duplicateValues" dxfId="6" priority="2"/>
  </conditionalFormatting>
  <pageMargins left="0.7" right="0.7" top="0.75" bottom="0.75" header="0.3" footer="0.3"/>
  <pageSetup paperSize="9" scale="46" fitToHeight="100" orientation="landscape"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57B8B-2D96-4414-98E0-3F9379189807}">
  <sheetPr>
    <tabColor theme="9" tint="0.59999389629810485"/>
    <pageSetUpPr fitToPage="1"/>
  </sheetPr>
  <dimension ref="A1:CX761"/>
  <sheetViews>
    <sheetView tabSelected="1" zoomScale="80" zoomScaleNormal="80" workbookViewId="0">
      <pane xSplit="9" ySplit="8" topLeftCell="BI9" activePane="bottomRight" state="frozen"/>
      <selection activeCell="C1" sqref="C1"/>
      <selection pane="topRight" activeCell="J1" sqref="J1"/>
      <selection pane="bottomLeft" activeCell="C9" sqref="C9"/>
      <selection pane="bottomRight" activeCell="BQ7" sqref="BQ7"/>
    </sheetView>
  </sheetViews>
  <sheetFormatPr defaultColWidth="9" defaultRowHeight="15" customHeight="1" outlineLevelCol="1"/>
  <cols>
    <col min="1" max="1" width="7.6640625" style="1" hidden="1" customWidth="1"/>
    <col min="2" max="2" width="2.6640625" style="1" hidden="1" customWidth="1"/>
    <col min="3" max="3" width="8.109375" style="1" bestFit="1" customWidth="1"/>
    <col min="4" max="4" width="7.6640625" style="1" bestFit="1" customWidth="1"/>
    <col min="5" max="5" width="8.33203125" style="1" customWidth="1"/>
    <col min="6" max="6" width="8.6640625" style="1" customWidth="1"/>
    <col min="7" max="7" width="8.109375" style="1" customWidth="1"/>
    <col min="8" max="8" width="14" style="1" customWidth="1"/>
    <col min="9" max="9" width="82.44140625" style="1" customWidth="1"/>
    <col min="10" max="10" width="7" style="83" customWidth="1" outlineLevel="1"/>
    <col min="11" max="11" width="7.6640625" style="1" customWidth="1" outlineLevel="1"/>
    <col min="12" max="12" width="30.5546875" style="1" customWidth="1" outlineLevel="1"/>
    <col min="13" max="13" width="14.109375" style="1" customWidth="1" outlineLevel="1"/>
    <col min="14" max="14" width="23.109375" style="1" customWidth="1" outlineLevel="1"/>
    <col min="15" max="15" width="14.88671875" style="1" customWidth="1" outlineLevel="1"/>
    <col min="16" max="16" width="16.5546875" style="1" customWidth="1" outlineLevel="1"/>
    <col min="17" max="18" width="18" style="1" customWidth="1" outlineLevel="1"/>
    <col min="19" max="19" width="15.6640625" style="1" customWidth="1" outlineLevel="1"/>
    <col min="20" max="20" width="18.109375" style="1" customWidth="1" outlineLevel="1"/>
    <col min="21" max="21" width="17.33203125" style="1" customWidth="1" outlineLevel="1"/>
    <col min="22" max="22" width="25" style="4" customWidth="1" outlineLevel="1"/>
    <col min="23" max="23" width="15.5546875" style="1" hidden="1" customWidth="1" outlineLevel="1"/>
    <col min="24" max="24" width="19.33203125" style="1" customWidth="1" outlineLevel="1"/>
    <col min="25" max="25" width="17.44140625" style="1" customWidth="1" outlineLevel="1"/>
    <col min="26" max="26" width="6.33203125" style="1" customWidth="1" outlineLevel="1"/>
    <col min="27" max="27" width="13.109375" style="1" customWidth="1" outlineLevel="1"/>
    <col min="28" max="28" width="12.5546875" style="1" customWidth="1" outlineLevel="1"/>
    <col min="29" max="29" width="24.88671875" style="36" customWidth="1"/>
    <col min="30" max="30" width="19.44140625" style="1" customWidth="1"/>
    <col min="31" max="31" width="14.33203125" style="1" customWidth="1"/>
    <col min="32" max="32" width="17.5546875" style="1" customWidth="1"/>
    <col min="33" max="33" width="9.88671875" style="1" customWidth="1"/>
    <col min="34" max="34" width="14.5546875" style="2" customWidth="1"/>
    <col min="35" max="35" width="18.6640625" style="35" customWidth="1"/>
    <col min="36" max="36" width="20.33203125" style="35" customWidth="1"/>
    <col min="37" max="37" width="18.88671875" style="1" customWidth="1" outlineLevel="1"/>
    <col min="38" max="38" width="20.33203125" style="34" customWidth="1" outlineLevel="1"/>
    <col min="39" max="39" width="19" style="1" customWidth="1" outlineLevel="1"/>
    <col min="40" max="40" width="18.109375" style="1" customWidth="1" outlineLevel="1"/>
    <col min="41" max="41" width="18.44140625" style="1" customWidth="1" outlineLevel="1"/>
    <col min="42" max="42" width="22.109375" style="1" customWidth="1" outlineLevel="1"/>
    <col min="43" max="44" width="19.44140625" style="1" customWidth="1" outlineLevel="1"/>
    <col min="45" max="45" width="22.109375" style="1" customWidth="1" outlineLevel="1"/>
    <col min="46" max="46" width="23.5546875" style="1" customWidth="1" outlineLevel="1"/>
    <col min="47" max="47" width="18.109375" style="6" customWidth="1" outlineLevel="1"/>
    <col min="48" max="48" width="20.6640625" style="1" customWidth="1" outlineLevel="1"/>
    <col min="49" max="49" width="20.109375" style="1" customWidth="1"/>
    <col min="50" max="51" width="21.33203125" style="35" customWidth="1"/>
    <col min="52" max="52" width="19.6640625" style="1" customWidth="1"/>
    <col min="53" max="53" width="20.88671875" style="1" customWidth="1"/>
    <col min="54" max="54" width="17.6640625" style="1" customWidth="1"/>
    <col min="55" max="55" width="15.109375" style="1" customWidth="1"/>
    <col min="56" max="56" width="6.109375" style="1" customWidth="1"/>
    <col min="57" max="57" width="17.44140625" style="1" bestFit="1" customWidth="1"/>
    <col min="58" max="58" width="15.88671875" style="1" bestFit="1" customWidth="1"/>
    <col min="59" max="59" width="14.88671875" style="1" bestFit="1" customWidth="1"/>
    <col min="60" max="60" width="25.109375" style="1" customWidth="1"/>
    <col min="61" max="61" width="21.5546875" style="1" customWidth="1"/>
    <col min="62" max="62" width="13.88671875" style="1" customWidth="1"/>
    <col min="63" max="63" width="16.33203125" style="1" customWidth="1"/>
    <col min="64" max="64" width="20" style="1" customWidth="1"/>
    <col min="65" max="65" width="10.109375" style="1" customWidth="1"/>
    <col min="66" max="66" width="10" style="1" customWidth="1"/>
    <col min="67" max="67" width="19.44140625" style="35" customWidth="1"/>
    <col min="68" max="16384" width="9" style="1"/>
  </cols>
  <sheetData>
    <row r="1" spans="1:69" ht="13.8">
      <c r="V1" s="1"/>
      <c r="AL1" s="1"/>
      <c r="AO1" s="40">
        <v>158273748</v>
      </c>
      <c r="AR1" s="50">
        <f>AQ6+AR571</f>
        <v>5824782284.3903837</v>
      </c>
      <c r="AX1" s="94"/>
      <c r="AY1" s="94"/>
    </row>
    <row r="2" spans="1:69" ht="13.8">
      <c r="Q2" s="3"/>
      <c r="V2" s="1"/>
      <c r="AL2" s="1"/>
      <c r="AO2" s="13">
        <f>AO6-AO1</f>
        <v>5549674056.4170513</v>
      </c>
      <c r="AP2" s="6"/>
      <c r="AQ2" s="6"/>
      <c r="AX2" s="94"/>
      <c r="AY2" s="94"/>
      <c r="AZ2" s="50"/>
      <c r="BA2" s="50"/>
      <c r="BF2" s="14">
        <f>BE6+BF6</f>
        <v>5914093520.390378</v>
      </c>
    </row>
    <row r="3" spans="1:69" ht="13.8">
      <c r="F3" s="4" t="s">
        <v>1889</v>
      </c>
      <c r="O3" s="5"/>
      <c r="R3" s="6"/>
      <c r="V3" s="6">
        <f>+V5-V4</f>
        <v>0</v>
      </c>
      <c r="AK3" s="1" t="str">
        <f>+RIGHT(YEAR(AK7),2)&amp;IF(LEN(MONTH(AK7))=2,MONTH(AK7),"0"&amp;MONTH(AK7))</f>
        <v>2401</v>
      </c>
      <c r="AL3" s="1" t="str">
        <f t="shared" ref="AL3:AV3" si="0">+RIGHT(YEAR(AL7),2)&amp;IF(LEN(MONTH(AL7))=2,MONTH(AL7),"0"&amp;MONTH(AL7))</f>
        <v>2402</v>
      </c>
      <c r="AM3" s="1" t="str">
        <f t="shared" si="0"/>
        <v>2403</v>
      </c>
      <c r="AN3" s="1" t="str">
        <f t="shared" si="0"/>
        <v>2404</v>
      </c>
      <c r="AO3" s="1" t="str">
        <f t="shared" si="0"/>
        <v>2405</v>
      </c>
      <c r="AP3" s="1" t="str">
        <f t="shared" si="0"/>
        <v>2406</v>
      </c>
      <c r="AQ3" s="1" t="str">
        <f t="shared" si="0"/>
        <v>2407</v>
      </c>
      <c r="AR3" s="1" t="str">
        <f t="shared" si="0"/>
        <v>2408</v>
      </c>
      <c r="AS3" s="1" t="str">
        <f t="shared" si="0"/>
        <v>2409</v>
      </c>
      <c r="AT3" s="1" t="str">
        <f t="shared" si="0"/>
        <v>2410</v>
      </c>
      <c r="AU3" s="1" t="str">
        <f t="shared" si="0"/>
        <v>2411</v>
      </c>
      <c r="AV3" s="1" t="str">
        <f t="shared" si="0"/>
        <v>2412</v>
      </c>
      <c r="AW3" s="7"/>
      <c r="AX3" s="95"/>
      <c r="AY3" s="95"/>
      <c r="AZ3" s="9"/>
      <c r="BA3" s="14"/>
      <c r="BE3" s="14"/>
      <c r="BH3" s="5"/>
      <c r="BI3" s="5"/>
      <c r="BJ3" s="5"/>
    </row>
    <row r="4" spans="1:69" ht="13.8">
      <c r="E4" s="10"/>
      <c r="F4" s="11" t="s">
        <v>0</v>
      </c>
      <c r="G4" s="4"/>
      <c r="T4" s="2"/>
      <c r="U4" s="6"/>
      <c r="V4" s="6"/>
      <c r="W4" s="6"/>
      <c r="X4" s="6"/>
      <c r="Y4" s="6"/>
      <c r="Z4" s="12"/>
      <c r="AA4" s="12"/>
      <c r="AC4" s="37">
        <f>+AC5-AC6</f>
        <v>3170561471.6209717</v>
      </c>
      <c r="AD4" s="1" t="s">
        <v>2117</v>
      </c>
      <c r="AI4" s="87"/>
      <c r="AJ4" s="87"/>
      <c r="AK4" s="6">
        <f t="shared" ref="AK4:AP4" si="1">+AK6-AK5</f>
        <v>-56900010.664992332</v>
      </c>
      <c r="AL4" s="6">
        <f t="shared" si="1"/>
        <v>-40414060.826282501</v>
      </c>
      <c r="AM4" s="6">
        <f t="shared" si="1"/>
        <v>-40414054.542949677</v>
      </c>
      <c r="AN4" s="6">
        <f t="shared" si="1"/>
        <v>5650637491.7070503</v>
      </c>
      <c r="AO4" s="6">
        <f t="shared" si="1"/>
        <v>-40414054.582948685</v>
      </c>
      <c r="AP4" s="6">
        <f t="shared" si="1"/>
        <v>-40414048.489616394</v>
      </c>
      <c r="AQ4" s="6">
        <f t="shared" ref="AQ4:AV4" si="2">+AQ6-AQ5</f>
        <v>-40414085.60961628</v>
      </c>
      <c r="AR4" s="6">
        <f t="shared" si="2"/>
        <v>-40414053.539615631</v>
      </c>
      <c r="AS4" s="6">
        <f t="shared" si="2"/>
        <v>0</v>
      </c>
      <c r="AT4" s="6">
        <f t="shared" si="2"/>
        <v>0</v>
      </c>
      <c r="AU4" s="6">
        <f t="shared" si="2"/>
        <v>0</v>
      </c>
      <c r="AV4" s="6">
        <f t="shared" si="2"/>
        <v>0</v>
      </c>
      <c r="AW4" s="6">
        <f>+AW5-AW6</f>
        <v>-34201677604.381035</v>
      </c>
      <c r="AX4" s="95"/>
      <c r="AY4" s="96">
        <f>+AY5-AY6</f>
        <v>2788441277.2945862</v>
      </c>
      <c r="AZ4" s="3"/>
      <c r="BA4" s="13"/>
      <c r="BB4" s="50"/>
      <c r="BC4" s="6"/>
      <c r="BD4" s="3"/>
      <c r="BE4" s="3">
        <f>+BE5-BE6</f>
        <v>40414032.960552216</v>
      </c>
      <c r="BF4" s="3">
        <f>+BF5-BF6</f>
        <v>3.2190696895122528</v>
      </c>
      <c r="BG4" s="3">
        <f>+BG5-BG6</f>
        <v>0</v>
      </c>
      <c r="BH4" s="20"/>
      <c r="BI4" s="20"/>
      <c r="BJ4" s="20"/>
    </row>
    <row r="5" spans="1:69" ht="13.8">
      <c r="F5" s="11"/>
      <c r="G5" s="4"/>
      <c r="O5" s="51"/>
      <c r="P5" s="53"/>
      <c r="Q5" s="6"/>
      <c r="T5" s="2"/>
      <c r="U5" s="6"/>
      <c r="V5" s="6"/>
      <c r="W5" s="6"/>
      <c r="Y5" s="6"/>
      <c r="Z5" s="3"/>
      <c r="AA5" s="2"/>
      <c r="AB5" s="14"/>
      <c r="AC5" s="40">
        <v>710720386617</v>
      </c>
      <c r="AD5" s="6">
        <v>224219000</v>
      </c>
      <c r="AE5" s="6"/>
      <c r="AF5" s="6"/>
      <c r="AG5" s="6"/>
      <c r="AI5" s="87"/>
      <c r="AJ5" s="88"/>
      <c r="AK5" s="54">
        <v>5296208890</v>
      </c>
      <c r="AL5" s="15">
        <v>5474392783</v>
      </c>
      <c r="AM5" s="54">
        <v>5474392754</v>
      </c>
      <c r="AN5" s="54"/>
      <c r="AO5" s="202">
        <v>5748361859</v>
      </c>
      <c r="AP5" s="202">
        <v>5808757607.9300003</v>
      </c>
      <c r="AQ5" s="8">
        <v>5864404703</v>
      </c>
      <c r="AR5" s="8">
        <v>5954507557</v>
      </c>
      <c r="AS5" s="40"/>
      <c r="AT5" s="40"/>
      <c r="AU5" s="45"/>
      <c r="AV5" s="3"/>
      <c r="AW5" s="8">
        <v>10770601673</v>
      </c>
      <c r="AY5" s="89">
        <v>225320619264</v>
      </c>
      <c r="AZ5" s="8"/>
      <c r="BA5" s="271"/>
      <c r="BB5" s="14"/>
      <c r="BC5" s="40"/>
      <c r="BD5" s="3"/>
      <c r="BE5" s="204">
        <v>5698196416.5699997</v>
      </c>
      <c r="BF5" s="203">
        <v>256311140</v>
      </c>
      <c r="BG5" s="2"/>
    </row>
    <row r="6" spans="1:69" ht="13.8">
      <c r="F6" s="11"/>
      <c r="N6" s="3"/>
      <c r="O6" s="52"/>
      <c r="T6" s="6"/>
      <c r="U6" s="6">
        <f>+U4-U5</f>
        <v>0</v>
      </c>
      <c r="V6" s="16">
        <f>SUBTOTAL(9,V9:V4241)</f>
        <v>707406485560.36121</v>
      </c>
      <c r="W6" s="16">
        <f>SUBTOTAL(9,W9:W4241)</f>
        <v>808809729.55533397</v>
      </c>
      <c r="X6" s="16">
        <f>SUBTOTAL(9,X9:X4963)</f>
        <v>706785401903.34338</v>
      </c>
      <c r="Y6" s="16">
        <f>SUBTOTAL(9,Y9:Y4241)</f>
        <v>0</v>
      </c>
      <c r="Z6" s="6"/>
      <c r="AA6" s="6"/>
      <c r="AC6" s="38">
        <f>SUBTOTAL(9,AC9:AC4963)</f>
        <v>707549825145.37903</v>
      </c>
      <c r="AD6" s="6">
        <f>AD5+AC4</f>
        <v>3394780471.6209717</v>
      </c>
      <c r="AE6" s="6"/>
      <c r="AI6" s="89">
        <f t="shared" ref="AI6:AN6" si="3">SUBTOTAL(9,AI9:AI4241)</f>
        <v>177559898709.32367</v>
      </c>
      <c r="AJ6" s="89">
        <f t="shared" si="3"/>
        <v>345597429348.69049</v>
      </c>
      <c r="AK6" s="16">
        <f t="shared" si="3"/>
        <v>5239308879.3350077</v>
      </c>
      <c r="AL6" s="17">
        <f t="shared" si="3"/>
        <v>5433978722.1737175</v>
      </c>
      <c r="AM6" s="16">
        <f t="shared" si="3"/>
        <v>5433978699.4570503</v>
      </c>
      <c r="AN6" s="16">
        <f t="shared" si="3"/>
        <v>5650637491.7070503</v>
      </c>
      <c r="AO6" s="16">
        <f>SUBTOTAL(9,AO9:AO4963)</f>
        <v>5707947804.4170513</v>
      </c>
      <c r="AP6" s="16">
        <f>SUBTOTAL(9,AP9:AP4241)</f>
        <v>5768343559.4403839</v>
      </c>
      <c r="AQ6" s="16">
        <f>SUBTOTAL(9,AQ9:AQ4963)</f>
        <v>5823990617.3903837</v>
      </c>
      <c r="AR6" s="16">
        <f t="shared" ref="AR6:AY6" si="4">SUBTOTAL(9,AR9:AR4241)</f>
        <v>5914093503.4603844</v>
      </c>
      <c r="AS6" s="16">
        <f t="shared" si="4"/>
        <v>0</v>
      </c>
      <c r="AT6" s="16">
        <f t="shared" si="4"/>
        <v>0</v>
      </c>
      <c r="AU6" s="16">
        <f t="shared" si="4"/>
        <v>0</v>
      </c>
      <c r="AV6" s="16">
        <f t="shared" si="4"/>
        <v>0</v>
      </c>
      <c r="AW6" s="16">
        <f t="shared" si="4"/>
        <v>44972279277.381035</v>
      </c>
      <c r="AX6" s="89">
        <f t="shared" si="4"/>
        <v>484802052940.21643</v>
      </c>
      <c r="AY6" s="89">
        <f t="shared" si="4"/>
        <v>222532177986.70541</v>
      </c>
      <c r="AZ6" s="16"/>
      <c r="BC6" s="14" t="e">
        <f>+BE6+#REF!</f>
        <v>#REF!</v>
      </c>
      <c r="BE6" s="44">
        <f>SUBTOTAL(9,BE9:BE4241)</f>
        <v>5657782383.6094475</v>
      </c>
      <c r="BF6" s="44">
        <f>SUBTOTAL(9,BF9:BF4241)</f>
        <v>256311136.78093031</v>
      </c>
      <c r="BG6" s="44">
        <f>SUBTOTAL(9,BG9:BG4241)</f>
        <v>0</v>
      </c>
      <c r="BJ6" s="1" t="s">
        <v>4</v>
      </c>
      <c r="BK6" s="1" t="s">
        <v>5</v>
      </c>
    </row>
    <row r="7" spans="1:69" ht="65.25" customHeight="1">
      <c r="A7" s="1" t="s">
        <v>6</v>
      </c>
      <c r="C7" s="1" t="s">
        <v>1671</v>
      </c>
      <c r="D7" s="1" t="s">
        <v>1672</v>
      </c>
      <c r="E7" s="56" t="s">
        <v>2199</v>
      </c>
      <c r="F7" s="57" t="s">
        <v>8</v>
      </c>
      <c r="G7" s="57" t="s">
        <v>9</v>
      </c>
      <c r="H7" s="57" t="s">
        <v>10</v>
      </c>
      <c r="I7" s="57" t="s">
        <v>11</v>
      </c>
      <c r="J7" s="84" t="s">
        <v>12</v>
      </c>
      <c r="K7" s="57" t="s">
        <v>13</v>
      </c>
      <c r="L7" s="57" t="s">
        <v>14</v>
      </c>
      <c r="M7" s="57" t="s">
        <v>15</v>
      </c>
      <c r="N7" s="57" t="s">
        <v>16</v>
      </c>
      <c r="O7" s="57" t="s">
        <v>17</v>
      </c>
      <c r="P7" s="57" t="s">
        <v>18</v>
      </c>
      <c r="Q7" s="57" t="s">
        <v>19</v>
      </c>
      <c r="R7" s="57" t="s">
        <v>20</v>
      </c>
      <c r="S7" s="57" t="s">
        <v>2256</v>
      </c>
      <c r="T7" s="57" t="s">
        <v>22</v>
      </c>
      <c r="U7" s="57" t="s">
        <v>23</v>
      </c>
      <c r="V7" s="57" t="s">
        <v>24</v>
      </c>
      <c r="W7" s="57" t="s">
        <v>25</v>
      </c>
      <c r="X7" s="57" t="s">
        <v>26</v>
      </c>
      <c r="Y7" s="57" t="s">
        <v>27</v>
      </c>
      <c r="Z7" s="57" t="s">
        <v>28</v>
      </c>
      <c r="AA7" s="57" t="s">
        <v>29</v>
      </c>
      <c r="AB7" s="57" t="s">
        <v>30</v>
      </c>
      <c r="AC7" s="57" t="s">
        <v>1679</v>
      </c>
      <c r="AD7" s="57" t="s">
        <v>31</v>
      </c>
      <c r="AE7" s="57" t="s">
        <v>32</v>
      </c>
      <c r="AF7" s="57" t="s">
        <v>33</v>
      </c>
      <c r="AG7" s="57" t="s">
        <v>34</v>
      </c>
      <c r="AH7" s="58" t="s">
        <v>35</v>
      </c>
      <c r="AI7" s="90" t="s">
        <v>1890</v>
      </c>
      <c r="AJ7" s="90" t="s">
        <v>1891</v>
      </c>
      <c r="AK7" s="93">
        <v>45322</v>
      </c>
      <c r="AL7" s="93">
        <v>45350</v>
      </c>
      <c r="AM7" s="93">
        <v>45382</v>
      </c>
      <c r="AN7" s="93">
        <v>45412</v>
      </c>
      <c r="AO7" s="93">
        <v>45443</v>
      </c>
      <c r="AP7" s="93">
        <v>45473</v>
      </c>
      <c r="AQ7" s="93">
        <v>45504</v>
      </c>
      <c r="AR7" s="93">
        <v>45535</v>
      </c>
      <c r="AS7" s="93">
        <v>45565</v>
      </c>
      <c r="AT7" s="93">
        <v>45596</v>
      </c>
      <c r="AU7" s="93">
        <v>45626</v>
      </c>
      <c r="AV7" s="93">
        <v>45657</v>
      </c>
      <c r="AW7" s="59" t="s">
        <v>1892</v>
      </c>
      <c r="AX7" s="93" t="s">
        <v>1893</v>
      </c>
      <c r="AY7" s="90" t="s">
        <v>36</v>
      </c>
      <c r="AZ7" s="59" t="s">
        <v>1894</v>
      </c>
      <c r="BA7" s="57" t="s">
        <v>37</v>
      </c>
      <c r="BB7" s="276" t="s">
        <v>38</v>
      </c>
      <c r="BC7" s="277"/>
      <c r="BD7" s="278"/>
      <c r="BE7" s="276" t="s">
        <v>38</v>
      </c>
      <c r="BF7" s="277"/>
      <c r="BG7" s="278"/>
      <c r="BH7" s="60"/>
      <c r="BI7" s="57" t="s">
        <v>39</v>
      </c>
      <c r="BJ7" s="57" t="s">
        <v>40</v>
      </c>
      <c r="BK7" s="57" t="s">
        <v>41</v>
      </c>
      <c r="BL7" s="18" t="s">
        <v>42</v>
      </c>
      <c r="BO7" s="35" t="s">
        <v>1798</v>
      </c>
      <c r="BP7" s="61" t="s">
        <v>1844</v>
      </c>
      <c r="BQ7" s="1" t="s">
        <v>2266</v>
      </c>
    </row>
    <row r="8" spans="1:69" ht="13.8">
      <c r="A8" s="1" t="s">
        <v>43</v>
      </c>
      <c r="E8" s="19"/>
      <c r="F8" s="20"/>
      <c r="G8" s="20"/>
      <c r="H8" s="20"/>
      <c r="I8" s="20"/>
      <c r="J8" s="85"/>
      <c r="K8" s="20"/>
      <c r="L8" s="20"/>
      <c r="M8" s="20"/>
      <c r="N8" s="20"/>
      <c r="O8" s="20"/>
      <c r="P8" s="20"/>
      <c r="Q8" s="20" t="s">
        <v>44</v>
      </c>
      <c r="R8" s="20" t="s">
        <v>45</v>
      </c>
      <c r="S8" s="20" t="s">
        <v>45</v>
      </c>
      <c r="T8" s="20" t="s">
        <v>45</v>
      </c>
      <c r="U8" s="20" t="s">
        <v>45</v>
      </c>
      <c r="V8" s="20" t="s">
        <v>46</v>
      </c>
      <c r="W8" s="20"/>
      <c r="X8" s="21" t="s">
        <v>46</v>
      </c>
      <c r="Y8" s="20"/>
      <c r="Z8" s="20"/>
      <c r="AA8" s="20"/>
      <c r="AB8" s="20"/>
      <c r="AC8" s="39"/>
      <c r="AD8" s="20"/>
      <c r="AE8" s="20">
        <v>0</v>
      </c>
      <c r="AF8" s="20"/>
      <c r="AG8" s="20">
        <v>0</v>
      </c>
      <c r="AH8" s="22"/>
      <c r="AI8" s="91"/>
      <c r="AJ8" s="91"/>
      <c r="AK8" s="20">
        <v>31</v>
      </c>
      <c r="AL8" s="20">
        <v>28</v>
      </c>
      <c r="AM8" s="20">
        <v>31</v>
      </c>
      <c r="AN8" s="20">
        <v>30</v>
      </c>
      <c r="AO8" s="20">
        <v>31</v>
      </c>
      <c r="AP8" s="20">
        <v>30</v>
      </c>
      <c r="AQ8" s="20">
        <v>31</v>
      </c>
      <c r="AR8" s="20">
        <v>31</v>
      </c>
      <c r="AS8" s="20">
        <v>31</v>
      </c>
      <c r="AT8" s="20">
        <v>31</v>
      </c>
      <c r="AU8" s="46">
        <v>30</v>
      </c>
      <c r="AV8" s="20">
        <v>31</v>
      </c>
      <c r="AW8" s="20"/>
      <c r="AX8" s="91">
        <v>0</v>
      </c>
      <c r="AY8" s="91"/>
      <c r="AZ8" s="20"/>
      <c r="BA8" s="20"/>
      <c r="BB8" s="20" t="s">
        <v>1</v>
      </c>
      <c r="BC8" s="20" t="s">
        <v>2</v>
      </c>
      <c r="BD8" s="20" t="s">
        <v>3</v>
      </c>
      <c r="BE8" s="20" t="s">
        <v>1</v>
      </c>
      <c r="BF8" s="20" t="s">
        <v>2</v>
      </c>
      <c r="BG8" s="20" t="s">
        <v>3</v>
      </c>
      <c r="BH8" s="20" t="s">
        <v>47</v>
      </c>
      <c r="BI8" s="20"/>
      <c r="BJ8" s="20"/>
      <c r="BK8" s="20"/>
      <c r="BL8" s="23"/>
      <c r="BM8" s="4" t="s">
        <v>1438</v>
      </c>
      <c r="BN8" s="1" t="s">
        <v>1670</v>
      </c>
    </row>
    <row r="9" spans="1:69" ht="15" customHeight="1">
      <c r="A9" s="1" t="s">
        <v>43</v>
      </c>
      <c r="C9" s="1" t="str">
        <f>+RIGHT(YEAR(AE9),2)&amp;IF(LEN(MONTH(AE9))=2,MONTH(AE9),"0"&amp;MONTH(AE9))</f>
        <v>4308</v>
      </c>
      <c r="D9" s="1" t="str">
        <f>+RIGHT(YEAR(AD9),2)&amp;IF(LEN(MONTH(AD9))=2,MONTH(AD9),"0"&amp;MONTH(AD9))</f>
        <v>1809</v>
      </c>
      <c r="E9" s="19" t="s">
        <v>48</v>
      </c>
      <c r="F9" s="62" t="s">
        <v>49</v>
      </c>
      <c r="G9" s="62">
        <v>2111</v>
      </c>
      <c r="H9" s="62" t="s">
        <v>60</v>
      </c>
      <c r="I9" s="62" t="s">
        <v>61</v>
      </c>
      <c r="J9" s="118">
        <v>1</v>
      </c>
      <c r="K9" s="119"/>
      <c r="L9" s="62" t="s">
        <v>62</v>
      </c>
      <c r="M9" s="120" t="s">
        <v>63</v>
      </c>
      <c r="N9" s="63" t="s">
        <v>54</v>
      </c>
      <c r="O9" s="24"/>
      <c r="P9" s="24"/>
      <c r="Q9" s="64">
        <v>28260000000</v>
      </c>
      <c r="R9" s="64"/>
      <c r="S9" s="64"/>
      <c r="T9" s="64"/>
      <c r="U9" s="64"/>
      <c r="V9" s="121">
        <v>28260000000</v>
      </c>
      <c r="W9" s="122">
        <v>0</v>
      </c>
      <c r="X9" s="64">
        <v>28260000000</v>
      </c>
      <c r="Y9" s="121"/>
      <c r="Z9" s="121"/>
      <c r="AA9" s="121"/>
      <c r="AB9" s="121"/>
      <c r="AC9" s="64">
        <v>28260000000</v>
      </c>
      <c r="AD9" s="65">
        <v>43344</v>
      </c>
      <c r="AE9" s="65">
        <v>52474</v>
      </c>
      <c r="AF9" s="62">
        <v>25</v>
      </c>
      <c r="AG9" s="119">
        <v>300</v>
      </c>
      <c r="AH9" s="25">
        <v>94200000</v>
      </c>
      <c r="AI9" s="78">
        <v>6028800000</v>
      </c>
      <c r="AJ9" s="78">
        <v>22231200000</v>
      </c>
      <c r="AK9" s="27">
        <f>+IF(AND(AK$3&gt;=$D9,AK$3&lt;$C9),$AH9,$AJ9)</f>
        <v>94200000</v>
      </c>
      <c r="AL9" s="27">
        <f>+IF(AND(AL$3&gt;=$D9,AL$3&lt;$C9),$AH9,$AJ9-SUM(AJ9:AK9))</f>
        <v>94200000</v>
      </c>
      <c r="AM9" s="27">
        <f>+IF(AND(AM$3&gt;=$D9,AM$3&lt;$C9),$AH9,$AJ9-SUM(AK9:AL9))</f>
        <v>94200000</v>
      </c>
      <c r="AN9" s="27">
        <f>+IF(AND(AN$3&gt;=$D9,AN$3&lt;$C9),$AH9,$AJ9-SUM(AL9:AM9))</f>
        <v>94200000</v>
      </c>
      <c r="AO9" s="27">
        <f>+IF(AND(AO$3&gt;=$D9,AO$3&lt;$C9),$AH9,$AJ9-SUM(AM9:AN9))</f>
        <v>94200000</v>
      </c>
      <c r="AP9" s="27">
        <f t="shared" ref="AO9:AP57" si="5">+IF(AND(AP$3&gt;=$D9,AP$3&lt;$C9),$AH9,$AJ9-SUM(AN9:AO9))</f>
        <v>94200000</v>
      </c>
      <c r="AQ9" s="27">
        <f>+IF(AND(AQ$3&gt;=$D9,AQ$3&lt;$C9),$AH9,$AJ9-SUM(AK9:AP9))</f>
        <v>94200000</v>
      </c>
      <c r="AR9" s="27">
        <f>+IF(AND(AR$3&gt;=$D9,AR$3&lt;$C9),$AH9,$AJ9-SUM(AL9:AQ9))</f>
        <v>94200000</v>
      </c>
      <c r="AS9" s="27"/>
      <c r="AT9" s="27"/>
      <c r="AU9" s="27"/>
      <c r="AV9" s="27"/>
      <c r="AW9" s="27">
        <f>+SUM(AK9:AV9)</f>
        <v>753600000</v>
      </c>
      <c r="AX9" s="79">
        <f>AC9-AI9-AW9</f>
        <v>21477600000</v>
      </c>
      <c r="AY9" s="79">
        <f>AW9+AI9</f>
        <v>6782400000</v>
      </c>
      <c r="AZ9" s="25">
        <v>1</v>
      </c>
      <c r="BA9" s="62" t="s">
        <v>56</v>
      </c>
      <c r="BB9" s="66">
        <v>0.5</v>
      </c>
      <c r="BC9" s="66">
        <v>0.5</v>
      </c>
      <c r="BD9" s="66"/>
      <c r="BE9" s="67">
        <f>+$AM9*BB9</f>
        <v>47100000</v>
      </c>
      <c r="BF9" s="67">
        <f>+$AM9*BC9</f>
        <v>47100000</v>
      </c>
      <c r="BG9" s="67">
        <f t="shared" ref="BG9:BG58" si="6">+$AL9*BD9</f>
        <v>0</v>
      </c>
      <c r="BH9" s="66"/>
      <c r="BI9" s="68" t="s">
        <v>57</v>
      </c>
      <c r="BJ9" s="68" t="s">
        <v>58</v>
      </c>
      <c r="BK9" s="68" t="s">
        <v>59</v>
      </c>
      <c r="BL9" s="29"/>
      <c r="BO9" s="35" t="s">
        <v>1799</v>
      </c>
    </row>
    <row r="10" spans="1:69" ht="15" customHeight="1">
      <c r="A10" s="1" t="s">
        <v>43</v>
      </c>
      <c r="C10" s="1" t="str">
        <f t="shared" ref="C10:C58" si="7">+RIGHT(YEAR(AE10),2)&amp;IF(LEN(MONTH(AE10))=2,MONTH(AE10),"0"&amp;MONTH(AE10))</f>
        <v>4312</v>
      </c>
      <c r="D10" s="1" t="str">
        <f t="shared" ref="D10:D58" si="8">+RIGHT(YEAR(AD10),2)&amp;IF(LEN(MONTH(AD10))=2,MONTH(AD10),"0"&amp;MONTH(AD10))</f>
        <v>1901</v>
      </c>
      <c r="E10" s="19" t="s">
        <v>48</v>
      </c>
      <c r="F10" s="62" t="s">
        <v>49</v>
      </c>
      <c r="G10" s="62">
        <v>2111</v>
      </c>
      <c r="H10" s="62" t="s">
        <v>64</v>
      </c>
      <c r="I10" s="62" t="s">
        <v>65</v>
      </c>
      <c r="J10" s="118">
        <v>1</v>
      </c>
      <c r="K10" s="119"/>
      <c r="L10" s="62" t="s">
        <v>62</v>
      </c>
      <c r="M10" s="120" t="s">
        <v>66</v>
      </c>
      <c r="N10" s="63" t="s">
        <v>67</v>
      </c>
      <c r="O10" s="24"/>
      <c r="P10" s="24"/>
      <c r="Q10" s="64">
        <v>800780500</v>
      </c>
      <c r="R10" s="64"/>
      <c r="S10" s="64"/>
      <c r="T10" s="64"/>
      <c r="U10" s="64"/>
      <c r="V10" s="121">
        <v>800780500</v>
      </c>
      <c r="W10" s="122">
        <v>0</v>
      </c>
      <c r="X10" s="64">
        <v>800780500</v>
      </c>
      <c r="Y10" s="121"/>
      <c r="Z10" s="121"/>
      <c r="AA10" s="121"/>
      <c r="AB10" s="121"/>
      <c r="AC10" s="64">
        <v>800780500</v>
      </c>
      <c r="AD10" s="65">
        <v>43466</v>
      </c>
      <c r="AE10" s="65">
        <v>52591</v>
      </c>
      <c r="AF10" s="62">
        <v>25</v>
      </c>
      <c r="AG10" s="119">
        <v>300</v>
      </c>
      <c r="AH10" s="25">
        <v>2669268.3333333335</v>
      </c>
      <c r="AI10" s="78">
        <v>160156083.33333331</v>
      </c>
      <c r="AJ10" s="78">
        <v>640624416.66666663</v>
      </c>
      <c r="AK10" s="27">
        <f t="shared" ref="AK10:AL60" si="9">+IF(AND(AK$3&gt;=$D10,AK$3&lt;$C10),$AH10,$AJ10)</f>
        <v>2669268.3333333335</v>
      </c>
      <c r="AL10" s="27">
        <f t="shared" ref="AL10:AM60" si="10">+IF(AND(AL$3&gt;=$D10,AL$3&lt;$C10),$AH10,$AJ10-SUM(AJ10:AK10))</f>
        <v>2669268.3333333335</v>
      </c>
      <c r="AM10" s="27">
        <f t="shared" si="10"/>
        <v>2669268.3333333335</v>
      </c>
      <c r="AN10" s="27">
        <f t="shared" ref="AN10:AN57" si="11">+IF(AND(AN$3&gt;=$D10,AN$3&lt;$C10),$AH10,$AJ10-SUM(AL10:AM10))</f>
        <v>2669268.3333333335</v>
      </c>
      <c r="AO10" s="27">
        <f t="shared" si="5"/>
        <v>2669268.3333333335</v>
      </c>
      <c r="AP10" s="27">
        <f t="shared" si="5"/>
        <v>2669268.3333333335</v>
      </c>
      <c r="AQ10" s="27">
        <f t="shared" ref="AQ10:AQ57" si="12">+IF(AND(AQ$3&gt;=$D10,AQ$3&lt;$C10),$AH10,$AJ10-SUM(AK10:AP10))</f>
        <v>2669268.3333333335</v>
      </c>
      <c r="AR10" s="27">
        <f t="shared" ref="AR10:AR57" si="13">+IF(AND(AR$3&gt;=$D10,AR$3&lt;$C10),$AH10,$AJ10-SUM(AL10:AQ10))</f>
        <v>2669268.3333333335</v>
      </c>
      <c r="AS10" s="27"/>
      <c r="AT10" s="27"/>
      <c r="AU10" s="27"/>
      <c r="AV10" s="27"/>
      <c r="AW10" s="27">
        <f t="shared" ref="AW10:AW61" si="14">+SUM(AK10:AV10)</f>
        <v>21354146.666666668</v>
      </c>
      <c r="AX10" s="79">
        <f t="shared" ref="AX10:AX62" si="15">AC10-AI10-AW10</f>
        <v>619270270.00000012</v>
      </c>
      <c r="AY10" s="79">
        <f t="shared" ref="AY10:AY62" si="16">AW10+AI10</f>
        <v>181510229.99999997</v>
      </c>
      <c r="AZ10" s="25">
        <v>1</v>
      </c>
      <c r="BA10" s="62" t="s">
        <v>56</v>
      </c>
      <c r="BB10" s="66">
        <v>0.5</v>
      </c>
      <c r="BC10" s="66">
        <v>0.5</v>
      </c>
      <c r="BD10" s="66"/>
      <c r="BE10" s="67">
        <f t="shared" ref="BE10:BE57" si="17">+$AM10*BB10</f>
        <v>1334634.1666666667</v>
      </c>
      <c r="BF10" s="67">
        <f t="shared" ref="BF10:BF57" si="18">+$AM10*BC10</f>
        <v>1334634.1666666667</v>
      </c>
      <c r="BG10" s="67">
        <f t="shared" si="6"/>
        <v>0</v>
      </c>
      <c r="BH10" s="66"/>
      <c r="BI10" s="68" t="s">
        <v>57</v>
      </c>
      <c r="BJ10" s="68" t="s">
        <v>58</v>
      </c>
      <c r="BK10" s="68" t="s">
        <v>59</v>
      </c>
      <c r="BL10" s="29"/>
      <c r="BO10" s="35" t="s">
        <v>1799</v>
      </c>
    </row>
    <row r="11" spans="1:69" ht="15" customHeight="1">
      <c r="A11" s="1" t="s">
        <v>43</v>
      </c>
      <c r="C11" s="1" t="str">
        <f t="shared" si="7"/>
        <v>4312</v>
      </c>
      <c r="D11" s="1" t="str">
        <f t="shared" si="8"/>
        <v>1901</v>
      </c>
      <c r="E11" s="19" t="s">
        <v>48</v>
      </c>
      <c r="F11" s="62" t="s">
        <v>49</v>
      </c>
      <c r="G11" s="62">
        <v>2111</v>
      </c>
      <c r="H11" s="62" t="s">
        <v>68</v>
      </c>
      <c r="I11" s="62" t="s">
        <v>69</v>
      </c>
      <c r="J11" s="118">
        <v>1</v>
      </c>
      <c r="K11" s="119"/>
      <c r="L11" s="62" t="s">
        <v>70</v>
      </c>
      <c r="M11" s="120" t="s">
        <v>71</v>
      </c>
      <c r="N11" s="63" t="s">
        <v>67</v>
      </c>
      <c r="O11" s="24"/>
      <c r="P11" s="24"/>
      <c r="Q11" s="64">
        <v>1658068280</v>
      </c>
      <c r="R11" s="64"/>
      <c r="S11" s="64"/>
      <c r="T11" s="64"/>
      <c r="U11" s="64"/>
      <c r="V11" s="121">
        <v>1658068280</v>
      </c>
      <c r="W11" s="122">
        <v>0</v>
      </c>
      <c r="X11" s="64">
        <v>1658068280</v>
      </c>
      <c r="Y11" s="121"/>
      <c r="Z11" s="121"/>
      <c r="AA11" s="121"/>
      <c r="AB11" s="121"/>
      <c r="AC11" s="64">
        <v>1658068280</v>
      </c>
      <c r="AD11" s="65">
        <v>43466</v>
      </c>
      <c r="AE11" s="65">
        <v>52591</v>
      </c>
      <c r="AF11" s="62">
        <v>25</v>
      </c>
      <c r="AG11" s="119">
        <v>300</v>
      </c>
      <c r="AH11" s="25">
        <v>5526894.2666666666</v>
      </c>
      <c r="AI11" s="78">
        <v>331613642.66666663</v>
      </c>
      <c r="AJ11" s="78">
        <v>1326454637.3333333</v>
      </c>
      <c r="AK11" s="27">
        <f t="shared" si="9"/>
        <v>5526894.2666666666</v>
      </c>
      <c r="AL11" s="27">
        <f t="shared" si="10"/>
        <v>5526894.2666666666</v>
      </c>
      <c r="AM11" s="27">
        <f t="shared" si="10"/>
        <v>5526894.2666666666</v>
      </c>
      <c r="AN11" s="27">
        <f t="shared" si="11"/>
        <v>5526894.2666666666</v>
      </c>
      <c r="AO11" s="27">
        <f t="shared" si="5"/>
        <v>5526894.2666666666</v>
      </c>
      <c r="AP11" s="27">
        <f t="shared" si="5"/>
        <v>5526894.2666666666</v>
      </c>
      <c r="AQ11" s="27">
        <f t="shared" si="12"/>
        <v>5526894.2666666666</v>
      </c>
      <c r="AR11" s="27">
        <f t="shared" si="13"/>
        <v>5526894.2666666666</v>
      </c>
      <c r="AS11" s="27"/>
      <c r="AT11" s="27"/>
      <c r="AU11" s="27"/>
      <c r="AV11" s="27"/>
      <c r="AW11" s="27">
        <f t="shared" si="14"/>
        <v>44215154.133333333</v>
      </c>
      <c r="AX11" s="79">
        <f t="shared" si="15"/>
        <v>1282239483.2</v>
      </c>
      <c r="AY11" s="79">
        <f t="shared" si="16"/>
        <v>375828796.79999995</v>
      </c>
      <c r="AZ11" s="25">
        <v>1</v>
      </c>
      <c r="BA11" s="62" t="s">
        <v>56</v>
      </c>
      <c r="BB11" s="66">
        <v>0.5</v>
      </c>
      <c r="BC11" s="66">
        <v>0.5</v>
      </c>
      <c r="BD11" s="66"/>
      <c r="BE11" s="67">
        <f t="shared" si="17"/>
        <v>2763447.1333333333</v>
      </c>
      <c r="BF11" s="67">
        <f t="shared" si="18"/>
        <v>2763447.1333333333</v>
      </c>
      <c r="BG11" s="67">
        <f t="shared" si="6"/>
        <v>0</v>
      </c>
      <c r="BH11" s="66"/>
      <c r="BI11" s="68" t="s">
        <v>57</v>
      </c>
      <c r="BJ11" s="68" t="s">
        <v>58</v>
      </c>
      <c r="BK11" s="68" t="s">
        <v>59</v>
      </c>
      <c r="BL11" s="29"/>
      <c r="BO11" s="35" t="s">
        <v>1799</v>
      </c>
    </row>
    <row r="12" spans="1:69" ht="15" customHeight="1">
      <c r="A12" s="1" t="s">
        <v>43</v>
      </c>
      <c r="C12" s="1" t="str">
        <f t="shared" si="7"/>
        <v>4312</v>
      </c>
      <c r="D12" s="1" t="str">
        <f t="shared" si="8"/>
        <v>1901</v>
      </c>
      <c r="E12" s="19" t="s">
        <v>48</v>
      </c>
      <c r="F12" s="62" t="s">
        <v>49</v>
      </c>
      <c r="G12" s="62">
        <v>2111</v>
      </c>
      <c r="H12" s="62" t="s">
        <v>72</v>
      </c>
      <c r="I12" s="62" t="s">
        <v>73</v>
      </c>
      <c r="J12" s="118">
        <v>1</v>
      </c>
      <c r="K12" s="119"/>
      <c r="L12" s="62" t="s">
        <v>74</v>
      </c>
      <c r="M12" s="62"/>
      <c r="N12" s="63" t="s">
        <v>67</v>
      </c>
      <c r="O12" s="24">
        <v>32000</v>
      </c>
      <c r="P12" s="24"/>
      <c r="Q12" s="64">
        <v>734560000</v>
      </c>
      <c r="R12" s="64">
        <v>38720000</v>
      </c>
      <c r="S12" s="64"/>
      <c r="T12" s="64"/>
      <c r="U12" s="64"/>
      <c r="V12" s="121">
        <v>773280000</v>
      </c>
      <c r="W12" s="122">
        <v>0</v>
      </c>
      <c r="X12" s="64">
        <v>773280000</v>
      </c>
      <c r="Y12" s="121"/>
      <c r="Z12" s="121"/>
      <c r="AA12" s="121"/>
      <c r="AB12" s="121"/>
      <c r="AC12" s="64">
        <v>773280000</v>
      </c>
      <c r="AD12" s="65">
        <v>43466</v>
      </c>
      <c r="AE12" s="65">
        <v>52596</v>
      </c>
      <c r="AF12" s="62">
        <v>25</v>
      </c>
      <c r="AG12" s="119">
        <v>300</v>
      </c>
      <c r="AH12" s="25">
        <v>2577600</v>
      </c>
      <c r="AI12" s="78">
        <v>154656000</v>
      </c>
      <c r="AJ12" s="78">
        <v>618624000</v>
      </c>
      <c r="AK12" s="27">
        <f>+IF(AND(AK$3&gt;=$D12,AK$3&lt;$C12),$AH12,$AJ12)</f>
        <v>2577600</v>
      </c>
      <c r="AL12" s="27">
        <f t="shared" si="10"/>
        <v>2577600</v>
      </c>
      <c r="AM12" s="27">
        <f t="shared" si="10"/>
        <v>2577600</v>
      </c>
      <c r="AN12" s="27">
        <f t="shared" si="11"/>
        <v>2577600</v>
      </c>
      <c r="AO12" s="27">
        <f t="shared" si="5"/>
        <v>2577600</v>
      </c>
      <c r="AP12" s="27">
        <f t="shared" si="5"/>
        <v>2577600</v>
      </c>
      <c r="AQ12" s="27">
        <f t="shared" si="12"/>
        <v>2577600</v>
      </c>
      <c r="AR12" s="27">
        <f t="shared" si="13"/>
        <v>2577600</v>
      </c>
      <c r="AS12" s="27"/>
      <c r="AT12" s="27"/>
      <c r="AU12" s="27"/>
      <c r="AV12" s="27"/>
      <c r="AW12" s="27">
        <f t="shared" si="14"/>
        <v>20620800</v>
      </c>
      <c r="AX12" s="79">
        <f t="shared" si="15"/>
        <v>598003200</v>
      </c>
      <c r="AY12" s="79">
        <f t="shared" si="16"/>
        <v>175276800</v>
      </c>
      <c r="AZ12" s="25">
        <v>1</v>
      </c>
      <c r="BA12" s="62" t="s">
        <v>56</v>
      </c>
      <c r="BB12" s="66">
        <v>0.5</v>
      </c>
      <c r="BC12" s="66">
        <v>0.5</v>
      </c>
      <c r="BD12" s="66"/>
      <c r="BE12" s="67">
        <f t="shared" si="17"/>
        <v>1288800</v>
      </c>
      <c r="BF12" s="67">
        <f t="shared" si="18"/>
        <v>1288800</v>
      </c>
      <c r="BG12" s="67">
        <f t="shared" si="6"/>
        <v>0</v>
      </c>
      <c r="BH12" s="66"/>
      <c r="BI12" s="68" t="s">
        <v>57</v>
      </c>
      <c r="BJ12" s="68" t="s">
        <v>58</v>
      </c>
      <c r="BK12" s="68" t="s">
        <v>59</v>
      </c>
      <c r="BL12" s="29"/>
      <c r="BO12" s="35" t="s">
        <v>1799</v>
      </c>
    </row>
    <row r="13" spans="1:69" ht="15" customHeight="1">
      <c r="A13" s="1" t="s">
        <v>43</v>
      </c>
      <c r="C13" s="1" t="str">
        <f t="shared" si="7"/>
        <v>2108</v>
      </c>
      <c r="D13" s="1" t="str">
        <f t="shared" si="8"/>
        <v>1809</v>
      </c>
      <c r="E13" s="19" t="s">
        <v>48</v>
      </c>
      <c r="F13" s="62" t="s">
        <v>49</v>
      </c>
      <c r="G13" s="62">
        <v>2112</v>
      </c>
      <c r="H13" s="62" t="s">
        <v>75</v>
      </c>
      <c r="I13" s="62" t="s">
        <v>76</v>
      </c>
      <c r="J13" s="118">
        <v>1</v>
      </c>
      <c r="K13" s="119"/>
      <c r="L13" s="62" t="s">
        <v>77</v>
      </c>
      <c r="M13" s="120" t="s">
        <v>78</v>
      </c>
      <c r="N13" s="65">
        <v>43301</v>
      </c>
      <c r="O13" s="24">
        <v>7133.27</v>
      </c>
      <c r="P13" s="24">
        <v>23100</v>
      </c>
      <c r="Q13" s="64">
        <v>164778537</v>
      </c>
      <c r="R13" s="64">
        <v>41046709.452</v>
      </c>
      <c r="S13" s="64"/>
      <c r="T13" s="64"/>
      <c r="U13" s="64"/>
      <c r="V13" s="121">
        <v>205825246.45199999</v>
      </c>
      <c r="W13" s="122">
        <v>0</v>
      </c>
      <c r="X13" s="64">
        <v>205825246.45199999</v>
      </c>
      <c r="Y13" s="121"/>
      <c r="Z13" s="121"/>
      <c r="AA13" s="121"/>
      <c r="AB13" s="121"/>
      <c r="AC13" s="64">
        <v>205825246.45199999</v>
      </c>
      <c r="AD13" s="65">
        <v>43344</v>
      </c>
      <c r="AE13" s="65">
        <v>44439</v>
      </c>
      <c r="AF13" s="62">
        <v>3</v>
      </c>
      <c r="AG13" s="119">
        <v>36</v>
      </c>
      <c r="AH13" s="25">
        <v>5717367.9569999995</v>
      </c>
      <c r="AI13" s="78">
        <v>205825246.45199999</v>
      </c>
      <c r="AJ13" s="78">
        <v>0</v>
      </c>
      <c r="AK13" s="27">
        <f t="shared" si="9"/>
        <v>0</v>
      </c>
      <c r="AL13" s="27">
        <f t="shared" si="10"/>
        <v>0</v>
      </c>
      <c r="AM13" s="27">
        <f t="shared" si="10"/>
        <v>0</v>
      </c>
      <c r="AN13" s="27">
        <f t="shared" si="11"/>
        <v>0</v>
      </c>
      <c r="AO13" s="27">
        <f t="shared" si="5"/>
        <v>0</v>
      </c>
      <c r="AP13" s="27">
        <f t="shared" si="5"/>
        <v>0</v>
      </c>
      <c r="AQ13" s="27">
        <f t="shared" si="12"/>
        <v>0</v>
      </c>
      <c r="AR13" s="27">
        <f t="shared" si="13"/>
        <v>0</v>
      </c>
      <c r="AS13" s="27"/>
      <c r="AT13" s="27"/>
      <c r="AU13" s="27"/>
      <c r="AV13" s="27"/>
      <c r="AW13" s="27">
        <f t="shared" si="14"/>
        <v>0</v>
      </c>
      <c r="AX13" s="79">
        <f t="shared" si="15"/>
        <v>0</v>
      </c>
      <c r="AY13" s="79">
        <f t="shared" si="16"/>
        <v>205825246.45199999</v>
      </c>
      <c r="AZ13" s="25">
        <v>1</v>
      </c>
      <c r="BA13" s="62" t="s">
        <v>79</v>
      </c>
      <c r="BB13" s="66">
        <v>1</v>
      </c>
      <c r="BC13" s="66"/>
      <c r="BD13" s="66"/>
      <c r="BE13" s="67">
        <f t="shared" si="17"/>
        <v>0</v>
      </c>
      <c r="BF13" s="67">
        <f t="shared" si="18"/>
        <v>0</v>
      </c>
      <c r="BG13" s="67">
        <f t="shared" si="6"/>
        <v>0</v>
      </c>
      <c r="BH13" s="66"/>
      <c r="BI13" s="68" t="s">
        <v>80</v>
      </c>
      <c r="BJ13" s="68" t="s">
        <v>81</v>
      </c>
      <c r="BK13" s="68" t="s">
        <v>81</v>
      </c>
      <c r="BL13" s="29"/>
      <c r="BO13" s="35" t="s">
        <v>1800</v>
      </c>
    </row>
    <row r="14" spans="1:69" ht="15" customHeight="1">
      <c r="A14" s="1" t="s">
        <v>43</v>
      </c>
      <c r="C14" s="1" t="str">
        <f t="shared" si="7"/>
        <v>2108</v>
      </c>
      <c r="D14" s="1" t="str">
        <f t="shared" si="8"/>
        <v>1809</v>
      </c>
      <c r="E14" s="19" t="s">
        <v>48</v>
      </c>
      <c r="F14" s="62" t="s">
        <v>49</v>
      </c>
      <c r="G14" s="62">
        <v>2112</v>
      </c>
      <c r="H14" s="62" t="s">
        <v>82</v>
      </c>
      <c r="I14" s="62" t="s">
        <v>83</v>
      </c>
      <c r="J14" s="118">
        <v>1</v>
      </c>
      <c r="K14" s="119"/>
      <c r="L14" s="62" t="s">
        <v>77</v>
      </c>
      <c r="M14" s="120" t="s">
        <v>78</v>
      </c>
      <c r="N14" s="65">
        <v>43301</v>
      </c>
      <c r="O14" s="24">
        <v>8944.5400000000009</v>
      </c>
      <c r="P14" s="24">
        <v>23100</v>
      </c>
      <c r="Q14" s="64">
        <v>206618874.00000003</v>
      </c>
      <c r="R14" s="64">
        <v>20587693.136999998</v>
      </c>
      <c r="S14" s="64"/>
      <c r="T14" s="64"/>
      <c r="U14" s="64"/>
      <c r="V14" s="121">
        <v>227206567.13699999</v>
      </c>
      <c r="W14" s="122">
        <v>0</v>
      </c>
      <c r="X14" s="64">
        <v>227206567.13700002</v>
      </c>
      <c r="Y14" s="121"/>
      <c r="Z14" s="121"/>
      <c r="AA14" s="121"/>
      <c r="AB14" s="121"/>
      <c r="AC14" s="64">
        <v>227206567.13699999</v>
      </c>
      <c r="AD14" s="65">
        <v>43344</v>
      </c>
      <c r="AE14" s="65">
        <v>44439</v>
      </c>
      <c r="AF14" s="62">
        <v>3</v>
      </c>
      <c r="AG14" s="119">
        <v>36</v>
      </c>
      <c r="AH14" s="25">
        <v>6311293.5315833334</v>
      </c>
      <c r="AI14" s="78">
        <v>227206567.13699999</v>
      </c>
      <c r="AJ14" s="78">
        <v>0</v>
      </c>
      <c r="AK14" s="27">
        <f t="shared" si="9"/>
        <v>0</v>
      </c>
      <c r="AL14" s="27">
        <f t="shared" si="10"/>
        <v>0</v>
      </c>
      <c r="AM14" s="27">
        <f t="shared" si="10"/>
        <v>0</v>
      </c>
      <c r="AN14" s="27">
        <f t="shared" si="11"/>
        <v>0</v>
      </c>
      <c r="AO14" s="27">
        <f t="shared" si="5"/>
        <v>0</v>
      </c>
      <c r="AP14" s="27">
        <f t="shared" si="5"/>
        <v>0</v>
      </c>
      <c r="AQ14" s="27">
        <f t="shared" si="12"/>
        <v>0</v>
      </c>
      <c r="AR14" s="27">
        <f t="shared" si="13"/>
        <v>0</v>
      </c>
      <c r="AS14" s="27"/>
      <c r="AT14" s="27"/>
      <c r="AU14" s="27"/>
      <c r="AV14" s="27"/>
      <c r="AW14" s="27">
        <f t="shared" si="14"/>
        <v>0</v>
      </c>
      <c r="AX14" s="79">
        <f t="shared" si="15"/>
        <v>0</v>
      </c>
      <c r="AY14" s="79">
        <f t="shared" si="16"/>
        <v>227206567.13699999</v>
      </c>
      <c r="AZ14" s="25">
        <v>1</v>
      </c>
      <c r="BA14" s="62" t="s">
        <v>79</v>
      </c>
      <c r="BB14" s="66">
        <v>1</v>
      </c>
      <c r="BC14" s="66"/>
      <c r="BD14" s="66"/>
      <c r="BE14" s="67">
        <f t="shared" si="17"/>
        <v>0</v>
      </c>
      <c r="BF14" s="67">
        <f t="shared" si="18"/>
        <v>0</v>
      </c>
      <c r="BG14" s="67">
        <f t="shared" si="6"/>
        <v>0</v>
      </c>
      <c r="BH14" s="66"/>
      <c r="BI14" s="68" t="s">
        <v>84</v>
      </c>
      <c r="BJ14" s="68" t="s">
        <v>85</v>
      </c>
      <c r="BK14" s="68" t="s">
        <v>85</v>
      </c>
      <c r="BL14" s="29"/>
      <c r="BO14" s="35" t="s">
        <v>1801</v>
      </c>
    </row>
    <row r="15" spans="1:69" ht="15" customHeight="1">
      <c r="A15" s="1" t="s">
        <v>43</v>
      </c>
      <c r="C15" s="1" t="str">
        <f t="shared" si="7"/>
        <v>2108</v>
      </c>
      <c r="D15" s="1" t="str">
        <f t="shared" si="8"/>
        <v>1809</v>
      </c>
      <c r="E15" s="19" t="s">
        <v>48</v>
      </c>
      <c r="F15" s="62" t="s">
        <v>49</v>
      </c>
      <c r="G15" s="62">
        <v>2112</v>
      </c>
      <c r="H15" s="62" t="s">
        <v>86</v>
      </c>
      <c r="I15" s="62" t="s">
        <v>83</v>
      </c>
      <c r="J15" s="118">
        <v>1</v>
      </c>
      <c r="K15" s="119"/>
      <c r="L15" s="62" t="s">
        <v>77</v>
      </c>
      <c r="M15" s="120" t="s">
        <v>78</v>
      </c>
      <c r="N15" s="65">
        <v>43301</v>
      </c>
      <c r="O15" s="24">
        <v>8944.5400000000009</v>
      </c>
      <c r="P15" s="24">
        <v>23100</v>
      </c>
      <c r="Q15" s="64">
        <v>206618874.00000003</v>
      </c>
      <c r="R15" s="64">
        <v>20587693.136999998</v>
      </c>
      <c r="S15" s="64"/>
      <c r="T15" s="64"/>
      <c r="U15" s="64"/>
      <c r="V15" s="121">
        <v>227206567.13699999</v>
      </c>
      <c r="W15" s="122">
        <v>0</v>
      </c>
      <c r="X15" s="64">
        <v>227206567.13700002</v>
      </c>
      <c r="Y15" s="121"/>
      <c r="Z15" s="121"/>
      <c r="AA15" s="121"/>
      <c r="AB15" s="121"/>
      <c r="AC15" s="64">
        <v>227206567.13699999</v>
      </c>
      <c r="AD15" s="65">
        <v>43344</v>
      </c>
      <c r="AE15" s="65">
        <v>44439</v>
      </c>
      <c r="AF15" s="62">
        <v>3</v>
      </c>
      <c r="AG15" s="119">
        <v>36</v>
      </c>
      <c r="AH15" s="25">
        <v>6311293.5315833334</v>
      </c>
      <c r="AI15" s="78">
        <v>227206567.13699999</v>
      </c>
      <c r="AJ15" s="78">
        <v>0</v>
      </c>
      <c r="AK15" s="27">
        <f t="shared" si="9"/>
        <v>0</v>
      </c>
      <c r="AL15" s="27">
        <f t="shared" si="10"/>
        <v>0</v>
      </c>
      <c r="AM15" s="27">
        <f t="shared" si="10"/>
        <v>0</v>
      </c>
      <c r="AN15" s="27">
        <f t="shared" si="11"/>
        <v>0</v>
      </c>
      <c r="AO15" s="27">
        <f t="shared" si="5"/>
        <v>0</v>
      </c>
      <c r="AP15" s="27">
        <f t="shared" si="5"/>
        <v>0</v>
      </c>
      <c r="AQ15" s="27">
        <f t="shared" si="12"/>
        <v>0</v>
      </c>
      <c r="AR15" s="27">
        <f t="shared" si="13"/>
        <v>0</v>
      </c>
      <c r="AS15" s="27"/>
      <c r="AT15" s="27"/>
      <c r="AU15" s="27"/>
      <c r="AV15" s="27"/>
      <c r="AW15" s="27">
        <f t="shared" si="14"/>
        <v>0</v>
      </c>
      <c r="AX15" s="79">
        <f t="shared" si="15"/>
        <v>0</v>
      </c>
      <c r="AY15" s="79">
        <f t="shared" si="16"/>
        <v>227206567.13699999</v>
      </c>
      <c r="AZ15" s="25">
        <v>1</v>
      </c>
      <c r="BA15" s="62" t="s">
        <v>79</v>
      </c>
      <c r="BB15" s="66">
        <v>1</v>
      </c>
      <c r="BC15" s="66"/>
      <c r="BD15" s="66"/>
      <c r="BE15" s="67">
        <f t="shared" si="17"/>
        <v>0</v>
      </c>
      <c r="BF15" s="67">
        <f t="shared" si="18"/>
        <v>0</v>
      </c>
      <c r="BG15" s="67">
        <f t="shared" si="6"/>
        <v>0</v>
      </c>
      <c r="BH15" s="66"/>
      <c r="BI15" s="68" t="s">
        <v>84</v>
      </c>
      <c r="BJ15" s="68" t="s">
        <v>85</v>
      </c>
      <c r="BK15" s="68" t="s">
        <v>85</v>
      </c>
      <c r="BL15" s="29"/>
      <c r="BO15" s="35" t="s">
        <v>1801</v>
      </c>
    </row>
    <row r="16" spans="1:69" ht="15" customHeight="1">
      <c r="A16" s="1" t="s">
        <v>43</v>
      </c>
      <c r="C16" s="1" t="str">
        <f t="shared" si="7"/>
        <v>2508</v>
      </c>
      <c r="D16" s="1" t="str">
        <f t="shared" si="8"/>
        <v>1809</v>
      </c>
      <c r="E16" s="19" t="s">
        <v>48</v>
      </c>
      <c r="F16" s="62" t="s">
        <v>49</v>
      </c>
      <c r="G16" s="62">
        <v>2112</v>
      </c>
      <c r="H16" s="62" t="s">
        <v>95</v>
      </c>
      <c r="I16" s="62" t="s">
        <v>96</v>
      </c>
      <c r="J16" s="118">
        <v>1</v>
      </c>
      <c r="K16" s="119"/>
      <c r="L16" s="62" t="s">
        <v>77</v>
      </c>
      <c r="M16" s="120" t="s">
        <v>78</v>
      </c>
      <c r="N16" s="65">
        <v>43301</v>
      </c>
      <c r="O16" s="24">
        <v>8050.09</v>
      </c>
      <c r="P16" s="24">
        <v>23100</v>
      </c>
      <c r="Q16" s="64">
        <v>185957079</v>
      </c>
      <c r="R16" s="64">
        <v>9264466.5150000006</v>
      </c>
      <c r="S16" s="64"/>
      <c r="T16" s="64"/>
      <c r="U16" s="64"/>
      <c r="V16" s="121">
        <v>195221545.51499999</v>
      </c>
      <c r="W16" s="122">
        <v>0</v>
      </c>
      <c r="X16" s="64">
        <v>195221545.51499999</v>
      </c>
      <c r="Y16" s="121"/>
      <c r="Z16" s="121"/>
      <c r="AA16" s="121"/>
      <c r="AB16" s="121"/>
      <c r="AC16" s="64">
        <v>195221545.51499999</v>
      </c>
      <c r="AD16" s="65">
        <v>43344</v>
      </c>
      <c r="AE16" s="65">
        <v>45899</v>
      </c>
      <c r="AF16" s="62">
        <v>7</v>
      </c>
      <c r="AG16" s="119">
        <v>84</v>
      </c>
      <c r="AH16" s="25">
        <v>2324066.018035714</v>
      </c>
      <c r="AI16" s="78">
        <v>148740224.18535712</v>
      </c>
      <c r="AJ16" s="78">
        <v>46481321.32964287</v>
      </c>
      <c r="AK16" s="27">
        <f t="shared" si="9"/>
        <v>2324066.018035714</v>
      </c>
      <c r="AL16" s="27">
        <f t="shared" si="10"/>
        <v>2324066.018035714</v>
      </c>
      <c r="AM16" s="27">
        <f t="shared" si="10"/>
        <v>2324066.018035714</v>
      </c>
      <c r="AN16" s="27">
        <f t="shared" si="11"/>
        <v>2324066.018035714</v>
      </c>
      <c r="AO16" s="27">
        <f t="shared" si="5"/>
        <v>2324066.018035714</v>
      </c>
      <c r="AP16" s="27">
        <f t="shared" si="5"/>
        <v>2324066.018035714</v>
      </c>
      <c r="AQ16" s="27">
        <f t="shared" si="12"/>
        <v>2324066.018035714</v>
      </c>
      <c r="AR16" s="27">
        <f t="shared" si="13"/>
        <v>2324066.018035714</v>
      </c>
      <c r="AS16" s="27"/>
      <c r="AT16" s="27"/>
      <c r="AU16" s="27"/>
      <c r="AV16" s="27"/>
      <c r="AW16" s="27">
        <f t="shared" si="14"/>
        <v>18592528.144285712</v>
      </c>
      <c r="AX16" s="79">
        <f t="shared" si="15"/>
        <v>27888793.18535715</v>
      </c>
      <c r="AY16" s="79">
        <f t="shared" si="16"/>
        <v>167332752.32964283</v>
      </c>
      <c r="AZ16" s="25">
        <v>1</v>
      </c>
      <c r="BA16" s="62" t="s">
        <v>97</v>
      </c>
      <c r="BB16" s="66">
        <v>1</v>
      </c>
      <c r="BC16" s="66"/>
      <c r="BD16" s="66"/>
      <c r="BE16" s="67">
        <f t="shared" si="17"/>
        <v>2324066.018035714</v>
      </c>
      <c r="BF16" s="67">
        <f t="shared" si="18"/>
        <v>0</v>
      </c>
      <c r="BG16" s="67">
        <f t="shared" si="6"/>
        <v>0</v>
      </c>
      <c r="BH16" s="66"/>
      <c r="BI16" s="68" t="s">
        <v>80</v>
      </c>
      <c r="BJ16" s="68" t="s">
        <v>98</v>
      </c>
      <c r="BK16" s="68" t="s">
        <v>98</v>
      </c>
      <c r="BL16" s="29"/>
      <c r="BO16" s="35" t="s">
        <v>1801</v>
      </c>
    </row>
    <row r="17" spans="1:68" ht="15" customHeight="1">
      <c r="A17" s="1" t="s">
        <v>43</v>
      </c>
      <c r="C17" s="1" t="str">
        <f t="shared" si="7"/>
        <v>2508</v>
      </c>
      <c r="D17" s="1" t="str">
        <f t="shared" si="8"/>
        <v>1809</v>
      </c>
      <c r="E17" s="19" t="s">
        <v>48</v>
      </c>
      <c r="F17" s="62" t="s">
        <v>49</v>
      </c>
      <c r="G17" s="62">
        <v>2112</v>
      </c>
      <c r="H17" s="62" t="s">
        <v>99</v>
      </c>
      <c r="I17" s="62" t="s">
        <v>100</v>
      </c>
      <c r="J17" s="118">
        <v>1</v>
      </c>
      <c r="K17" s="119"/>
      <c r="L17" s="62" t="s">
        <v>77</v>
      </c>
      <c r="M17" s="120" t="s">
        <v>78</v>
      </c>
      <c r="N17" s="65">
        <v>43301</v>
      </c>
      <c r="O17" s="24">
        <v>146797.67000000001</v>
      </c>
      <c r="P17" s="24">
        <v>23100</v>
      </c>
      <c r="Q17" s="64">
        <v>3391026177.0000005</v>
      </c>
      <c r="R17" s="64">
        <v>168942471.22999999</v>
      </c>
      <c r="S17" s="64"/>
      <c r="T17" s="64"/>
      <c r="U17" s="64"/>
      <c r="V17" s="121">
        <v>3559968648.23</v>
      </c>
      <c r="W17" s="122">
        <v>0</v>
      </c>
      <c r="X17" s="64">
        <v>3559968648.2300005</v>
      </c>
      <c r="Y17" s="121"/>
      <c r="Z17" s="121"/>
      <c r="AA17" s="121"/>
      <c r="AB17" s="121"/>
      <c r="AC17" s="64">
        <v>3559968648.23</v>
      </c>
      <c r="AD17" s="65">
        <v>43344</v>
      </c>
      <c r="AE17" s="65">
        <v>45899</v>
      </c>
      <c r="AF17" s="62">
        <v>7</v>
      </c>
      <c r="AG17" s="119">
        <v>84</v>
      </c>
      <c r="AH17" s="25">
        <v>42380579.145595238</v>
      </c>
      <c r="AI17" s="78">
        <v>2712357057.4559526</v>
      </c>
      <c r="AJ17" s="78">
        <v>847611590.77404761</v>
      </c>
      <c r="AK17" s="27">
        <f t="shared" si="9"/>
        <v>42380579.145595238</v>
      </c>
      <c r="AL17" s="27">
        <f t="shared" si="10"/>
        <v>42380579.145595238</v>
      </c>
      <c r="AM17" s="27">
        <f t="shared" si="10"/>
        <v>42380579.145595238</v>
      </c>
      <c r="AN17" s="27">
        <f t="shared" si="11"/>
        <v>42380579.145595238</v>
      </c>
      <c r="AO17" s="27">
        <f t="shared" si="5"/>
        <v>42380579.145595238</v>
      </c>
      <c r="AP17" s="27">
        <f t="shared" si="5"/>
        <v>42380579.145595238</v>
      </c>
      <c r="AQ17" s="27">
        <f t="shared" si="12"/>
        <v>42380579.145595238</v>
      </c>
      <c r="AR17" s="27">
        <f t="shared" si="13"/>
        <v>42380579.145595238</v>
      </c>
      <c r="AS17" s="27"/>
      <c r="AT17" s="27"/>
      <c r="AU17" s="27"/>
      <c r="AV17" s="27"/>
      <c r="AW17" s="27">
        <f t="shared" si="14"/>
        <v>339044633.16476196</v>
      </c>
      <c r="AX17" s="79">
        <f t="shared" si="15"/>
        <v>508566957.60928541</v>
      </c>
      <c r="AY17" s="79">
        <f t="shared" si="16"/>
        <v>3051401690.6207147</v>
      </c>
      <c r="AZ17" s="25">
        <v>1</v>
      </c>
      <c r="BA17" s="62" t="s">
        <v>97</v>
      </c>
      <c r="BB17" s="66">
        <v>1</v>
      </c>
      <c r="BC17" s="66"/>
      <c r="BD17" s="66"/>
      <c r="BE17" s="67">
        <f t="shared" si="17"/>
        <v>42380579.145595238</v>
      </c>
      <c r="BF17" s="67">
        <f t="shared" si="18"/>
        <v>0</v>
      </c>
      <c r="BG17" s="67">
        <f t="shared" si="6"/>
        <v>0</v>
      </c>
      <c r="BH17" s="66"/>
      <c r="BI17" s="68" t="s">
        <v>101</v>
      </c>
      <c r="BJ17" s="68" t="s">
        <v>102</v>
      </c>
      <c r="BK17" s="68" t="s">
        <v>102</v>
      </c>
      <c r="BL17" s="29"/>
      <c r="BO17" s="35" t="s">
        <v>1802</v>
      </c>
    </row>
    <row r="18" spans="1:68" ht="15" customHeight="1">
      <c r="A18" s="1" t="s">
        <v>43</v>
      </c>
      <c r="C18" s="1" t="str">
        <f t="shared" si="7"/>
        <v>2508</v>
      </c>
      <c r="D18" s="1" t="str">
        <f t="shared" si="8"/>
        <v>1809</v>
      </c>
      <c r="E18" s="19" t="s">
        <v>48</v>
      </c>
      <c r="F18" s="62" t="s">
        <v>49</v>
      </c>
      <c r="G18" s="62">
        <v>2112</v>
      </c>
      <c r="H18" s="62" t="s">
        <v>103</v>
      </c>
      <c r="I18" s="62" t="s">
        <v>104</v>
      </c>
      <c r="J18" s="118">
        <v>1</v>
      </c>
      <c r="K18" s="119"/>
      <c r="L18" s="62" t="s">
        <v>77</v>
      </c>
      <c r="M18" s="120" t="s">
        <v>78</v>
      </c>
      <c r="N18" s="65">
        <v>43301</v>
      </c>
      <c r="O18" s="24">
        <v>8121.65</v>
      </c>
      <c r="P18" s="24">
        <v>23100</v>
      </c>
      <c r="Q18" s="64">
        <v>187610115</v>
      </c>
      <c r="R18" s="64"/>
      <c r="S18" s="64"/>
      <c r="T18" s="64"/>
      <c r="U18" s="64"/>
      <c r="V18" s="121">
        <v>187610115</v>
      </c>
      <c r="W18" s="122">
        <v>0</v>
      </c>
      <c r="X18" s="64">
        <v>187610115</v>
      </c>
      <c r="Y18" s="121"/>
      <c r="Z18" s="121"/>
      <c r="AA18" s="121"/>
      <c r="AB18" s="121"/>
      <c r="AC18" s="64">
        <v>187610115</v>
      </c>
      <c r="AD18" s="65">
        <v>43344</v>
      </c>
      <c r="AE18" s="65">
        <v>45899</v>
      </c>
      <c r="AF18" s="62">
        <v>7</v>
      </c>
      <c r="AG18" s="119">
        <v>84</v>
      </c>
      <c r="AH18" s="25">
        <v>2233453.75</v>
      </c>
      <c r="AI18" s="78">
        <v>142941053.5</v>
      </c>
      <c r="AJ18" s="78">
        <v>44669061.5</v>
      </c>
      <c r="AK18" s="27">
        <f t="shared" si="9"/>
        <v>2233453.75</v>
      </c>
      <c r="AL18" s="27">
        <f t="shared" si="10"/>
        <v>2233453.75</v>
      </c>
      <c r="AM18" s="27">
        <f t="shared" si="10"/>
        <v>2233453.75</v>
      </c>
      <c r="AN18" s="27">
        <f t="shared" si="11"/>
        <v>2233453.75</v>
      </c>
      <c r="AO18" s="27">
        <f t="shared" si="5"/>
        <v>2233453.75</v>
      </c>
      <c r="AP18" s="27">
        <f t="shared" si="5"/>
        <v>2233453.75</v>
      </c>
      <c r="AQ18" s="27">
        <f t="shared" si="12"/>
        <v>2233453.75</v>
      </c>
      <c r="AR18" s="27">
        <f t="shared" si="13"/>
        <v>2233453.75</v>
      </c>
      <c r="AS18" s="27"/>
      <c r="AT18" s="27"/>
      <c r="AU18" s="27"/>
      <c r="AV18" s="27"/>
      <c r="AW18" s="27">
        <f t="shared" si="14"/>
        <v>17867630</v>
      </c>
      <c r="AX18" s="79">
        <f t="shared" si="15"/>
        <v>26801431.5</v>
      </c>
      <c r="AY18" s="79">
        <f t="shared" si="16"/>
        <v>160808683.5</v>
      </c>
      <c r="AZ18" s="25">
        <v>1</v>
      </c>
      <c r="BA18" s="62" t="s">
        <v>97</v>
      </c>
      <c r="BB18" s="66">
        <v>1</v>
      </c>
      <c r="BC18" s="66"/>
      <c r="BD18" s="66"/>
      <c r="BE18" s="67">
        <f t="shared" si="17"/>
        <v>2233453.75</v>
      </c>
      <c r="BF18" s="67">
        <f t="shared" si="18"/>
        <v>0</v>
      </c>
      <c r="BG18" s="67">
        <f t="shared" si="6"/>
        <v>0</v>
      </c>
      <c r="BH18" s="66"/>
      <c r="BI18" s="68" t="s">
        <v>84</v>
      </c>
      <c r="BJ18" s="68" t="s">
        <v>85</v>
      </c>
      <c r="BK18" s="68" t="s">
        <v>85</v>
      </c>
      <c r="BL18" s="29"/>
      <c r="BO18" s="35" t="s">
        <v>1801</v>
      </c>
    </row>
    <row r="19" spans="1:68" ht="15" customHeight="1">
      <c r="A19" s="1" t="s">
        <v>43</v>
      </c>
      <c r="C19" s="1" t="str">
        <f t="shared" si="7"/>
        <v>2508</v>
      </c>
      <c r="D19" s="1" t="str">
        <f t="shared" si="8"/>
        <v>1809</v>
      </c>
      <c r="E19" s="19" t="s">
        <v>48</v>
      </c>
      <c r="F19" s="62" t="s">
        <v>49</v>
      </c>
      <c r="G19" s="62">
        <v>2112</v>
      </c>
      <c r="H19" s="62" t="s">
        <v>108</v>
      </c>
      <c r="I19" s="62" t="s">
        <v>104</v>
      </c>
      <c r="J19" s="118">
        <v>1</v>
      </c>
      <c r="K19" s="119"/>
      <c r="L19" s="62" t="s">
        <v>77</v>
      </c>
      <c r="M19" s="120" t="s">
        <v>78</v>
      </c>
      <c r="N19" s="65">
        <v>43301</v>
      </c>
      <c r="O19" s="24">
        <v>8121.65</v>
      </c>
      <c r="P19" s="24">
        <v>23100</v>
      </c>
      <c r="Q19" s="64">
        <v>187610115</v>
      </c>
      <c r="R19" s="64"/>
      <c r="S19" s="64"/>
      <c r="T19" s="64"/>
      <c r="U19" s="64"/>
      <c r="V19" s="121">
        <v>187610115</v>
      </c>
      <c r="W19" s="122">
        <v>0</v>
      </c>
      <c r="X19" s="64">
        <v>187610115</v>
      </c>
      <c r="Y19" s="121"/>
      <c r="Z19" s="121"/>
      <c r="AA19" s="121"/>
      <c r="AB19" s="121"/>
      <c r="AC19" s="64">
        <v>187610115</v>
      </c>
      <c r="AD19" s="65">
        <v>43344</v>
      </c>
      <c r="AE19" s="65">
        <v>45899</v>
      </c>
      <c r="AF19" s="62">
        <v>7</v>
      </c>
      <c r="AG19" s="119">
        <v>84</v>
      </c>
      <c r="AH19" s="25">
        <v>2233453.75</v>
      </c>
      <c r="AI19" s="78">
        <v>142941053.5</v>
      </c>
      <c r="AJ19" s="78">
        <v>44669061.5</v>
      </c>
      <c r="AK19" s="27">
        <f t="shared" si="9"/>
        <v>2233453.75</v>
      </c>
      <c r="AL19" s="27">
        <f t="shared" si="10"/>
        <v>2233453.75</v>
      </c>
      <c r="AM19" s="27">
        <f t="shared" si="10"/>
        <v>2233453.75</v>
      </c>
      <c r="AN19" s="27">
        <f t="shared" si="11"/>
        <v>2233453.75</v>
      </c>
      <c r="AO19" s="27">
        <f t="shared" si="5"/>
        <v>2233453.75</v>
      </c>
      <c r="AP19" s="27">
        <f t="shared" si="5"/>
        <v>2233453.75</v>
      </c>
      <c r="AQ19" s="27">
        <f t="shared" si="12"/>
        <v>2233453.75</v>
      </c>
      <c r="AR19" s="27">
        <f t="shared" si="13"/>
        <v>2233453.75</v>
      </c>
      <c r="AS19" s="27"/>
      <c r="AT19" s="27"/>
      <c r="AU19" s="27"/>
      <c r="AV19" s="27"/>
      <c r="AW19" s="27">
        <f t="shared" si="14"/>
        <v>17867630</v>
      </c>
      <c r="AX19" s="79">
        <f t="shared" si="15"/>
        <v>26801431.5</v>
      </c>
      <c r="AY19" s="79">
        <f t="shared" si="16"/>
        <v>160808683.5</v>
      </c>
      <c r="AZ19" s="25">
        <v>1</v>
      </c>
      <c r="BA19" s="62" t="s">
        <v>97</v>
      </c>
      <c r="BB19" s="66">
        <v>1</v>
      </c>
      <c r="BC19" s="66"/>
      <c r="BD19" s="66"/>
      <c r="BE19" s="67">
        <f t="shared" si="17"/>
        <v>2233453.75</v>
      </c>
      <c r="BF19" s="67">
        <f t="shared" si="18"/>
        <v>0</v>
      </c>
      <c r="BG19" s="67">
        <f t="shared" si="6"/>
        <v>0</v>
      </c>
      <c r="BH19" s="66"/>
      <c r="BI19" s="68" t="s">
        <v>84</v>
      </c>
      <c r="BJ19" s="68" t="s">
        <v>85</v>
      </c>
      <c r="BK19" s="68" t="s">
        <v>85</v>
      </c>
      <c r="BL19" s="29"/>
      <c r="BO19" s="35" t="s">
        <v>1801</v>
      </c>
    </row>
    <row r="20" spans="1:68" ht="15" customHeight="1">
      <c r="A20" s="1" t="s">
        <v>43</v>
      </c>
      <c r="C20" s="1" t="str">
        <f t="shared" si="7"/>
        <v>2508</v>
      </c>
      <c r="D20" s="1" t="str">
        <f t="shared" si="8"/>
        <v>1809</v>
      </c>
      <c r="E20" s="19" t="s">
        <v>48</v>
      </c>
      <c r="F20" s="62" t="s">
        <v>49</v>
      </c>
      <c r="G20" s="62">
        <v>2112</v>
      </c>
      <c r="H20" s="62" t="s">
        <v>109</v>
      </c>
      <c r="I20" s="62" t="s">
        <v>110</v>
      </c>
      <c r="J20" s="118">
        <v>1</v>
      </c>
      <c r="K20" s="119"/>
      <c r="L20" s="62" t="s">
        <v>77</v>
      </c>
      <c r="M20" s="120" t="s">
        <v>78</v>
      </c>
      <c r="N20" s="65">
        <v>43301</v>
      </c>
      <c r="O20" s="24">
        <v>8121.65</v>
      </c>
      <c r="P20" s="24">
        <v>23100</v>
      </c>
      <c r="Q20" s="64">
        <v>187610115</v>
      </c>
      <c r="R20" s="64"/>
      <c r="S20" s="64"/>
      <c r="T20" s="64"/>
      <c r="U20" s="64"/>
      <c r="V20" s="121">
        <v>187610115</v>
      </c>
      <c r="W20" s="122">
        <v>0</v>
      </c>
      <c r="X20" s="64">
        <v>187610115</v>
      </c>
      <c r="Y20" s="121"/>
      <c r="Z20" s="121"/>
      <c r="AA20" s="121"/>
      <c r="AB20" s="121"/>
      <c r="AC20" s="64">
        <v>187610115</v>
      </c>
      <c r="AD20" s="65">
        <v>43344</v>
      </c>
      <c r="AE20" s="65">
        <v>45899</v>
      </c>
      <c r="AF20" s="62">
        <v>7</v>
      </c>
      <c r="AG20" s="119">
        <v>84</v>
      </c>
      <c r="AH20" s="25">
        <v>2233453.75</v>
      </c>
      <c r="AI20" s="78">
        <v>142941053.5</v>
      </c>
      <c r="AJ20" s="78">
        <v>44669061.5</v>
      </c>
      <c r="AK20" s="27">
        <f t="shared" si="9"/>
        <v>2233453.75</v>
      </c>
      <c r="AL20" s="27">
        <f t="shared" si="10"/>
        <v>2233453.75</v>
      </c>
      <c r="AM20" s="27">
        <f t="shared" si="10"/>
        <v>2233453.75</v>
      </c>
      <c r="AN20" s="27">
        <f t="shared" si="11"/>
        <v>2233453.75</v>
      </c>
      <c r="AO20" s="27">
        <f t="shared" si="5"/>
        <v>2233453.75</v>
      </c>
      <c r="AP20" s="27">
        <f t="shared" si="5"/>
        <v>2233453.75</v>
      </c>
      <c r="AQ20" s="27">
        <f t="shared" si="12"/>
        <v>2233453.75</v>
      </c>
      <c r="AR20" s="27">
        <f t="shared" si="13"/>
        <v>2233453.75</v>
      </c>
      <c r="AS20" s="27"/>
      <c r="AT20" s="27"/>
      <c r="AU20" s="27"/>
      <c r="AV20" s="27"/>
      <c r="AW20" s="27">
        <f t="shared" si="14"/>
        <v>17867630</v>
      </c>
      <c r="AX20" s="79">
        <f t="shared" si="15"/>
        <v>26801431.5</v>
      </c>
      <c r="AY20" s="79">
        <f t="shared" si="16"/>
        <v>160808683.5</v>
      </c>
      <c r="AZ20" s="25">
        <v>1</v>
      </c>
      <c r="BA20" s="62" t="s">
        <v>97</v>
      </c>
      <c r="BB20" s="66">
        <v>1</v>
      </c>
      <c r="BC20" s="66"/>
      <c r="BD20" s="66"/>
      <c r="BE20" s="67">
        <f t="shared" si="17"/>
        <v>2233453.75</v>
      </c>
      <c r="BF20" s="67">
        <f t="shared" si="18"/>
        <v>0</v>
      </c>
      <c r="BG20" s="67">
        <f t="shared" si="6"/>
        <v>0</v>
      </c>
      <c r="BH20" s="66"/>
      <c r="BI20" s="68" t="s">
        <v>84</v>
      </c>
      <c r="BJ20" s="68" t="s">
        <v>85</v>
      </c>
      <c r="BK20" s="68" t="s">
        <v>85</v>
      </c>
      <c r="BL20" s="29"/>
      <c r="BO20" s="35" t="s">
        <v>1801</v>
      </c>
    </row>
    <row r="21" spans="1:68" ht="15" customHeight="1">
      <c r="A21" s="1" t="s">
        <v>43</v>
      </c>
      <c r="C21" s="1" t="str">
        <f t="shared" si="7"/>
        <v>2508</v>
      </c>
      <c r="D21" s="1" t="str">
        <f t="shared" si="8"/>
        <v>1809</v>
      </c>
      <c r="E21" s="19" t="s">
        <v>48</v>
      </c>
      <c r="F21" s="62" t="s">
        <v>1896</v>
      </c>
      <c r="G21" s="62">
        <v>2112</v>
      </c>
      <c r="H21" s="62" t="s">
        <v>111</v>
      </c>
      <c r="I21" s="62" t="s">
        <v>112</v>
      </c>
      <c r="J21" s="118">
        <v>1</v>
      </c>
      <c r="K21" s="119"/>
      <c r="L21" s="62" t="s">
        <v>77</v>
      </c>
      <c r="M21" s="120" t="s">
        <v>78</v>
      </c>
      <c r="N21" s="65">
        <v>43301</v>
      </c>
      <c r="O21" s="24">
        <v>6332.74</v>
      </c>
      <c r="P21" s="24">
        <v>23100</v>
      </c>
      <c r="Q21" s="64">
        <v>146286294</v>
      </c>
      <c r="R21" s="64"/>
      <c r="S21" s="64"/>
      <c r="T21" s="64"/>
      <c r="U21" s="64"/>
      <c r="V21" s="121">
        <v>146286294</v>
      </c>
      <c r="W21" s="122">
        <v>0</v>
      </c>
      <c r="X21" s="64">
        <v>146286294</v>
      </c>
      <c r="Y21" s="121"/>
      <c r="Z21" s="121"/>
      <c r="AA21" s="121"/>
      <c r="AB21" s="121"/>
      <c r="AC21" s="64">
        <v>146286294</v>
      </c>
      <c r="AD21" s="65">
        <v>43344</v>
      </c>
      <c r="AE21" s="65">
        <v>45899</v>
      </c>
      <c r="AF21" s="62">
        <v>7</v>
      </c>
      <c r="AG21" s="119">
        <v>84</v>
      </c>
      <c r="AH21" s="25">
        <v>1741503.5</v>
      </c>
      <c r="AI21" s="78">
        <v>111456251</v>
      </c>
      <c r="AJ21" s="78">
        <v>34830043</v>
      </c>
      <c r="AK21" s="27">
        <f t="shared" si="9"/>
        <v>1741503.5</v>
      </c>
      <c r="AL21" s="27">
        <f t="shared" si="10"/>
        <v>1741503.5</v>
      </c>
      <c r="AM21" s="27">
        <f t="shared" si="10"/>
        <v>1741503.5</v>
      </c>
      <c r="AN21" s="27">
        <f t="shared" si="11"/>
        <v>1741503.5</v>
      </c>
      <c r="AO21" s="27">
        <f t="shared" si="5"/>
        <v>1741503.5</v>
      </c>
      <c r="AP21" s="27">
        <f t="shared" si="5"/>
        <v>1741503.5</v>
      </c>
      <c r="AQ21" s="27">
        <f t="shared" si="12"/>
        <v>1741503.5</v>
      </c>
      <c r="AR21" s="27">
        <f t="shared" si="13"/>
        <v>1741503.5</v>
      </c>
      <c r="AS21" s="27"/>
      <c r="AT21" s="27"/>
      <c r="AU21" s="27"/>
      <c r="AV21" s="27"/>
      <c r="AW21" s="27">
        <f t="shared" si="14"/>
        <v>13932028</v>
      </c>
      <c r="AX21" s="79">
        <f t="shared" si="15"/>
        <v>20898015</v>
      </c>
      <c r="AY21" s="79">
        <f t="shared" si="16"/>
        <v>125388279</v>
      </c>
      <c r="AZ21" s="25">
        <v>1</v>
      </c>
      <c r="BA21" s="62" t="s">
        <v>97</v>
      </c>
      <c r="BB21" s="66">
        <v>1</v>
      </c>
      <c r="BC21" s="66"/>
      <c r="BD21" s="66"/>
      <c r="BE21" s="67">
        <f t="shared" si="17"/>
        <v>1741503.5</v>
      </c>
      <c r="BF21" s="67">
        <f t="shared" si="18"/>
        <v>0</v>
      </c>
      <c r="BG21" s="67">
        <f t="shared" si="6"/>
        <v>0</v>
      </c>
      <c r="BH21" s="66" t="s">
        <v>1662</v>
      </c>
      <c r="BI21" s="68" t="s">
        <v>107</v>
      </c>
      <c r="BJ21" s="68" t="s">
        <v>1930</v>
      </c>
      <c r="BK21" s="68" t="s">
        <v>1930</v>
      </c>
      <c r="BL21" s="29"/>
      <c r="BO21" s="35" t="s">
        <v>1801</v>
      </c>
    </row>
    <row r="22" spans="1:68" ht="15" customHeight="1">
      <c r="A22" s="1" t="s">
        <v>43</v>
      </c>
      <c r="C22" s="1" t="str">
        <f t="shared" si="7"/>
        <v>2508</v>
      </c>
      <c r="D22" s="1" t="str">
        <f t="shared" si="8"/>
        <v>1809</v>
      </c>
      <c r="E22" s="19" t="s">
        <v>48</v>
      </c>
      <c r="F22" s="62" t="s">
        <v>49</v>
      </c>
      <c r="G22" s="62">
        <v>2112</v>
      </c>
      <c r="H22" s="62" t="s">
        <v>113</v>
      </c>
      <c r="I22" s="62" t="s">
        <v>112</v>
      </c>
      <c r="J22" s="118">
        <v>1</v>
      </c>
      <c r="K22" s="119"/>
      <c r="L22" s="62" t="s">
        <v>77</v>
      </c>
      <c r="M22" s="120" t="s">
        <v>78</v>
      </c>
      <c r="N22" s="65">
        <v>43301</v>
      </c>
      <c r="O22" s="24">
        <v>6332.74</v>
      </c>
      <c r="P22" s="24">
        <v>23100</v>
      </c>
      <c r="Q22" s="64">
        <v>146286294</v>
      </c>
      <c r="R22" s="64"/>
      <c r="S22" s="64"/>
      <c r="T22" s="64"/>
      <c r="U22" s="64"/>
      <c r="V22" s="121">
        <v>146286294</v>
      </c>
      <c r="W22" s="122">
        <v>0</v>
      </c>
      <c r="X22" s="64">
        <v>146286294</v>
      </c>
      <c r="Y22" s="121"/>
      <c r="Z22" s="121"/>
      <c r="AA22" s="121"/>
      <c r="AB22" s="121"/>
      <c r="AC22" s="64">
        <v>146286294</v>
      </c>
      <c r="AD22" s="65">
        <v>43344</v>
      </c>
      <c r="AE22" s="65">
        <v>45899</v>
      </c>
      <c r="AF22" s="62">
        <v>7</v>
      </c>
      <c r="AG22" s="119">
        <v>84</v>
      </c>
      <c r="AH22" s="25">
        <v>1741503.5</v>
      </c>
      <c r="AI22" s="78">
        <v>111456251</v>
      </c>
      <c r="AJ22" s="78">
        <v>34830043</v>
      </c>
      <c r="AK22" s="27">
        <f t="shared" si="9"/>
        <v>1741503.5</v>
      </c>
      <c r="AL22" s="27">
        <f t="shared" si="10"/>
        <v>1741503.5</v>
      </c>
      <c r="AM22" s="27">
        <f t="shared" si="10"/>
        <v>1741503.5</v>
      </c>
      <c r="AN22" s="27">
        <f t="shared" si="11"/>
        <v>1741503.5</v>
      </c>
      <c r="AO22" s="27">
        <f t="shared" si="5"/>
        <v>1741503.5</v>
      </c>
      <c r="AP22" s="27">
        <f t="shared" si="5"/>
        <v>1741503.5</v>
      </c>
      <c r="AQ22" s="27">
        <f t="shared" si="12"/>
        <v>1741503.5</v>
      </c>
      <c r="AR22" s="27">
        <f t="shared" si="13"/>
        <v>1741503.5</v>
      </c>
      <c r="AS22" s="27"/>
      <c r="AT22" s="27"/>
      <c r="AU22" s="27"/>
      <c r="AV22" s="27"/>
      <c r="AW22" s="27">
        <f t="shared" si="14"/>
        <v>13932028</v>
      </c>
      <c r="AX22" s="79">
        <f t="shared" si="15"/>
        <v>20898015</v>
      </c>
      <c r="AY22" s="79">
        <f t="shared" si="16"/>
        <v>125388279</v>
      </c>
      <c r="AZ22" s="25">
        <v>1</v>
      </c>
      <c r="BA22" s="62" t="s">
        <v>97</v>
      </c>
      <c r="BB22" s="66">
        <v>1</v>
      </c>
      <c r="BC22" s="66"/>
      <c r="BD22" s="66"/>
      <c r="BE22" s="67">
        <f t="shared" si="17"/>
        <v>1741503.5</v>
      </c>
      <c r="BF22" s="67">
        <f t="shared" si="18"/>
        <v>0</v>
      </c>
      <c r="BG22" s="67">
        <f t="shared" si="6"/>
        <v>0</v>
      </c>
      <c r="BH22" s="66" t="s">
        <v>1662</v>
      </c>
      <c r="BI22" s="68" t="s">
        <v>107</v>
      </c>
      <c r="BJ22" s="68" t="s">
        <v>81</v>
      </c>
      <c r="BK22" s="68" t="s">
        <v>81</v>
      </c>
      <c r="BL22" s="29"/>
      <c r="BO22" s="35" t="s">
        <v>1801</v>
      </c>
    </row>
    <row r="23" spans="1:68" ht="15" customHeight="1">
      <c r="A23" s="1" t="s">
        <v>43</v>
      </c>
      <c r="C23" s="1" t="str">
        <f t="shared" si="7"/>
        <v>2508</v>
      </c>
      <c r="D23" s="1" t="str">
        <f t="shared" si="8"/>
        <v>1809</v>
      </c>
      <c r="E23" s="19" t="s">
        <v>48</v>
      </c>
      <c r="F23" s="62" t="s">
        <v>49</v>
      </c>
      <c r="G23" s="62">
        <v>2112</v>
      </c>
      <c r="H23" s="62" t="s">
        <v>114</v>
      </c>
      <c r="I23" s="62" t="s">
        <v>112</v>
      </c>
      <c r="J23" s="118">
        <v>1</v>
      </c>
      <c r="K23" s="119"/>
      <c r="L23" s="62" t="s">
        <v>77</v>
      </c>
      <c r="M23" s="120" t="s">
        <v>78</v>
      </c>
      <c r="N23" s="65">
        <v>43301</v>
      </c>
      <c r="O23" s="24">
        <v>6332.74</v>
      </c>
      <c r="P23" s="24">
        <v>23100</v>
      </c>
      <c r="Q23" s="64">
        <v>146286294</v>
      </c>
      <c r="R23" s="64"/>
      <c r="S23" s="64"/>
      <c r="T23" s="64"/>
      <c r="U23" s="64"/>
      <c r="V23" s="121">
        <v>146286294</v>
      </c>
      <c r="W23" s="122">
        <v>0</v>
      </c>
      <c r="X23" s="64">
        <v>146286294</v>
      </c>
      <c r="Y23" s="121"/>
      <c r="Z23" s="121"/>
      <c r="AA23" s="121"/>
      <c r="AB23" s="121"/>
      <c r="AC23" s="64">
        <v>146286294</v>
      </c>
      <c r="AD23" s="65">
        <v>43344</v>
      </c>
      <c r="AE23" s="65">
        <v>45899</v>
      </c>
      <c r="AF23" s="62">
        <v>7</v>
      </c>
      <c r="AG23" s="119">
        <v>84</v>
      </c>
      <c r="AH23" s="25">
        <v>1741503.5</v>
      </c>
      <c r="AI23" s="78">
        <v>111456251</v>
      </c>
      <c r="AJ23" s="78">
        <v>34830043</v>
      </c>
      <c r="AK23" s="27">
        <f t="shared" si="9"/>
        <v>1741503.5</v>
      </c>
      <c r="AL23" s="27">
        <f t="shared" si="10"/>
        <v>1741503.5</v>
      </c>
      <c r="AM23" s="27">
        <f t="shared" si="10"/>
        <v>1741503.5</v>
      </c>
      <c r="AN23" s="27">
        <f t="shared" si="11"/>
        <v>1741503.5</v>
      </c>
      <c r="AO23" s="27">
        <f t="shared" si="5"/>
        <v>1741503.5</v>
      </c>
      <c r="AP23" s="27">
        <f t="shared" si="5"/>
        <v>1741503.5</v>
      </c>
      <c r="AQ23" s="27">
        <f t="shared" si="12"/>
        <v>1741503.5</v>
      </c>
      <c r="AR23" s="27">
        <f t="shared" si="13"/>
        <v>1741503.5</v>
      </c>
      <c r="AS23" s="27"/>
      <c r="AT23" s="27"/>
      <c r="AU23" s="27"/>
      <c r="AV23" s="27"/>
      <c r="AW23" s="27">
        <f t="shared" si="14"/>
        <v>13932028</v>
      </c>
      <c r="AX23" s="79">
        <f t="shared" si="15"/>
        <v>20898015</v>
      </c>
      <c r="AY23" s="79">
        <f t="shared" si="16"/>
        <v>125388279</v>
      </c>
      <c r="AZ23" s="25">
        <v>1</v>
      </c>
      <c r="BA23" s="62" t="s">
        <v>97</v>
      </c>
      <c r="BB23" s="66">
        <v>1</v>
      </c>
      <c r="BC23" s="66"/>
      <c r="BD23" s="66"/>
      <c r="BE23" s="67">
        <f t="shared" si="17"/>
        <v>1741503.5</v>
      </c>
      <c r="BF23" s="67">
        <f t="shared" si="18"/>
        <v>0</v>
      </c>
      <c r="BG23" s="67">
        <f t="shared" si="6"/>
        <v>0</v>
      </c>
      <c r="BH23" s="66" t="s">
        <v>1662</v>
      </c>
      <c r="BI23" s="68" t="s">
        <v>107</v>
      </c>
      <c r="BJ23" s="68" t="s">
        <v>81</v>
      </c>
      <c r="BK23" s="68" t="s">
        <v>81</v>
      </c>
      <c r="BL23" s="29"/>
      <c r="BO23" s="35" t="s">
        <v>1801</v>
      </c>
    </row>
    <row r="24" spans="1:68" ht="15" customHeight="1">
      <c r="A24" s="1" t="s">
        <v>43</v>
      </c>
      <c r="C24" s="1" t="str">
        <f t="shared" si="7"/>
        <v>2508</v>
      </c>
      <c r="D24" s="1" t="str">
        <f t="shared" si="8"/>
        <v>1809</v>
      </c>
      <c r="E24" s="19" t="s">
        <v>48</v>
      </c>
      <c r="F24" s="62" t="s">
        <v>49</v>
      </c>
      <c r="G24" s="62">
        <v>2112</v>
      </c>
      <c r="H24" s="62" t="s">
        <v>115</v>
      </c>
      <c r="I24" s="62" t="s">
        <v>116</v>
      </c>
      <c r="J24" s="118">
        <v>1</v>
      </c>
      <c r="K24" s="119"/>
      <c r="L24" s="62" t="s">
        <v>77</v>
      </c>
      <c r="M24" s="120" t="s">
        <v>78</v>
      </c>
      <c r="N24" s="65">
        <v>43301</v>
      </c>
      <c r="O24" s="24">
        <v>8050.09</v>
      </c>
      <c r="P24" s="24">
        <v>23100</v>
      </c>
      <c r="Q24" s="64">
        <v>185957079</v>
      </c>
      <c r="R24" s="64"/>
      <c r="S24" s="64"/>
      <c r="T24" s="64"/>
      <c r="U24" s="64"/>
      <c r="V24" s="121">
        <v>185957079</v>
      </c>
      <c r="W24" s="122">
        <v>0</v>
      </c>
      <c r="X24" s="64">
        <v>185957079</v>
      </c>
      <c r="Y24" s="121"/>
      <c r="Z24" s="121"/>
      <c r="AA24" s="121"/>
      <c r="AB24" s="121"/>
      <c r="AC24" s="64">
        <v>185957079</v>
      </c>
      <c r="AD24" s="65">
        <v>43344</v>
      </c>
      <c r="AE24" s="65">
        <v>45899</v>
      </c>
      <c r="AF24" s="62">
        <v>7</v>
      </c>
      <c r="AG24" s="119">
        <v>84</v>
      </c>
      <c r="AH24" s="25">
        <v>2213774.75</v>
      </c>
      <c r="AI24" s="78">
        <v>141681597.5</v>
      </c>
      <c r="AJ24" s="78">
        <v>44275481.5</v>
      </c>
      <c r="AK24" s="27">
        <f t="shared" si="9"/>
        <v>2213774.75</v>
      </c>
      <c r="AL24" s="27">
        <f t="shared" si="10"/>
        <v>2213774.75</v>
      </c>
      <c r="AM24" s="27">
        <f t="shared" si="10"/>
        <v>2213774.75</v>
      </c>
      <c r="AN24" s="27">
        <f t="shared" si="11"/>
        <v>2213774.75</v>
      </c>
      <c r="AO24" s="27">
        <f t="shared" si="5"/>
        <v>2213774.75</v>
      </c>
      <c r="AP24" s="27">
        <f t="shared" si="5"/>
        <v>2213774.75</v>
      </c>
      <c r="AQ24" s="27">
        <f t="shared" si="12"/>
        <v>2213774.75</v>
      </c>
      <c r="AR24" s="27">
        <f t="shared" si="13"/>
        <v>2213774.75</v>
      </c>
      <c r="AS24" s="27"/>
      <c r="AT24" s="27"/>
      <c r="AU24" s="27"/>
      <c r="AV24" s="27"/>
      <c r="AW24" s="27">
        <f t="shared" si="14"/>
        <v>17710198</v>
      </c>
      <c r="AX24" s="79">
        <f t="shared" si="15"/>
        <v>26565283.5</v>
      </c>
      <c r="AY24" s="79">
        <f t="shared" si="16"/>
        <v>159391795.5</v>
      </c>
      <c r="AZ24" s="25">
        <v>1</v>
      </c>
      <c r="BA24" s="62" t="s">
        <v>97</v>
      </c>
      <c r="BB24" s="66">
        <v>1</v>
      </c>
      <c r="BC24" s="66"/>
      <c r="BD24" s="66"/>
      <c r="BE24" s="67">
        <f t="shared" si="17"/>
        <v>2213774.75</v>
      </c>
      <c r="BF24" s="67">
        <f t="shared" si="18"/>
        <v>0</v>
      </c>
      <c r="BG24" s="67">
        <f t="shared" si="6"/>
        <v>0</v>
      </c>
      <c r="BH24" s="66"/>
      <c r="BI24" s="68">
        <v>0</v>
      </c>
      <c r="BJ24" s="68" t="s">
        <v>117</v>
      </c>
      <c r="BK24" s="68" t="s">
        <v>117</v>
      </c>
      <c r="BL24" s="29"/>
      <c r="BO24" s="35" t="s">
        <v>1801</v>
      </c>
    </row>
    <row r="25" spans="1:68" ht="15" customHeight="1">
      <c r="A25" s="1" t="s">
        <v>43</v>
      </c>
      <c r="C25" s="1" t="str">
        <f t="shared" si="7"/>
        <v>2508</v>
      </c>
      <c r="D25" s="1" t="str">
        <f t="shared" si="8"/>
        <v>1809</v>
      </c>
      <c r="E25" s="19" t="s">
        <v>48</v>
      </c>
      <c r="F25" s="62" t="s">
        <v>49</v>
      </c>
      <c r="G25" s="62">
        <v>2112</v>
      </c>
      <c r="H25" s="62" t="s">
        <v>118</v>
      </c>
      <c r="I25" s="62" t="s">
        <v>112</v>
      </c>
      <c r="J25" s="118">
        <v>1</v>
      </c>
      <c r="K25" s="119"/>
      <c r="L25" s="62" t="s">
        <v>77</v>
      </c>
      <c r="M25" s="120" t="s">
        <v>78</v>
      </c>
      <c r="N25" s="65">
        <v>43301</v>
      </c>
      <c r="O25" s="24">
        <v>6332.74</v>
      </c>
      <c r="P25" s="24">
        <v>23100</v>
      </c>
      <c r="Q25" s="64">
        <v>146286294</v>
      </c>
      <c r="R25" s="64"/>
      <c r="S25" s="64"/>
      <c r="T25" s="64"/>
      <c r="U25" s="64"/>
      <c r="V25" s="121">
        <v>146286294</v>
      </c>
      <c r="W25" s="122">
        <v>0</v>
      </c>
      <c r="X25" s="64">
        <v>146286294</v>
      </c>
      <c r="Y25" s="121"/>
      <c r="Z25" s="121"/>
      <c r="AA25" s="121"/>
      <c r="AB25" s="121"/>
      <c r="AC25" s="64">
        <v>146286294</v>
      </c>
      <c r="AD25" s="65">
        <v>43344</v>
      </c>
      <c r="AE25" s="65">
        <v>45899</v>
      </c>
      <c r="AF25" s="62">
        <v>7</v>
      </c>
      <c r="AG25" s="119">
        <v>84</v>
      </c>
      <c r="AH25" s="25">
        <v>1741503.5</v>
      </c>
      <c r="AI25" s="78">
        <v>111456251</v>
      </c>
      <c r="AJ25" s="78">
        <v>34830043</v>
      </c>
      <c r="AK25" s="27">
        <f t="shared" si="9"/>
        <v>1741503.5</v>
      </c>
      <c r="AL25" s="27">
        <f t="shared" si="10"/>
        <v>1741503.5</v>
      </c>
      <c r="AM25" s="27">
        <f t="shared" si="10"/>
        <v>1741503.5</v>
      </c>
      <c r="AN25" s="27">
        <f t="shared" si="11"/>
        <v>1741503.5</v>
      </c>
      <c r="AO25" s="27">
        <f t="shared" si="5"/>
        <v>1741503.5</v>
      </c>
      <c r="AP25" s="27">
        <f t="shared" si="5"/>
        <v>1741503.5</v>
      </c>
      <c r="AQ25" s="27">
        <f t="shared" si="12"/>
        <v>1741503.5</v>
      </c>
      <c r="AR25" s="27">
        <f t="shared" si="13"/>
        <v>1741503.5</v>
      </c>
      <c r="AS25" s="27"/>
      <c r="AT25" s="27"/>
      <c r="AU25" s="27"/>
      <c r="AV25" s="27"/>
      <c r="AW25" s="27">
        <f t="shared" si="14"/>
        <v>13932028</v>
      </c>
      <c r="AX25" s="79">
        <f t="shared" si="15"/>
        <v>20898015</v>
      </c>
      <c r="AY25" s="79">
        <f t="shared" si="16"/>
        <v>125388279</v>
      </c>
      <c r="AZ25" s="25">
        <v>1</v>
      </c>
      <c r="BA25" s="62" t="s">
        <v>97</v>
      </c>
      <c r="BB25" s="66">
        <v>1</v>
      </c>
      <c r="BC25" s="66"/>
      <c r="BD25" s="66"/>
      <c r="BE25" s="67">
        <f t="shared" si="17"/>
        <v>1741503.5</v>
      </c>
      <c r="BF25" s="67">
        <f t="shared" si="18"/>
        <v>0</v>
      </c>
      <c r="BG25" s="67">
        <f t="shared" si="6"/>
        <v>0</v>
      </c>
      <c r="BH25" s="66" t="s">
        <v>1662</v>
      </c>
      <c r="BI25" s="68" t="s">
        <v>107</v>
      </c>
      <c r="BJ25" s="68" t="s">
        <v>81</v>
      </c>
      <c r="BK25" s="68" t="s">
        <v>81</v>
      </c>
      <c r="BL25" s="29"/>
      <c r="BO25" s="35" t="s">
        <v>1801</v>
      </c>
    </row>
    <row r="26" spans="1:68" ht="15" customHeight="1">
      <c r="A26" s="1" t="s">
        <v>43</v>
      </c>
      <c r="C26" s="1" t="str">
        <f t="shared" si="7"/>
        <v>2508</v>
      </c>
      <c r="D26" s="1" t="str">
        <f t="shared" si="8"/>
        <v>1809</v>
      </c>
      <c r="E26" s="19" t="s">
        <v>48</v>
      </c>
      <c r="F26" s="62" t="s">
        <v>49</v>
      </c>
      <c r="G26" s="62">
        <v>2112</v>
      </c>
      <c r="H26" s="62" t="s">
        <v>119</v>
      </c>
      <c r="I26" s="62" t="s">
        <v>120</v>
      </c>
      <c r="J26" s="118">
        <v>1</v>
      </c>
      <c r="K26" s="119"/>
      <c r="L26" s="62" t="s">
        <v>77</v>
      </c>
      <c r="M26" s="120" t="s">
        <v>78</v>
      </c>
      <c r="N26" s="65">
        <v>43301</v>
      </c>
      <c r="O26" s="24">
        <v>67236.14</v>
      </c>
      <c r="P26" s="24">
        <v>23100</v>
      </c>
      <c r="Q26" s="64">
        <v>1553154834</v>
      </c>
      <c r="R26" s="64">
        <v>46427329.456</v>
      </c>
      <c r="S26" s="64"/>
      <c r="T26" s="64"/>
      <c r="U26" s="64"/>
      <c r="V26" s="121">
        <v>1599582163.4560001</v>
      </c>
      <c r="W26" s="122">
        <v>0</v>
      </c>
      <c r="X26" s="64">
        <v>1599582163.4560001</v>
      </c>
      <c r="Y26" s="121"/>
      <c r="Z26" s="121"/>
      <c r="AA26" s="121"/>
      <c r="AB26" s="121"/>
      <c r="AC26" s="64">
        <v>1599582163.4560001</v>
      </c>
      <c r="AD26" s="65">
        <v>43344</v>
      </c>
      <c r="AE26" s="65">
        <v>45899</v>
      </c>
      <c r="AF26" s="62">
        <v>7</v>
      </c>
      <c r="AG26" s="119">
        <v>84</v>
      </c>
      <c r="AH26" s="25">
        <v>19042644.80304762</v>
      </c>
      <c r="AI26" s="78">
        <v>1218729278.0264764</v>
      </c>
      <c r="AJ26" s="78">
        <v>380852885.42952383</v>
      </c>
      <c r="AK26" s="27">
        <f t="shared" si="9"/>
        <v>19042644.80304762</v>
      </c>
      <c r="AL26" s="27">
        <f t="shared" si="10"/>
        <v>19042644.80304762</v>
      </c>
      <c r="AM26" s="27">
        <f t="shared" si="10"/>
        <v>19042644.80304762</v>
      </c>
      <c r="AN26" s="27">
        <f t="shared" si="11"/>
        <v>19042644.80304762</v>
      </c>
      <c r="AO26" s="27">
        <f t="shared" si="5"/>
        <v>19042644.80304762</v>
      </c>
      <c r="AP26" s="27">
        <f t="shared" si="5"/>
        <v>19042644.80304762</v>
      </c>
      <c r="AQ26" s="27">
        <f t="shared" si="12"/>
        <v>19042644.80304762</v>
      </c>
      <c r="AR26" s="27">
        <f t="shared" si="13"/>
        <v>19042644.80304762</v>
      </c>
      <c r="AS26" s="27"/>
      <c r="AT26" s="27"/>
      <c r="AU26" s="27"/>
      <c r="AV26" s="27"/>
      <c r="AW26" s="27">
        <f t="shared" si="14"/>
        <v>152341158.42438099</v>
      </c>
      <c r="AX26" s="79">
        <f t="shared" si="15"/>
        <v>228511727.00514272</v>
      </c>
      <c r="AY26" s="79">
        <f t="shared" si="16"/>
        <v>1371070436.4508574</v>
      </c>
      <c r="AZ26" s="25">
        <v>1</v>
      </c>
      <c r="BA26" s="62" t="s">
        <v>97</v>
      </c>
      <c r="BB26" s="66">
        <v>1</v>
      </c>
      <c r="BC26" s="66"/>
      <c r="BD26" s="66"/>
      <c r="BE26" s="67">
        <f t="shared" si="17"/>
        <v>19042644.80304762</v>
      </c>
      <c r="BF26" s="67">
        <f t="shared" si="18"/>
        <v>0</v>
      </c>
      <c r="BG26" s="67">
        <f t="shared" si="6"/>
        <v>0</v>
      </c>
      <c r="BH26" s="66"/>
      <c r="BI26" s="68" t="s">
        <v>80</v>
      </c>
      <c r="BJ26" s="68" t="s">
        <v>121</v>
      </c>
      <c r="BK26" s="68" t="s">
        <v>121</v>
      </c>
      <c r="BL26" s="29"/>
      <c r="BO26" s="35" t="s">
        <v>1800</v>
      </c>
      <c r="BP26" s="1" t="s">
        <v>1803</v>
      </c>
    </row>
    <row r="27" spans="1:68" ht="15" customHeight="1">
      <c r="A27" s="1" t="s">
        <v>43</v>
      </c>
      <c r="C27" s="1" t="str">
        <f t="shared" si="7"/>
        <v>2508</v>
      </c>
      <c r="D27" s="1" t="str">
        <f t="shared" si="8"/>
        <v>1809</v>
      </c>
      <c r="E27" s="19" t="s">
        <v>48</v>
      </c>
      <c r="F27" s="62" t="s">
        <v>1896</v>
      </c>
      <c r="G27" s="62">
        <v>2112</v>
      </c>
      <c r="H27" s="62" t="s">
        <v>122</v>
      </c>
      <c r="I27" s="62" t="s">
        <v>123</v>
      </c>
      <c r="J27" s="118">
        <v>1</v>
      </c>
      <c r="K27" s="119"/>
      <c r="L27" s="62" t="s">
        <v>77</v>
      </c>
      <c r="M27" s="120" t="s">
        <v>78</v>
      </c>
      <c r="N27" s="65">
        <v>43301</v>
      </c>
      <c r="O27" s="24">
        <v>25044.720000000001</v>
      </c>
      <c r="P27" s="24">
        <v>23100</v>
      </c>
      <c r="Q27" s="64">
        <v>578533032</v>
      </c>
      <c r="R27" s="64"/>
      <c r="S27" s="64"/>
      <c r="T27" s="64"/>
      <c r="U27" s="64"/>
      <c r="V27" s="121">
        <v>578533032</v>
      </c>
      <c r="W27" s="122">
        <v>0</v>
      </c>
      <c r="X27" s="64">
        <v>578533032</v>
      </c>
      <c r="Y27" s="121"/>
      <c r="Z27" s="121"/>
      <c r="AA27" s="121"/>
      <c r="AB27" s="121"/>
      <c r="AC27" s="64">
        <v>578533032</v>
      </c>
      <c r="AD27" s="65">
        <v>43344</v>
      </c>
      <c r="AE27" s="65">
        <v>45899</v>
      </c>
      <c r="AF27" s="62">
        <v>7</v>
      </c>
      <c r="AG27" s="119">
        <v>84</v>
      </c>
      <c r="AH27" s="25">
        <v>6887298</v>
      </c>
      <c r="AI27" s="78">
        <v>440787072</v>
      </c>
      <c r="AJ27" s="78">
        <v>137745960</v>
      </c>
      <c r="AK27" s="27">
        <f t="shared" si="9"/>
        <v>6887298</v>
      </c>
      <c r="AL27" s="27">
        <f t="shared" si="10"/>
        <v>6887298</v>
      </c>
      <c r="AM27" s="27">
        <f t="shared" si="10"/>
        <v>6887298</v>
      </c>
      <c r="AN27" s="27">
        <f t="shared" si="11"/>
        <v>6887298</v>
      </c>
      <c r="AO27" s="27">
        <f t="shared" si="5"/>
        <v>6887298</v>
      </c>
      <c r="AP27" s="27">
        <f t="shared" si="5"/>
        <v>6887298</v>
      </c>
      <c r="AQ27" s="27">
        <f t="shared" si="12"/>
        <v>6887298</v>
      </c>
      <c r="AR27" s="27">
        <f t="shared" si="13"/>
        <v>6887298</v>
      </c>
      <c r="AS27" s="27"/>
      <c r="AT27" s="27"/>
      <c r="AU27" s="27"/>
      <c r="AV27" s="27"/>
      <c r="AW27" s="27">
        <f t="shared" si="14"/>
        <v>55098384</v>
      </c>
      <c r="AX27" s="79">
        <f t="shared" si="15"/>
        <v>82647576</v>
      </c>
      <c r="AY27" s="79">
        <f t="shared" si="16"/>
        <v>495885456</v>
      </c>
      <c r="AZ27" s="25">
        <v>1</v>
      </c>
      <c r="BA27" s="62" t="s">
        <v>97</v>
      </c>
      <c r="BB27" s="66">
        <v>1</v>
      </c>
      <c r="BC27" s="66"/>
      <c r="BD27" s="66"/>
      <c r="BE27" s="67">
        <f t="shared" si="17"/>
        <v>6887298</v>
      </c>
      <c r="BF27" s="67">
        <f t="shared" si="18"/>
        <v>0</v>
      </c>
      <c r="BG27" s="67">
        <f t="shared" si="6"/>
        <v>0</v>
      </c>
      <c r="BH27" s="66"/>
      <c r="BI27" s="68">
        <v>0</v>
      </c>
      <c r="BJ27" s="68" t="s">
        <v>2049</v>
      </c>
      <c r="BK27" s="68" t="s">
        <v>2049</v>
      </c>
      <c r="BL27" s="29"/>
      <c r="BO27" s="35" t="s">
        <v>1800</v>
      </c>
    </row>
    <row r="28" spans="1:68" ht="15" customHeight="1">
      <c r="A28" s="1" t="s">
        <v>43</v>
      </c>
      <c r="C28" s="1" t="str">
        <f t="shared" si="7"/>
        <v>2508</v>
      </c>
      <c r="D28" s="1" t="str">
        <f t="shared" si="8"/>
        <v>1809</v>
      </c>
      <c r="E28" s="19" t="s">
        <v>48</v>
      </c>
      <c r="F28" s="62" t="s">
        <v>49</v>
      </c>
      <c r="G28" s="62">
        <v>2112</v>
      </c>
      <c r="H28" s="62" t="s">
        <v>125</v>
      </c>
      <c r="I28" s="62" t="s">
        <v>126</v>
      </c>
      <c r="J28" s="118">
        <v>1</v>
      </c>
      <c r="K28" s="119"/>
      <c r="L28" s="62" t="s">
        <v>77</v>
      </c>
      <c r="M28" s="120" t="s">
        <v>78</v>
      </c>
      <c r="N28" s="65">
        <v>43301</v>
      </c>
      <c r="O28" s="24">
        <v>1341.68</v>
      </c>
      <c r="P28" s="24">
        <v>23100</v>
      </c>
      <c r="Q28" s="64">
        <v>30992808</v>
      </c>
      <c r="R28" s="64"/>
      <c r="S28" s="64"/>
      <c r="T28" s="64"/>
      <c r="U28" s="64"/>
      <c r="V28" s="121">
        <v>30992808</v>
      </c>
      <c r="W28" s="122">
        <v>0</v>
      </c>
      <c r="X28" s="64">
        <v>30992808</v>
      </c>
      <c r="Y28" s="121"/>
      <c r="Z28" s="121"/>
      <c r="AA28" s="121"/>
      <c r="AB28" s="121"/>
      <c r="AC28" s="64">
        <v>30992808</v>
      </c>
      <c r="AD28" s="65">
        <v>43344</v>
      </c>
      <c r="AE28" s="65">
        <v>45899</v>
      </c>
      <c r="AF28" s="62">
        <v>7</v>
      </c>
      <c r="AG28" s="119">
        <v>84</v>
      </c>
      <c r="AH28" s="25">
        <v>368962</v>
      </c>
      <c r="AI28" s="78">
        <v>23613568</v>
      </c>
      <c r="AJ28" s="78">
        <v>7379240</v>
      </c>
      <c r="AK28" s="27">
        <f t="shared" si="9"/>
        <v>368962</v>
      </c>
      <c r="AL28" s="27">
        <f t="shared" si="10"/>
        <v>368962</v>
      </c>
      <c r="AM28" s="27">
        <f t="shared" si="10"/>
        <v>368962</v>
      </c>
      <c r="AN28" s="27">
        <f t="shared" si="11"/>
        <v>368962</v>
      </c>
      <c r="AO28" s="27">
        <f t="shared" si="5"/>
        <v>368962</v>
      </c>
      <c r="AP28" s="27">
        <f t="shared" si="5"/>
        <v>368962</v>
      </c>
      <c r="AQ28" s="27">
        <f t="shared" si="12"/>
        <v>368962</v>
      </c>
      <c r="AR28" s="27">
        <f t="shared" si="13"/>
        <v>368962</v>
      </c>
      <c r="AS28" s="27"/>
      <c r="AT28" s="27"/>
      <c r="AU28" s="27"/>
      <c r="AV28" s="27"/>
      <c r="AW28" s="27">
        <f t="shared" si="14"/>
        <v>2951696</v>
      </c>
      <c r="AX28" s="79">
        <f t="shared" si="15"/>
        <v>4427544</v>
      </c>
      <c r="AY28" s="79">
        <f t="shared" si="16"/>
        <v>26565264</v>
      </c>
      <c r="AZ28" s="25">
        <v>1</v>
      </c>
      <c r="BA28" s="62" t="s">
        <v>97</v>
      </c>
      <c r="BB28" s="66">
        <v>1</v>
      </c>
      <c r="BC28" s="66"/>
      <c r="BD28" s="66"/>
      <c r="BE28" s="67">
        <f t="shared" si="17"/>
        <v>368962</v>
      </c>
      <c r="BF28" s="67">
        <f t="shared" si="18"/>
        <v>0</v>
      </c>
      <c r="BG28" s="67">
        <f t="shared" si="6"/>
        <v>0</v>
      </c>
      <c r="BH28" s="66"/>
      <c r="BI28" s="68">
        <v>0</v>
      </c>
      <c r="BJ28" s="68" t="s">
        <v>124</v>
      </c>
      <c r="BK28" s="68" t="s">
        <v>124</v>
      </c>
      <c r="BL28" s="29"/>
      <c r="BO28" s="35" t="s">
        <v>1800</v>
      </c>
    </row>
    <row r="29" spans="1:68" ht="15" customHeight="1">
      <c r="A29" s="1" t="s">
        <v>43</v>
      </c>
      <c r="C29" s="1" t="str">
        <f t="shared" si="7"/>
        <v>2508</v>
      </c>
      <c r="D29" s="1" t="str">
        <f t="shared" si="8"/>
        <v>1809</v>
      </c>
      <c r="E29" s="19" t="s">
        <v>48</v>
      </c>
      <c r="F29" s="62" t="s">
        <v>1896</v>
      </c>
      <c r="G29" s="62">
        <v>2112</v>
      </c>
      <c r="H29" s="62" t="s">
        <v>127</v>
      </c>
      <c r="I29" s="62" t="s">
        <v>128</v>
      </c>
      <c r="J29" s="118">
        <v>1</v>
      </c>
      <c r="K29" s="119"/>
      <c r="L29" s="62" t="s">
        <v>77</v>
      </c>
      <c r="M29" s="120" t="s">
        <v>78</v>
      </c>
      <c r="N29" s="65">
        <v>43301</v>
      </c>
      <c r="O29" s="24">
        <v>1341.68</v>
      </c>
      <c r="P29" s="24">
        <v>23100</v>
      </c>
      <c r="Q29" s="64">
        <v>30992808</v>
      </c>
      <c r="R29" s="64"/>
      <c r="S29" s="64"/>
      <c r="T29" s="64"/>
      <c r="U29" s="64"/>
      <c r="V29" s="121">
        <v>30992808</v>
      </c>
      <c r="W29" s="122">
        <v>0</v>
      </c>
      <c r="X29" s="64">
        <v>30992808</v>
      </c>
      <c r="Y29" s="121"/>
      <c r="Z29" s="121"/>
      <c r="AA29" s="121"/>
      <c r="AB29" s="121"/>
      <c r="AC29" s="64">
        <v>30992808</v>
      </c>
      <c r="AD29" s="65">
        <v>43344</v>
      </c>
      <c r="AE29" s="65">
        <v>45899</v>
      </c>
      <c r="AF29" s="62">
        <v>7</v>
      </c>
      <c r="AG29" s="119">
        <v>84</v>
      </c>
      <c r="AH29" s="25">
        <v>368962</v>
      </c>
      <c r="AI29" s="78">
        <v>23613568</v>
      </c>
      <c r="AJ29" s="78">
        <v>7379240</v>
      </c>
      <c r="AK29" s="27">
        <f t="shared" si="9"/>
        <v>368962</v>
      </c>
      <c r="AL29" s="27">
        <f t="shared" si="10"/>
        <v>368962</v>
      </c>
      <c r="AM29" s="27">
        <f t="shared" si="10"/>
        <v>368962</v>
      </c>
      <c r="AN29" s="27">
        <f t="shared" si="11"/>
        <v>368962</v>
      </c>
      <c r="AO29" s="27">
        <f t="shared" si="5"/>
        <v>368962</v>
      </c>
      <c r="AP29" s="27">
        <f t="shared" si="5"/>
        <v>368962</v>
      </c>
      <c r="AQ29" s="27">
        <f t="shared" si="12"/>
        <v>368962</v>
      </c>
      <c r="AR29" s="27">
        <f t="shared" si="13"/>
        <v>368962</v>
      </c>
      <c r="AS29" s="27"/>
      <c r="AT29" s="27"/>
      <c r="AU29" s="27"/>
      <c r="AV29" s="27"/>
      <c r="AW29" s="27">
        <f t="shared" si="14"/>
        <v>2951696</v>
      </c>
      <c r="AX29" s="79">
        <f t="shared" si="15"/>
        <v>4427544</v>
      </c>
      <c r="AY29" s="79">
        <f t="shared" si="16"/>
        <v>26565264</v>
      </c>
      <c r="AZ29" s="25">
        <v>1</v>
      </c>
      <c r="BA29" s="62" t="s">
        <v>97</v>
      </c>
      <c r="BB29" s="66">
        <v>1</v>
      </c>
      <c r="BC29" s="66"/>
      <c r="BD29" s="66"/>
      <c r="BE29" s="67">
        <f t="shared" si="17"/>
        <v>368962</v>
      </c>
      <c r="BF29" s="67">
        <f t="shared" si="18"/>
        <v>0</v>
      </c>
      <c r="BG29" s="67">
        <f t="shared" si="6"/>
        <v>0</v>
      </c>
      <c r="BH29" s="66"/>
      <c r="BI29" s="68">
        <v>0</v>
      </c>
      <c r="BJ29" s="68" t="s">
        <v>2049</v>
      </c>
      <c r="BK29" s="68" t="s">
        <v>2049</v>
      </c>
      <c r="BL29" s="29"/>
      <c r="BO29" s="35" t="s">
        <v>1800</v>
      </c>
    </row>
    <row r="30" spans="1:68" ht="15" customHeight="1">
      <c r="A30" s="1" t="s">
        <v>43</v>
      </c>
      <c r="C30" s="1" t="str">
        <f t="shared" si="7"/>
        <v>2508</v>
      </c>
      <c r="D30" s="1" t="str">
        <f t="shared" si="8"/>
        <v>1809</v>
      </c>
      <c r="E30" s="19" t="s">
        <v>48</v>
      </c>
      <c r="F30" s="62" t="s">
        <v>49</v>
      </c>
      <c r="G30" s="62">
        <v>2112</v>
      </c>
      <c r="H30" s="62" t="s">
        <v>129</v>
      </c>
      <c r="I30" s="62" t="s">
        <v>130</v>
      </c>
      <c r="J30" s="118">
        <v>10</v>
      </c>
      <c r="K30" s="119"/>
      <c r="L30" s="62" t="s">
        <v>77</v>
      </c>
      <c r="M30" s="120" t="s">
        <v>78</v>
      </c>
      <c r="N30" s="65">
        <v>43301</v>
      </c>
      <c r="O30" s="24">
        <v>34883.699999999997</v>
      </c>
      <c r="P30" s="24">
        <v>23100</v>
      </c>
      <c r="Q30" s="64">
        <v>805813469.99999988</v>
      </c>
      <c r="R30" s="64"/>
      <c r="S30" s="64"/>
      <c r="T30" s="64"/>
      <c r="U30" s="64"/>
      <c r="V30" s="121">
        <v>805813470</v>
      </c>
      <c r="W30" s="122">
        <v>0</v>
      </c>
      <c r="X30" s="64">
        <v>805813469.99999988</v>
      </c>
      <c r="Y30" s="121"/>
      <c r="Z30" s="121"/>
      <c r="AA30" s="121"/>
      <c r="AB30" s="121"/>
      <c r="AC30" s="64">
        <v>805813470</v>
      </c>
      <c r="AD30" s="65">
        <v>43344</v>
      </c>
      <c r="AE30" s="65">
        <v>45899</v>
      </c>
      <c r="AF30" s="62">
        <v>7</v>
      </c>
      <c r="AG30" s="119">
        <v>84</v>
      </c>
      <c r="AH30" s="25">
        <v>9593017.5</v>
      </c>
      <c r="AI30" s="78">
        <v>613953147</v>
      </c>
      <c r="AJ30" s="78">
        <v>191860323</v>
      </c>
      <c r="AK30" s="27">
        <f t="shared" si="9"/>
        <v>9593017.5</v>
      </c>
      <c r="AL30" s="27">
        <f t="shared" si="10"/>
        <v>9593017.5</v>
      </c>
      <c r="AM30" s="27">
        <f t="shared" si="10"/>
        <v>9593017.5</v>
      </c>
      <c r="AN30" s="27">
        <f t="shared" si="11"/>
        <v>9593017.5</v>
      </c>
      <c r="AO30" s="27">
        <f t="shared" si="5"/>
        <v>9593017.5</v>
      </c>
      <c r="AP30" s="27">
        <f t="shared" si="5"/>
        <v>9593017.5</v>
      </c>
      <c r="AQ30" s="27">
        <f t="shared" si="12"/>
        <v>9593017.5</v>
      </c>
      <c r="AR30" s="27">
        <f t="shared" si="13"/>
        <v>9593017.5</v>
      </c>
      <c r="AS30" s="27"/>
      <c r="AT30" s="27"/>
      <c r="AU30" s="27"/>
      <c r="AV30" s="27"/>
      <c r="AW30" s="27">
        <f t="shared" si="14"/>
        <v>76744140</v>
      </c>
      <c r="AX30" s="79">
        <f t="shared" si="15"/>
        <v>115116183</v>
      </c>
      <c r="AY30" s="79">
        <f t="shared" si="16"/>
        <v>690697287</v>
      </c>
      <c r="AZ30" s="25">
        <v>10</v>
      </c>
      <c r="BA30" s="62" t="s">
        <v>79</v>
      </c>
      <c r="BB30" s="66">
        <v>1</v>
      </c>
      <c r="BC30" s="66"/>
      <c r="BD30" s="66"/>
      <c r="BE30" s="67">
        <f t="shared" si="17"/>
        <v>9593017.5</v>
      </c>
      <c r="BF30" s="67">
        <f t="shared" si="18"/>
        <v>0</v>
      </c>
      <c r="BG30" s="67">
        <f t="shared" si="6"/>
        <v>0</v>
      </c>
      <c r="BH30" s="66"/>
      <c r="BI30" s="68" t="s">
        <v>131</v>
      </c>
      <c r="BJ30" s="68" t="s">
        <v>85</v>
      </c>
      <c r="BK30" s="68" t="s">
        <v>85</v>
      </c>
      <c r="BL30" s="29"/>
      <c r="BO30" s="35" t="s">
        <v>1800</v>
      </c>
    </row>
    <row r="31" spans="1:68" ht="15" customHeight="1">
      <c r="A31" s="1" t="s">
        <v>43</v>
      </c>
      <c r="C31" s="1" t="str">
        <f t="shared" si="7"/>
        <v>2508</v>
      </c>
      <c r="D31" s="1" t="str">
        <f t="shared" si="8"/>
        <v>1809</v>
      </c>
      <c r="E31" s="19" t="s">
        <v>48</v>
      </c>
      <c r="F31" s="62" t="s">
        <v>49</v>
      </c>
      <c r="G31" s="62">
        <v>2112</v>
      </c>
      <c r="H31" s="62" t="s">
        <v>132</v>
      </c>
      <c r="I31" s="62" t="s">
        <v>133</v>
      </c>
      <c r="J31" s="118">
        <v>1</v>
      </c>
      <c r="K31" s="119"/>
      <c r="L31" s="62" t="s">
        <v>77</v>
      </c>
      <c r="M31" s="120"/>
      <c r="N31" s="65">
        <v>43301</v>
      </c>
      <c r="O31" s="24">
        <v>4919.5</v>
      </c>
      <c r="P31" s="24">
        <v>23100</v>
      </c>
      <c r="Q31" s="64">
        <v>113640450</v>
      </c>
      <c r="R31" s="64"/>
      <c r="S31" s="64"/>
      <c r="T31" s="64">
        <v>3290454.8124093078</v>
      </c>
      <c r="U31" s="64" t="s">
        <v>134</v>
      </c>
      <c r="V31" s="121">
        <v>116930904.81200001</v>
      </c>
      <c r="W31" s="122">
        <v>-4.0930509567260742E-4</v>
      </c>
      <c r="X31" s="64">
        <v>116930904.81240931</v>
      </c>
      <c r="Y31" s="121"/>
      <c r="Z31" s="121"/>
      <c r="AA31" s="121"/>
      <c r="AB31" s="121"/>
      <c r="AC31" s="64">
        <v>116930904.8115907</v>
      </c>
      <c r="AD31" s="65">
        <v>43344</v>
      </c>
      <c r="AE31" s="65">
        <v>45899</v>
      </c>
      <c r="AF31" s="62">
        <v>7</v>
      </c>
      <c r="AG31" s="119">
        <v>84</v>
      </c>
      <c r="AH31" s="25">
        <v>1392034.5810903655</v>
      </c>
      <c r="AI31" s="78">
        <v>89090235.812494352</v>
      </c>
      <c r="AJ31" s="78">
        <v>27840668.999096353</v>
      </c>
      <c r="AK31" s="27">
        <f t="shared" si="9"/>
        <v>1392034.5810903655</v>
      </c>
      <c r="AL31" s="27">
        <f t="shared" si="10"/>
        <v>1392034.5810903655</v>
      </c>
      <c r="AM31" s="27">
        <f t="shared" si="10"/>
        <v>1392034.5810903655</v>
      </c>
      <c r="AN31" s="27">
        <f t="shared" si="11"/>
        <v>1392034.5810903655</v>
      </c>
      <c r="AO31" s="27">
        <f t="shared" si="5"/>
        <v>1392034.5810903655</v>
      </c>
      <c r="AP31" s="27">
        <f t="shared" si="5"/>
        <v>1392034.5810903655</v>
      </c>
      <c r="AQ31" s="27">
        <f t="shared" si="12"/>
        <v>1392034.5810903655</v>
      </c>
      <c r="AR31" s="27">
        <f t="shared" si="13"/>
        <v>1392034.5810903655</v>
      </c>
      <c r="AS31" s="27"/>
      <c r="AT31" s="27"/>
      <c r="AU31" s="27"/>
      <c r="AV31" s="27"/>
      <c r="AW31" s="27">
        <f t="shared" si="14"/>
        <v>11136276.648722924</v>
      </c>
      <c r="AX31" s="79">
        <f t="shared" si="15"/>
        <v>16704392.350373425</v>
      </c>
      <c r="AY31" s="79">
        <f t="shared" si="16"/>
        <v>100226512.46121728</v>
      </c>
      <c r="AZ31" s="25">
        <v>1</v>
      </c>
      <c r="BA31" s="62" t="s">
        <v>97</v>
      </c>
      <c r="BB31" s="66">
        <v>1</v>
      </c>
      <c r="BC31" s="66"/>
      <c r="BD31" s="66"/>
      <c r="BE31" s="67">
        <f t="shared" si="17"/>
        <v>1392034.5810903655</v>
      </c>
      <c r="BF31" s="67">
        <f t="shared" si="18"/>
        <v>0</v>
      </c>
      <c r="BG31" s="67">
        <f t="shared" si="6"/>
        <v>0</v>
      </c>
      <c r="BH31" s="66"/>
      <c r="BI31" s="68" t="s">
        <v>135</v>
      </c>
      <c r="BJ31" s="68" t="s">
        <v>58</v>
      </c>
      <c r="BK31" s="68" t="s">
        <v>136</v>
      </c>
      <c r="BL31" s="29"/>
      <c r="BO31" s="35" t="s">
        <v>1804</v>
      </c>
    </row>
    <row r="32" spans="1:68" ht="15" customHeight="1">
      <c r="A32" s="1" t="s">
        <v>43</v>
      </c>
      <c r="C32" s="1" t="str">
        <f t="shared" si="7"/>
        <v>2508</v>
      </c>
      <c r="D32" s="1" t="str">
        <f t="shared" si="8"/>
        <v>1809</v>
      </c>
      <c r="E32" s="19" t="s">
        <v>48</v>
      </c>
      <c r="F32" s="62" t="s">
        <v>49</v>
      </c>
      <c r="G32" s="62">
        <v>2112</v>
      </c>
      <c r="H32" s="62" t="s">
        <v>144</v>
      </c>
      <c r="I32" s="62" t="s">
        <v>145</v>
      </c>
      <c r="J32" s="118">
        <v>5</v>
      </c>
      <c r="K32" s="119"/>
      <c r="L32" s="62" t="s">
        <v>77</v>
      </c>
      <c r="M32" s="120" t="s">
        <v>139</v>
      </c>
      <c r="N32" s="65">
        <v>43301</v>
      </c>
      <c r="O32" s="24">
        <v>35944.550000000003</v>
      </c>
      <c r="P32" s="24">
        <v>23100</v>
      </c>
      <c r="Q32" s="64">
        <v>830319105.00000012</v>
      </c>
      <c r="R32" s="64"/>
      <c r="S32" s="64"/>
      <c r="T32" s="64">
        <v>24041857.409774777</v>
      </c>
      <c r="U32" s="64" t="s">
        <v>134</v>
      </c>
      <c r="V32" s="121">
        <v>854360962.40999997</v>
      </c>
      <c r="W32" s="122">
        <v>2.25067138671875E-4</v>
      </c>
      <c r="X32" s="64">
        <v>854360962.4097749</v>
      </c>
      <c r="Y32" s="121"/>
      <c r="Z32" s="121"/>
      <c r="AA32" s="121"/>
      <c r="AB32" s="121"/>
      <c r="AC32" s="64">
        <v>854360962.41022503</v>
      </c>
      <c r="AD32" s="65">
        <v>43344</v>
      </c>
      <c r="AE32" s="65">
        <v>45899</v>
      </c>
      <c r="AF32" s="62">
        <v>7</v>
      </c>
      <c r="AG32" s="119">
        <v>84</v>
      </c>
      <c r="AH32" s="25">
        <v>10170963.838216964</v>
      </c>
      <c r="AI32" s="78">
        <v>650941694.38239467</v>
      </c>
      <c r="AJ32" s="78">
        <v>203419268.02783036</v>
      </c>
      <c r="AK32" s="27">
        <f t="shared" si="9"/>
        <v>10170963.838216964</v>
      </c>
      <c r="AL32" s="27">
        <f t="shared" si="10"/>
        <v>10170963.838216964</v>
      </c>
      <c r="AM32" s="27">
        <f t="shared" si="10"/>
        <v>10170963.838216964</v>
      </c>
      <c r="AN32" s="27">
        <f t="shared" si="11"/>
        <v>10170963.838216964</v>
      </c>
      <c r="AO32" s="27">
        <f t="shared" si="5"/>
        <v>10170963.838216964</v>
      </c>
      <c r="AP32" s="27">
        <f t="shared" si="5"/>
        <v>10170963.838216964</v>
      </c>
      <c r="AQ32" s="27">
        <f t="shared" si="12"/>
        <v>10170963.838216964</v>
      </c>
      <c r="AR32" s="27">
        <f t="shared" si="13"/>
        <v>10170963.838216964</v>
      </c>
      <c r="AS32" s="27"/>
      <c r="AT32" s="27"/>
      <c r="AU32" s="27"/>
      <c r="AV32" s="27"/>
      <c r="AW32" s="27">
        <f t="shared" si="14"/>
        <v>81367710.705735698</v>
      </c>
      <c r="AX32" s="79">
        <f t="shared" si="15"/>
        <v>122051557.32209466</v>
      </c>
      <c r="AY32" s="79">
        <f t="shared" si="16"/>
        <v>732309405.08813035</v>
      </c>
      <c r="AZ32" s="25">
        <v>5</v>
      </c>
      <c r="BA32" s="62" t="s">
        <v>97</v>
      </c>
      <c r="BB32" s="66">
        <v>1</v>
      </c>
      <c r="BC32" s="66"/>
      <c r="BD32" s="66"/>
      <c r="BE32" s="67">
        <f t="shared" si="17"/>
        <v>10170963.838216964</v>
      </c>
      <c r="BF32" s="67">
        <f t="shared" si="18"/>
        <v>0</v>
      </c>
      <c r="BG32" s="67">
        <f t="shared" si="6"/>
        <v>0</v>
      </c>
      <c r="BH32" s="66"/>
      <c r="BI32" s="68" t="s">
        <v>146</v>
      </c>
      <c r="BJ32" s="68" t="s">
        <v>124</v>
      </c>
      <c r="BK32" s="68" t="s">
        <v>124</v>
      </c>
      <c r="BL32" s="29"/>
      <c r="BO32" s="35" t="s">
        <v>1804</v>
      </c>
    </row>
    <row r="33" spans="1:67" ht="15" customHeight="1">
      <c r="A33" s="1" t="s">
        <v>43</v>
      </c>
      <c r="C33" s="1" t="str">
        <f t="shared" si="7"/>
        <v>2508</v>
      </c>
      <c r="D33" s="1" t="str">
        <f t="shared" si="8"/>
        <v>1809</v>
      </c>
      <c r="E33" s="19" t="s">
        <v>48</v>
      </c>
      <c r="F33" s="62" t="s">
        <v>49</v>
      </c>
      <c r="G33" s="62">
        <v>2112</v>
      </c>
      <c r="H33" s="62" t="s">
        <v>147</v>
      </c>
      <c r="I33" s="62" t="s">
        <v>148</v>
      </c>
      <c r="J33" s="118">
        <v>2</v>
      </c>
      <c r="K33" s="119"/>
      <c r="L33" s="62" t="s">
        <v>77</v>
      </c>
      <c r="M33" s="120" t="s">
        <v>149</v>
      </c>
      <c r="N33" s="65">
        <v>43320</v>
      </c>
      <c r="O33" s="24">
        <v>53618.53</v>
      </c>
      <c r="P33" s="24">
        <v>23330</v>
      </c>
      <c r="Q33" s="64">
        <v>1250920304.8999999</v>
      </c>
      <c r="R33" s="64"/>
      <c r="S33" s="64"/>
      <c r="T33" s="64">
        <v>22682434.262417912</v>
      </c>
      <c r="U33" s="64" t="s">
        <v>150</v>
      </c>
      <c r="V33" s="121">
        <v>1273602739.1619999</v>
      </c>
      <c r="W33" s="122">
        <v>-4.1794776916503906E-4</v>
      </c>
      <c r="X33" s="64">
        <v>1273602739.1624179</v>
      </c>
      <c r="Y33" s="121"/>
      <c r="Z33" s="121"/>
      <c r="AA33" s="121"/>
      <c r="AB33" s="121"/>
      <c r="AC33" s="64">
        <v>1273602739.161582</v>
      </c>
      <c r="AD33" s="65">
        <v>43344</v>
      </c>
      <c r="AE33" s="65">
        <v>45899</v>
      </c>
      <c r="AF33" s="62">
        <v>7</v>
      </c>
      <c r="AG33" s="119">
        <v>84</v>
      </c>
      <c r="AH33" s="25">
        <v>15161937.370971214</v>
      </c>
      <c r="AI33" s="78">
        <v>970363971.71129417</v>
      </c>
      <c r="AJ33" s="78">
        <v>303238767.45028782</v>
      </c>
      <c r="AK33" s="27">
        <f t="shared" si="9"/>
        <v>15161937.370971214</v>
      </c>
      <c r="AL33" s="27">
        <f t="shared" si="10"/>
        <v>15161937.370971214</v>
      </c>
      <c r="AM33" s="27">
        <f t="shared" si="10"/>
        <v>15161937.370971214</v>
      </c>
      <c r="AN33" s="27">
        <f t="shared" si="11"/>
        <v>15161937.370971214</v>
      </c>
      <c r="AO33" s="27">
        <f t="shared" si="5"/>
        <v>15161937.370971214</v>
      </c>
      <c r="AP33" s="27">
        <f t="shared" si="5"/>
        <v>15161937.370971214</v>
      </c>
      <c r="AQ33" s="27">
        <f t="shared" si="12"/>
        <v>15161937.370971214</v>
      </c>
      <c r="AR33" s="27">
        <f t="shared" si="13"/>
        <v>15161937.370971214</v>
      </c>
      <c r="AS33" s="27"/>
      <c r="AT33" s="27"/>
      <c r="AU33" s="27"/>
      <c r="AV33" s="27"/>
      <c r="AW33" s="27">
        <f t="shared" si="14"/>
        <v>121295498.96776973</v>
      </c>
      <c r="AX33" s="79">
        <f t="shared" si="15"/>
        <v>181943268.48251808</v>
      </c>
      <c r="AY33" s="79">
        <f t="shared" si="16"/>
        <v>1091659470.6790638</v>
      </c>
      <c r="AZ33" s="25">
        <v>2</v>
      </c>
      <c r="BA33" s="62" t="s">
        <v>97</v>
      </c>
      <c r="BB33" s="66">
        <v>1</v>
      </c>
      <c r="BC33" s="66"/>
      <c r="BD33" s="66"/>
      <c r="BE33" s="67">
        <f t="shared" si="17"/>
        <v>15161937.370971214</v>
      </c>
      <c r="BF33" s="67">
        <f t="shared" si="18"/>
        <v>0</v>
      </c>
      <c r="BG33" s="67">
        <f t="shared" si="6"/>
        <v>0</v>
      </c>
      <c r="BH33" s="66" t="s">
        <v>1662</v>
      </c>
      <c r="BI33" s="68" t="s">
        <v>107</v>
      </c>
      <c r="BJ33" s="68" t="s">
        <v>124</v>
      </c>
      <c r="BK33" s="68" t="s">
        <v>124</v>
      </c>
      <c r="BL33" s="29"/>
      <c r="BO33" s="35" t="s">
        <v>1801</v>
      </c>
    </row>
    <row r="34" spans="1:67" ht="15" customHeight="1">
      <c r="A34" s="1" t="s">
        <v>43</v>
      </c>
      <c r="C34" s="1" t="str">
        <f t="shared" si="7"/>
        <v>2508</v>
      </c>
      <c r="D34" s="1" t="str">
        <f t="shared" si="8"/>
        <v>1809</v>
      </c>
      <c r="E34" s="19" t="s">
        <v>48</v>
      </c>
      <c r="F34" s="62" t="s">
        <v>49</v>
      </c>
      <c r="G34" s="62">
        <v>2112</v>
      </c>
      <c r="H34" s="62" t="s">
        <v>151</v>
      </c>
      <c r="I34" s="62" t="s">
        <v>152</v>
      </c>
      <c r="J34" s="118">
        <v>1</v>
      </c>
      <c r="K34" s="119"/>
      <c r="L34" s="62" t="s">
        <v>77</v>
      </c>
      <c r="M34" s="120" t="s">
        <v>149</v>
      </c>
      <c r="N34" s="65">
        <v>43320</v>
      </c>
      <c r="O34" s="24">
        <v>16635.63</v>
      </c>
      <c r="P34" s="24">
        <v>23330</v>
      </c>
      <c r="Q34" s="64">
        <v>388109247.90000004</v>
      </c>
      <c r="R34" s="64"/>
      <c r="S34" s="64"/>
      <c r="T34" s="64">
        <v>7037428.7375820894</v>
      </c>
      <c r="U34" s="64" t="s">
        <v>150</v>
      </c>
      <c r="V34" s="121">
        <v>395146676.63800001</v>
      </c>
      <c r="W34" s="122">
        <v>4.1788816452026367E-4</v>
      </c>
      <c r="X34" s="64">
        <v>395146676.63758212</v>
      </c>
      <c r="Y34" s="121"/>
      <c r="Z34" s="121"/>
      <c r="AA34" s="121"/>
      <c r="AB34" s="121"/>
      <c r="AC34" s="64">
        <v>395146676.6384179</v>
      </c>
      <c r="AD34" s="65">
        <v>43344</v>
      </c>
      <c r="AE34" s="65">
        <v>45899</v>
      </c>
      <c r="AF34" s="62">
        <v>7</v>
      </c>
      <c r="AG34" s="119">
        <v>84</v>
      </c>
      <c r="AH34" s="25">
        <v>4704127.1028383086</v>
      </c>
      <c r="AI34" s="78">
        <v>301064129.02680099</v>
      </c>
      <c r="AJ34" s="78">
        <v>94082547.61161691</v>
      </c>
      <c r="AK34" s="27">
        <f t="shared" si="9"/>
        <v>4704127.1028383086</v>
      </c>
      <c r="AL34" s="27">
        <f t="shared" si="10"/>
        <v>4704127.1028383086</v>
      </c>
      <c r="AM34" s="27">
        <f t="shared" si="10"/>
        <v>4704127.1028383086</v>
      </c>
      <c r="AN34" s="27">
        <f t="shared" si="11"/>
        <v>4704127.1028383086</v>
      </c>
      <c r="AO34" s="27">
        <f t="shared" si="5"/>
        <v>4704127.1028383086</v>
      </c>
      <c r="AP34" s="27">
        <f t="shared" si="5"/>
        <v>4704127.1028383086</v>
      </c>
      <c r="AQ34" s="27">
        <f t="shared" si="12"/>
        <v>4704127.1028383086</v>
      </c>
      <c r="AR34" s="27">
        <f t="shared" si="13"/>
        <v>4704127.1028383086</v>
      </c>
      <c r="AS34" s="27"/>
      <c r="AT34" s="27"/>
      <c r="AU34" s="27"/>
      <c r="AV34" s="27"/>
      <c r="AW34" s="27">
        <f t="shared" si="14"/>
        <v>37633016.822706468</v>
      </c>
      <c r="AX34" s="79">
        <f t="shared" si="15"/>
        <v>56449530.788910441</v>
      </c>
      <c r="AY34" s="79">
        <f t="shared" si="16"/>
        <v>338697145.84950745</v>
      </c>
      <c r="AZ34" s="25">
        <v>1</v>
      </c>
      <c r="BA34" s="62" t="s">
        <v>97</v>
      </c>
      <c r="BB34" s="66"/>
      <c r="BC34" s="66">
        <v>1</v>
      </c>
      <c r="BD34" s="66"/>
      <c r="BE34" s="67">
        <f t="shared" si="17"/>
        <v>0</v>
      </c>
      <c r="BF34" s="67">
        <f t="shared" si="18"/>
        <v>4704127.1028383086</v>
      </c>
      <c r="BG34" s="67">
        <f t="shared" si="6"/>
        <v>0</v>
      </c>
      <c r="BH34" s="66"/>
      <c r="BI34" s="68" t="s">
        <v>153</v>
      </c>
      <c r="BJ34" s="68" t="s">
        <v>121</v>
      </c>
      <c r="BK34" s="68" t="s">
        <v>121</v>
      </c>
      <c r="BL34" s="29"/>
      <c r="BO34" s="35" t="s">
        <v>1800</v>
      </c>
    </row>
    <row r="35" spans="1:67" ht="15" customHeight="1">
      <c r="A35" s="1" t="s">
        <v>43</v>
      </c>
      <c r="C35" s="1" t="str">
        <f t="shared" si="7"/>
        <v>2508</v>
      </c>
      <c r="D35" s="1" t="str">
        <f t="shared" si="8"/>
        <v>1809</v>
      </c>
      <c r="E35" s="19" t="s">
        <v>48</v>
      </c>
      <c r="F35" s="62" t="s">
        <v>49</v>
      </c>
      <c r="G35" s="62">
        <v>2112</v>
      </c>
      <c r="H35" s="62" t="s">
        <v>157</v>
      </c>
      <c r="I35" s="62" t="s">
        <v>158</v>
      </c>
      <c r="J35" s="118">
        <v>1</v>
      </c>
      <c r="K35" s="119"/>
      <c r="L35" s="62" t="s">
        <v>77</v>
      </c>
      <c r="M35" s="120" t="s">
        <v>156</v>
      </c>
      <c r="N35" s="65">
        <v>43320</v>
      </c>
      <c r="O35" s="24">
        <v>3611.09</v>
      </c>
      <c r="P35" s="24">
        <v>23330</v>
      </c>
      <c r="Q35" s="64">
        <v>84246729.700000003</v>
      </c>
      <c r="R35" s="64">
        <v>12641660</v>
      </c>
      <c r="S35" s="64"/>
      <c r="T35" s="64">
        <v>2673797.4042581278</v>
      </c>
      <c r="U35" s="64"/>
      <c r="V35" s="121">
        <v>99562187.104000002</v>
      </c>
      <c r="W35" s="122">
        <v>-2.5813281536102295E-4</v>
      </c>
      <c r="X35" s="64">
        <v>99562187.104258135</v>
      </c>
      <c r="Y35" s="121"/>
      <c r="Z35" s="121"/>
      <c r="AA35" s="121"/>
      <c r="AB35" s="121"/>
      <c r="AC35" s="64">
        <v>99562187.103741869</v>
      </c>
      <c r="AD35" s="65">
        <v>43344</v>
      </c>
      <c r="AE35" s="65">
        <v>45899</v>
      </c>
      <c r="AF35" s="62">
        <v>7</v>
      </c>
      <c r="AG35" s="119">
        <v>84</v>
      </c>
      <c r="AH35" s="25">
        <v>1185264.1321874033</v>
      </c>
      <c r="AI35" s="78">
        <v>75856897.325615898</v>
      </c>
      <c r="AJ35" s="78">
        <v>23705289.778125964</v>
      </c>
      <c r="AK35" s="27">
        <f t="shared" si="9"/>
        <v>1185264.1321874033</v>
      </c>
      <c r="AL35" s="27">
        <f t="shared" si="10"/>
        <v>1185264.1321874033</v>
      </c>
      <c r="AM35" s="27">
        <f t="shared" si="10"/>
        <v>1185264.1321874033</v>
      </c>
      <c r="AN35" s="27">
        <f t="shared" si="11"/>
        <v>1185264.1321874033</v>
      </c>
      <c r="AO35" s="27">
        <f t="shared" si="5"/>
        <v>1185264.1321874033</v>
      </c>
      <c r="AP35" s="27">
        <f t="shared" si="5"/>
        <v>1185264.1321874033</v>
      </c>
      <c r="AQ35" s="27">
        <f t="shared" si="12"/>
        <v>1185264.1321874033</v>
      </c>
      <c r="AR35" s="27">
        <f t="shared" si="13"/>
        <v>1185264.1321874033</v>
      </c>
      <c r="AS35" s="27"/>
      <c r="AT35" s="27"/>
      <c r="AU35" s="27"/>
      <c r="AV35" s="27"/>
      <c r="AW35" s="27">
        <f t="shared" si="14"/>
        <v>9482113.057499228</v>
      </c>
      <c r="AX35" s="79">
        <f t="shared" si="15"/>
        <v>14223176.720626744</v>
      </c>
      <c r="AY35" s="79">
        <f t="shared" si="16"/>
        <v>85339010.383115128</v>
      </c>
      <c r="AZ35" s="25">
        <v>1</v>
      </c>
      <c r="BA35" s="62" t="s">
        <v>79</v>
      </c>
      <c r="BB35" s="66">
        <v>1</v>
      </c>
      <c r="BC35" s="66"/>
      <c r="BD35" s="66"/>
      <c r="BE35" s="67">
        <f t="shared" si="17"/>
        <v>1185264.1321874033</v>
      </c>
      <c r="BF35" s="67">
        <f t="shared" si="18"/>
        <v>0</v>
      </c>
      <c r="BG35" s="67">
        <f t="shared" si="6"/>
        <v>0</v>
      </c>
      <c r="BH35" s="66"/>
      <c r="BI35" s="68">
        <v>0</v>
      </c>
      <c r="BJ35" s="68" t="s">
        <v>58</v>
      </c>
      <c r="BK35" s="68" t="s">
        <v>159</v>
      </c>
      <c r="BL35" s="29"/>
      <c r="BO35" s="35" t="s">
        <v>1804</v>
      </c>
    </row>
    <row r="36" spans="1:67" ht="15" customHeight="1">
      <c r="A36" s="1" t="s">
        <v>43</v>
      </c>
      <c r="C36" s="1" t="str">
        <f t="shared" si="7"/>
        <v>2508</v>
      </c>
      <c r="D36" s="1" t="str">
        <f t="shared" si="8"/>
        <v>1809</v>
      </c>
      <c r="E36" s="19" t="s">
        <v>48</v>
      </c>
      <c r="F36" s="62" t="s">
        <v>49</v>
      </c>
      <c r="G36" s="62">
        <v>2112</v>
      </c>
      <c r="H36" s="62" t="s">
        <v>163</v>
      </c>
      <c r="I36" s="62" t="s">
        <v>164</v>
      </c>
      <c r="J36" s="118">
        <v>1</v>
      </c>
      <c r="K36" s="119"/>
      <c r="L36" s="62" t="s">
        <v>165</v>
      </c>
      <c r="M36" s="120" t="s">
        <v>166</v>
      </c>
      <c r="N36" s="65">
        <v>43332</v>
      </c>
      <c r="O36" s="24"/>
      <c r="P36" s="24"/>
      <c r="Q36" s="64">
        <v>613000000</v>
      </c>
      <c r="R36" s="64"/>
      <c r="S36" s="64"/>
      <c r="T36" s="64"/>
      <c r="U36" s="64"/>
      <c r="V36" s="121">
        <v>613000000</v>
      </c>
      <c r="W36" s="122">
        <v>0</v>
      </c>
      <c r="X36" s="64">
        <v>613000000</v>
      </c>
      <c r="Y36" s="121"/>
      <c r="Z36" s="121"/>
      <c r="AA36" s="121"/>
      <c r="AB36" s="121"/>
      <c r="AC36" s="64">
        <v>613000000</v>
      </c>
      <c r="AD36" s="65">
        <v>43344</v>
      </c>
      <c r="AE36" s="65">
        <v>45899</v>
      </c>
      <c r="AF36" s="62">
        <v>7</v>
      </c>
      <c r="AG36" s="119">
        <v>84</v>
      </c>
      <c r="AH36" s="25">
        <v>7297619.0476190476</v>
      </c>
      <c r="AI36" s="78">
        <v>467047616.47619045</v>
      </c>
      <c r="AJ36" s="78">
        <v>145952383.52380955</v>
      </c>
      <c r="AK36" s="27">
        <f t="shared" si="9"/>
        <v>7297619.0476190476</v>
      </c>
      <c r="AL36" s="27">
        <f t="shared" si="10"/>
        <v>7297619.0476190476</v>
      </c>
      <c r="AM36" s="27">
        <f t="shared" si="10"/>
        <v>7297619.0476190476</v>
      </c>
      <c r="AN36" s="27">
        <f t="shared" si="11"/>
        <v>7297619.0476190476</v>
      </c>
      <c r="AO36" s="27">
        <f t="shared" si="5"/>
        <v>7297619.0476190476</v>
      </c>
      <c r="AP36" s="27">
        <f t="shared" si="5"/>
        <v>7297619.0476190476</v>
      </c>
      <c r="AQ36" s="27">
        <f t="shared" si="12"/>
        <v>7297619.0476190476</v>
      </c>
      <c r="AR36" s="27">
        <f t="shared" si="13"/>
        <v>7297619.0476190476</v>
      </c>
      <c r="AS36" s="27"/>
      <c r="AT36" s="27"/>
      <c r="AU36" s="27"/>
      <c r="AV36" s="27"/>
      <c r="AW36" s="27">
        <f t="shared" si="14"/>
        <v>58380952.380952373</v>
      </c>
      <c r="AX36" s="79">
        <f t="shared" si="15"/>
        <v>87571431.142857179</v>
      </c>
      <c r="AY36" s="79">
        <f t="shared" si="16"/>
        <v>525428568.85714281</v>
      </c>
      <c r="AZ36" s="25">
        <v>1</v>
      </c>
      <c r="BA36" s="62" t="s">
        <v>79</v>
      </c>
      <c r="BB36" s="66">
        <v>1</v>
      </c>
      <c r="BC36" s="66"/>
      <c r="BD36" s="66"/>
      <c r="BE36" s="67">
        <f t="shared" si="17"/>
        <v>7297619.0476190476</v>
      </c>
      <c r="BF36" s="67">
        <f t="shared" si="18"/>
        <v>0</v>
      </c>
      <c r="BG36" s="67">
        <f t="shared" si="6"/>
        <v>0</v>
      </c>
      <c r="BH36" s="66"/>
      <c r="BI36" s="68" t="s">
        <v>140</v>
      </c>
      <c r="BJ36" s="68" t="s">
        <v>58</v>
      </c>
      <c r="BK36" s="68" t="s">
        <v>59</v>
      </c>
      <c r="BL36" s="29"/>
      <c r="BO36" s="35" t="s">
        <v>1804</v>
      </c>
    </row>
    <row r="37" spans="1:67" ht="15" customHeight="1">
      <c r="C37" s="1" t="str">
        <f t="shared" si="7"/>
        <v>2309</v>
      </c>
      <c r="D37" s="1" t="str">
        <f t="shared" si="8"/>
        <v>2402</v>
      </c>
      <c r="E37" s="19" t="s">
        <v>48</v>
      </c>
      <c r="F37" s="62" t="s">
        <v>1896</v>
      </c>
      <c r="G37" s="62">
        <v>2112</v>
      </c>
      <c r="H37" s="62" t="s">
        <v>2026</v>
      </c>
      <c r="I37" s="62" t="s">
        <v>172</v>
      </c>
      <c r="J37" s="118">
        <v>1</v>
      </c>
      <c r="K37" s="119"/>
      <c r="L37" s="62" t="s">
        <v>77</v>
      </c>
      <c r="M37" s="120" t="s">
        <v>173</v>
      </c>
      <c r="N37" s="65">
        <v>43353</v>
      </c>
      <c r="O37" s="24">
        <v>3000</v>
      </c>
      <c r="P37" s="24">
        <v>23320</v>
      </c>
      <c r="Q37" s="64">
        <f>+P37*O37</f>
        <v>69960000</v>
      </c>
      <c r="R37" s="64"/>
      <c r="S37" s="64"/>
      <c r="T37" s="163">
        <v>1709792</v>
      </c>
      <c r="U37" s="64" t="s">
        <v>174</v>
      </c>
      <c r="V37" s="121"/>
      <c r="W37" s="122"/>
      <c r="X37" s="64"/>
      <c r="Y37" s="121"/>
      <c r="Z37" s="121"/>
      <c r="AA37" s="127"/>
      <c r="AB37" s="123"/>
      <c r="AC37" s="64">
        <v>71669792</v>
      </c>
      <c r="AD37" s="65">
        <v>45323</v>
      </c>
      <c r="AE37" s="65">
        <v>45199</v>
      </c>
      <c r="AF37" s="62"/>
      <c r="AG37" s="119">
        <v>0</v>
      </c>
      <c r="AH37" s="25">
        <v>1194497</v>
      </c>
      <c r="AI37" s="78">
        <v>71669792.349079326</v>
      </c>
      <c r="AJ37" s="78">
        <v>0</v>
      </c>
      <c r="AK37" s="27">
        <f t="shared" si="9"/>
        <v>0</v>
      </c>
      <c r="AL37" s="27">
        <f t="shared" si="9"/>
        <v>0</v>
      </c>
      <c r="AM37" s="27">
        <f t="shared" si="10"/>
        <v>0</v>
      </c>
      <c r="AN37" s="27">
        <f t="shared" si="11"/>
        <v>0</v>
      </c>
      <c r="AO37" s="27">
        <f t="shared" si="5"/>
        <v>0</v>
      </c>
      <c r="AP37" s="27">
        <f t="shared" si="5"/>
        <v>0</v>
      </c>
      <c r="AQ37" s="27">
        <f t="shared" si="12"/>
        <v>0</v>
      </c>
      <c r="AR37" s="27">
        <f t="shared" si="13"/>
        <v>0</v>
      </c>
      <c r="AS37" s="27"/>
      <c r="AT37" s="27"/>
      <c r="AU37" s="27"/>
      <c r="AV37" s="27"/>
      <c r="AW37" s="27">
        <f t="shared" si="14"/>
        <v>0</v>
      </c>
      <c r="AX37" s="79">
        <f t="shared" si="15"/>
        <v>-0.34907932579517365</v>
      </c>
      <c r="AY37" s="79">
        <f t="shared" si="16"/>
        <v>71669792.349079326</v>
      </c>
      <c r="AZ37" s="25">
        <v>1</v>
      </c>
      <c r="BA37" s="62"/>
      <c r="BB37" s="66">
        <v>1</v>
      </c>
      <c r="BC37" s="66"/>
      <c r="BD37" s="66"/>
      <c r="BE37" s="67">
        <f t="shared" si="17"/>
        <v>0</v>
      </c>
      <c r="BF37" s="67">
        <f t="shared" si="18"/>
        <v>0</v>
      </c>
      <c r="BG37" s="67">
        <f t="shared" si="6"/>
        <v>0</v>
      </c>
      <c r="BH37" s="66"/>
      <c r="BI37" s="68"/>
      <c r="BJ37" s="68" t="s">
        <v>1982</v>
      </c>
      <c r="BK37" s="68" t="s">
        <v>1982</v>
      </c>
      <c r="BL37" s="29"/>
    </row>
    <row r="38" spans="1:67" ht="15" customHeight="1">
      <c r="C38" s="1" t="str">
        <f t="shared" si="7"/>
        <v>2309</v>
      </c>
      <c r="D38" s="1" t="str">
        <f t="shared" si="8"/>
        <v>2402</v>
      </c>
      <c r="E38" s="19" t="s">
        <v>48</v>
      </c>
      <c r="F38" s="62" t="s">
        <v>1896</v>
      </c>
      <c r="G38" s="62">
        <v>2112</v>
      </c>
      <c r="H38" s="62" t="s">
        <v>2027</v>
      </c>
      <c r="I38" s="62" t="s">
        <v>172</v>
      </c>
      <c r="J38" s="118">
        <v>1</v>
      </c>
      <c r="K38" s="119"/>
      <c r="L38" s="62" t="s">
        <v>77</v>
      </c>
      <c r="M38" s="120" t="s">
        <v>173</v>
      </c>
      <c r="N38" s="65">
        <v>43353</v>
      </c>
      <c r="O38" s="24">
        <v>3000</v>
      </c>
      <c r="P38" s="24">
        <v>23320</v>
      </c>
      <c r="Q38" s="64">
        <f>+P38*O38</f>
        <v>69960000</v>
      </c>
      <c r="R38" s="64"/>
      <c r="S38" s="64"/>
      <c r="T38" s="163">
        <v>1709792</v>
      </c>
      <c r="U38" s="64" t="s">
        <v>174</v>
      </c>
      <c r="V38" s="121"/>
      <c r="W38" s="122"/>
      <c r="X38" s="64"/>
      <c r="Y38" s="121"/>
      <c r="Z38" s="121"/>
      <c r="AA38" s="127"/>
      <c r="AB38" s="123"/>
      <c r="AC38" s="64">
        <v>71669793</v>
      </c>
      <c r="AD38" s="65">
        <v>45323</v>
      </c>
      <c r="AE38" s="65">
        <v>45199</v>
      </c>
      <c r="AF38" s="62"/>
      <c r="AG38" s="119">
        <v>0</v>
      </c>
      <c r="AH38" s="25">
        <v>1194497</v>
      </c>
      <c r="AI38" s="78">
        <v>71669792.349079505</v>
      </c>
      <c r="AJ38" s="78">
        <v>0</v>
      </c>
      <c r="AK38" s="27">
        <f t="shared" si="9"/>
        <v>0</v>
      </c>
      <c r="AL38" s="27">
        <f t="shared" si="9"/>
        <v>0</v>
      </c>
      <c r="AM38" s="27">
        <f t="shared" si="10"/>
        <v>0</v>
      </c>
      <c r="AN38" s="27">
        <f t="shared" si="11"/>
        <v>0</v>
      </c>
      <c r="AO38" s="27">
        <f t="shared" si="5"/>
        <v>0</v>
      </c>
      <c r="AP38" s="27">
        <f t="shared" si="5"/>
        <v>0</v>
      </c>
      <c r="AQ38" s="27">
        <f t="shared" si="12"/>
        <v>0</v>
      </c>
      <c r="AR38" s="27">
        <f t="shared" si="13"/>
        <v>0</v>
      </c>
      <c r="AS38" s="27"/>
      <c r="AT38" s="27"/>
      <c r="AU38" s="27"/>
      <c r="AV38" s="27"/>
      <c r="AW38" s="27">
        <f t="shared" si="14"/>
        <v>0</v>
      </c>
      <c r="AX38" s="79">
        <f t="shared" si="15"/>
        <v>0.65092049539089203</v>
      </c>
      <c r="AY38" s="79">
        <f t="shared" si="16"/>
        <v>71669792.349079505</v>
      </c>
      <c r="AZ38" s="25">
        <v>1</v>
      </c>
      <c r="BA38" s="62"/>
      <c r="BB38" s="66">
        <v>1</v>
      </c>
      <c r="BC38" s="66"/>
      <c r="BD38" s="66"/>
      <c r="BE38" s="67">
        <f t="shared" si="17"/>
        <v>0</v>
      </c>
      <c r="BF38" s="67">
        <f t="shared" si="18"/>
        <v>0</v>
      </c>
      <c r="BG38" s="67">
        <f t="shared" si="6"/>
        <v>0</v>
      </c>
      <c r="BH38" s="66"/>
      <c r="BI38" s="68"/>
      <c r="BJ38" s="68" t="s">
        <v>1982</v>
      </c>
      <c r="BK38" s="68" t="s">
        <v>1982</v>
      </c>
      <c r="BL38" s="29"/>
    </row>
    <row r="39" spans="1:67" ht="15" customHeight="1">
      <c r="A39" s="1" t="s">
        <v>43</v>
      </c>
      <c r="C39" s="1" t="str">
        <f t="shared" si="7"/>
        <v>2309</v>
      </c>
      <c r="D39" s="1" t="str">
        <f t="shared" si="8"/>
        <v>1810</v>
      </c>
      <c r="E39" s="19" t="s">
        <v>48</v>
      </c>
      <c r="F39" s="62" t="s">
        <v>1896</v>
      </c>
      <c r="G39" s="62">
        <v>2112</v>
      </c>
      <c r="H39" s="62" t="s">
        <v>177</v>
      </c>
      <c r="I39" s="62" t="s">
        <v>178</v>
      </c>
      <c r="J39" s="118">
        <v>1</v>
      </c>
      <c r="K39" s="119"/>
      <c r="L39" s="62" t="s">
        <v>77</v>
      </c>
      <c r="M39" s="120" t="s">
        <v>173</v>
      </c>
      <c r="N39" s="65">
        <v>43353</v>
      </c>
      <c r="O39" s="24">
        <v>180000</v>
      </c>
      <c r="P39" s="24">
        <v>23320</v>
      </c>
      <c r="Q39" s="64">
        <v>4197600000</v>
      </c>
      <c r="R39" s="64"/>
      <c r="S39" s="64"/>
      <c r="T39" s="64">
        <v>102587540.93841642</v>
      </c>
      <c r="U39" s="64"/>
      <c r="V39" s="121">
        <v>4300187540.9379997</v>
      </c>
      <c r="W39" s="122">
        <v>-4.1675567626953125E-4</v>
      </c>
      <c r="X39" s="64">
        <v>4300187540.9384165</v>
      </c>
      <c r="Y39" s="121"/>
      <c r="Z39" s="121"/>
      <c r="AA39" s="121"/>
      <c r="AB39" s="121"/>
      <c r="AC39" s="64">
        <v>4300187540.937583</v>
      </c>
      <c r="AD39" s="65">
        <v>43374</v>
      </c>
      <c r="AE39" s="65">
        <v>45199</v>
      </c>
      <c r="AF39" s="62">
        <v>5</v>
      </c>
      <c r="AG39" s="119">
        <v>60</v>
      </c>
      <c r="AH39" s="25">
        <v>71669792.348959714</v>
      </c>
      <c r="AI39" s="78">
        <v>4300187540.937583</v>
      </c>
      <c r="AJ39" s="78">
        <v>0</v>
      </c>
      <c r="AK39" s="27">
        <f t="shared" si="9"/>
        <v>0</v>
      </c>
      <c r="AL39" s="27">
        <f t="shared" si="10"/>
        <v>0</v>
      </c>
      <c r="AM39" s="27">
        <f t="shared" si="10"/>
        <v>0</v>
      </c>
      <c r="AN39" s="27">
        <f t="shared" si="11"/>
        <v>0</v>
      </c>
      <c r="AO39" s="27">
        <f t="shared" si="5"/>
        <v>0</v>
      </c>
      <c r="AP39" s="27">
        <f t="shared" si="5"/>
        <v>0</v>
      </c>
      <c r="AQ39" s="27">
        <f t="shared" si="12"/>
        <v>0</v>
      </c>
      <c r="AR39" s="27">
        <f t="shared" si="13"/>
        <v>0</v>
      </c>
      <c r="AS39" s="27"/>
      <c r="AT39" s="27"/>
      <c r="AU39" s="27"/>
      <c r="AV39" s="27"/>
      <c r="AW39" s="27">
        <f t="shared" si="14"/>
        <v>0</v>
      </c>
      <c r="AX39" s="79">
        <f t="shared" si="15"/>
        <v>0</v>
      </c>
      <c r="AY39" s="79">
        <f t="shared" si="16"/>
        <v>4300187540.937583</v>
      </c>
      <c r="AZ39" s="25">
        <v>1</v>
      </c>
      <c r="BA39" s="62" t="s">
        <v>97</v>
      </c>
      <c r="BB39" s="66">
        <v>1</v>
      </c>
      <c r="BC39" s="66"/>
      <c r="BD39" s="66"/>
      <c r="BE39" s="67">
        <f t="shared" si="17"/>
        <v>0</v>
      </c>
      <c r="BF39" s="67">
        <f t="shared" si="18"/>
        <v>0</v>
      </c>
      <c r="BG39" s="67">
        <f t="shared" si="6"/>
        <v>0</v>
      </c>
      <c r="BH39" s="66"/>
      <c r="BI39" s="68" t="s">
        <v>80</v>
      </c>
      <c r="BJ39" s="68" t="s">
        <v>1979</v>
      </c>
      <c r="BK39" s="68" t="s">
        <v>1979</v>
      </c>
      <c r="BL39" s="29"/>
      <c r="BO39" s="35" t="s">
        <v>1801</v>
      </c>
    </row>
    <row r="40" spans="1:67" ht="15" customHeight="1">
      <c r="A40" s="1" t="s">
        <v>43</v>
      </c>
      <c r="C40" s="1" t="str">
        <f t="shared" si="7"/>
        <v>2309</v>
      </c>
      <c r="D40" s="1" t="str">
        <f t="shared" si="8"/>
        <v>1810</v>
      </c>
      <c r="E40" s="19" t="s">
        <v>48</v>
      </c>
      <c r="F40" s="62" t="s">
        <v>49</v>
      </c>
      <c r="G40" s="62">
        <v>2112</v>
      </c>
      <c r="H40" s="62" t="s">
        <v>179</v>
      </c>
      <c r="I40" s="62" t="s">
        <v>180</v>
      </c>
      <c r="J40" s="118">
        <v>1</v>
      </c>
      <c r="K40" s="119"/>
      <c r="L40" s="62" t="s">
        <v>77</v>
      </c>
      <c r="M40" s="120" t="s">
        <v>173</v>
      </c>
      <c r="N40" s="65">
        <v>43353</v>
      </c>
      <c r="O40" s="24">
        <v>10000</v>
      </c>
      <c r="P40" s="24">
        <v>23320</v>
      </c>
      <c r="Q40" s="64">
        <v>233200000</v>
      </c>
      <c r="R40" s="64"/>
      <c r="S40" s="64"/>
      <c r="T40" s="64">
        <v>5699307.8299120236</v>
      </c>
      <c r="U40" s="64"/>
      <c r="V40" s="121">
        <v>238899307.83000001</v>
      </c>
      <c r="W40" s="122">
        <v>8.7976455688476563E-5</v>
      </c>
      <c r="X40" s="64">
        <v>238899307.82991204</v>
      </c>
      <c r="Y40" s="121"/>
      <c r="Z40" s="121"/>
      <c r="AA40" s="121"/>
      <c r="AB40" s="121"/>
      <c r="AC40" s="64">
        <v>238899307.83008796</v>
      </c>
      <c r="AD40" s="65">
        <v>43374</v>
      </c>
      <c r="AE40" s="65">
        <v>45199</v>
      </c>
      <c r="AF40" s="62">
        <v>5</v>
      </c>
      <c r="AG40" s="119">
        <v>60</v>
      </c>
      <c r="AH40" s="25">
        <v>3981655.1305014659</v>
      </c>
      <c r="AI40" s="78">
        <v>238899307.83008796</v>
      </c>
      <c r="AJ40" s="78">
        <v>0</v>
      </c>
      <c r="AK40" s="27">
        <f t="shared" si="9"/>
        <v>0</v>
      </c>
      <c r="AL40" s="27">
        <f t="shared" si="10"/>
        <v>0</v>
      </c>
      <c r="AM40" s="27">
        <f t="shared" si="10"/>
        <v>0</v>
      </c>
      <c r="AN40" s="27">
        <f t="shared" si="11"/>
        <v>0</v>
      </c>
      <c r="AO40" s="27">
        <f t="shared" si="5"/>
        <v>0</v>
      </c>
      <c r="AP40" s="27">
        <f t="shared" si="5"/>
        <v>0</v>
      </c>
      <c r="AQ40" s="27">
        <f t="shared" si="12"/>
        <v>0</v>
      </c>
      <c r="AR40" s="27">
        <f t="shared" si="13"/>
        <v>0</v>
      </c>
      <c r="AS40" s="27"/>
      <c r="AT40" s="27"/>
      <c r="AU40" s="27"/>
      <c r="AV40" s="27"/>
      <c r="AW40" s="27">
        <f t="shared" si="14"/>
        <v>0</v>
      </c>
      <c r="AX40" s="79">
        <f t="shared" si="15"/>
        <v>0</v>
      </c>
      <c r="AY40" s="79">
        <f t="shared" si="16"/>
        <v>238899307.83008796</v>
      </c>
      <c r="AZ40" s="25">
        <v>1</v>
      </c>
      <c r="BA40" s="62" t="s">
        <v>97</v>
      </c>
      <c r="BB40" s="66">
        <v>1</v>
      </c>
      <c r="BC40" s="66"/>
      <c r="BD40" s="66"/>
      <c r="BE40" s="67">
        <f t="shared" si="17"/>
        <v>0</v>
      </c>
      <c r="BF40" s="67">
        <f t="shared" si="18"/>
        <v>0</v>
      </c>
      <c r="BG40" s="67">
        <f t="shared" si="6"/>
        <v>0</v>
      </c>
      <c r="BH40" s="66" t="s">
        <v>1662</v>
      </c>
      <c r="BI40" s="68" t="s">
        <v>107</v>
      </c>
      <c r="BJ40" s="68" t="s">
        <v>121</v>
      </c>
      <c r="BK40" s="68" t="s">
        <v>121</v>
      </c>
      <c r="BL40" s="29"/>
      <c r="BO40" s="35" t="s">
        <v>1804</v>
      </c>
    </row>
    <row r="41" spans="1:67" ht="15" customHeight="1">
      <c r="A41" s="1" t="s">
        <v>43</v>
      </c>
      <c r="C41" s="1" t="str">
        <f t="shared" si="7"/>
        <v>2310</v>
      </c>
      <c r="D41" s="1" t="str">
        <f t="shared" si="8"/>
        <v>1811</v>
      </c>
      <c r="E41" s="19" t="s">
        <v>48</v>
      </c>
      <c r="F41" s="62" t="s">
        <v>49</v>
      </c>
      <c r="G41" s="62">
        <v>2112</v>
      </c>
      <c r="H41" s="62" t="s">
        <v>181</v>
      </c>
      <c r="I41" s="62" t="s">
        <v>182</v>
      </c>
      <c r="J41" s="118">
        <v>1</v>
      </c>
      <c r="K41" s="119"/>
      <c r="L41" s="62" t="s">
        <v>77</v>
      </c>
      <c r="M41" s="120" t="s">
        <v>173</v>
      </c>
      <c r="N41" s="65">
        <v>43353</v>
      </c>
      <c r="O41" s="24">
        <v>2000</v>
      </c>
      <c r="P41" s="24">
        <v>23320</v>
      </c>
      <c r="Q41" s="64">
        <v>46640000</v>
      </c>
      <c r="R41" s="64"/>
      <c r="S41" s="64"/>
      <c r="T41" s="64">
        <v>1139861.5659824046</v>
      </c>
      <c r="U41" s="64"/>
      <c r="V41" s="121">
        <v>47779861.566</v>
      </c>
      <c r="W41" s="122">
        <v>1.7598271369934082E-5</v>
      </c>
      <c r="X41" s="64">
        <v>47779861.565982401</v>
      </c>
      <c r="Y41" s="121"/>
      <c r="Z41" s="121"/>
      <c r="AA41" s="121"/>
      <c r="AB41" s="121"/>
      <c r="AC41" s="64">
        <v>47779861.566017598</v>
      </c>
      <c r="AD41" s="65">
        <v>43405</v>
      </c>
      <c r="AE41" s="65">
        <v>45230</v>
      </c>
      <c r="AF41" s="62">
        <v>5</v>
      </c>
      <c r="AG41" s="119">
        <v>60</v>
      </c>
      <c r="AH41" s="25">
        <v>796331.02610029327</v>
      </c>
      <c r="AI41" s="78">
        <v>47779861.566017598</v>
      </c>
      <c r="AJ41" s="78">
        <v>0</v>
      </c>
      <c r="AK41" s="27">
        <f t="shared" si="9"/>
        <v>0</v>
      </c>
      <c r="AL41" s="27">
        <f t="shared" si="10"/>
        <v>0</v>
      </c>
      <c r="AM41" s="27">
        <f t="shared" si="10"/>
        <v>0</v>
      </c>
      <c r="AN41" s="27">
        <f t="shared" si="11"/>
        <v>0</v>
      </c>
      <c r="AO41" s="27">
        <f t="shared" si="5"/>
        <v>0</v>
      </c>
      <c r="AP41" s="27">
        <f t="shared" si="5"/>
        <v>0</v>
      </c>
      <c r="AQ41" s="27">
        <f t="shared" si="12"/>
        <v>0</v>
      </c>
      <c r="AR41" s="27">
        <f t="shared" si="13"/>
        <v>0</v>
      </c>
      <c r="AS41" s="27"/>
      <c r="AT41" s="27"/>
      <c r="AU41" s="27"/>
      <c r="AV41" s="27"/>
      <c r="AW41" s="27">
        <f t="shared" si="14"/>
        <v>0</v>
      </c>
      <c r="AX41" s="79">
        <f t="shared" si="15"/>
        <v>0</v>
      </c>
      <c r="AY41" s="79">
        <f t="shared" si="16"/>
        <v>47779861.566017598</v>
      </c>
      <c r="AZ41" s="25">
        <v>1</v>
      </c>
      <c r="BA41" s="62" t="s">
        <v>79</v>
      </c>
      <c r="BB41" s="66">
        <v>1</v>
      </c>
      <c r="BC41" s="66"/>
      <c r="BD41" s="66"/>
      <c r="BE41" s="67">
        <f t="shared" si="17"/>
        <v>0</v>
      </c>
      <c r="BF41" s="67">
        <f t="shared" si="18"/>
        <v>0</v>
      </c>
      <c r="BG41" s="67">
        <f t="shared" si="6"/>
        <v>0</v>
      </c>
      <c r="BH41" s="66"/>
      <c r="BI41" s="68" t="s">
        <v>183</v>
      </c>
      <c r="BJ41" s="68" t="s">
        <v>58</v>
      </c>
      <c r="BK41" s="68" t="s">
        <v>159</v>
      </c>
      <c r="BL41" s="29"/>
      <c r="BO41" s="35" t="s">
        <v>1804</v>
      </c>
    </row>
    <row r="42" spans="1:67" ht="15" customHeight="1">
      <c r="A42" s="1" t="s">
        <v>43</v>
      </c>
      <c r="C42" s="1" t="str">
        <f t="shared" si="7"/>
        <v>2309</v>
      </c>
      <c r="D42" s="1" t="str">
        <f t="shared" si="8"/>
        <v>1810</v>
      </c>
      <c r="E42" s="19" t="s">
        <v>48</v>
      </c>
      <c r="F42" s="62" t="s">
        <v>49</v>
      </c>
      <c r="G42" s="62">
        <v>2112</v>
      </c>
      <c r="H42" s="62" t="s">
        <v>184</v>
      </c>
      <c r="I42" s="62" t="s">
        <v>185</v>
      </c>
      <c r="J42" s="118">
        <v>1</v>
      </c>
      <c r="K42" s="119"/>
      <c r="L42" s="62" t="s">
        <v>186</v>
      </c>
      <c r="M42" s="120" t="s">
        <v>187</v>
      </c>
      <c r="N42" s="65">
        <v>43357</v>
      </c>
      <c r="O42" s="24"/>
      <c r="P42" s="24"/>
      <c r="Q42" s="64">
        <v>362000000</v>
      </c>
      <c r="R42" s="64"/>
      <c r="S42" s="64"/>
      <c r="T42" s="64"/>
      <c r="U42" s="64"/>
      <c r="V42" s="121">
        <v>362000000</v>
      </c>
      <c r="W42" s="122">
        <v>0</v>
      </c>
      <c r="X42" s="64">
        <v>362000000</v>
      </c>
      <c r="Y42" s="121"/>
      <c r="Z42" s="121"/>
      <c r="AA42" s="121"/>
      <c r="AB42" s="121"/>
      <c r="AC42" s="64">
        <v>362000000</v>
      </c>
      <c r="AD42" s="65">
        <v>43374</v>
      </c>
      <c r="AE42" s="65">
        <v>45199</v>
      </c>
      <c r="AF42" s="62">
        <v>5</v>
      </c>
      <c r="AG42" s="119">
        <v>60</v>
      </c>
      <c r="AH42" s="25">
        <v>6033333.333333333</v>
      </c>
      <c r="AI42" s="78">
        <v>362000000</v>
      </c>
      <c r="AJ42" s="78">
        <v>0</v>
      </c>
      <c r="AK42" s="27">
        <f t="shared" si="9"/>
        <v>0</v>
      </c>
      <c r="AL42" s="27">
        <f t="shared" si="10"/>
        <v>0</v>
      </c>
      <c r="AM42" s="27">
        <f t="shared" si="10"/>
        <v>0</v>
      </c>
      <c r="AN42" s="27">
        <f t="shared" si="11"/>
        <v>0</v>
      </c>
      <c r="AO42" s="27">
        <f t="shared" si="5"/>
        <v>0</v>
      </c>
      <c r="AP42" s="27">
        <f t="shared" si="5"/>
        <v>0</v>
      </c>
      <c r="AQ42" s="27">
        <f t="shared" si="12"/>
        <v>0</v>
      </c>
      <c r="AR42" s="27">
        <f t="shared" si="13"/>
        <v>0</v>
      </c>
      <c r="AS42" s="27"/>
      <c r="AT42" s="27"/>
      <c r="AU42" s="27"/>
      <c r="AV42" s="27"/>
      <c r="AW42" s="27">
        <f t="shared" si="14"/>
        <v>0</v>
      </c>
      <c r="AX42" s="79">
        <f t="shared" si="15"/>
        <v>0</v>
      </c>
      <c r="AY42" s="79">
        <f t="shared" si="16"/>
        <v>362000000</v>
      </c>
      <c r="AZ42" s="25">
        <v>1</v>
      </c>
      <c r="BA42" s="62" t="s">
        <v>79</v>
      </c>
      <c r="BB42" s="66">
        <v>1</v>
      </c>
      <c r="BC42" s="66"/>
      <c r="BD42" s="66"/>
      <c r="BE42" s="67">
        <f t="shared" si="17"/>
        <v>0</v>
      </c>
      <c r="BF42" s="67">
        <f t="shared" si="18"/>
        <v>0</v>
      </c>
      <c r="BG42" s="67">
        <f t="shared" si="6"/>
        <v>0</v>
      </c>
      <c r="BH42" s="66"/>
      <c r="BI42" s="68" t="s">
        <v>188</v>
      </c>
      <c r="BJ42" s="68" t="s">
        <v>58</v>
      </c>
      <c r="BK42" s="68" t="s">
        <v>159</v>
      </c>
      <c r="BL42" s="29"/>
      <c r="BO42" s="35" t="s">
        <v>1804</v>
      </c>
    </row>
    <row r="43" spans="1:67" ht="15" customHeight="1">
      <c r="A43" s="1" t="s">
        <v>43</v>
      </c>
      <c r="C43" s="1" t="str">
        <f t="shared" si="7"/>
        <v>2309</v>
      </c>
      <c r="D43" s="1" t="str">
        <f t="shared" si="8"/>
        <v>1810</v>
      </c>
      <c r="E43" s="19" t="s">
        <v>48</v>
      </c>
      <c r="F43" s="62" t="s">
        <v>49</v>
      </c>
      <c r="G43" s="62">
        <v>2112</v>
      </c>
      <c r="H43" s="62" t="s">
        <v>189</v>
      </c>
      <c r="I43" s="62" t="s">
        <v>190</v>
      </c>
      <c r="J43" s="118">
        <v>7</v>
      </c>
      <c r="K43" s="119"/>
      <c r="L43" s="62" t="s">
        <v>186</v>
      </c>
      <c r="M43" s="120" t="s">
        <v>187</v>
      </c>
      <c r="N43" s="65">
        <v>43357</v>
      </c>
      <c r="O43" s="24"/>
      <c r="P43" s="24"/>
      <c r="Q43" s="64">
        <v>463500000</v>
      </c>
      <c r="R43" s="64"/>
      <c r="S43" s="64"/>
      <c r="T43" s="64"/>
      <c r="U43" s="64"/>
      <c r="V43" s="121">
        <v>463500000</v>
      </c>
      <c r="W43" s="122">
        <v>0</v>
      </c>
      <c r="X43" s="64">
        <v>463500000</v>
      </c>
      <c r="Y43" s="121"/>
      <c r="Z43" s="121"/>
      <c r="AA43" s="121"/>
      <c r="AB43" s="121"/>
      <c r="AC43" s="64">
        <v>463500000</v>
      </c>
      <c r="AD43" s="65">
        <v>43374</v>
      </c>
      <c r="AE43" s="65">
        <v>45199</v>
      </c>
      <c r="AF43" s="62">
        <v>5</v>
      </c>
      <c r="AG43" s="119">
        <v>60</v>
      </c>
      <c r="AH43" s="25">
        <v>7725000</v>
      </c>
      <c r="AI43" s="78">
        <v>463500000</v>
      </c>
      <c r="AJ43" s="78">
        <v>0</v>
      </c>
      <c r="AK43" s="27">
        <f t="shared" si="9"/>
        <v>0</v>
      </c>
      <c r="AL43" s="27">
        <f t="shared" si="10"/>
        <v>0</v>
      </c>
      <c r="AM43" s="27">
        <f t="shared" si="10"/>
        <v>0</v>
      </c>
      <c r="AN43" s="27">
        <f t="shared" si="11"/>
        <v>0</v>
      </c>
      <c r="AO43" s="27">
        <f t="shared" si="5"/>
        <v>0</v>
      </c>
      <c r="AP43" s="27">
        <f t="shared" si="5"/>
        <v>0</v>
      </c>
      <c r="AQ43" s="27">
        <f t="shared" si="12"/>
        <v>0</v>
      </c>
      <c r="AR43" s="27">
        <f t="shared" si="13"/>
        <v>0</v>
      </c>
      <c r="AS43" s="27"/>
      <c r="AT43" s="27"/>
      <c r="AU43" s="27"/>
      <c r="AV43" s="27"/>
      <c r="AW43" s="27">
        <f t="shared" si="14"/>
        <v>0</v>
      </c>
      <c r="AX43" s="79">
        <f t="shared" si="15"/>
        <v>0</v>
      </c>
      <c r="AY43" s="79">
        <f t="shared" si="16"/>
        <v>463500000</v>
      </c>
      <c r="AZ43" s="25">
        <v>7</v>
      </c>
      <c r="BA43" s="62" t="s">
        <v>79</v>
      </c>
      <c r="BB43" s="66">
        <v>1</v>
      </c>
      <c r="BC43" s="66"/>
      <c r="BD43" s="66"/>
      <c r="BE43" s="67">
        <f t="shared" si="17"/>
        <v>0</v>
      </c>
      <c r="BF43" s="67">
        <f t="shared" si="18"/>
        <v>0</v>
      </c>
      <c r="BG43" s="67">
        <f t="shared" si="6"/>
        <v>0</v>
      </c>
      <c r="BH43" s="66"/>
      <c r="BI43" s="68" t="s">
        <v>191</v>
      </c>
      <c r="BJ43" s="68" t="s">
        <v>58</v>
      </c>
      <c r="BK43" s="68" t="s">
        <v>159</v>
      </c>
      <c r="BL43" s="29"/>
      <c r="BO43" s="35" t="s">
        <v>1804</v>
      </c>
    </row>
    <row r="44" spans="1:67" ht="15" customHeight="1">
      <c r="A44" s="1" t="s">
        <v>43</v>
      </c>
      <c r="C44" s="1" t="str">
        <f t="shared" si="7"/>
        <v>2309</v>
      </c>
      <c r="D44" s="1" t="str">
        <f t="shared" si="8"/>
        <v>1810</v>
      </c>
      <c r="E44" s="19" t="s">
        <v>48</v>
      </c>
      <c r="F44" s="62" t="s">
        <v>49</v>
      </c>
      <c r="G44" s="62">
        <v>2112</v>
      </c>
      <c r="H44" s="62" t="s">
        <v>192</v>
      </c>
      <c r="I44" s="62" t="s">
        <v>193</v>
      </c>
      <c r="J44" s="118">
        <v>1</v>
      </c>
      <c r="K44" s="119"/>
      <c r="L44" s="62" t="s">
        <v>186</v>
      </c>
      <c r="M44" s="120" t="s">
        <v>187</v>
      </c>
      <c r="N44" s="65">
        <v>43357</v>
      </c>
      <c r="O44" s="24"/>
      <c r="P44" s="24"/>
      <c r="Q44" s="64">
        <v>135000000</v>
      </c>
      <c r="R44" s="64"/>
      <c r="S44" s="64"/>
      <c r="T44" s="64"/>
      <c r="U44" s="64"/>
      <c r="V44" s="121">
        <v>135000000</v>
      </c>
      <c r="W44" s="122">
        <v>0</v>
      </c>
      <c r="X44" s="64">
        <v>135000000</v>
      </c>
      <c r="Y44" s="121"/>
      <c r="Z44" s="121"/>
      <c r="AA44" s="121"/>
      <c r="AB44" s="121"/>
      <c r="AC44" s="64">
        <v>135000000</v>
      </c>
      <c r="AD44" s="65">
        <v>43374</v>
      </c>
      <c r="AE44" s="65">
        <v>45199</v>
      </c>
      <c r="AF44" s="62">
        <v>5</v>
      </c>
      <c r="AG44" s="119">
        <v>60</v>
      </c>
      <c r="AH44" s="25">
        <v>2250000</v>
      </c>
      <c r="AI44" s="78">
        <v>135000000</v>
      </c>
      <c r="AJ44" s="78">
        <v>0</v>
      </c>
      <c r="AK44" s="27">
        <f t="shared" si="9"/>
        <v>0</v>
      </c>
      <c r="AL44" s="27">
        <f t="shared" si="10"/>
        <v>0</v>
      </c>
      <c r="AM44" s="27">
        <f t="shared" si="10"/>
        <v>0</v>
      </c>
      <c r="AN44" s="27">
        <f t="shared" si="11"/>
        <v>0</v>
      </c>
      <c r="AO44" s="27">
        <f t="shared" si="5"/>
        <v>0</v>
      </c>
      <c r="AP44" s="27">
        <f t="shared" si="5"/>
        <v>0</v>
      </c>
      <c r="AQ44" s="27">
        <f t="shared" si="12"/>
        <v>0</v>
      </c>
      <c r="AR44" s="27">
        <f t="shared" si="13"/>
        <v>0</v>
      </c>
      <c r="AS44" s="27"/>
      <c r="AT44" s="27"/>
      <c r="AU44" s="27"/>
      <c r="AV44" s="27"/>
      <c r="AW44" s="27">
        <f t="shared" si="14"/>
        <v>0</v>
      </c>
      <c r="AX44" s="79">
        <f t="shared" si="15"/>
        <v>0</v>
      </c>
      <c r="AY44" s="79">
        <f t="shared" si="16"/>
        <v>135000000</v>
      </c>
      <c r="AZ44" s="25">
        <v>1</v>
      </c>
      <c r="BA44" s="62" t="s">
        <v>97</v>
      </c>
      <c r="BB44" s="66">
        <v>1</v>
      </c>
      <c r="BC44" s="66"/>
      <c r="BD44" s="66"/>
      <c r="BE44" s="67">
        <f t="shared" si="17"/>
        <v>0</v>
      </c>
      <c r="BF44" s="67">
        <f t="shared" si="18"/>
        <v>0</v>
      </c>
      <c r="BG44" s="67">
        <f t="shared" si="6"/>
        <v>0</v>
      </c>
      <c r="BH44" s="66"/>
      <c r="BI44" s="68" t="s">
        <v>80</v>
      </c>
      <c r="BJ44" s="68" t="s">
        <v>58</v>
      </c>
      <c r="BK44" s="68" t="s">
        <v>159</v>
      </c>
      <c r="BL44" s="29"/>
      <c r="BO44" s="35" t="s">
        <v>1804</v>
      </c>
    </row>
    <row r="45" spans="1:67" ht="15" customHeight="1">
      <c r="A45" s="1" t="s">
        <v>43</v>
      </c>
      <c r="C45" s="1" t="str">
        <f t="shared" si="7"/>
        <v>2309</v>
      </c>
      <c r="D45" s="1" t="str">
        <f t="shared" si="8"/>
        <v>1810</v>
      </c>
      <c r="E45" s="19" t="s">
        <v>48</v>
      </c>
      <c r="F45" s="62" t="s">
        <v>49</v>
      </c>
      <c r="G45" s="62">
        <v>2112</v>
      </c>
      <c r="H45" s="62" t="s">
        <v>194</v>
      </c>
      <c r="I45" s="62" t="s">
        <v>195</v>
      </c>
      <c r="J45" s="118">
        <v>1</v>
      </c>
      <c r="K45" s="119"/>
      <c r="L45" s="62" t="s">
        <v>186</v>
      </c>
      <c r="M45" s="120" t="s">
        <v>187</v>
      </c>
      <c r="N45" s="65">
        <v>43357</v>
      </c>
      <c r="O45" s="24"/>
      <c r="P45" s="24"/>
      <c r="Q45" s="64">
        <v>86000000</v>
      </c>
      <c r="R45" s="64"/>
      <c r="S45" s="64"/>
      <c r="T45" s="64"/>
      <c r="U45" s="64"/>
      <c r="V45" s="121">
        <v>86000000</v>
      </c>
      <c r="W45" s="122">
        <v>0</v>
      </c>
      <c r="X45" s="64">
        <v>86000000</v>
      </c>
      <c r="Y45" s="121"/>
      <c r="Z45" s="121"/>
      <c r="AA45" s="121"/>
      <c r="AB45" s="121"/>
      <c r="AC45" s="64">
        <v>86000000</v>
      </c>
      <c r="AD45" s="65">
        <v>43374</v>
      </c>
      <c r="AE45" s="65">
        <v>45199</v>
      </c>
      <c r="AF45" s="62">
        <v>5</v>
      </c>
      <c r="AG45" s="119">
        <v>60</v>
      </c>
      <c r="AH45" s="25">
        <v>1433333.3333333333</v>
      </c>
      <c r="AI45" s="78">
        <v>86000000</v>
      </c>
      <c r="AJ45" s="78">
        <v>0</v>
      </c>
      <c r="AK45" s="27">
        <f t="shared" si="9"/>
        <v>0</v>
      </c>
      <c r="AL45" s="27">
        <f t="shared" si="10"/>
        <v>0</v>
      </c>
      <c r="AM45" s="27">
        <f t="shared" si="10"/>
        <v>0</v>
      </c>
      <c r="AN45" s="27">
        <f t="shared" si="11"/>
        <v>0</v>
      </c>
      <c r="AO45" s="27">
        <f t="shared" si="5"/>
        <v>0</v>
      </c>
      <c r="AP45" s="27">
        <f t="shared" si="5"/>
        <v>0</v>
      </c>
      <c r="AQ45" s="27">
        <f t="shared" si="12"/>
        <v>0</v>
      </c>
      <c r="AR45" s="27">
        <f t="shared" si="13"/>
        <v>0</v>
      </c>
      <c r="AS45" s="27"/>
      <c r="AT45" s="27"/>
      <c r="AU45" s="27"/>
      <c r="AV45" s="27"/>
      <c r="AW45" s="27">
        <f t="shared" si="14"/>
        <v>0</v>
      </c>
      <c r="AX45" s="79">
        <f t="shared" si="15"/>
        <v>0</v>
      </c>
      <c r="AY45" s="79">
        <f t="shared" si="16"/>
        <v>86000000</v>
      </c>
      <c r="AZ45" s="25">
        <v>1</v>
      </c>
      <c r="BA45" s="62" t="s">
        <v>79</v>
      </c>
      <c r="BB45" s="66">
        <v>1</v>
      </c>
      <c r="BC45" s="66"/>
      <c r="BD45" s="66"/>
      <c r="BE45" s="67">
        <f t="shared" si="17"/>
        <v>0</v>
      </c>
      <c r="BF45" s="67">
        <f t="shared" si="18"/>
        <v>0</v>
      </c>
      <c r="BG45" s="67">
        <f t="shared" si="6"/>
        <v>0</v>
      </c>
      <c r="BH45" s="66"/>
      <c r="BI45" s="68" t="s">
        <v>146</v>
      </c>
      <c r="BJ45" s="68" t="s">
        <v>58</v>
      </c>
      <c r="BK45" s="68" t="s">
        <v>159</v>
      </c>
      <c r="BL45" s="29"/>
      <c r="BO45" s="35" t="s">
        <v>1804</v>
      </c>
    </row>
    <row r="46" spans="1:67" ht="15" customHeight="1">
      <c r="A46" s="1" t="s">
        <v>43</v>
      </c>
      <c r="C46" s="1" t="str">
        <f t="shared" si="7"/>
        <v>2509</v>
      </c>
      <c r="D46" s="1" t="str">
        <f t="shared" si="8"/>
        <v>1810</v>
      </c>
      <c r="E46" s="19" t="s">
        <v>48</v>
      </c>
      <c r="F46" s="62" t="s">
        <v>49</v>
      </c>
      <c r="G46" s="62">
        <v>2112</v>
      </c>
      <c r="H46" s="62" t="s">
        <v>196</v>
      </c>
      <c r="I46" s="62" t="s">
        <v>197</v>
      </c>
      <c r="J46" s="118">
        <v>1</v>
      </c>
      <c r="K46" s="119"/>
      <c r="L46" s="62" t="s">
        <v>198</v>
      </c>
      <c r="M46" s="120" t="s">
        <v>199</v>
      </c>
      <c r="N46" s="65">
        <v>43367</v>
      </c>
      <c r="O46" s="24">
        <v>48685</v>
      </c>
      <c r="P46" s="24">
        <v>23375</v>
      </c>
      <c r="Q46" s="64">
        <v>1138011875</v>
      </c>
      <c r="R46" s="64"/>
      <c r="S46" s="64"/>
      <c r="T46" s="64">
        <v>15070212.887052828</v>
      </c>
      <c r="U46" s="64" t="s">
        <v>200</v>
      </c>
      <c r="V46" s="121">
        <v>1153082087.8870001</v>
      </c>
      <c r="W46" s="122">
        <v>-5.2690505981445313E-5</v>
      </c>
      <c r="X46" s="64">
        <v>1153082087.8870528</v>
      </c>
      <c r="Y46" s="121"/>
      <c r="Z46" s="121"/>
      <c r="AA46" s="121"/>
      <c r="AB46" s="121"/>
      <c r="AC46" s="64">
        <v>1153082087.8869474</v>
      </c>
      <c r="AD46" s="65">
        <v>43374</v>
      </c>
      <c r="AE46" s="65">
        <v>45929</v>
      </c>
      <c r="AF46" s="62">
        <v>7</v>
      </c>
      <c r="AG46" s="119">
        <v>84</v>
      </c>
      <c r="AH46" s="25">
        <v>13727167.712939849</v>
      </c>
      <c r="AI46" s="78">
        <v>864811581.01634586</v>
      </c>
      <c r="AJ46" s="78">
        <v>288270506.87060153</v>
      </c>
      <c r="AK46" s="27">
        <f t="shared" si="9"/>
        <v>13727167.712939849</v>
      </c>
      <c r="AL46" s="27">
        <f t="shared" si="10"/>
        <v>13727167.712939849</v>
      </c>
      <c r="AM46" s="27">
        <f t="shared" si="10"/>
        <v>13727167.712939849</v>
      </c>
      <c r="AN46" s="27">
        <f t="shared" si="11"/>
        <v>13727167.712939849</v>
      </c>
      <c r="AO46" s="27">
        <f t="shared" si="5"/>
        <v>13727167.712939849</v>
      </c>
      <c r="AP46" s="27">
        <f t="shared" si="5"/>
        <v>13727167.712939849</v>
      </c>
      <c r="AQ46" s="27">
        <f t="shared" si="12"/>
        <v>13727167.712939849</v>
      </c>
      <c r="AR46" s="27">
        <f t="shared" si="13"/>
        <v>13727167.712939849</v>
      </c>
      <c r="AS46" s="27"/>
      <c r="AT46" s="27"/>
      <c r="AU46" s="27"/>
      <c r="AV46" s="27"/>
      <c r="AW46" s="27">
        <f t="shared" si="14"/>
        <v>109817341.70351878</v>
      </c>
      <c r="AX46" s="79">
        <f t="shared" si="15"/>
        <v>178453165.16708276</v>
      </c>
      <c r="AY46" s="79">
        <f t="shared" si="16"/>
        <v>974628922.71986461</v>
      </c>
      <c r="AZ46" s="25">
        <v>1</v>
      </c>
      <c r="BA46" s="62" t="s">
        <v>97</v>
      </c>
      <c r="BB46" s="66">
        <v>1</v>
      </c>
      <c r="BC46" s="66"/>
      <c r="BD46" s="66"/>
      <c r="BE46" s="67">
        <f t="shared" si="17"/>
        <v>13727167.712939849</v>
      </c>
      <c r="BF46" s="67">
        <f t="shared" si="18"/>
        <v>0</v>
      </c>
      <c r="BG46" s="67">
        <f t="shared" si="6"/>
        <v>0</v>
      </c>
      <c r="BH46" s="66"/>
      <c r="BI46" s="68" t="s">
        <v>146</v>
      </c>
      <c r="BJ46" s="68" t="s">
        <v>121</v>
      </c>
      <c r="BK46" s="68" t="s">
        <v>121</v>
      </c>
      <c r="BL46" s="29"/>
      <c r="BO46" s="35" t="s">
        <v>1800</v>
      </c>
    </row>
    <row r="47" spans="1:67" ht="15" customHeight="1">
      <c r="A47" s="1" t="s">
        <v>43</v>
      </c>
      <c r="C47" s="1" t="str">
        <f t="shared" si="7"/>
        <v>2509</v>
      </c>
      <c r="D47" s="1" t="str">
        <f t="shared" si="8"/>
        <v>1810</v>
      </c>
      <c r="E47" s="19" t="s">
        <v>48</v>
      </c>
      <c r="F47" s="62" t="s">
        <v>49</v>
      </c>
      <c r="G47" s="62">
        <v>2112</v>
      </c>
      <c r="H47" s="62" t="s">
        <v>201</v>
      </c>
      <c r="I47" s="62" t="s">
        <v>202</v>
      </c>
      <c r="J47" s="118">
        <v>1</v>
      </c>
      <c r="K47" s="119"/>
      <c r="L47" s="62" t="s">
        <v>198</v>
      </c>
      <c r="M47" s="120" t="s">
        <v>199</v>
      </c>
      <c r="N47" s="65">
        <v>43367</v>
      </c>
      <c r="O47" s="24">
        <v>41968</v>
      </c>
      <c r="P47" s="24">
        <v>23375</v>
      </c>
      <c r="Q47" s="64">
        <v>981002000</v>
      </c>
      <c r="R47" s="64"/>
      <c r="S47" s="64"/>
      <c r="T47" s="64">
        <v>12990997.112947173</v>
      </c>
      <c r="U47" s="64" t="s">
        <v>200</v>
      </c>
      <c r="V47" s="121">
        <v>993992997.11300004</v>
      </c>
      <c r="W47" s="122">
        <v>5.2809715270996094E-5</v>
      </c>
      <c r="X47" s="64">
        <v>993992997.11294723</v>
      </c>
      <c r="Y47" s="121"/>
      <c r="Z47" s="121"/>
      <c r="AA47" s="121"/>
      <c r="AB47" s="121"/>
      <c r="AC47" s="64">
        <v>993992997.11305285</v>
      </c>
      <c r="AD47" s="65">
        <v>43374</v>
      </c>
      <c r="AE47" s="65">
        <v>45929</v>
      </c>
      <c r="AF47" s="62">
        <v>7</v>
      </c>
      <c r="AG47" s="119">
        <v>84</v>
      </c>
      <c r="AH47" s="25">
        <v>11833249.965631582</v>
      </c>
      <c r="AI47" s="78">
        <v>745494749.76936865</v>
      </c>
      <c r="AJ47" s="78">
        <v>248498247.34368423</v>
      </c>
      <c r="AK47" s="27">
        <f t="shared" si="9"/>
        <v>11833249.965631582</v>
      </c>
      <c r="AL47" s="27">
        <f t="shared" si="10"/>
        <v>11833249.965631582</v>
      </c>
      <c r="AM47" s="27">
        <f t="shared" si="10"/>
        <v>11833249.965631582</v>
      </c>
      <c r="AN47" s="27">
        <f t="shared" si="11"/>
        <v>11833249.965631582</v>
      </c>
      <c r="AO47" s="27">
        <f t="shared" si="5"/>
        <v>11833249.965631582</v>
      </c>
      <c r="AP47" s="27">
        <f t="shared" si="5"/>
        <v>11833249.965631582</v>
      </c>
      <c r="AQ47" s="27">
        <f t="shared" si="12"/>
        <v>11833249.965631582</v>
      </c>
      <c r="AR47" s="27">
        <f t="shared" si="13"/>
        <v>11833249.965631582</v>
      </c>
      <c r="AS47" s="27"/>
      <c r="AT47" s="27"/>
      <c r="AU47" s="27"/>
      <c r="AV47" s="27"/>
      <c r="AW47" s="27">
        <f t="shared" si="14"/>
        <v>94665999.725052655</v>
      </c>
      <c r="AX47" s="79">
        <f t="shared" si="15"/>
        <v>153832247.61863154</v>
      </c>
      <c r="AY47" s="79">
        <f t="shared" si="16"/>
        <v>840160749.49442124</v>
      </c>
      <c r="AZ47" s="25">
        <v>1</v>
      </c>
      <c r="BA47" s="62" t="s">
        <v>97</v>
      </c>
      <c r="BB47" s="66"/>
      <c r="BC47" s="66">
        <v>1</v>
      </c>
      <c r="BD47" s="66"/>
      <c r="BE47" s="67">
        <f t="shared" si="17"/>
        <v>0</v>
      </c>
      <c r="BF47" s="67">
        <f t="shared" si="18"/>
        <v>11833249.965631582</v>
      </c>
      <c r="BG47" s="67">
        <f t="shared" si="6"/>
        <v>0</v>
      </c>
      <c r="BH47" s="62" t="s">
        <v>1668</v>
      </c>
      <c r="BI47" s="19" t="s">
        <v>1624</v>
      </c>
      <c r="BJ47" s="68" t="s">
        <v>1438</v>
      </c>
      <c r="BK47" s="68" t="s">
        <v>1438</v>
      </c>
      <c r="BL47" s="29"/>
      <c r="BM47" s="1" t="s">
        <v>1886</v>
      </c>
      <c r="BN47" s="1" t="s">
        <v>1666</v>
      </c>
      <c r="BO47" s="35" t="s">
        <v>1800</v>
      </c>
    </row>
    <row r="48" spans="1:67" ht="15" customHeight="1">
      <c r="A48" s="1" t="s">
        <v>43</v>
      </c>
      <c r="C48" s="1" t="str">
        <f t="shared" si="7"/>
        <v>2510</v>
      </c>
      <c r="D48" s="1" t="str">
        <f t="shared" si="8"/>
        <v>1811</v>
      </c>
      <c r="E48" s="19" t="s">
        <v>48</v>
      </c>
      <c r="F48" s="62" t="s">
        <v>49</v>
      </c>
      <c r="G48" s="62">
        <v>2112</v>
      </c>
      <c r="H48" s="62" t="s">
        <v>203</v>
      </c>
      <c r="I48" s="62" t="s">
        <v>204</v>
      </c>
      <c r="J48" s="118">
        <v>1</v>
      </c>
      <c r="K48" s="119"/>
      <c r="L48" s="62" t="s">
        <v>77</v>
      </c>
      <c r="M48" s="120" t="s">
        <v>205</v>
      </c>
      <c r="N48" s="65">
        <v>43374</v>
      </c>
      <c r="O48" s="24">
        <v>2120</v>
      </c>
      <c r="P48" s="24">
        <v>23365</v>
      </c>
      <c r="Q48" s="64">
        <v>49533800</v>
      </c>
      <c r="R48" s="64">
        <v>2470330</v>
      </c>
      <c r="S48" s="64"/>
      <c r="T48" s="64"/>
      <c r="U48" s="64"/>
      <c r="V48" s="121">
        <v>52004130</v>
      </c>
      <c r="W48" s="122">
        <v>0</v>
      </c>
      <c r="X48" s="64">
        <v>52004130</v>
      </c>
      <c r="Y48" s="121"/>
      <c r="Z48" s="121"/>
      <c r="AA48" s="121"/>
      <c r="AB48" s="121"/>
      <c r="AC48" s="64">
        <v>52004130</v>
      </c>
      <c r="AD48" s="65">
        <v>43405</v>
      </c>
      <c r="AE48" s="65">
        <v>45960</v>
      </c>
      <c r="AF48" s="62">
        <v>7</v>
      </c>
      <c r="AG48" s="119">
        <v>84</v>
      </c>
      <c r="AH48" s="25">
        <v>619096.78571428568</v>
      </c>
      <c r="AI48" s="78">
        <v>38384011.857142858</v>
      </c>
      <c r="AJ48" s="78">
        <v>13620118.142857146</v>
      </c>
      <c r="AK48" s="27">
        <f t="shared" si="9"/>
        <v>619096.78571428568</v>
      </c>
      <c r="AL48" s="27">
        <f t="shared" si="10"/>
        <v>619096.78571428568</v>
      </c>
      <c r="AM48" s="27">
        <f t="shared" si="10"/>
        <v>619096.78571428568</v>
      </c>
      <c r="AN48" s="27">
        <f t="shared" si="11"/>
        <v>619096.78571428568</v>
      </c>
      <c r="AO48" s="27">
        <f t="shared" si="5"/>
        <v>619096.78571428568</v>
      </c>
      <c r="AP48" s="27">
        <f t="shared" si="5"/>
        <v>619096.78571428568</v>
      </c>
      <c r="AQ48" s="27">
        <f t="shared" si="12"/>
        <v>619096.78571428568</v>
      </c>
      <c r="AR48" s="27">
        <f t="shared" si="13"/>
        <v>619096.78571428568</v>
      </c>
      <c r="AS48" s="27"/>
      <c r="AT48" s="27"/>
      <c r="AU48" s="27"/>
      <c r="AV48" s="27"/>
      <c r="AW48" s="27">
        <f t="shared" si="14"/>
        <v>4952774.2857142845</v>
      </c>
      <c r="AX48" s="79">
        <f t="shared" si="15"/>
        <v>8667343.8571428582</v>
      </c>
      <c r="AY48" s="79">
        <f t="shared" si="16"/>
        <v>43336786.142857142</v>
      </c>
      <c r="AZ48" s="25">
        <v>1</v>
      </c>
      <c r="BA48" s="62" t="s">
        <v>97</v>
      </c>
      <c r="BB48" s="66">
        <v>1</v>
      </c>
      <c r="BC48" s="66"/>
      <c r="BD48" s="66"/>
      <c r="BE48" s="67">
        <f t="shared" si="17"/>
        <v>619096.78571428568</v>
      </c>
      <c r="BF48" s="67">
        <f t="shared" si="18"/>
        <v>0</v>
      </c>
      <c r="BG48" s="67">
        <f t="shared" si="6"/>
        <v>0</v>
      </c>
      <c r="BH48" s="66"/>
      <c r="BI48" s="68" t="s">
        <v>57</v>
      </c>
      <c r="BJ48" s="68" t="s">
        <v>117</v>
      </c>
      <c r="BK48" s="68" t="s">
        <v>117</v>
      </c>
      <c r="BL48" s="29"/>
      <c r="BO48" s="35" t="s">
        <v>1801</v>
      </c>
    </row>
    <row r="49" spans="1:67" ht="15" customHeight="1">
      <c r="A49" s="1" t="s">
        <v>43</v>
      </c>
      <c r="C49" s="1" t="str">
        <f t="shared" si="7"/>
        <v>2510</v>
      </c>
      <c r="D49" s="1" t="str">
        <f t="shared" si="8"/>
        <v>1811</v>
      </c>
      <c r="E49" s="19" t="s">
        <v>48</v>
      </c>
      <c r="F49" s="62" t="s">
        <v>49</v>
      </c>
      <c r="G49" s="62">
        <v>2112</v>
      </c>
      <c r="H49" s="62" t="s">
        <v>206</v>
      </c>
      <c r="I49" s="62" t="s">
        <v>207</v>
      </c>
      <c r="J49" s="118">
        <v>1</v>
      </c>
      <c r="K49" s="119"/>
      <c r="L49" s="62" t="s">
        <v>77</v>
      </c>
      <c r="M49" s="120" t="s">
        <v>208</v>
      </c>
      <c r="N49" s="65">
        <v>43388</v>
      </c>
      <c r="O49" s="24">
        <v>24380</v>
      </c>
      <c r="P49" s="24">
        <v>23375</v>
      </c>
      <c r="Q49" s="64">
        <v>569882500</v>
      </c>
      <c r="R49" s="64"/>
      <c r="S49" s="64"/>
      <c r="T49" s="64">
        <v>10348909</v>
      </c>
      <c r="U49" s="64" t="s">
        <v>209</v>
      </c>
      <c r="V49" s="121">
        <v>580231409</v>
      </c>
      <c r="W49" s="122">
        <v>0</v>
      </c>
      <c r="X49" s="64">
        <v>580231409</v>
      </c>
      <c r="Y49" s="121"/>
      <c r="Z49" s="121"/>
      <c r="AA49" s="121"/>
      <c r="AB49" s="121"/>
      <c r="AC49" s="64">
        <v>580231409</v>
      </c>
      <c r="AD49" s="65">
        <v>43405</v>
      </c>
      <c r="AE49" s="65">
        <v>45960</v>
      </c>
      <c r="AF49" s="62">
        <v>7</v>
      </c>
      <c r="AG49" s="119">
        <v>84</v>
      </c>
      <c r="AH49" s="25">
        <v>6907516.7738095243</v>
      </c>
      <c r="AI49" s="78">
        <v>428266051.73809522</v>
      </c>
      <c r="AJ49" s="78">
        <v>151965357.26190478</v>
      </c>
      <c r="AK49" s="27">
        <f t="shared" si="9"/>
        <v>6907516.7738095243</v>
      </c>
      <c r="AL49" s="27">
        <f t="shared" si="10"/>
        <v>6907516.7738095243</v>
      </c>
      <c r="AM49" s="27">
        <f t="shared" si="10"/>
        <v>6907516.7738095243</v>
      </c>
      <c r="AN49" s="27">
        <f t="shared" si="11"/>
        <v>6907516.7738095243</v>
      </c>
      <c r="AO49" s="27">
        <f t="shared" si="5"/>
        <v>6907516.7738095243</v>
      </c>
      <c r="AP49" s="27">
        <f t="shared" si="5"/>
        <v>6907516.7738095243</v>
      </c>
      <c r="AQ49" s="27">
        <f t="shared" si="12"/>
        <v>6907516.7738095243</v>
      </c>
      <c r="AR49" s="27">
        <f t="shared" si="13"/>
        <v>6907516.7738095243</v>
      </c>
      <c r="AS49" s="27"/>
      <c r="AT49" s="27"/>
      <c r="AU49" s="27"/>
      <c r="AV49" s="27"/>
      <c r="AW49" s="27">
        <f t="shared" si="14"/>
        <v>55260134.190476187</v>
      </c>
      <c r="AX49" s="79">
        <f t="shared" si="15"/>
        <v>96705223.071428597</v>
      </c>
      <c r="AY49" s="79">
        <f t="shared" si="16"/>
        <v>483526185.9285714</v>
      </c>
      <c r="AZ49" s="25">
        <v>1</v>
      </c>
      <c r="BA49" s="62" t="s">
        <v>97</v>
      </c>
      <c r="BB49" s="66">
        <v>1</v>
      </c>
      <c r="BC49" s="66"/>
      <c r="BD49" s="66"/>
      <c r="BE49" s="67">
        <f t="shared" si="17"/>
        <v>6907516.7738095243</v>
      </c>
      <c r="BF49" s="67">
        <f t="shared" si="18"/>
        <v>0</v>
      </c>
      <c r="BG49" s="67">
        <f t="shared" si="6"/>
        <v>0</v>
      </c>
      <c r="BH49" s="66"/>
      <c r="BI49" s="68" t="s">
        <v>191</v>
      </c>
      <c r="BJ49" s="68" t="s">
        <v>81</v>
      </c>
      <c r="BK49" s="68" t="s">
        <v>81</v>
      </c>
      <c r="BL49" s="29"/>
      <c r="BO49" s="35" t="s">
        <v>1800</v>
      </c>
    </row>
    <row r="50" spans="1:67" ht="15" customHeight="1">
      <c r="A50" s="1" t="s">
        <v>43</v>
      </c>
      <c r="C50" s="1" t="str">
        <f t="shared" si="7"/>
        <v>2511</v>
      </c>
      <c r="D50" s="1" t="str">
        <f t="shared" si="8"/>
        <v>1812</v>
      </c>
      <c r="E50" s="19" t="s">
        <v>48</v>
      </c>
      <c r="F50" s="62" t="s">
        <v>49</v>
      </c>
      <c r="G50" s="62">
        <v>2112</v>
      </c>
      <c r="H50" s="62" t="s">
        <v>214</v>
      </c>
      <c r="I50" s="62" t="s">
        <v>215</v>
      </c>
      <c r="J50" s="118">
        <v>1</v>
      </c>
      <c r="K50" s="119"/>
      <c r="L50" s="62" t="s">
        <v>77</v>
      </c>
      <c r="M50" s="120" t="s">
        <v>212</v>
      </c>
      <c r="N50" s="65">
        <v>43405</v>
      </c>
      <c r="O50" s="24">
        <v>6896</v>
      </c>
      <c r="P50" s="24">
        <v>23370</v>
      </c>
      <c r="Q50" s="64">
        <v>161159520</v>
      </c>
      <c r="R50" s="64"/>
      <c r="S50" s="64"/>
      <c r="T50" s="64">
        <v>5022255.1552187726</v>
      </c>
      <c r="U50" s="64" t="s">
        <v>213</v>
      </c>
      <c r="V50" s="121">
        <v>166181775.155</v>
      </c>
      <c r="W50" s="122">
        <v>-2.1877884864807129E-4</v>
      </c>
      <c r="X50" s="64">
        <v>166181775.15521878</v>
      </c>
      <c r="Y50" s="121"/>
      <c r="Z50" s="121"/>
      <c r="AA50" s="121"/>
      <c r="AB50" s="121"/>
      <c r="AC50" s="64">
        <v>166181775.15478122</v>
      </c>
      <c r="AD50" s="65">
        <v>43435</v>
      </c>
      <c r="AE50" s="65">
        <v>45990</v>
      </c>
      <c r="AF50" s="62">
        <v>7</v>
      </c>
      <c r="AG50" s="119">
        <v>84</v>
      </c>
      <c r="AH50" s="25">
        <v>1978354.4661283479</v>
      </c>
      <c r="AI50" s="78">
        <v>120679598.8160647</v>
      </c>
      <c r="AJ50" s="78">
        <v>45502176.338716522</v>
      </c>
      <c r="AK50" s="27">
        <f t="shared" si="9"/>
        <v>1978354.4661283479</v>
      </c>
      <c r="AL50" s="27">
        <f t="shared" si="10"/>
        <v>1978354.4661283479</v>
      </c>
      <c r="AM50" s="27">
        <f t="shared" si="10"/>
        <v>1978354.4661283479</v>
      </c>
      <c r="AN50" s="27">
        <f t="shared" si="11"/>
        <v>1978354.4661283479</v>
      </c>
      <c r="AO50" s="27">
        <f t="shared" si="5"/>
        <v>1978354.4661283479</v>
      </c>
      <c r="AP50" s="27">
        <f t="shared" si="5"/>
        <v>1978354.4661283479</v>
      </c>
      <c r="AQ50" s="27">
        <f t="shared" si="12"/>
        <v>1978354.4661283479</v>
      </c>
      <c r="AR50" s="27">
        <f t="shared" si="13"/>
        <v>1978354.4661283479</v>
      </c>
      <c r="AS50" s="27"/>
      <c r="AT50" s="27"/>
      <c r="AU50" s="27"/>
      <c r="AV50" s="27"/>
      <c r="AW50" s="27">
        <f t="shared" si="14"/>
        <v>15826835.729026781</v>
      </c>
      <c r="AX50" s="79">
        <f t="shared" si="15"/>
        <v>29675340.609689742</v>
      </c>
      <c r="AY50" s="79">
        <f t="shared" si="16"/>
        <v>136506434.54509148</v>
      </c>
      <c r="AZ50" s="25">
        <v>1</v>
      </c>
      <c r="BA50" s="62" t="s">
        <v>97</v>
      </c>
      <c r="BB50" s="66">
        <v>1</v>
      </c>
      <c r="BC50" s="66"/>
      <c r="BD50" s="66"/>
      <c r="BE50" s="67">
        <f t="shared" si="17"/>
        <v>1978354.4661283479</v>
      </c>
      <c r="BF50" s="67">
        <f t="shared" si="18"/>
        <v>0</v>
      </c>
      <c r="BG50" s="67">
        <f t="shared" si="6"/>
        <v>0</v>
      </c>
      <c r="BH50" s="66"/>
      <c r="BI50" s="68" t="s">
        <v>146</v>
      </c>
      <c r="BJ50" s="68" t="s">
        <v>85</v>
      </c>
      <c r="BK50" s="68" t="s">
        <v>85</v>
      </c>
      <c r="BL50" s="29"/>
      <c r="BO50" s="35" t="s">
        <v>1801</v>
      </c>
    </row>
    <row r="51" spans="1:67" ht="15" customHeight="1">
      <c r="A51" s="1" t="s">
        <v>43</v>
      </c>
      <c r="C51" s="1" t="str">
        <f t="shared" si="7"/>
        <v>2111</v>
      </c>
      <c r="D51" s="1" t="str">
        <f t="shared" si="8"/>
        <v>1812</v>
      </c>
      <c r="E51" s="19" t="s">
        <v>48</v>
      </c>
      <c r="F51" s="62" t="s">
        <v>49</v>
      </c>
      <c r="G51" s="62">
        <v>2112</v>
      </c>
      <c r="H51" s="62" t="s">
        <v>216</v>
      </c>
      <c r="I51" s="62" t="s">
        <v>217</v>
      </c>
      <c r="J51" s="118">
        <v>1</v>
      </c>
      <c r="K51" s="119"/>
      <c r="L51" s="62" t="s">
        <v>218</v>
      </c>
      <c r="M51" s="120" t="s">
        <v>219</v>
      </c>
      <c r="N51" s="65">
        <v>43412</v>
      </c>
      <c r="O51" s="24">
        <v>1700</v>
      </c>
      <c r="P51" s="24">
        <v>23345</v>
      </c>
      <c r="Q51" s="64">
        <v>39686500</v>
      </c>
      <c r="R51" s="64"/>
      <c r="S51" s="64"/>
      <c r="T51" s="64">
        <v>543236.25</v>
      </c>
      <c r="U51" s="64" t="s">
        <v>220</v>
      </c>
      <c r="V51" s="121">
        <v>40229736.25</v>
      </c>
      <c r="W51" s="122">
        <v>0</v>
      </c>
      <c r="X51" s="64">
        <v>40229736.25</v>
      </c>
      <c r="Y51" s="121"/>
      <c r="Z51" s="121"/>
      <c r="AA51" s="121"/>
      <c r="AB51" s="121"/>
      <c r="AC51" s="64">
        <v>40229736.25</v>
      </c>
      <c r="AD51" s="65">
        <v>43435</v>
      </c>
      <c r="AE51" s="65">
        <v>44530</v>
      </c>
      <c r="AF51" s="62">
        <v>3</v>
      </c>
      <c r="AG51" s="119">
        <v>36</v>
      </c>
      <c r="AH51" s="25">
        <v>1117492.673611111</v>
      </c>
      <c r="AI51" s="78">
        <v>40229736.25</v>
      </c>
      <c r="AJ51" s="78">
        <v>0</v>
      </c>
      <c r="AK51" s="27">
        <f t="shared" si="9"/>
        <v>0</v>
      </c>
      <c r="AL51" s="27">
        <f t="shared" si="10"/>
        <v>0</v>
      </c>
      <c r="AM51" s="27">
        <f t="shared" si="10"/>
        <v>0</v>
      </c>
      <c r="AN51" s="27">
        <f t="shared" si="11"/>
        <v>0</v>
      </c>
      <c r="AO51" s="27">
        <f t="shared" si="5"/>
        <v>0</v>
      </c>
      <c r="AP51" s="27">
        <f t="shared" si="5"/>
        <v>0</v>
      </c>
      <c r="AQ51" s="27">
        <f t="shared" si="12"/>
        <v>0</v>
      </c>
      <c r="AR51" s="27">
        <f t="shared" si="13"/>
        <v>0</v>
      </c>
      <c r="AS51" s="27"/>
      <c r="AT51" s="27"/>
      <c r="AU51" s="27"/>
      <c r="AV51" s="27"/>
      <c r="AW51" s="27">
        <f t="shared" si="14"/>
        <v>0</v>
      </c>
      <c r="AX51" s="79">
        <f t="shared" si="15"/>
        <v>0</v>
      </c>
      <c r="AY51" s="79">
        <f t="shared" si="16"/>
        <v>40229736.25</v>
      </c>
      <c r="AZ51" s="25">
        <v>1</v>
      </c>
      <c r="BA51" s="62" t="s">
        <v>79</v>
      </c>
      <c r="BB51" s="66">
        <v>1</v>
      </c>
      <c r="BC51" s="66"/>
      <c r="BD51" s="66"/>
      <c r="BE51" s="67">
        <f t="shared" si="17"/>
        <v>0</v>
      </c>
      <c r="BF51" s="67">
        <f t="shared" si="18"/>
        <v>0</v>
      </c>
      <c r="BG51" s="67">
        <f t="shared" si="6"/>
        <v>0</v>
      </c>
      <c r="BH51" s="66"/>
      <c r="BI51" s="68" t="s">
        <v>146</v>
      </c>
      <c r="BJ51" s="68" t="s">
        <v>58</v>
      </c>
      <c r="BK51" s="68" t="s">
        <v>159</v>
      </c>
      <c r="BL51" s="29"/>
      <c r="BO51" s="35" t="s">
        <v>1804</v>
      </c>
    </row>
    <row r="52" spans="1:67" ht="15" customHeight="1">
      <c r="A52" s="1" t="s">
        <v>43</v>
      </c>
      <c r="C52" s="1" t="str">
        <f t="shared" si="7"/>
        <v>2111</v>
      </c>
      <c r="D52" s="1" t="str">
        <f t="shared" si="8"/>
        <v>1812</v>
      </c>
      <c r="E52" s="19" t="s">
        <v>48</v>
      </c>
      <c r="F52" s="62" t="s">
        <v>49</v>
      </c>
      <c r="G52" s="62">
        <v>2112</v>
      </c>
      <c r="H52" s="62" t="s">
        <v>221</v>
      </c>
      <c r="I52" s="62" t="s">
        <v>217</v>
      </c>
      <c r="J52" s="118">
        <v>3</v>
      </c>
      <c r="K52" s="119"/>
      <c r="L52" s="62" t="s">
        <v>218</v>
      </c>
      <c r="M52" s="120" t="s">
        <v>219</v>
      </c>
      <c r="N52" s="65">
        <v>43412</v>
      </c>
      <c r="O52" s="24">
        <v>5100</v>
      </c>
      <c r="P52" s="24">
        <v>23345</v>
      </c>
      <c r="Q52" s="64">
        <v>119059500</v>
      </c>
      <c r="R52" s="64"/>
      <c r="S52" s="64"/>
      <c r="T52" s="64">
        <v>1629708.75</v>
      </c>
      <c r="U52" s="64" t="s">
        <v>220</v>
      </c>
      <c r="V52" s="121">
        <v>120689208.75</v>
      </c>
      <c r="W52" s="122">
        <v>0</v>
      </c>
      <c r="X52" s="64">
        <v>120689208.75</v>
      </c>
      <c r="Y52" s="121"/>
      <c r="Z52" s="121"/>
      <c r="AA52" s="121"/>
      <c r="AB52" s="121"/>
      <c r="AC52" s="64">
        <v>120689208.75</v>
      </c>
      <c r="AD52" s="65">
        <v>43435</v>
      </c>
      <c r="AE52" s="65">
        <v>44530</v>
      </c>
      <c r="AF52" s="62">
        <v>3</v>
      </c>
      <c r="AG52" s="119">
        <v>36</v>
      </c>
      <c r="AH52" s="25">
        <v>3352478.0208333335</v>
      </c>
      <c r="AI52" s="78">
        <v>120689208.75</v>
      </c>
      <c r="AJ52" s="78">
        <v>0</v>
      </c>
      <c r="AK52" s="27">
        <f t="shared" si="9"/>
        <v>0</v>
      </c>
      <c r="AL52" s="27">
        <f t="shared" si="10"/>
        <v>0</v>
      </c>
      <c r="AM52" s="27">
        <f t="shared" si="10"/>
        <v>0</v>
      </c>
      <c r="AN52" s="27">
        <f t="shared" si="11"/>
        <v>0</v>
      </c>
      <c r="AO52" s="27">
        <f t="shared" si="5"/>
        <v>0</v>
      </c>
      <c r="AP52" s="27">
        <f t="shared" si="5"/>
        <v>0</v>
      </c>
      <c r="AQ52" s="27">
        <f t="shared" si="12"/>
        <v>0</v>
      </c>
      <c r="AR52" s="27">
        <f t="shared" si="13"/>
        <v>0</v>
      </c>
      <c r="AS52" s="27"/>
      <c r="AT52" s="27"/>
      <c r="AU52" s="27"/>
      <c r="AV52" s="27"/>
      <c r="AW52" s="27">
        <f t="shared" si="14"/>
        <v>0</v>
      </c>
      <c r="AX52" s="79">
        <f t="shared" si="15"/>
        <v>0</v>
      </c>
      <c r="AY52" s="79">
        <f t="shared" si="16"/>
        <v>120689208.75</v>
      </c>
      <c r="AZ52" s="25">
        <v>3</v>
      </c>
      <c r="BA52" s="62" t="s">
        <v>79</v>
      </c>
      <c r="BB52" s="66">
        <v>1</v>
      </c>
      <c r="BC52" s="66"/>
      <c r="BD52" s="66"/>
      <c r="BE52" s="67">
        <f t="shared" si="17"/>
        <v>0</v>
      </c>
      <c r="BF52" s="67">
        <f t="shared" si="18"/>
        <v>0</v>
      </c>
      <c r="BG52" s="67">
        <f t="shared" si="6"/>
        <v>0</v>
      </c>
      <c r="BH52" s="66"/>
      <c r="BI52" s="68" t="s">
        <v>117</v>
      </c>
      <c r="BJ52" s="68" t="s">
        <v>117</v>
      </c>
      <c r="BK52" s="68" t="s">
        <v>117</v>
      </c>
      <c r="BL52" s="29"/>
      <c r="BO52" s="35" t="s">
        <v>1804</v>
      </c>
    </row>
    <row r="53" spans="1:67" ht="15" customHeight="1">
      <c r="A53" s="1" t="s">
        <v>43</v>
      </c>
      <c r="C53" s="1" t="str">
        <f t="shared" si="7"/>
        <v>2511</v>
      </c>
      <c r="D53" s="1" t="str">
        <f t="shared" si="8"/>
        <v>1812</v>
      </c>
      <c r="E53" s="19" t="s">
        <v>48</v>
      </c>
      <c r="F53" s="62" t="s">
        <v>49</v>
      </c>
      <c r="G53" s="62">
        <v>2112</v>
      </c>
      <c r="H53" s="62" t="s">
        <v>227</v>
      </c>
      <c r="I53" s="62" t="s">
        <v>228</v>
      </c>
      <c r="J53" s="118">
        <v>3</v>
      </c>
      <c r="K53" s="119"/>
      <c r="L53" s="62" t="s">
        <v>77</v>
      </c>
      <c r="M53" s="120" t="s">
        <v>224</v>
      </c>
      <c r="N53" s="65">
        <v>43416</v>
      </c>
      <c r="O53" s="24">
        <v>647950</v>
      </c>
      <c r="P53" s="24">
        <v>23340</v>
      </c>
      <c r="Q53" s="64">
        <v>15123153000</v>
      </c>
      <c r="R53" s="64"/>
      <c r="S53" s="64"/>
      <c r="T53" s="64">
        <v>37321647.398044817</v>
      </c>
      <c r="U53" s="64" t="s">
        <v>220</v>
      </c>
      <c r="V53" s="121">
        <v>15160474647.398001</v>
      </c>
      <c r="W53" s="122">
        <v>-4.38690185546875E-5</v>
      </c>
      <c r="X53" s="64">
        <v>15160474647.398045</v>
      </c>
      <c r="Y53" s="121"/>
      <c r="Z53" s="121"/>
      <c r="AA53" s="121"/>
      <c r="AB53" s="121"/>
      <c r="AC53" s="64">
        <v>15160474647.397957</v>
      </c>
      <c r="AD53" s="65">
        <v>43435</v>
      </c>
      <c r="AE53" s="65">
        <v>45990</v>
      </c>
      <c r="AF53" s="62">
        <v>7</v>
      </c>
      <c r="AG53" s="119">
        <v>84</v>
      </c>
      <c r="AH53" s="25">
        <v>180481841.04045185</v>
      </c>
      <c r="AI53" s="78">
        <v>11009392301.802475</v>
      </c>
      <c r="AJ53" s="78">
        <v>4151082345.5954819</v>
      </c>
      <c r="AK53" s="27">
        <f t="shared" si="9"/>
        <v>180481841.04045185</v>
      </c>
      <c r="AL53" s="27">
        <f t="shared" si="10"/>
        <v>180481841.04045185</v>
      </c>
      <c r="AM53" s="27">
        <f t="shared" si="10"/>
        <v>180481841.04045185</v>
      </c>
      <c r="AN53" s="27">
        <f t="shared" si="11"/>
        <v>180481841.04045185</v>
      </c>
      <c r="AO53" s="27">
        <f t="shared" si="5"/>
        <v>180481841.04045185</v>
      </c>
      <c r="AP53" s="27">
        <f t="shared" si="5"/>
        <v>180481841.04045185</v>
      </c>
      <c r="AQ53" s="27">
        <f t="shared" si="12"/>
        <v>180481841.04045185</v>
      </c>
      <c r="AR53" s="27">
        <f t="shared" si="13"/>
        <v>180481841.04045185</v>
      </c>
      <c r="AS53" s="27"/>
      <c r="AT53" s="27"/>
      <c r="AU53" s="27"/>
      <c r="AV53" s="27"/>
      <c r="AW53" s="27">
        <f t="shared" si="14"/>
        <v>1443854728.3236146</v>
      </c>
      <c r="AX53" s="79">
        <f t="shared" si="15"/>
        <v>2707227617.2718673</v>
      </c>
      <c r="AY53" s="79">
        <f t="shared" si="16"/>
        <v>12453247030.126089</v>
      </c>
      <c r="AZ53" s="25">
        <v>3</v>
      </c>
      <c r="BA53" s="62" t="s">
        <v>97</v>
      </c>
      <c r="BB53" s="66">
        <v>1</v>
      </c>
      <c r="BC53" s="66"/>
      <c r="BD53" s="66"/>
      <c r="BE53" s="67">
        <f t="shared" si="17"/>
        <v>180481841.04045185</v>
      </c>
      <c r="BF53" s="67">
        <f t="shared" si="18"/>
        <v>0</v>
      </c>
      <c r="BG53" s="67">
        <f t="shared" si="6"/>
        <v>0</v>
      </c>
      <c r="BH53" s="66"/>
      <c r="BI53" s="68" t="s">
        <v>229</v>
      </c>
      <c r="BJ53" s="68" t="s">
        <v>85</v>
      </c>
      <c r="BK53" s="68" t="s">
        <v>85</v>
      </c>
      <c r="BL53" s="29"/>
      <c r="BO53" s="35" t="s">
        <v>1800</v>
      </c>
    </row>
    <row r="54" spans="1:67" ht="15" customHeight="1">
      <c r="A54" s="1" t="s">
        <v>43</v>
      </c>
      <c r="C54" s="1" t="str">
        <f t="shared" si="7"/>
        <v>2511</v>
      </c>
      <c r="D54" s="1" t="str">
        <f t="shared" si="8"/>
        <v>1812</v>
      </c>
      <c r="E54" s="19" t="s">
        <v>48</v>
      </c>
      <c r="F54" s="62" t="s">
        <v>49</v>
      </c>
      <c r="G54" s="62">
        <v>2112</v>
      </c>
      <c r="H54" s="62" t="s">
        <v>230</v>
      </c>
      <c r="I54" s="62" t="s">
        <v>231</v>
      </c>
      <c r="J54" s="118">
        <v>1</v>
      </c>
      <c r="K54" s="119"/>
      <c r="L54" s="62" t="s">
        <v>77</v>
      </c>
      <c r="M54" s="120" t="s">
        <v>232</v>
      </c>
      <c r="N54" s="65">
        <v>43419</v>
      </c>
      <c r="O54" s="24">
        <v>47099.3</v>
      </c>
      <c r="P54" s="24">
        <v>23360</v>
      </c>
      <c r="Q54" s="64">
        <v>1100239648</v>
      </c>
      <c r="R54" s="64"/>
      <c r="S54" s="64"/>
      <c r="T54" s="64">
        <v>9382055</v>
      </c>
      <c r="U54" s="64" t="s">
        <v>220</v>
      </c>
      <c r="V54" s="121">
        <v>1109621703</v>
      </c>
      <c r="W54" s="122">
        <v>0</v>
      </c>
      <c r="X54" s="64">
        <v>1109621703</v>
      </c>
      <c r="Y54" s="121"/>
      <c r="Z54" s="121"/>
      <c r="AA54" s="121"/>
      <c r="AB54" s="121"/>
      <c r="AC54" s="64">
        <v>1109621703</v>
      </c>
      <c r="AD54" s="65">
        <v>43435</v>
      </c>
      <c r="AE54" s="65">
        <v>45990</v>
      </c>
      <c r="AF54" s="62">
        <v>7</v>
      </c>
      <c r="AG54" s="119">
        <v>84</v>
      </c>
      <c r="AH54" s="25">
        <v>13209782.178571429</v>
      </c>
      <c r="AI54" s="78">
        <v>805796703.78571439</v>
      </c>
      <c r="AJ54" s="78">
        <v>303824999.21428567</v>
      </c>
      <c r="AK54" s="27">
        <f t="shared" si="9"/>
        <v>13209782.178571429</v>
      </c>
      <c r="AL54" s="27">
        <f t="shared" si="10"/>
        <v>13209782.178571429</v>
      </c>
      <c r="AM54" s="27">
        <f t="shared" si="10"/>
        <v>13209782.178571429</v>
      </c>
      <c r="AN54" s="27">
        <f t="shared" si="11"/>
        <v>13209782.178571429</v>
      </c>
      <c r="AO54" s="27">
        <f t="shared" si="5"/>
        <v>13209782.178571429</v>
      </c>
      <c r="AP54" s="27">
        <f t="shared" si="5"/>
        <v>13209782.178571429</v>
      </c>
      <c r="AQ54" s="27">
        <f t="shared" si="12"/>
        <v>13209782.178571429</v>
      </c>
      <c r="AR54" s="27">
        <f t="shared" si="13"/>
        <v>13209782.178571429</v>
      </c>
      <c r="AS54" s="27"/>
      <c r="AT54" s="27"/>
      <c r="AU54" s="27"/>
      <c r="AV54" s="27"/>
      <c r="AW54" s="27">
        <f t="shared" si="14"/>
        <v>105678257.42857145</v>
      </c>
      <c r="AX54" s="79">
        <f t="shared" si="15"/>
        <v>198146741.78571415</v>
      </c>
      <c r="AY54" s="79">
        <f t="shared" si="16"/>
        <v>911474961.21428585</v>
      </c>
      <c r="AZ54" s="25">
        <v>1</v>
      </c>
      <c r="BA54" s="62" t="s">
        <v>97</v>
      </c>
      <c r="BB54" s="66">
        <v>1</v>
      </c>
      <c r="BC54" s="66"/>
      <c r="BD54" s="66"/>
      <c r="BE54" s="67">
        <f t="shared" si="17"/>
        <v>13209782.178571429</v>
      </c>
      <c r="BF54" s="67">
        <f t="shared" si="18"/>
        <v>0</v>
      </c>
      <c r="BG54" s="67">
        <f t="shared" si="6"/>
        <v>0</v>
      </c>
      <c r="BH54" s="66"/>
      <c r="BI54" s="68" t="s">
        <v>80</v>
      </c>
      <c r="BJ54" s="68" t="s">
        <v>98</v>
      </c>
      <c r="BK54" s="68" t="s">
        <v>98</v>
      </c>
      <c r="BL54" s="29"/>
      <c r="BO54" s="35" t="s">
        <v>1801</v>
      </c>
    </row>
    <row r="55" spans="1:67" ht="15" customHeight="1">
      <c r="A55" s="1" t="s">
        <v>43</v>
      </c>
      <c r="C55" s="1" t="str">
        <f t="shared" si="7"/>
        <v>2511</v>
      </c>
      <c r="D55" s="1" t="str">
        <f t="shared" si="8"/>
        <v>1812</v>
      </c>
      <c r="E55" s="19" t="s">
        <v>48</v>
      </c>
      <c r="F55" s="62" t="s">
        <v>1896</v>
      </c>
      <c r="G55" s="62">
        <v>2112</v>
      </c>
      <c r="H55" s="62" t="s">
        <v>238</v>
      </c>
      <c r="I55" s="62" t="s">
        <v>239</v>
      </c>
      <c r="J55" s="118">
        <v>1</v>
      </c>
      <c r="K55" s="119"/>
      <c r="L55" s="62" t="s">
        <v>77</v>
      </c>
      <c r="M55" s="120" t="s">
        <v>240</v>
      </c>
      <c r="N55" s="65">
        <v>43424</v>
      </c>
      <c r="O55" s="24">
        <v>6400.31</v>
      </c>
      <c r="P55" s="24">
        <v>23370</v>
      </c>
      <c r="Q55" s="64">
        <v>149575244.70000002</v>
      </c>
      <c r="R55" s="64"/>
      <c r="S55" s="64"/>
      <c r="T55" s="64">
        <v>4153818.3665058073</v>
      </c>
      <c r="U55" s="64" t="s">
        <v>241</v>
      </c>
      <c r="V55" s="121">
        <v>153729063.067</v>
      </c>
      <c r="W55" s="122">
        <v>4.9418210983276367E-4</v>
      </c>
      <c r="X55" s="64">
        <v>153729063.06650582</v>
      </c>
      <c r="Y55" s="121"/>
      <c r="Z55" s="121"/>
      <c r="AA55" s="121"/>
      <c r="AB55" s="121"/>
      <c r="AC55" s="64">
        <v>153729063.06749418</v>
      </c>
      <c r="AD55" s="65">
        <v>43435</v>
      </c>
      <c r="AE55" s="65">
        <v>45990</v>
      </c>
      <c r="AF55" s="62">
        <v>7</v>
      </c>
      <c r="AG55" s="119">
        <v>84</v>
      </c>
      <c r="AH55" s="25">
        <v>1830107.893660645</v>
      </c>
      <c r="AI55" s="78">
        <v>111636587.00410064</v>
      </c>
      <c r="AJ55" s="78">
        <v>42092476.063393548</v>
      </c>
      <c r="AK55" s="27">
        <f t="shared" si="9"/>
        <v>1830107.893660645</v>
      </c>
      <c r="AL55" s="27">
        <f t="shared" si="10"/>
        <v>1830107.893660645</v>
      </c>
      <c r="AM55" s="27">
        <f t="shared" si="10"/>
        <v>1830107.893660645</v>
      </c>
      <c r="AN55" s="27">
        <f t="shared" si="11"/>
        <v>1830107.893660645</v>
      </c>
      <c r="AO55" s="27">
        <f t="shared" si="5"/>
        <v>1830107.893660645</v>
      </c>
      <c r="AP55" s="27">
        <f t="shared" si="5"/>
        <v>1830107.893660645</v>
      </c>
      <c r="AQ55" s="27">
        <f t="shared" si="12"/>
        <v>1830107.893660645</v>
      </c>
      <c r="AR55" s="27">
        <f t="shared" si="13"/>
        <v>1830107.893660645</v>
      </c>
      <c r="AS55" s="27"/>
      <c r="AT55" s="27"/>
      <c r="AU55" s="27"/>
      <c r="AV55" s="27"/>
      <c r="AW55" s="27">
        <f t="shared" si="14"/>
        <v>14640863.149285164</v>
      </c>
      <c r="AX55" s="79">
        <f t="shared" si="15"/>
        <v>27451612.914108384</v>
      </c>
      <c r="AY55" s="79">
        <f t="shared" si="16"/>
        <v>126277450.1533858</v>
      </c>
      <c r="AZ55" s="25">
        <v>1</v>
      </c>
      <c r="BA55" s="62" t="s">
        <v>97</v>
      </c>
      <c r="BB55" s="66">
        <v>1</v>
      </c>
      <c r="BC55" s="66"/>
      <c r="BD55" s="66"/>
      <c r="BE55" s="67">
        <f t="shared" si="17"/>
        <v>1830107.893660645</v>
      </c>
      <c r="BF55" s="67">
        <f t="shared" si="18"/>
        <v>0</v>
      </c>
      <c r="BG55" s="67">
        <f t="shared" si="6"/>
        <v>0</v>
      </c>
      <c r="BH55" s="66" t="s">
        <v>1662</v>
      </c>
      <c r="BI55" s="68" t="s">
        <v>242</v>
      </c>
      <c r="BJ55" s="68" t="s">
        <v>1982</v>
      </c>
      <c r="BK55" s="68" t="s">
        <v>1982</v>
      </c>
      <c r="BL55" s="29"/>
      <c r="BO55" s="35" t="s">
        <v>1805</v>
      </c>
    </row>
    <row r="56" spans="1:67" ht="15" customHeight="1">
      <c r="A56" s="1" t="s">
        <v>43</v>
      </c>
      <c r="C56" s="1" t="str">
        <f t="shared" si="7"/>
        <v>2511</v>
      </c>
      <c r="D56" s="1" t="str">
        <f t="shared" si="8"/>
        <v>1812</v>
      </c>
      <c r="E56" s="19" t="s">
        <v>48</v>
      </c>
      <c r="F56" s="62" t="s">
        <v>1896</v>
      </c>
      <c r="G56" s="62">
        <v>2112</v>
      </c>
      <c r="H56" s="62" t="s">
        <v>243</v>
      </c>
      <c r="I56" s="62" t="s">
        <v>244</v>
      </c>
      <c r="J56" s="118">
        <v>1</v>
      </c>
      <c r="K56" s="119"/>
      <c r="L56" s="62" t="s">
        <v>77</v>
      </c>
      <c r="M56" s="120" t="s">
        <v>240</v>
      </c>
      <c r="N56" s="65">
        <v>43424</v>
      </c>
      <c r="O56" s="24">
        <v>6180.27</v>
      </c>
      <c r="P56" s="24">
        <v>23370</v>
      </c>
      <c r="Q56" s="64">
        <v>144432909.90000001</v>
      </c>
      <c r="R56" s="64"/>
      <c r="S56" s="64"/>
      <c r="T56" s="64">
        <v>4011011.8159846696</v>
      </c>
      <c r="U56" s="64" t="s">
        <v>241</v>
      </c>
      <c r="V56" s="121">
        <v>148443921.71599999</v>
      </c>
      <c r="W56" s="122">
        <v>1.5318393707275391E-5</v>
      </c>
      <c r="X56" s="64">
        <v>148443921.71598467</v>
      </c>
      <c r="Y56" s="121"/>
      <c r="Z56" s="121"/>
      <c r="AA56" s="121"/>
      <c r="AB56" s="121"/>
      <c r="AC56" s="64">
        <v>148443921.71601531</v>
      </c>
      <c r="AD56" s="65">
        <v>43435</v>
      </c>
      <c r="AE56" s="65">
        <v>45990</v>
      </c>
      <c r="AF56" s="62">
        <v>7</v>
      </c>
      <c r="AG56" s="119">
        <v>84</v>
      </c>
      <c r="AH56" s="25">
        <v>1767189.5442382775</v>
      </c>
      <c r="AI56" s="78">
        <v>107798585.15839808</v>
      </c>
      <c r="AJ56" s="78">
        <v>40645336.557617232</v>
      </c>
      <c r="AK56" s="27">
        <f t="shared" si="9"/>
        <v>1767189.5442382775</v>
      </c>
      <c r="AL56" s="27">
        <f t="shared" si="10"/>
        <v>1767189.5442382775</v>
      </c>
      <c r="AM56" s="27">
        <f t="shared" si="10"/>
        <v>1767189.5442382775</v>
      </c>
      <c r="AN56" s="27">
        <f t="shared" si="11"/>
        <v>1767189.5442382775</v>
      </c>
      <c r="AO56" s="27">
        <f t="shared" si="5"/>
        <v>1767189.5442382775</v>
      </c>
      <c r="AP56" s="27">
        <f t="shared" si="5"/>
        <v>1767189.5442382775</v>
      </c>
      <c r="AQ56" s="27">
        <f t="shared" si="12"/>
        <v>1767189.5442382775</v>
      </c>
      <c r="AR56" s="27">
        <f t="shared" si="13"/>
        <v>1767189.5442382775</v>
      </c>
      <c r="AS56" s="27"/>
      <c r="AT56" s="27"/>
      <c r="AU56" s="27"/>
      <c r="AV56" s="27"/>
      <c r="AW56" s="27">
        <f t="shared" si="14"/>
        <v>14137516.353906218</v>
      </c>
      <c r="AX56" s="79">
        <f t="shared" si="15"/>
        <v>26507820.203711014</v>
      </c>
      <c r="AY56" s="79">
        <f t="shared" si="16"/>
        <v>121936101.51230429</v>
      </c>
      <c r="AZ56" s="25">
        <v>1</v>
      </c>
      <c r="BA56" s="62" t="s">
        <v>97</v>
      </c>
      <c r="BB56" s="66">
        <v>1</v>
      </c>
      <c r="BC56" s="66"/>
      <c r="BD56" s="66"/>
      <c r="BE56" s="67">
        <f t="shared" si="17"/>
        <v>1767189.5442382775</v>
      </c>
      <c r="BF56" s="67">
        <f t="shared" si="18"/>
        <v>0</v>
      </c>
      <c r="BG56" s="67">
        <f t="shared" si="6"/>
        <v>0</v>
      </c>
      <c r="BH56" s="66" t="s">
        <v>1662</v>
      </c>
      <c r="BI56" s="68" t="s">
        <v>107</v>
      </c>
      <c r="BJ56" s="68" t="s">
        <v>1982</v>
      </c>
      <c r="BK56" s="68" t="s">
        <v>1982</v>
      </c>
      <c r="BL56" s="29"/>
      <c r="BO56" s="35" t="s">
        <v>1800</v>
      </c>
    </row>
    <row r="57" spans="1:67" ht="15" customHeight="1">
      <c r="A57" s="1" t="s">
        <v>43</v>
      </c>
      <c r="C57" s="1" t="str">
        <f t="shared" si="7"/>
        <v>2511</v>
      </c>
      <c r="D57" s="1" t="str">
        <f t="shared" si="8"/>
        <v>1812</v>
      </c>
      <c r="E57" s="19" t="s">
        <v>48</v>
      </c>
      <c r="F57" s="62" t="s">
        <v>1896</v>
      </c>
      <c r="G57" s="62">
        <v>2112</v>
      </c>
      <c r="H57" s="62" t="s">
        <v>245</v>
      </c>
      <c r="I57" s="62" t="s">
        <v>246</v>
      </c>
      <c r="J57" s="118">
        <v>1</v>
      </c>
      <c r="K57" s="119"/>
      <c r="L57" s="62" t="s">
        <v>77</v>
      </c>
      <c r="M57" s="120" t="s">
        <v>240</v>
      </c>
      <c r="N57" s="65">
        <v>43424</v>
      </c>
      <c r="O57" s="24">
        <v>6326.16</v>
      </c>
      <c r="P57" s="24">
        <v>23370</v>
      </c>
      <c r="Q57" s="64">
        <v>147842359.19999999</v>
      </c>
      <c r="R57" s="64"/>
      <c r="S57" s="64"/>
      <c r="T57" s="64">
        <v>4105694.8175095222</v>
      </c>
      <c r="U57" s="64" t="s">
        <v>241</v>
      </c>
      <c r="V57" s="121">
        <v>151948054</v>
      </c>
      <c r="W57" s="122">
        <v>-1.7509520053863525E-2</v>
      </c>
      <c r="X57" s="64">
        <v>151948054.01750952</v>
      </c>
      <c r="Y57" s="121"/>
      <c r="Z57" s="121"/>
      <c r="AA57" s="121"/>
      <c r="AB57" s="121"/>
      <c r="AC57" s="64">
        <v>151948053.98249048</v>
      </c>
      <c r="AD57" s="65">
        <v>43435</v>
      </c>
      <c r="AE57" s="65">
        <v>45990</v>
      </c>
      <c r="AF57" s="62">
        <v>7</v>
      </c>
      <c r="AG57" s="119">
        <v>84</v>
      </c>
      <c r="AH57" s="25">
        <v>1808905.4045534581</v>
      </c>
      <c r="AI57" s="78">
        <v>110343209.02802506</v>
      </c>
      <c r="AJ57" s="78">
        <v>41604844.954465419</v>
      </c>
      <c r="AK57" s="27">
        <f t="shared" si="9"/>
        <v>1808905.4045534581</v>
      </c>
      <c r="AL57" s="27">
        <f t="shared" si="10"/>
        <v>1808905.4045534581</v>
      </c>
      <c r="AM57" s="27">
        <f t="shared" si="10"/>
        <v>1808905.4045534581</v>
      </c>
      <c r="AN57" s="27">
        <f t="shared" si="11"/>
        <v>1808905.4045534581</v>
      </c>
      <c r="AO57" s="27">
        <f t="shared" si="5"/>
        <v>1808905.4045534581</v>
      </c>
      <c r="AP57" s="27">
        <f t="shared" si="5"/>
        <v>1808905.4045534581</v>
      </c>
      <c r="AQ57" s="27">
        <f t="shared" si="12"/>
        <v>1808905.4045534581</v>
      </c>
      <c r="AR57" s="27">
        <f t="shared" si="13"/>
        <v>1808905.4045534581</v>
      </c>
      <c r="AS57" s="27"/>
      <c r="AT57" s="27"/>
      <c r="AU57" s="27"/>
      <c r="AV57" s="27"/>
      <c r="AW57" s="27">
        <f t="shared" si="14"/>
        <v>14471243.236427665</v>
      </c>
      <c r="AX57" s="79">
        <f t="shared" si="15"/>
        <v>27133601.718037754</v>
      </c>
      <c r="AY57" s="79">
        <f t="shared" si="16"/>
        <v>124814452.26445273</v>
      </c>
      <c r="AZ57" s="25">
        <v>1</v>
      </c>
      <c r="BA57" s="62" t="s">
        <v>97</v>
      </c>
      <c r="BB57" s="66">
        <v>1</v>
      </c>
      <c r="BC57" s="66"/>
      <c r="BD57" s="66"/>
      <c r="BE57" s="67">
        <f t="shared" si="17"/>
        <v>1808905.4045534581</v>
      </c>
      <c r="BF57" s="67">
        <f t="shared" si="18"/>
        <v>0</v>
      </c>
      <c r="BG57" s="67">
        <f t="shared" si="6"/>
        <v>0</v>
      </c>
      <c r="BH57" s="66" t="s">
        <v>1662</v>
      </c>
      <c r="BI57" s="68" t="s">
        <v>107</v>
      </c>
      <c r="BJ57" s="68" t="s">
        <v>1982</v>
      </c>
      <c r="BK57" s="68" t="s">
        <v>1982</v>
      </c>
      <c r="BL57" s="29"/>
      <c r="BO57" s="35" t="s">
        <v>1800</v>
      </c>
    </row>
    <row r="58" spans="1:67" ht="15" customHeight="1">
      <c r="A58" s="1" t="s">
        <v>43</v>
      </c>
      <c r="C58" s="1" t="str">
        <f t="shared" si="7"/>
        <v>2511</v>
      </c>
      <c r="D58" s="1" t="str">
        <f t="shared" si="8"/>
        <v>1812</v>
      </c>
      <c r="E58" s="19" t="s">
        <v>48</v>
      </c>
      <c r="F58" s="62" t="s">
        <v>49</v>
      </c>
      <c r="G58" s="62">
        <v>2112</v>
      </c>
      <c r="H58" s="62" t="s">
        <v>252</v>
      </c>
      <c r="I58" s="62" t="s">
        <v>253</v>
      </c>
      <c r="J58" s="118">
        <v>10</v>
      </c>
      <c r="K58" s="119"/>
      <c r="L58" s="62" t="s">
        <v>77</v>
      </c>
      <c r="M58" s="120" t="s">
        <v>249</v>
      </c>
      <c r="N58" s="65">
        <v>43433</v>
      </c>
      <c r="O58" s="24">
        <v>76628.800000000003</v>
      </c>
      <c r="P58" s="24">
        <v>23355</v>
      </c>
      <c r="Q58" s="64">
        <v>1789665624</v>
      </c>
      <c r="R58" s="64">
        <v>30122503.561896335</v>
      </c>
      <c r="S58" s="64"/>
      <c r="T58" s="64">
        <v>7412133.7133332007</v>
      </c>
      <c r="U58" s="64" t="s">
        <v>250</v>
      </c>
      <c r="V58" s="121">
        <v>1827200261.2750001</v>
      </c>
      <c r="W58" s="122">
        <v>-2.2935867309570313E-4</v>
      </c>
      <c r="X58" s="64">
        <v>1827200261.2752295</v>
      </c>
      <c r="Y58" s="121"/>
      <c r="Z58" s="121"/>
      <c r="AA58" s="121"/>
      <c r="AB58" s="121"/>
      <c r="AC58" s="64">
        <v>1827200261.2747707</v>
      </c>
      <c r="AD58" s="65">
        <v>43435</v>
      </c>
      <c r="AE58" s="65">
        <v>45990</v>
      </c>
      <c r="AF58" s="62">
        <v>7</v>
      </c>
      <c r="AG58" s="119">
        <v>84</v>
      </c>
      <c r="AH58" s="25">
        <v>21752384.06279489</v>
      </c>
      <c r="AI58" s="78">
        <v>1326895424.9027197</v>
      </c>
      <c r="AJ58" s="78">
        <v>500304836.37205106</v>
      </c>
      <c r="AK58" s="27">
        <f t="shared" si="9"/>
        <v>21752384.06279489</v>
      </c>
      <c r="AL58" s="27">
        <f t="shared" si="10"/>
        <v>21752384.06279489</v>
      </c>
      <c r="AM58" s="27">
        <f t="shared" si="10"/>
        <v>21752384.06279489</v>
      </c>
      <c r="AN58" s="27">
        <f t="shared" ref="AN58:AN113" si="19">+IF(AND(AN$3&gt;=$D58,AN$3&lt;$C58),$AH58,$AJ58-SUM(AL58:AM58))</f>
        <v>21752384.06279489</v>
      </c>
      <c r="AO58" s="27">
        <f t="shared" ref="AO58:AP113" si="20">+IF(AND(AO$3&gt;=$D58,AO$3&lt;$C58),$AH58,$AJ58-SUM(AM58:AN58))</f>
        <v>21752384.06279489</v>
      </c>
      <c r="AP58" s="27">
        <f t="shared" si="20"/>
        <v>21752384.06279489</v>
      </c>
      <c r="AQ58" s="27">
        <f t="shared" ref="AQ58:AQ113" si="21">+IF(AND(AQ$3&gt;=$D58,AQ$3&lt;$C58),$AH58,$AJ58-SUM(AK58:AP58))</f>
        <v>21752384.06279489</v>
      </c>
      <c r="AR58" s="27">
        <f t="shared" ref="AR58:AR113" si="22">+IF(AND(AR$3&gt;=$D58,AR$3&lt;$C58),$AH58,$AJ58-SUM(AL58:AQ58))</f>
        <v>21752384.06279489</v>
      </c>
      <c r="AS58" s="27"/>
      <c r="AT58" s="27"/>
      <c r="AU58" s="27"/>
      <c r="AV58" s="27"/>
      <c r="AW58" s="27">
        <f t="shared" si="14"/>
        <v>174019072.50235912</v>
      </c>
      <c r="AX58" s="79">
        <f t="shared" si="15"/>
        <v>326285763.86969185</v>
      </c>
      <c r="AY58" s="79">
        <f t="shared" si="16"/>
        <v>1500914497.4050789</v>
      </c>
      <c r="AZ58" s="25">
        <v>10</v>
      </c>
      <c r="BA58" s="62" t="s">
        <v>79</v>
      </c>
      <c r="BB58" s="66">
        <v>1</v>
      </c>
      <c r="BC58" s="66"/>
      <c r="BD58" s="66"/>
      <c r="BE58" s="67">
        <f t="shared" ref="BE58:BE75" si="23">+$AM58*BB58</f>
        <v>21752384.06279489</v>
      </c>
      <c r="BF58" s="67">
        <f t="shared" ref="BF58:BF113" si="24">+$AM58*BC58</f>
        <v>0</v>
      </c>
      <c r="BG58" s="67">
        <f t="shared" si="6"/>
        <v>0</v>
      </c>
      <c r="BH58" s="66"/>
      <c r="BI58" s="68" t="s">
        <v>84</v>
      </c>
      <c r="BJ58" s="68" t="s">
        <v>85</v>
      </c>
      <c r="BK58" s="68" t="s">
        <v>85</v>
      </c>
      <c r="BL58" s="29"/>
      <c r="BO58" s="35" t="s">
        <v>1800</v>
      </c>
    </row>
    <row r="59" spans="1:67" ht="15" customHeight="1">
      <c r="C59" s="1" t="str">
        <f>+RIGHT(YEAR(AE59),2)&amp;IF(LEN(MONTH(AE59))=2,MONTH(AE59),"0"&amp;MONTH(AE59))</f>
        <v>2111</v>
      </c>
      <c r="D59" s="1" t="str">
        <f>+RIGHT(YEAR(AD59),2)&amp;IF(LEN(MONTH(AD59))=2,MONTH(AD59),"0"&amp;MONTH(AD59))</f>
        <v>2402</v>
      </c>
      <c r="E59" s="19" t="s">
        <v>48</v>
      </c>
      <c r="F59" s="62" t="s">
        <v>1896</v>
      </c>
      <c r="G59" s="62">
        <v>2112</v>
      </c>
      <c r="H59" s="62" t="s">
        <v>2028</v>
      </c>
      <c r="I59" s="62" t="s">
        <v>255</v>
      </c>
      <c r="J59" s="118">
        <v>1</v>
      </c>
      <c r="K59" s="119"/>
      <c r="L59" s="62" t="s">
        <v>77</v>
      </c>
      <c r="M59" s="120" t="s">
        <v>249</v>
      </c>
      <c r="N59" s="65">
        <v>43433</v>
      </c>
      <c r="O59" s="24">
        <v>1843</v>
      </c>
      <c r="P59" s="24">
        <v>23355</v>
      </c>
      <c r="Q59" s="64">
        <f>+P59*O59</f>
        <v>43043265</v>
      </c>
      <c r="R59" s="64" t="e">
        <f>+#REF!/2</f>
        <v>#REF!</v>
      </c>
      <c r="S59" s="64"/>
      <c r="T59" s="64" t="e">
        <f>+#REF!/2</f>
        <v>#REF!</v>
      </c>
      <c r="U59" s="64" t="s">
        <v>250</v>
      </c>
      <c r="V59" s="121">
        <v>43946010.919265971</v>
      </c>
      <c r="W59" s="122">
        <v>43946010.919265971</v>
      </c>
      <c r="X59" s="64">
        <v>43946010.919265971</v>
      </c>
      <c r="Y59" s="121"/>
      <c r="Z59" s="121"/>
      <c r="AA59" s="121"/>
      <c r="AB59" s="121"/>
      <c r="AC59" s="64">
        <v>43946010.919265971</v>
      </c>
      <c r="AD59" s="65">
        <v>45323</v>
      </c>
      <c r="AE59" s="65">
        <v>44530</v>
      </c>
      <c r="AF59" s="62"/>
      <c r="AG59" s="119">
        <v>0</v>
      </c>
      <c r="AH59" s="25">
        <v>1220723</v>
      </c>
      <c r="AI59" s="78">
        <v>43946010.919265971</v>
      </c>
      <c r="AJ59" s="78">
        <v>0</v>
      </c>
      <c r="AK59" s="27">
        <f t="shared" si="9"/>
        <v>0</v>
      </c>
      <c r="AL59" s="27">
        <f>+IF(AND(AL$3&gt;=$D59,AL$3&lt;$C59),$AH59,$AJ59-SUM(AJ59:AK59))</f>
        <v>0</v>
      </c>
      <c r="AM59" s="27">
        <f t="shared" si="10"/>
        <v>0</v>
      </c>
      <c r="AN59" s="27">
        <f t="shared" si="19"/>
        <v>0</v>
      </c>
      <c r="AO59" s="27">
        <f t="shared" si="20"/>
        <v>0</v>
      </c>
      <c r="AP59" s="27">
        <f t="shared" si="20"/>
        <v>0</v>
      </c>
      <c r="AQ59" s="27">
        <f t="shared" si="21"/>
        <v>0</v>
      </c>
      <c r="AR59" s="27">
        <f t="shared" si="22"/>
        <v>0</v>
      </c>
      <c r="AS59" s="27"/>
      <c r="AT59" s="27"/>
      <c r="AU59" s="27"/>
      <c r="AV59" s="27"/>
      <c r="AW59" s="27">
        <f t="shared" si="14"/>
        <v>0</v>
      </c>
      <c r="AX59" s="79">
        <f>AC59-AI59-AW59</f>
        <v>0</v>
      </c>
      <c r="AY59" s="79">
        <f>AW59+AI59</f>
        <v>43946010.919265971</v>
      </c>
      <c r="AZ59" s="25">
        <v>1</v>
      </c>
      <c r="BA59" s="62"/>
      <c r="BB59" s="66">
        <v>1</v>
      </c>
      <c r="BC59" s="66"/>
      <c r="BD59" s="66"/>
      <c r="BE59" s="67">
        <f t="shared" si="23"/>
        <v>0</v>
      </c>
      <c r="BF59" s="67">
        <f t="shared" si="24"/>
        <v>0</v>
      </c>
      <c r="BG59" s="67">
        <f t="shared" ref="BG59:BG60" si="25">+$AL59*BD59</f>
        <v>0</v>
      </c>
      <c r="BH59" s="66"/>
      <c r="BI59" s="68"/>
      <c r="BJ59" s="68" t="s">
        <v>1930</v>
      </c>
      <c r="BK59" s="68" t="s">
        <v>1930</v>
      </c>
      <c r="BL59" s="29"/>
    </row>
    <row r="60" spans="1:67" ht="15" customHeight="1">
      <c r="C60" s="1" t="str">
        <f>+RIGHT(YEAR(AE60),2)&amp;IF(LEN(MONTH(AE60))=2,MONTH(AE60),"0"&amp;MONTH(AE60))</f>
        <v>2111</v>
      </c>
      <c r="D60" s="1" t="str">
        <f>+RIGHT(YEAR(AD60),2)&amp;IF(LEN(MONTH(AD60))=2,MONTH(AD60),"0"&amp;MONTH(AD60))</f>
        <v>2402</v>
      </c>
      <c r="E60" s="19" t="s">
        <v>48</v>
      </c>
      <c r="F60" s="62" t="s">
        <v>1923</v>
      </c>
      <c r="G60" s="62">
        <v>2112</v>
      </c>
      <c r="H60" s="62" t="s">
        <v>2029</v>
      </c>
      <c r="I60" s="62" t="s">
        <v>255</v>
      </c>
      <c r="J60" s="118">
        <v>1</v>
      </c>
      <c r="K60" s="119"/>
      <c r="L60" s="62" t="s">
        <v>77</v>
      </c>
      <c r="M60" s="120" t="s">
        <v>249</v>
      </c>
      <c r="N60" s="65">
        <v>43433</v>
      </c>
      <c r="O60" s="24">
        <v>1843</v>
      </c>
      <c r="P60" s="24">
        <v>23355</v>
      </c>
      <c r="Q60" s="64">
        <f>+P60*O60</f>
        <v>43043265</v>
      </c>
      <c r="R60" s="64" t="e">
        <f>+#REF!/2</f>
        <v>#REF!</v>
      </c>
      <c r="S60" s="64"/>
      <c r="T60" s="64" t="e">
        <f>+#REF!/2</f>
        <v>#REF!</v>
      </c>
      <c r="U60" s="64" t="s">
        <v>250</v>
      </c>
      <c r="V60" s="121">
        <v>43946010.919265971</v>
      </c>
      <c r="W60" s="122">
        <v>43946010.919265971</v>
      </c>
      <c r="X60" s="64">
        <v>43946010.919265971</v>
      </c>
      <c r="Y60" s="121"/>
      <c r="Z60" s="121"/>
      <c r="AA60" s="121"/>
      <c r="AB60" s="121"/>
      <c r="AC60" s="64">
        <v>43946010.919265971</v>
      </c>
      <c r="AD60" s="65">
        <v>45323</v>
      </c>
      <c r="AE60" s="65">
        <v>44530</v>
      </c>
      <c r="AF60" s="62"/>
      <c r="AG60" s="119">
        <v>0</v>
      </c>
      <c r="AH60" s="25">
        <v>1220723</v>
      </c>
      <c r="AI60" s="78">
        <v>43946010.919265971</v>
      </c>
      <c r="AJ60" s="78">
        <v>0</v>
      </c>
      <c r="AK60" s="27">
        <f t="shared" si="9"/>
        <v>0</v>
      </c>
      <c r="AL60" s="27">
        <f>+IF(AND(AL$3&gt;=$D60,AL$3&lt;$C60),$AH60,$AJ60-SUM(AJ60:AK60))</f>
        <v>0</v>
      </c>
      <c r="AM60" s="27">
        <f t="shared" si="10"/>
        <v>0</v>
      </c>
      <c r="AN60" s="27">
        <f t="shared" si="19"/>
        <v>0</v>
      </c>
      <c r="AO60" s="27">
        <f t="shared" si="20"/>
        <v>0</v>
      </c>
      <c r="AP60" s="27">
        <f t="shared" si="20"/>
        <v>0</v>
      </c>
      <c r="AQ60" s="27">
        <f t="shared" si="21"/>
        <v>0</v>
      </c>
      <c r="AR60" s="27">
        <f t="shared" si="22"/>
        <v>0</v>
      </c>
      <c r="AS60" s="27"/>
      <c r="AT60" s="27"/>
      <c r="AU60" s="27"/>
      <c r="AV60" s="27"/>
      <c r="AW60" s="27">
        <f t="shared" si="14"/>
        <v>0</v>
      </c>
      <c r="AX60" s="79">
        <f>AC60-AI60-AW60</f>
        <v>0</v>
      </c>
      <c r="AY60" s="79">
        <f>AW60+AI60</f>
        <v>43946010.919265971</v>
      </c>
      <c r="AZ60" s="25">
        <v>1</v>
      </c>
      <c r="BA60" s="62"/>
      <c r="BB60" s="66">
        <v>1</v>
      </c>
      <c r="BC60" s="66"/>
      <c r="BD60" s="66"/>
      <c r="BE60" s="67">
        <f t="shared" si="23"/>
        <v>0</v>
      </c>
      <c r="BF60" s="67">
        <f t="shared" si="24"/>
        <v>0</v>
      </c>
      <c r="BG60" s="67">
        <f t="shared" si="25"/>
        <v>0</v>
      </c>
      <c r="BH60" s="66"/>
      <c r="BI60" s="68"/>
      <c r="BJ60" s="68" t="s">
        <v>81</v>
      </c>
      <c r="BK60" s="68" t="s">
        <v>81</v>
      </c>
      <c r="BL60" s="29"/>
    </row>
    <row r="61" spans="1:67" ht="15" customHeight="1">
      <c r="C61" s="1" t="str">
        <f>+RIGHT(YEAR(AE61),2)&amp;IF(LEN(MONTH(AE61))=2,MONTH(AE61),"0"&amp;MONTH(AE61))</f>
        <v>2511</v>
      </c>
      <c r="D61" s="1" t="str">
        <f>+RIGHT(YEAR(AD61),2)&amp;IF(LEN(MONTH(AD61))=2,MONTH(AD61),"0"&amp;MONTH(AD61))</f>
        <v>2402</v>
      </c>
      <c r="E61" s="19" t="s">
        <v>48</v>
      </c>
      <c r="F61" s="62" t="s">
        <v>1896</v>
      </c>
      <c r="G61" s="62">
        <v>2112</v>
      </c>
      <c r="H61" s="62" t="s">
        <v>2030</v>
      </c>
      <c r="I61" s="62" t="s">
        <v>257</v>
      </c>
      <c r="J61" s="118">
        <v>1</v>
      </c>
      <c r="K61" s="119"/>
      <c r="L61" s="62" t="s">
        <v>77</v>
      </c>
      <c r="M61" s="120" t="s">
        <v>258</v>
      </c>
      <c r="N61" s="65">
        <v>43434</v>
      </c>
      <c r="O61" s="24">
        <v>21431</v>
      </c>
      <c r="P61" s="24">
        <v>23340</v>
      </c>
      <c r="Q61" s="64">
        <f>+P61*O61</f>
        <v>500199540</v>
      </c>
      <c r="R61" s="64"/>
      <c r="S61" s="64"/>
      <c r="T61" s="64" t="e">
        <f>+#REF!/2</f>
        <v>#REF!</v>
      </c>
      <c r="U61" s="64" t="s">
        <v>259</v>
      </c>
      <c r="V61" s="121">
        <v>503239567</v>
      </c>
      <c r="W61" s="122"/>
      <c r="X61" s="64">
        <v>503239567</v>
      </c>
      <c r="Y61" s="121"/>
      <c r="Z61" s="121"/>
      <c r="AA61" s="121"/>
      <c r="AB61" s="123"/>
      <c r="AC61" s="64">
        <v>503239567</v>
      </c>
      <c r="AD61" s="65">
        <v>45323</v>
      </c>
      <c r="AE61" s="65">
        <v>45991</v>
      </c>
      <c r="AF61" s="62"/>
      <c r="AG61" s="119">
        <v>22</v>
      </c>
      <c r="AH61" s="25">
        <v>5990947</v>
      </c>
      <c r="AI61" s="78">
        <v>365447769</v>
      </c>
      <c r="AJ61" s="78">
        <v>137791797</v>
      </c>
      <c r="AK61" s="27">
        <v>5990947</v>
      </c>
      <c r="AL61" s="27">
        <f>+IF(AND(AL$3&gt;=$D61,AL$3&lt;$C61),$AH61,$AJ61-SUM(AJ61:AK61))</f>
        <v>5990947</v>
      </c>
      <c r="AM61" s="27">
        <f t="shared" ref="AM61:AM117" si="26">+IF(AND(AM$3&gt;=$D61,AM$3&lt;$C61),$AH61,$AJ61-SUM(AK61:AL61))</f>
        <v>5990947</v>
      </c>
      <c r="AN61" s="27">
        <f t="shared" si="19"/>
        <v>5990947</v>
      </c>
      <c r="AO61" s="27">
        <f t="shared" si="20"/>
        <v>5990947</v>
      </c>
      <c r="AP61" s="27">
        <f t="shared" si="20"/>
        <v>5990947</v>
      </c>
      <c r="AQ61" s="27">
        <f t="shared" si="21"/>
        <v>5990947</v>
      </c>
      <c r="AR61" s="27">
        <f t="shared" si="22"/>
        <v>5990947</v>
      </c>
      <c r="AS61" s="27"/>
      <c r="AT61" s="27"/>
      <c r="AU61" s="27"/>
      <c r="AV61" s="27"/>
      <c r="AW61" s="27">
        <f t="shared" si="14"/>
        <v>47927576</v>
      </c>
      <c r="AX61" s="79">
        <f t="shared" si="15"/>
        <v>89864222</v>
      </c>
      <c r="AY61" s="79">
        <f t="shared" si="16"/>
        <v>413375345</v>
      </c>
      <c r="AZ61" s="25">
        <v>1</v>
      </c>
      <c r="BA61" s="62"/>
      <c r="BB61" s="66">
        <v>1</v>
      </c>
      <c r="BC61" s="66"/>
      <c r="BD61" s="66"/>
      <c r="BE61" s="67">
        <f t="shared" si="23"/>
        <v>5990947</v>
      </c>
      <c r="BF61" s="67">
        <f t="shared" si="24"/>
        <v>0</v>
      </c>
      <c r="BG61" s="67">
        <f t="shared" ref="BG61:BG62" si="27">+$AL61*BD61</f>
        <v>0</v>
      </c>
      <c r="BH61" s="66"/>
      <c r="BI61" s="68"/>
      <c r="BJ61" s="68" t="s">
        <v>1929</v>
      </c>
      <c r="BK61" s="68" t="s">
        <v>1989</v>
      </c>
      <c r="BL61" s="29"/>
    </row>
    <row r="62" spans="1:67" ht="15" customHeight="1">
      <c r="C62" s="1" t="str">
        <f>+RIGHT(YEAR(AE62),2)&amp;IF(LEN(MONTH(AE62))=2,MONTH(AE62),"0"&amp;MONTH(AE62))</f>
        <v>2511</v>
      </c>
      <c r="D62" s="1" t="str">
        <f>+RIGHT(YEAR(AD62),2)&amp;IF(LEN(MONTH(AD62))=2,MONTH(AD62),"0"&amp;MONTH(AD62))</f>
        <v>2402</v>
      </c>
      <c r="E62" s="19" t="s">
        <v>48</v>
      </c>
      <c r="F62" s="62" t="s">
        <v>1923</v>
      </c>
      <c r="G62" s="62">
        <v>2112</v>
      </c>
      <c r="H62" s="62" t="s">
        <v>2031</v>
      </c>
      <c r="I62" s="62" t="s">
        <v>257</v>
      </c>
      <c r="J62" s="118">
        <v>1</v>
      </c>
      <c r="K62" s="119"/>
      <c r="L62" s="62" t="s">
        <v>77</v>
      </c>
      <c r="M62" s="120" t="s">
        <v>258</v>
      </c>
      <c r="N62" s="65">
        <v>43434</v>
      </c>
      <c r="O62" s="24">
        <v>21431</v>
      </c>
      <c r="P62" s="24">
        <v>23340</v>
      </c>
      <c r="Q62" s="64">
        <f>+P62*O62</f>
        <v>500199540</v>
      </c>
      <c r="R62" s="64"/>
      <c r="S62" s="64"/>
      <c r="T62" s="64" t="e">
        <f>+#REF!/2</f>
        <v>#REF!</v>
      </c>
      <c r="U62" s="64" t="s">
        <v>259</v>
      </c>
      <c r="V62" s="121">
        <v>503239566</v>
      </c>
      <c r="W62" s="122"/>
      <c r="X62" s="64">
        <v>503239566</v>
      </c>
      <c r="Y62" s="121"/>
      <c r="Z62" s="121"/>
      <c r="AA62" s="121"/>
      <c r="AB62" s="123"/>
      <c r="AC62" s="64">
        <v>503239566</v>
      </c>
      <c r="AD62" s="65">
        <v>45323</v>
      </c>
      <c r="AE62" s="65">
        <v>45991</v>
      </c>
      <c r="AF62" s="62"/>
      <c r="AG62" s="119">
        <v>22</v>
      </c>
      <c r="AH62" s="25">
        <v>5990947</v>
      </c>
      <c r="AI62" s="78">
        <v>365447769</v>
      </c>
      <c r="AJ62" s="78">
        <v>137791797</v>
      </c>
      <c r="AK62" s="27">
        <v>5990947</v>
      </c>
      <c r="AL62" s="27">
        <f>+IF(AND(AL$3&gt;=$D62,AL$3&lt;$C62),$AH62,$AJ62-SUM(AJ62:AK62))</f>
        <v>5990947</v>
      </c>
      <c r="AM62" s="27">
        <f t="shared" si="26"/>
        <v>5990947</v>
      </c>
      <c r="AN62" s="27">
        <f t="shared" si="19"/>
        <v>5990947</v>
      </c>
      <c r="AO62" s="27">
        <f t="shared" si="20"/>
        <v>5990947</v>
      </c>
      <c r="AP62" s="27">
        <f t="shared" si="20"/>
        <v>5990947</v>
      </c>
      <c r="AQ62" s="27">
        <f t="shared" si="21"/>
        <v>5990947</v>
      </c>
      <c r="AR62" s="27">
        <f t="shared" si="22"/>
        <v>5990947</v>
      </c>
      <c r="AS62" s="27"/>
      <c r="AT62" s="27"/>
      <c r="AU62" s="27"/>
      <c r="AV62" s="27"/>
      <c r="AW62" s="27">
        <f t="shared" ref="AW62" si="28">+SUM(AK62:AV62)</f>
        <v>47927576</v>
      </c>
      <c r="AX62" s="79">
        <f t="shared" si="15"/>
        <v>89864221</v>
      </c>
      <c r="AY62" s="79">
        <f t="shared" si="16"/>
        <v>413375345</v>
      </c>
      <c r="AZ62" s="25">
        <v>1</v>
      </c>
      <c r="BA62" s="62"/>
      <c r="BB62" s="66">
        <v>1</v>
      </c>
      <c r="BC62" s="66"/>
      <c r="BD62" s="66"/>
      <c r="BE62" s="67">
        <f t="shared" si="23"/>
        <v>5990947</v>
      </c>
      <c r="BF62" s="67">
        <f t="shared" si="24"/>
        <v>0</v>
      </c>
      <c r="BG62" s="67">
        <f t="shared" si="27"/>
        <v>0</v>
      </c>
      <c r="BH62" s="66"/>
      <c r="BI62" s="68"/>
      <c r="BJ62" s="68" t="s">
        <v>58</v>
      </c>
      <c r="BK62" s="68" t="s">
        <v>59</v>
      </c>
      <c r="BL62" s="29"/>
    </row>
    <row r="63" spans="1:67" ht="15" customHeight="1">
      <c r="A63" s="1" t="s">
        <v>43</v>
      </c>
      <c r="C63" s="1" t="str">
        <f t="shared" ref="C63:C140" si="29">+RIGHT(YEAR(AE63),2)&amp;IF(LEN(MONTH(AE63))=2,MONTH(AE63),"0"&amp;MONTH(AE63))</f>
        <v>2111</v>
      </c>
      <c r="D63" s="1" t="str">
        <f t="shared" ref="D63:D140" si="30">+RIGHT(YEAR(AD63),2)&amp;IF(LEN(MONTH(AD63))=2,MONTH(AD63),"0"&amp;MONTH(AD63))</f>
        <v>1812</v>
      </c>
      <c r="E63" s="19" t="s">
        <v>48</v>
      </c>
      <c r="F63" s="62" t="s">
        <v>49</v>
      </c>
      <c r="G63" s="62">
        <v>2112</v>
      </c>
      <c r="H63" s="62" t="s">
        <v>260</v>
      </c>
      <c r="I63" s="62" t="s">
        <v>261</v>
      </c>
      <c r="J63" s="118">
        <v>3</v>
      </c>
      <c r="K63" s="119"/>
      <c r="L63" s="62" t="s">
        <v>77</v>
      </c>
      <c r="M63" s="120" t="s">
        <v>262</v>
      </c>
      <c r="N63" s="65">
        <v>43440</v>
      </c>
      <c r="O63" s="24">
        <v>7274.799</v>
      </c>
      <c r="P63" s="24">
        <v>23355.00003506631</v>
      </c>
      <c r="Q63" s="64">
        <v>169902930.90010035</v>
      </c>
      <c r="R63" s="64"/>
      <c r="S63" s="64"/>
      <c r="T63" s="64">
        <v>1138268</v>
      </c>
      <c r="U63" s="64"/>
      <c r="V63" s="121">
        <v>171041198.90000001</v>
      </c>
      <c r="W63" s="122">
        <v>-1.0034441947937012E-4</v>
      </c>
      <c r="X63" s="64">
        <v>171041198.90010035</v>
      </c>
      <c r="Y63" s="121"/>
      <c r="Z63" s="121"/>
      <c r="AA63" s="121"/>
      <c r="AB63" s="121"/>
      <c r="AC63" s="64">
        <v>171041198.89989966</v>
      </c>
      <c r="AD63" s="65">
        <v>43435</v>
      </c>
      <c r="AE63" s="65">
        <v>44530</v>
      </c>
      <c r="AF63" s="62">
        <v>3</v>
      </c>
      <c r="AG63" s="119">
        <v>36</v>
      </c>
      <c r="AH63" s="25">
        <v>4751144.4138861019</v>
      </c>
      <c r="AI63" s="78">
        <v>171041198.89989966</v>
      </c>
      <c r="AJ63" s="78">
        <v>0</v>
      </c>
      <c r="AK63" s="27">
        <f t="shared" ref="AK63:AK140" si="31">+IF(AND(AK$3&gt;=$D63,AK$3&lt;$C63),$AH63,$AJ63)</f>
        <v>0</v>
      </c>
      <c r="AL63" s="27">
        <f t="shared" ref="AL63:AL75" si="32">+IF(AND(AL$3&gt;=$D63,AL$3&lt;$C63),$AH63,$AJ63-SUM(AJ63:AK63))</f>
        <v>0</v>
      </c>
      <c r="AM63" s="27">
        <f t="shared" si="26"/>
        <v>0</v>
      </c>
      <c r="AN63" s="27">
        <f t="shared" si="19"/>
        <v>0</v>
      </c>
      <c r="AO63" s="27">
        <f t="shared" si="20"/>
        <v>0</v>
      </c>
      <c r="AP63" s="27">
        <f t="shared" si="20"/>
        <v>0</v>
      </c>
      <c r="AQ63" s="27">
        <f t="shared" si="21"/>
        <v>0</v>
      </c>
      <c r="AR63" s="27">
        <f t="shared" si="22"/>
        <v>0</v>
      </c>
      <c r="AS63" s="27"/>
      <c r="AT63" s="27"/>
      <c r="AU63" s="27"/>
      <c r="AV63" s="27"/>
      <c r="AW63" s="27">
        <f t="shared" ref="AW63:AW139" si="33">+SUM(AK63:AV63)</f>
        <v>0</v>
      </c>
      <c r="AX63" s="79">
        <f t="shared" ref="AX63:AX140" si="34">AC63-AI63-AW63</f>
        <v>0</v>
      </c>
      <c r="AY63" s="79">
        <f t="shared" ref="AY63:AY140" si="35">AW63+AI63</f>
        <v>171041198.89989966</v>
      </c>
      <c r="AZ63" s="25">
        <v>3</v>
      </c>
      <c r="BA63" s="62" t="s">
        <v>97</v>
      </c>
      <c r="BB63" s="66">
        <v>1</v>
      </c>
      <c r="BC63" s="66"/>
      <c r="BD63" s="66"/>
      <c r="BE63" s="67">
        <f t="shared" si="23"/>
        <v>0</v>
      </c>
      <c r="BF63" s="67">
        <f t="shared" si="24"/>
        <v>0</v>
      </c>
      <c r="BG63" s="67">
        <f t="shared" ref="BG63:BG78" si="36">+$AL63*BD63</f>
        <v>0</v>
      </c>
      <c r="BH63" s="66"/>
      <c r="BI63" s="68"/>
      <c r="BJ63" s="68" t="s">
        <v>117</v>
      </c>
      <c r="BK63" s="68" t="s">
        <v>117</v>
      </c>
      <c r="BL63" s="29"/>
      <c r="BM63" s="1" t="s">
        <v>1887</v>
      </c>
      <c r="BO63" s="35" t="s">
        <v>1807</v>
      </c>
    </row>
    <row r="64" spans="1:67" ht="15" customHeight="1">
      <c r="A64" s="1" t="s">
        <v>43</v>
      </c>
      <c r="C64" s="1" t="str">
        <f t="shared" si="29"/>
        <v>2111</v>
      </c>
      <c r="D64" s="1" t="str">
        <f t="shared" si="30"/>
        <v>1812</v>
      </c>
      <c r="E64" s="19" t="s">
        <v>48</v>
      </c>
      <c r="F64" s="62" t="s">
        <v>49</v>
      </c>
      <c r="G64" s="62">
        <v>2112</v>
      </c>
      <c r="H64" s="62" t="s">
        <v>263</v>
      </c>
      <c r="I64" s="62" t="s">
        <v>264</v>
      </c>
      <c r="J64" s="118">
        <v>3</v>
      </c>
      <c r="K64" s="119"/>
      <c r="L64" s="62" t="s">
        <v>77</v>
      </c>
      <c r="M64" s="120" t="s">
        <v>262</v>
      </c>
      <c r="N64" s="65">
        <v>43440</v>
      </c>
      <c r="O64" s="24">
        <v>6983.9009999999998</v>
      </c>
      <c r="P64" s="24">
        <v>23355.00003506631</v>
      </c>
      <c r="Q64" s="64">
        <v>163109008.09989965</v>
      </c>
      <c r="R64" s="64"/>
      <c r="S64" s="64"/>
      <c r="T64" s="64"/>
      <c r="U64" s="64"/>
      <c r="V64" s="121">
        <v>163109008.09999999</v>
      </c>
      <c r="W64" s="122">
        <v>1.0034441947937012E-4</v>
      </c>
      <c r="X64" s="64">
        <v>163109008.09989965</v>
      </c>
      <c r="Y64" s="121"/>
      <c r="Z64" s="121"/>
      <c r="AA64" s="121"/>
      <c r="AB64" s="121"/>
      <c r="AC64" s="64">
        <v>163109008.10010034</v>
      </c>
      <c r="AD64" s="65">
        <v>43435</v>
      </c>
      <c r="AE64" s="65">
        <v>44530</v>
      </c>
      <c r="AF64" s="62">
        <v>3</v>
      </c>
      <c r="AG64" s="119">
        <v>36</v>
      </c>
      <c r="AH64" s="25">
        <v>4530805.780558343</v>
      </c>
      <c r="AI64" s="78">
        <v>163109008.10010034</v>
      </c>
      <c r="AJ64" s="78">
        <v>0</v>
      </c>
      <c r="AK64" s="27">
        <f t="shared" si="31"/>
        <v>0</v>
      </c>
      <c r="AL64" s="27">
        <f t="shared" si="32"/>
        <v>0</v>
      </c>
      <c r="AM64" s="27">
        <f t="shared" si="26"/>
        <v>0</v>
      </c>
      <c r="AN64" s="27">
        <f t="shared" si="19"/>
        <v>0</v>
      </c>
      <c r="AO64" s="27">
        <f t="shared" si="20"/>
        <v>0</v>
      </c>
      <c r="AP64" s="27">
        <f t="shared" si="20"/>
        <v>0</v>
      </c>
      <c r="AQ64" s="27">
        <f t="shared" si="21"/>
        <v>0</v>
      </c>
      <c r="AR64" s="27">
        <f t="shared" si="22"/>
        <v>0</v>
      </c>
      <c r="AS64" s="27"/>
      <c r="AT64" s="27"/>
      <c r="AU64" s="27"/>
      <c r="AV64" s="27"/>
      <c r="AW64" s="27">
        <f t="shared" si="33"/>
        <v>0</v>
      </c>
      <c r="AX64" s="79">
        <f t="shared" si="34"/>
        <v>0</v>
      </c>
      <c r="AY64" s="79">
        <f t="shared" si="35"/>
        <v>163109008.10010034</v>
      </c>
      <c r="AZ64" s="25">
        <v>3</v>
      </c>
      <c r="BA64" s="62" t="s">
        <v>97</v>
      </c>
      <c r="BB64" s="66">
        <v>1</v>
      </c>
      <c r="BC64" s="66"/>
      <c r="BD64" s="66"/>
      <c r="BE64" s="67">
        <f t="shared" si="23"/>
        <v>0</v>
      </c>
      <c r="BF64" s="67">
        <f t="shared" si="24"/>
        <v>0</v>
      </c>
      <c r="BG64" s="67">
        <f t="shared" si="36"/>
        <v>0</v>
      </c>
      <c r="BH64" s="66"/>
      <c r="BI64" s="68"/>
      <c r="BJ64" s="68" t="s">
        <v>117</v>
      </c>
      <c r="BK64" s="68" t="s">
        <v>117</v>
      </c>
      <c r="BL64" s="29"/>
      <c r="BO64" s="35" t="s">
        <v>1807</v>
      </c>
    </row>
    <row r="65" spans="1:68" ht="15" customHeight="1">
      <c r="A65" s="1" t="s">
        <v>43</v>
      </c>
      <c r="C65" s="1" t="str">
        <f t="shared" si="29"/>
        <v>2111</v>
      </c>
      <c r="D65" s="1" t="str">
        <f t="shared" si="30"/>
        <v>1812</v>
      </c>
      <c r="E65" s="19" t="s">
        <v>48</v>
      </c>
      <c r="F65" s="62" t="s">
        <v>49</v>
      </c>
      <c r="G65" s="62">
        <v>2112</v>
      </c>
      <c r="H65" s="62" t="s">
        <v>265</v>
      </c>
      <c r="I65" s="62" t="s">
        <v>266</v>
      </c>
      <c r="J65" s="118">
        <v>1</v>
      </c>
      <c r="K65" s="119"/>
      <c r="L65" s="62" t="s">
        <v>77</v>
      </c>
      <c r="M65" s="120" t="s">
        <v>267</v>
      </c>
      <c r="N65" s="65">
        <v>43453</v>
      </c>
      <c r="O65" s="24">
        <v>1636.37</v>
      </c>
      <c r="P65" s="24">
        <v>23325</v>
      </c>
      <c r="Q65" s="64">
        <v>38168330.25</v>
      </c>
      <c r="R65" s="64">
        <v>1901462</v>
      </c>
      <c r="S65" s="64"/>
      <c r="T65" s="64">
        <v>6578335</v>
      </c>
      <c r="U65" s="64" t="s">
        <v>268</v>
      </c>
      <c r="V65" s="121">
        <v>46648127.25</v>
      </c>
      <c r="W65" s="122">
        <v>0</v>
      </c>
      <c r="X65" s="64">
        <v>46648127.25</v>
      </c>
      <c r="Y65" s="121"/>
      <c r="Z65" s="121"/>
      <c r="AA65" s="121"/>
      <c r="AB65" s="121"/>
      <c r="AC65" s="64">
        <v>46648127.25</v>
      </c>
      <c r="AD65" s="65">
        <v>43435</v>
      </c>
      <c r="AE65" s="65">
        <v>44530</v>
      </c>
      <c r="AF65" s="62">
        <v>3</v>
      </c>
      <c r="AG65" s="119">
        <v>36</v>
      </c>
      <c r="AH65" s="25">
        <v>1295781.3125</v>
      </c>
      <c r="AI65" s="78">
        <v>46648127.25</v>
      </c>
      <c r="AJ65" s="78">
        <v>0</v>
      </c>
      <c r="AK65" s="27">
        <f t="shared" si="31"/>
        <v>0</v>
      </c>
      <c r="AL65" s="27">
        <f t="shared" si="32"/>
        <v>0</v>
      </c>
      <c r="AM65" s="27">
        <f t="shared" si="26"/>
        <v>0</v>
      </c>
      <c r="AN65" s="27">
        <f t="shared" si="19"/>
        <v>0</v>
      </c>
      <c r="AO65" s="27">
        <f t="shared" si="20"/>
        <v>0</v>
      </c>
      <c r="AP65" s="27">
        <f t="shared" si="20"/>
        <v>0</v>
      </c>
      <c r="AQ65" s="27">
        <f t="shared" si="21"/>
        <v>0</v>
      </c>
      <c r="AR65" s="27">
        <f t="shared" si="22"/>
        <v>0</v>
      </c>
      <c r="AS65" s="27"/>
      <c r="AT65" s="27"/>
      <c r="AU65" s="27"/>
      <c r="AV65" s="27"/>
      <c r="AW65" s="27">
        <f t="shared" si="33"/>
        <v>0</v>
      </c>
      <c r="AX65" s="79">
        <f t="shared" si="34"/>
        <v>0</v>
      </c>
      <c r="AY65" s="79">
        <f t="shared" si="35"/>
        <v>46648127.25</v>
      </c>
      <c r="AZ65" s="25">
        <v>1</v>
      </c>
      <c r="BA65" s="62" t="s">
        <v>97</v>
      </c>
      <c r="BB65" s="66">
        <v>1</v>
      </c>
      <c r="BC65" s="66"/>
      <c r="BD65" s="66"/>
      <c r="BE65" s="67">
        <f t="shared" si="23"/>
        <v>0</v>
      </c>
      <c r="BF65" s="67">
        <f t="shared" si="24"/>
        <v>0</v>
      </c>
      <c r="BG65" s="67">
        <f t="shared" si="36"/>
        <v>0</v>
      </c>
      <c r="BH65" s="66"/>
      <c r="BI65" s="68"/>
      <c r="BJ65" s="68" t="s">
        <v>117</v>
      </c>
      <c r="BK65" s="68" t="s">
        <v>117</v>
      </c>
      <c r="BL65" s="29"/>
      <c r="BM65" s="1" t="s">
        <v>1887</v>
      </c>
      <c r="BO65" s="35" t="s">
        <v>1807</v>
      </c>
    </row>
    <row r="66" spans="1:68" ht="15" customHeight="1">
      <c r="A66" s="1" t="s">
        <v>43</v>
      </c>
      <c r="C66" s="1" t="str">
        <f t="shared" si="29"/>
        <v>2611</v>
      </c>
      <c r="D66" s="1" t="str">
        <f t="shared" si="30"/>
        <v>1812</v>
      </c>
      <c r="E66" s="19" t="s">
        <v>48</v>
      </c>
      <c r="F66" s="62" t="s">
        <v>49</v>
      </c>
      <c r="G66" s="62">
        <v>2113</v>
      </c>
      <c r="H66" s="62" t="s">
        <v>276</v>
      </c>
      <c r="I66" s="62" t="s">
        <v>270</v>
      </c>
      <c r="J66" s="118">
        <v>1</v>
      </c>
      <c r="K66" s="119" t="s">
        <v>271</v>
      </c>
      <c r="L66" s="62" t="s">
        <v>272</v>
      </c>
      <c r="M66" s="120" t="s">
        <v>273</v>
      </c>
      <c r="N66" s="65">
        <v>43410</v>
      </c>
      <c r="O66" s="24"/>
      <c r="P66" s="24"/>
      <c r="Q66" s="64">
        <v>195454545</v>
      </c>
      <c r="R66" s="64"/>
      <c r="S66" s="64"/>
      <c r="T66" s="64"/>
      <c r="U66" s="64"/>
      <c r="V66" s="121">
        <v>195454545</v>
      </c>
      <c r="W66" s="122">
        <v>0</v>
      </c>
      <c r="X66" s="64">
        <v>195454545</v>
      </c>
      <c r="Y66" s="121"/>
      <c r="Z66" s="121"/>
      <c r="AA66" s="121"/>
      <c r="AB66" s="121"/>
      <c r="AC66" s="64">
        <v>195454545</v>
      </c>
      <c r="AD66" s="65">
        <v>43435</v>
      </c>
      <c r="AE66" s="65">
        <v>46356</v>
      </c>
      <c r="AF66" s="62">
        <v>8</v>
      </c>
      <c r="AG66" s="119">
        <v>96</v>
      </c>
      <c r="AH66" s="25">
        <v>2035984.84375</v>
      </c>
      <c r="AI66" s="78">
        <v>124195083.4375</v>
      </c>
      <c r="AJ66" s="78">
        <v>71259461.5625</v>
      </c>
      <c r="AK66" s="27">
        <f t="shared" si="31"/>
        <v>2035984.84375</v>
      </c>
      <c r="AL66" s="27">
        <f t="shared" si="32"/>
        <v>2035984.84375</v>
      </c>
      <c r="AM66" s="27">
        <f t="shared" si="26"/>
        <v>2035984.84375</v>
      </c>
      <c r="AN66" s="27">
        <f t="shared" si="19"/>
        <v>2035984.84375</v>
      </c>
      <c r="AO66" s="27">
        <f t="shared" si="20"/>
        <v>2035984.84375</v>
      </c>
      <c r="AP66" s="27">
        <f t="shared" si="20"/>
        <v>2035984.84375</v>
      </c>
      <c r="AQ66" s="27">
        <f t="shared" si="21"/>
        <v>2035984.84375</v>
      </c>
      <c r="AR66" s="27">
        <f t="shared" si="22"/>
        <v>2035984.84375</v>
      </c>
      <c r="AS66" s="27"/>
      <c r="AT66" s="27"/>
      <c r="AU66" s="27"/>
      <c r="AV66" s="27"/>
      <c r="AW66" s="27">
        <f t="shared" si="33"/>
        <v>16287878.75</v>
      </c>
      <c r="AX66" s="79">
        <f t="shared" si="34"/>
        <v>54971582.8125</v>
      </c>
      <c r="AY66" s="79">
        <f t="shared" si="35"/>
        <v>140482962.1875</v>
      </c>
      <c r="AZ66" s="25">
        <v>1</v>
      </c>
      <c r="BA66" s="62" t="s">
        <v>275</v>
      </c>
      <c r="BB66" s="66">
        <v>1</v>
      </c>
      <c r="BC66" s="66"/>
      <c r="BD66" s="66"/>
      <c r="BE66" s="67">
        <f t="shared" si="23"/>
        <v>2035984.84375</v>
      </c>
      <c r="BF66" s="67">
        <f t="shared" si="24"/>
        <v>0</v>
      </c>
      <c r="BG66" s="67">
        <f t="shared" si="36"/>
        <v>0</v>
      </c>
      <c r="BH66" s="66"/>
      <c r="BI66" s="68" t="s">
        <v>135</v>
      </c>
      <c r="BJ66" s="68" t="s">
        <v>58</v>
      </c>
      <c r="BK66" s="68" t="s">
        <v>59</v>
      </c>
      <c r="BL66" s="29"/>
      <c r="BO66" s="35" t="s">
        <v>1804</v>
      </c>
    </row>
    <row r="67" spans="1:68" ht="15" customHeight="1">
      <c r="A67" s="1" t="s">
        <v>43</v>
      </c>
      <c r="C67" s="1" t="str">
        <f t="shared" si="29"/>
        <v>2601</v>
      </c>
      <c r="D67" s="1" t="str">
        <f t="shared" si="30"/>
        <v>1902</v>
      </c>
      <c r="E67" s="19" t="s">
        <v>48</v>
      </c>
      <c r="F67" s="62" t="s">
        <v>49</v>
      </c>
      <c r="G67" s="62">
        <v>2112</v>
      </c>
      <c r="H67" s="62" t="s">
        <v>277</v>
      </c>
      <c r="I67" s="62" t="s">
        <v>278</v>
      </c>
      <c r="J67" s="118">
        <v>3</v>
      </c>
      <c r="K67" s="119"/>
      <c r="L67" s="62" t="s">
        <v>77</v>
      </c>
      <c r="M67" s="120" t="s">
        <v>279</v>
      </c>
      <c r="N67" s="65">
        <v>43493</v>
      </c>
      <c r="O67" s="24">
        <v>67910.23</v>
      </c>
      <c r="P67" s="24">
        <v>23237</v>
      </c>
      <c r="Q67" s="64">
        <v>1578030014.51</v>
      </c>
      <c r="R67" s="64"/>
      <c r="S67" s="64"/>
      <c r="T67" s="64">
        <v>3499795</v>
      </c>
      <c r="U67" s="64" t="s">
        <v>280</v>
      </c>
      <c r="V67" s="121">
        <v>1581529810</v>
      </c>
      <c r="W67" s="122">
        <v>0</v>
      </c>
      <c r="X67" s="64">
        <v>1581529810</v>
      </c>
      <c r="Y67" s="121"/>
      <c r="Z67" s="121"/>
      <c r="AA67" s="121"/>
      <c r="AB67" s="121"/>
      <c r="AC67" s="64">
        <v>1581529810</v>
      </c>
      <c r="AD67" s="65">
        <v>43497</v>
      </c>
      <c r="AE67" s="65">
        <v>46053</v>
      </c>
      <c r="AF67" s="62">
        <v>10</v>
      </c>
      <c r="AG67" s="119">
        <v>120</v>
      </c>
      <c r="AH67" s="25">
        <v>13179415.083333334</v>
      </c>
      <c r="AI67" s="78">
        <v>777585485.83333337</v>
      </c>
      <c r="AJ67" s="78">
        <v>803944324.16666663</v>
      </c>
      <c r="AK67" s="27">
        <f t="shared" si="31"/>
        <v>13179415.083333334</v>
      </c>
      <c r="AL67" s="27">
        <f t="shared" si="32"/>
        <v>13179415.083333334</v>
      </c>
      <c r="AM67" s="27">
        <f t="shared" si="26"/>
        <v>13179415.083333334</v>
      </c>
      <c r="AN67" s="27">
        <f t="shared" si="19"/>
        <v>13179415.083333334</v>
      </c>
      <c r="AO67" s="27">
        <f t="shared" si="20"/>
        <v>13179415.083333334</v>
      </c>
      <c r="AP67" s="27">
        <f t="shared" si="20"/>
        <v>13179415.083333334</v>
      </c>
      <c r="AQ67" s="27">
        <f t="shared" si="21"/>
        <v>13179415.083333334</v>
      </c>
      <c r="AR67" s="27">
        <f t="shared" si="22"/>
        <v>13179415.083333334</v>
      </c>
      <c r="AS67" s="27"/>
      <c r="AT67" s="27"/>
      <c r="AU67" s="27"/>
      <c r="AV67" s="27"/>
      <c r="AW67" s="27">
        <f t="shared" si="33"/>
        <v>105435320.66666666</v>
      </c>
      <c r="AX67" s="79">
        <f t="shared" si="34"/>
        <v>698509003.5</v>
      </c>
      <c r="AY67" s="79">
        <f t="shared" si="35"/>
        <v>883020806.5</v>
      </c>
      <c r="AZ67" s="25">
        <v>3</v>
      </c>
      <c r="BA67" s="62" t="s">
        <v>97</v>
      </c>
      <c r="BB67" s="66">
        <v>1</v>
      </c>
      <c r="BC67" s="66"/>
      <c r="BD67" s="66"/>
      <c r="BE67" s="67">
        <f t="shared" si="23"/>
        <v>13179415.083333334</v>
      </c>
      <c r="BF67" s="67">
        <f t="shared" si="24"/>
        <v>0</v>
      </c>
      <c r="BG67" s="67">
        <f t="shared" si="36"/>
        <v>0</v>
      </c>
      <c r="BH67" s="66"/>
      <c r="BI67" s="68" t="s">
        <v>281</v>
      </c>
      <c r="BJ67" s="68" t="s">
        <v>81</v>
      </c>
      <c r="BK67" s="68" t="s">
        <v>81</v>
      </c>
      <c r="BL67" s="29"/>
      <c r="BO67" s="35" t="s">
        <v>1800</v>
      </c>
      <c r="BP67" s="1" t="s">
        <v>1806</v>
      </c>
    </row>
    <row r="68" spans="1:68" ht="15" customHeight="1">
      <c r="A68" s="1" t="s">
        <v>43</v>
      </c>
      <c r="C68" s="1" t="str">
        <f t="shared" si="29"/>
        <v>2601</v>
      </c>
      <c r="D68" s="1" t="str">
        <f t="shared" si="30"/>
        <v>1902</v>
      </c>
      <c r="E68" s="19" t="s">
        <v>48</v>
      </c>
      <c r="F68" s="62" t="s">
        <v>49</v>
      </c>
      <c r="G68" s="62">
        <v>2112</v>
      </c>
      <c r="H68" s="62" t="s">
        <v>282</v>
      </c>
      <c r="I68" s="129" t="s">
        <v>283</v>
      </c>
      <c r="J68" s="118">
        <v>1</v>
      </c>
      <c r="K68" s="119"/>
      <c r="L68" s="62" t="s">
        <v>77</v>
      </c>
      <c r="M68" s="120" t="s">
        <v>284</v>
      </c>
      <c r="N68" s="65">
        <v>43468</v>
      </c>
      <c r="O68" s="24">
        <v>29937.07</v>
      </c>
      <c r="P68" s="24">
        <v>23243</v>
      </c>
      <c r="Q68" s="64">
        <v>695827318.00999999</v>
      </c>
      <c r="R68" s="64"/>
      <c r="S68" s="64"/>
      <c r="T68" s="64">
        <v>7414454.4780000001</v>
      </c>
      <c r="U68" s="64" t="s">
        <v>285</v>
      </c>
      <c r="V68" s="121">
        <v>703241772</v>
      </c>
      <c r="W68" s="122">
        <v>0</v>
      </c>
      <c r="X68" s="64">
        <v>703241772</v>
      </c>
      <c r="Y68" s="121"/>
      <c r="Z68" s="121"/>
      <c r="AA68" s="121"/>
      <c r="AB68" s="121"/>
      <c r="AC68" s="64">
        <v>703241772</v>
      </c>
      <c r="AD68" s="65">
        <v>43497</v>
      </c>
      <c r="AE68" s="65">
        <v>46053</v>
      </c>
      <c r="AF68" s="62">
        <v>7</v>
      </c>
      <c r="AG68" s="119">
        <v>84</v>
      </c>
      <c r="AH68" s="25">
        <v>8371925.8571428573</v>
      </c>
      <c r="AI68" s="78">
        <v>493943632.57142854</v>
      </c>
      <c r="AJ68" s="78">
        <v>209298139.42857146</v>
      </c>
      <c r="AK68" s="27">
        <f t="shared" si="31"/>
        <v>8371925.8571428573</v>
      </c>
      <c r="AL68" s="27">
        <f t="shared" si="32"/>
        <v>8371925.8571428573</v>
      </c>
      <c r="AM68" s="27">
        <f t="shared" si="26"/>
        <v>8371925.8571428573</v>
      </c>
      <c r="AN68" s="27">
        <f t="shared" si="19"/>
        <v>8371925.8571428573</v>
      </c>
      <c r="AO68" s="27">
        <f t="shared" si="20"/>
        <v>8371925.8571428573</v>
      </c>
      <c r="AP68" s="27">
        <f t="shared" si="20"/>
        <v>8371925.8571428573</v>
      </c>
      <c r="AQ68" s="27">
        <f t="shared" si="21"/>
        <v>8371925.8571428573</v>
      </c>
      <c r="AR68" s="27">
        <f t="shared" si="22"/>
        <v>8371925.8571428573</v>
      </c>
      <c r="AS68" s="27"/>
      <c r="AT68" s="27"/>
      <c r="AU68" s="27"/>
      <c r="AV68" s="27"/>
      <c r="AW68" s="27">
        <f t="shared" si="33"/>
        <v>66975406.857142858</v>
      </c>
      <c r="AX68" s="79">
        <f t="shared" si="34"/>
        <v>142322732.5714286</v>
      </c>
      <c r="AY68" s="79">
        <f t="shared" si="35"/>
        <v>560919039.42857134</v>
      </c>
      <c r="AZ68" s="25">
        <v>1</v>
      </c>
      <c r="BA68" s="62" t="s">
        <v>97</v>
      </c>
      <c r="BB68" s="66">
        <v>1</v>
      </c>
      <c r="BC68" s="66"/>
      <c r="BD68" s="66"/>
      <c r="BE68" s="67">
        <f t="shared" si="23"/>
        <v>8371925.8571428573</v>
      </c>
      <c r="BF68" s="67">
        <f t="shared" si="24"/>
        <v>0</v>
      </c>
      <c r="BG68" s="67">
        <f t="shared" si="36"/>
        <v>0</v>
      </c>
      <c r="BH68" s="66" t="s">
        <v>1662</v>
      </c>
      <c r="BI68" s="68" t="s">
        <v>107</v>
      </c>
      <c r="BJ68" s="68" t="s">
        <v>124</v>
      </c>
      <c r="BK68" s="68" t="s">
        <v>124</v>
      </c>
      <c r="BL68" s="29"/>
      <c r="BO68" s="35" t="s">
        <v>1801</v>
      </c>
    </row>
    <row r="69" spans="1:68" ht="15" customHeight="1">
      <c r="A69" s="1" t="s">
        <v>43</v>
      </c>
      <c r="C69" s="1" t="str">
        <f t="shared" si="29"/>
        <v>2601</v>
      </c>
      <c r="D69" s="1" t="str">
        <f t="shared" si="30"/>
        <v>1902</v>
      </c>
      <c r="E69" s="19" t="s">
        <v>48</v>
      </c>
      <c r="F69" s="62" t="s">
        <v>49</v>
      </c>
      <c r="G69" s="62">
        <v>2112</v>
      </c>
      <c r="H69" s="62" t="s">
        <v>286</v>
      </c>
      <c r="I69" s="62" t="s">
        <v>287</v>
      </c>
      <c r="J69" s="118">
        <v>1</v>
      </c>
      <c r="K69" s="119"/>
      <c r="L69" s="62" t="s">
        <v>77</v>
      </c>
      <c r="M69" s="120" t="s">
        <v>284</v>
      </c>
      <c r="N69" s="65">
        <v>43468</v>
      </c>
      <c r="O69" s="24">
        <v>7436.55</v>
      </c>
      <c r="P69" s="24">
        <v>23243</v>
      </c>
      <c r="Q69" s="64">
        <v>172847731.65000001</v>
      </c>
      <c r="R69" s="64"/>
      <c r="S69" s="64"/>
      <c r="T69" s="64">
        <v>1841795.5220000001</v>
      </c>
      <c r="U69" s="64" t="s">
        <v>285</v>
      </c>
      <c r="V69" s="121">
        <v>174689527</v>
      </c>
      <c r="W69" s="122">
        <v>0</v>
      </c>
      <c r="X69" s="64">
        <v>174689527</v>
      </c>
      <c r="Y69" s="121"/>
      <c r="Z69" s="121"/>
      <c r="AA69" s="121"/>
      <c r="AB69" s="121"/>
      <c r="AC69" s="64">
        <v>174689527</v>
      </c>
      <c r="AD69" s="65">
        <v>43497</v>
      </c>
      <c r="AE69" s="65">
        <v>46053</v>
      </c>
      <c r="AF69" s="62">
        <v>10</v>
      </c>
      <c r="AG69" s="119">
        <v>120</v>
      </c>
      <c r="AH69" s="25">
        <v>1455746.0583333333</v>
      </c>
      <c r="AI69" s="78">
        <v>85889014.583333343</v>
      </c>
      <c r="AJ69" s="78">
        <v>88800512.416666657</v>
      </c>
      <c r="AK69" s="27">
        <f t="shared" si="31"/>
        <v>1455746.0583333333</v>
      </c>
      <c r="AL69" s="27">
        <f t="shared" si="32"/>
        <v>1455746.0583333333</v>
      </c>
      <c r="AM69" s="27">
        <f t="shared" si="26"/>
        <v>1455746.0583333333</v>
      </c>
      <c r="AN69" s="27">
        <f t="shared" si="19"/>
        <v>1455746.0583333333</v>
      </c>
      <c r="AO69" s="27">
        <f t="shared" si="20"/>
        <v>1455746.0583333333</v>
      </c>
      <c r="AP69" s="27">
        <f t="shared" si="20"/>
        <v>1455746.0583333333</v>
      </c>
      <c r="AQ69" s="27">
        <f t="shared" si="21"/>
        <v>1455746.0583333333</v>
      </c>
      <c r="AR69" s="27">
        <f t="shared" si="22"/>
        <v>1455746.0583333333</v>
      </c>
      <c r="AS69" s="27"/>
      <c r="AT69" s="27"/>
      <c r="AU69" s="27"/>
      <c r="AV69" s="27"/>
      <c r="AW69" s="27">
        <f t="shared" si="33"/>
        <v>11645968.466666667</v>
      </c>
      <c r="AX69" s="79">
        <f t="shared" si="34"/>
        <v>77154543.949999988</v>
      </c>
      <c r="AY69" s="79">
        <f t="shared" si="35"/>
        <v>97534983.050000012</v>
      </c>
      <c r="AZ69" s="25">
        <v>1</v>
      </c>
      <c r="BA69" s="62" t="s">
        <v>97</v>
      </c>
      <c r="BB69" s="66">
        <v>1</v>
      </c>
      <c r="BC69" s="66"/>
      <c r="BD69" s="66"/>
      <c r="BE69" s="67">
        <f t="shared" si="23"/>
        <v>1455746.0583333333</v>
      </c>
      <c r="BF69" s="67">
        <f t="shared" si="24"/>
        <v>0</v>
      </c>
      <c r="BG69" s="67">
        <f t="shared" si="36"/>
        <v>0</v>
      </c>
      <c r="BH69" s="66"/>
      <c r="BI69" s="68">
        <v>0</v>
      </c>
      <c r="BJ69" s="68" t="s">
        <v>58</v>
      </c>
      <c r="BK69" s="68" t="s">
        <v>159</v>
      </c>
      <c r="BL69" s="29"/>
      <c r="BO69" s="35" t="s">
        <v>1804</v>
      </c>
    </row>
    <row r="70" spans="1:68" ht="15" customHeight="1">
      <c r="C70" s="1" t="str">
        <f t="shared" si="29"/>
        <v>2901</v>
      </c>
      <c r="D70" s="1" t="str">
        <f t="shared" si="30"/>
        <v>2402</v>
      </c>
      <c r="E70" s="19" t="s">
        <v>48</v>
      </c>
      <c r="F70" s="62" t="s">
        <v>1923</v>
      </c>
      <c r="G70" s="62">
        <v>2112</v>
      </c>
      <c r="H70" s="62" t="s">
        <v>2034</v>
      </c>
      <c r="I70" s="62" t="s">
        <v>289</v>
      </c>
      <c r="J70" s="118">
        <v>1</v>
      </c>
      <c r="K70" s="119"/>
      <c r="L70" s="62" t="s">
        <v>77</v>
      </c>
      <c r="M70" s="120" t="s">
        <v>290</v>
      </c>
      <c r="N70" s="65">
        <v>43474</v>
      </c>
      <c r="O70" s="24">
        <v>46587</v>
      </c>
      <c r="P70" s="24">
        <v>23239</v>
      </c>
      <c r="Q70" s="64">
        <f>+P70*O70</f>
        <v>1082635293</v>
      </c>
      <c r="R70" s="64"/>
      <c r="S70" s="64"/>
      <c r="T70" s="64"/>
      <c r="U70" s="64"/>
      <c r="V70" s="121">
        <v>1082635293</v>
      </c>
      <c r="W70" s="122"/>
      <c r="X70" s="64">
        <v>1082635293</v>
      </c>
      <c r="Y70" s="121"/>
      <c r="Z70" s="121"/>
      <c r="AA70" s="121"/>
      <c r="AB70" s="121"/>
      <c r="AC70" s="64">
        <v>1082635293</v>
      </c>
      <c r="AD70" s="65">
        <v>45323</v>
      </c>
      <c r="AE70" s="65">
        <v>47149</v>
      </c>
      <c r="AF70" s="62"/>
      <c r="AG70" s="119">
        <v>60</v>
      </c>
      <c r="AH70" s="25">
        <v>9021961</v>
      </c>
      <c r="AI70" s="78">
        <v>532295680</v>
      </c>
      <c r="AJ70" s="78">
        <v>550339613</v>
      </c>
      <c r="AK70" s="27">
        <f>+AH70</f>
        <v>9021961</v>
      </c>
      <c r="AL70" s="27">
        <f t="shared" si="32"/>
        <v>9021961</v>
      </c>
      <c r="AM70" s="27">
        <f t="shared" si="26"/>
        <v>9021961</v>
      </c>
      <c r="AN70" s="27">
        <f t="shared" si="19"/>
        <v>9021961</v>
      </c>
      <c r="AO70" s="27">
        <f t="shared" si="20"/>
        <v>9021961</v>
      </c>
      <c r="AP70" s="27">
        <f t="shared" si="20"/>
        <v>9021961</v>
      </c>
      <c r="AQ70" s="27">
        <f t="shared" si="21"/>
        <v>9021961</v>
      </c>
      <c r="AR70" s="27">
        <f t="shared" si="22"/>
        <v>9021961</v>
      </c>
      <c r="AS70" s="27"/>
      <c r="AT70" s="27"/>
      <c r="AU70" s="27"/>
      <c r="AV70" s="27"/>
      <c r="AW70" s="27">
        <f t="shared" ref="AW70:AW72" si="37">+SUM(AK70:AV70)</f>
        <v>72175688</v>
      </c>
      <c r="AX70" s="79">
        <f t="shared" si="34"/>
        <v>478163925</v>
      </c>
      <c r="AY70" s="79">
        <f t="shared" si="35"/>
        <v>604471368</v>
      </c>
      <c r="AZ70" s="25">
        <v>1</v>
      </c>
      <c r="BA70" s="62"/>
      <c r="BB70" s="66">
        <v>1</v>
      </c>
      <c r="BC70" s="66"/>
      <c r="BD70" s="66"/>
      <c r="BE70" s="67">
        <f t="shared" si="23"/>
        <v>9021961</v>
      </c>
      <c r="BF70" s="67">
        <f t="shared" si="24"/>
        <v>0</v>
      </c>
      <c r="BG70" s="67">
        <f t="shared" si="36"/>
        <v>0</v>
      </c>
      <c r="BH70" s="66"/>
      <c r="BI70" s="68"/>
      <c r="BJ70" s="68" t="s">
        <v>98</v>
      </c>
      <c r="BK70" s="68" t="s">
        <v>98</v>
      </c>
      <c r="BL70" s="29"/>
    </row>
    <row r="71" spans="1:68" ht="15" customHeight="1">
      <c r="C71" s="1" t="str">
        <f t="shared" si="29"/>
        <v>2901</v>
      </c>
      <c r="D71" s="1" t="str">
        <f t="shared" si="30"/>
        <v>2402</v>
      </c>
      <c r="E71" s="19" t="s">
        <v>48</v>
      </c>
      <c r="F71" s="62" t="s">
        <v>1923</v>
      </c>
      <c r="G71" s="62">
        <v>2112</v>
      </c>
      <c r="H71" s="62" t="s">
        <v>2033</v>
      </c>
      <c r="I71" s="62" t="s">
        <v>289</v>
      </c>
      <c r="J71" s="118">
        <v>1</v>
      </c>
      <c r="K71" s="119"/>
      <c r="L71" s="62" t="s">
        <v>77</v>
      </c>
      <c r="M71" s="120" t="s">
        <v>290</v>
      </c>
      <c r="N71" s="65">
        <v>43474</v>
      </c>
      <c r="O71" s="24">
        <v>46587</v>
      </c>
      <c r="P71" s="24">
        <v>23239</v>
      </c>
      <c r="Q71" s="64">
        <f t="shared" ref="Q71:Q72" si="38">+P71*O71</f>
        <v>1082635293</v>
      </c>
      <c r="R71" s="64"/>
      <c r="S71" s="64"/>
      <c r="T71" s="64"/>
      <c r="U71" s="64"/>
      <c r="V71" s="121">
        <v>1082635293</v>
      </c>
      <c r="W71" s="122"/>
      <c r="X71" s="64">
        <v>1082635293</v>
      </c>
      <c r="Y71" s="121"/>
      <c r="Z71" s="121"/>
      <c r="AA71" s="121"/>
      <c r="AB71" s="121"/>
      <c r="AC71" s="64">
        <v>1082635293</v>
      </c>
      <c r="AD71" s="65">
        <v>45323</v>
      </c>
      <c r="AE71" s="65">
        <v>47149</v>
      </c>
      <c r="AF71" s="62"/>
      <c r="AG71" s="119">
        <v>60</v>
      </c>
      <c r="AH71" s="25">
        <v>9021961</v>
      </c>
      <c r="AI71" s="78">
        <v>532295680</v>
      </c>
      <c r="AJ71" s="78">
        <v>550339613</v>
      </c>
      <c r="AK71" s="27">
        <f t="shared" ref="AK71:AK72" si="39">+AH71</f>
        <v>9021961</v>
      </c>
      <c r="AL71" s="27">
        <f t="shared" si="32"/>
        <v>9021961</v>
      </c>
      <c r="AM71" s="27">
        <f t="shared" si="26"/>
        <v>9021961</v>
      </c>
      <c r="AN71" s="27">
        <f t="shared" si="19"/>
        <v>9021961</v>
      </c>
      <c r="AO71" s="27">
        <f t="shared" si="20"/>
        <v>9021961</v>
      </c>
      <c r="AP71" s="27">
        <f t="shared" si="20"/>
        <v>9021961</v>
      </c>
      <c r="AQ71" s="27">
        <f t="shared" si="21"/>
        <v>9021961</v>
      </c>
      <c r="AR71" s="27">
        <f t="shared" si="22"/>
        <v>9021961</v>
      </c>
      <c r="AS71" s="27"/>
      <c r="AT71" s="27"/>
      <c r="AU71" s="27"/>
      <c r="AV71" s="27"/>
      <c r="AW71" s="27">
        <f t="shared" si="37"/>
        <v>72175688</v>
      </c>
      <c r="AX71" s="79">
        <f t="shared" si="34"/>
        <v>478163925</v>
      </c>
      <c r="AY71" s="79">
        <f t="shared" si="35"/>
        <v>604471368</v>
      </c>
      <c r="AZ71" s="25">
        <v>1</v>
      </c>
      <c r="BA71" s="62"/>
      <c r="BB71" s="66">
        <v>1</v>
      </c>
      <c r="BC71" s="66"/>
      <c r="BD71" s="66"/>
      <c r="BE71" s="67">
        <f t="shared" si="23"/>
        <v>9021961</v>
      </c>
      <c r="BF71" s="67">
        <f t="shared" si="24"/>
        <v>0</v>
      </c>
      <c r="BG71" s="67">
        <f t="shared" si="36"/>
        <v>0</v>
      </c>
      <c r="BH71" s="66"/>
      <c r="BI71" s="68"/>
      <c r="BJ71" s="68" t="s">
        <v>98</v>
      </c>
      <c r="BK71" s="68" t="s">
        <v>98</v>
      </c>
      <c r="BL71" s="29"/>
    </row>
    <row r="72" spans="1:68" ht="15" customHeight="1">
      <c r="C72" s="1" t="str">
        <f t="shared" si="29"/>
        <v>2901</v>
      </c>
      <c r="D72" s="1" t="str">
        <f t="shared" si="30"/>
        <v>2402</v>
      </c>
      <c r="E72" s="19" t="s">
        <v>48</v>
      </c>
      <c r="F72" s="62" t="s">
        <v>1896</v>
      </c>
      <c r="G72" s="62">
        <v>2112</v>
      </c>
      <c r="H72" s="62" t="s">
        <v>2032</v>
      </c>
      <c r="I72" s="62" t="s">
        <v>289</v>
      </c>
      <c r="J72" s="118">
        <v>1</v>
      </c>
      <c r="K72" s="119"/>
      <c r="L72" s="62" t="s">
        <v>77</v>
      </c>
      <c r="M72" s="120" t="s">
        <v>290</v>
      </c>
      <c r="N72" s="65">
        <v>43474</v>
      </c>
      <c r="O72" s="24">
        <v>46587</v>
      </c>
      <c r="P72" s="24">
        <v>23239</v>
      </c>
      <c r="Q72" s="64">
        <f t="shared" si="38"/>
        <v>1082635293</v>
      </c>
      <c r="R72" s="64"/>
      <c r="S72" s="64"/>
      <c r="T72" s="64"/>
      <c r="U72" s="64"/>
      <c r="V72" s="121">
        <v>1082635293</v>
      </c>
      <c r="W72" s="122"/>
      <c r="X72" s="64">
        <v>1082635293</v>
      </c>
      <c r="Y72" s="121"/>
      <c r="Z72" s="121"/>
      <c r="AA72" s="121"/>
      <c r="AB72" s="121"/>
      <c r="AC72" s="64">
        <v>1082635293</v>
      </c>
      <c r="AD72" s="65">
        <v>45323</v>
      </c>
      <c r="AE72" s="65">
        <v>47149</v>
      </c>
      <c r="AF72" s="62"/>
      <c r="AG72" s="119">
        <v>60</v>
      </c>
      <c r="AH72" s="25">
        <v>9021961</v>
      </c>
      <c r="AI72" s="78">
        <v>532295680</v>
      </c>
      <c r="AJ72" s="78">
        <v>550339613</v>
      </c>
      <c r="AK72" s="27">
        <f t="shared" si="39"/>
        <v>9021961</v>
      </c>
      <c r="AL72" s="27">
        <f t="shared" si="32"/>
        <v>9021961</v>
      </c>
      <c r="AM72" s="27">
        <f t="shared" si="26"/>
        <v>9021961</v>
      </c>
      <c r="AN72" s="27">
        <f t="shared" si="19"/>
        <v>9021961</v>
      </c>
      <c r="AO72" s="27">
        <f t="shared" si="20"/>
        <v>9021961</v>
      </c>
      <c r="AP72" s="27">
        <f t="shared" si="20"/>
        <v>9021961</v>
      </c>
      <c r="AQ72" s="27">
        <f t="shared" si="21"/>
        <v>9021961</v>
      </c>
      <c r="AR72" s="27">
        <f t="shared" si="22"/>
        <v>9021961</v>
      </c>
      <c r="AS72" s="27"/>
      <c r="AT72" s="27"/>
      <c r="AU72" s="27"/>
      <c r="AV72" s="27"/>
      <c r="AW72" s="27">
        <f t="shared" si="37"/>
        <v>72175688</v>
      </c>
      <c r="AX72" s="79">
        <f t="shared" si="34"/>
        <v>478163925</v>
      </c>
      <c r="AY72" s="79">
        <f t="shared" si="35"/>
        <v>604471368</v>
      </c>
      <c r="AZ72" s="25">
        <v>1</v>
      </c>
      <c r="BA72" s="62"/>
      <c r="BB72" s="66">
        <v>1</v>
      </c>
      <c r="BC72" s="66"/>
      <c r="BD72" s="66"/>
      <c r="BE72" s="67">
        <f t="shared" si="23"/>
        <v>9021961</v>
      </c>
      <c r="BF72" s="67">
        <f t="shared" si="24"/>
        <v>0</v>
      </c>
      <c r="BG72" s="67">
        <f t="shared" si="36"/>
        <v>0</v>
      </c>
      <c r="BH72" s="66"/>
      <c r="BI72" s="68"/>
      <c r="BJ72" s="68" t="s">
        <v>1982</v>
      </c>
      <c r="BK72" s="68" t="s">
        <v>1982</v>
      </c>
      <c r="BL72" s="29"/>
    </row>
    <row r="73" spans="1:68" ht="15" customHeight="1">
      <c r="C73" s="1" t="str">
        <f t="shared" si="29"/>
        <v>2901</v>
      </c>
      <c r="D73" s="1" t="str">
        <f t="shared" si="30"/>
        <v>2402</v>
      </c>
      <c r="E73" s="19" t="s">
        <v>48</v>
      </c>
      <c r="F73" s="62" t="s">
        <v>1896</v>
      </c>
      <c r="G73" s="62">
        <v>2112</v>
      </c>
      <c r="H73" s="62" t="s">
        <v>1997</v>
      </c>
      <c r="I73" s="62" t="s">
        <v>292</v>
      </c>
      <c r="J73" s="118">
        <v>1</v>
      </c>
      <c r="K73" s="119"/>
      <c r="L73" s="62" t="s">
        <v>77</v>
      </c>
      <c r="M73" s="120" t="s">
        <v>290</v>
      </c>
      <c r="N73" s="65">
        <v>43474</v>
      </c>
      <c r="O73" s="24">
        <v>17927</v>
      </c>
      <c r="P73" s="24">
        <v>23239</v>
      </c>
      <c r="Q73" s="64">
        <f>P73*O73</f>
        <v>416605553</v>
      </c>
      <c r="R73" s="64"/>
      <c r="S73" s="64"/>
      <c r="T73" s="64"/>
      <c r="U73" s="64"/>
      <c r="V73" s="121">
        <v>555481817</v>
      </c>
      <c r="W73" s="122"/>
      <c r="X73" s="64">
        <v>555481817</v>
      </c>
      <c r="Y73" s="121"/>
      <c r="Z73" s="121"/>
      <c r="AA73" s="121"/>
      <c r="AB73" s="121"/>
      <c r="AC73" s="64">
        <v>555481817</v>
      </c>
      <c r="AD73" s="65">
        <v>45323</v>
      </c>
      <c r="AE73" s="65">
        <v>47149</v>
      </c>
      <c r="AF73" s="62">
        <v>5</v>
      </c>
      <c r="AG73" s="119">
        <v>60</v>
      </c>
      <c r="AH73" s="25">
        <v>4629015</v>
      </c>
      <c r="AI73" s="78">
        <v>273111886</v>
      </c>
      <c r="AJ73" s="78">
        <v>282369931</v>
      </c>
      <c r="AK73" s="27">
        <v>4629015</v>
      </c>
      <c r="AL73" s="27">
        <f t="shared" si="32"/>
        <v>4629015</v>
      </c>
      <c r="AM73" s="27">
        <f t="shared" si="26"/>
        <v>4629015</v>
      </c>
      <c r="AN73" s="27">
        <f t="shared" si="19"/>
        <v>4629015</v>
      </c>
      <c r="AO73" s="27">
        <f t="shared" si="20"/>
        <v>4629015</v>
      </c>
      <c r="AP73" s="27">
        <f t="shared" si="20"/>
        <v>4629015</v>
      </c>
      <c r="AQ73" s="27">
        <f t="shared" si="21"/>
        <v>4629015</v>
      </c>
      <c r="AR73" s="27">
        <f t="shared" si="22"/>
        <v>4629015</v>
      </c>
      <c r="AS73" s="27"/>
      <c r="AT73" s="27"/>
      <c r="AU73" s="27"/>
      <c r="AV73" s="27"/>
      <c r="AW73" s="27">
        <f t="shared" si="33"/>
        <v>37032120</v>
      </c>
      <c r="AX73" s="79">
        <f t="shared" si="34"/>
        <v>245337811</v>
      </c>
      <c r="AY73" s="79">
        <f t="shared" si="35"/>
        <v>310144006</v>
      </c>
      <c r="AZ73" s="25">
        <f>J73-Z73</f>
        <v>1</v>
      </c>
      <c r="BA73" s="62"/>
      <c r="BB73" s="66">
        <v>1</v>
      </c>
      <c r="BC73" s="66"/>
      <c r="BD73" s="66"/>
      <c r="BE73" s="67">
        <f t="shared" si="23"/>
        <v>4629015</v>
      </c>
      <c r="BF73" s="67">
        <f t="shared" si="24"/>
        <v>0</v>
      </c>
      <c r="BG73" s="67">
        <f t="shared" si="36"/>
        <v>0</v>
      </c>
      <c r="BH73" s="66"/>
      <c r="BI73" s="68"/>
      <c r="BJ73" s="68" t="s">
        <v>1930</v>
      </c>
      <c r="BK73" s="68" t="s">
        <v>1930</v>
      </c>
      <c r="BL73" s="29"/>
    </row>
    <row r="74" spans="1:68" ht="15" customHeight="1">
      <c r="C74" s="1" t="str">
        <f t="shared" si="29"/>
        <v>2901</v>
      </c>
      <c r="D74" s="1" t="str">
        <f t="shared" si="30"/>
        <v>2402</v>
      </c>
      <c r="E74" s="19" t="s">
        <v>48</v>
      </c>
      <c r="F74" s="62" t="s">
        <v>1896</v>
      </c>
      <c r="G74" s="62">
        <v>2112</v>
      </c>
      <c r="H74" s="62" t="s">
        <v>1996</v>
      </c>
      <c r="I74" s="62" t="s">
        <v>292</v>
      </c>
      <c r="J74" s="118">
        <v>1</v>
      </c>
      <c r="K74" s="119"/>
      <c r="L74" s="62" t="s">
        <v>77</v>
      </c>
      <c r="M74" s="120" t="s">
        <v>290</v>
      </c>
      <c r="N74" s="65">
        <v>43474</v>
      </c>
      <c r="O74" s="24">
        <v>17927</v>
      </c>
      <c r="P74" s="24">
        <v>23239</v>
      </c>
      <c r="Q74" s="64">
        <f>P74*O74</f>
        <v>416605553</v>
      </c>
      <c r="R74" s="64"/>
      <c r="S74" s="64"/>
      <c r="T74" s="64"/>
      <c r="U74" s="64"/>
      <c r="V74" s="121">
        <v>555481817</v>
      </c>
      <c r="W74" s="122"/>
      <c r="X74" s="64">
        <v>555481817</v>
      </c>
      <c r="Y74" s="121"/>
      <c r="Z74" s="121"/>
      <c r="AA74" s="121"/>
      <c r="AB74" s="121"/>
      <c r="AC74" s="64">
        <v>555481817</v>
      </c>
      <c r="AD74" s="65">
        <v>45323</v>
      </c>
      <c r="AE74" s="65">
        <v>47149</v>
      </c>
      <c r="AF74" s="62">
        <v>5</v>
      </c>
      <c r="AG74" s="119">
        <v>60</v>
      </c>
      <c r="AH74" s="25">
        <v>4629015</v>
      </c>
      <c r="AI74" s="78">
        <v>273111886</v>
      </c>
      <c r="AJ74" s="78">
        <v>282369931</v>
      </c>
      <c r="AK74" s="27">
        <v>4629015</v>
      </c>
      <c r="AL74" s="27">
        <f t="shared" si="32"/>
        <v>4629015</v>
      </c>
      <c r="AM74" s="27">
        <f t="shared" si="26"/>
        <v>4629015</v>
      </c>
      <c r="AN74" s="27">
        <f t="shared" si="19"/>
        <v>4629015</v>
      </c>
      <c r="AO74" s="27">
        <f t="shared" si="20"/>
        <v>4629015</v>
      </c>
      <c r="AP74" s="27">
        <f t="shared" si="20"/>
        <v>4629015</v>
      </c>
      <c r="AQ74" s="27">
        <f t="shared" si="21"/>
        <v>4629015</v>
      </c>
      <c r="AR74" s="27">
        <f t="shared" si="22"/>
        <v>4629015</v>
      </c>
      <c r="AS74" s="27"/>
      <c r="AT74" s="27"/>
      <c r="AU74" s="27"/>
      <c r="AV74" s="27"/>
      <c r="AW74" s="27">
        <f t="shared" si="33"/>
        <v>37032120</v>
      </c>
      <c r="AX74" s="79">
        <f t="shared" si="34"/>
        <v>245337811</v>
      </c>
      <c r="AY74" s="79">
        <f t="shared" si="35"/>
        <v>310144006</v>
      </c>
      <c r="AZ74" s="25">
        <f>J74-Z74</f>
        <v>1</v>
      </c>
      <c r="BA74" s="62"/>
      <c r="BB74" s="66">
        <v>1</v>
      </c>
      <c r="BC74" s="66"/>
      <c r="BD74" s="66"/>
      <c r="BE74" s="67">
        <f t="shared" si="23"/>
        <v>4629015</v>
      </c>
      <c r="BF74" s="67">
        <f t="shared" si="24"/>
        <v>0</v>
      </c>
      <c r="BG74" s="67">
        <f t="shared" si="36"/>
        <v>0</v>
      </c>
      <c r="BH74" s="66"/>
      <c r="BI74" s="68"/>
      <c r="BJ74" s="68" t="s">
        <v>1930</v>
      </c>
      <c r="BK74" s="68" t="s">
        <v>1930</v>
      </c>
      <c r="BL74" s="29"/>
    </row>
    <row r="75" spans="1:68" ht="15" customHeight="1">
      <c r="C75" s="1" t="str">
        <f t="shared" si="29"/>
        <v>2901</v>
      </c>
      <c r="D75" s="1" t="str">
        <f t="shared" si="30"/>
        <v>2402</v>
      </c>
      <c r="E75" s="19" t="s">
        <v>48</v>
      </c>
      <c r="F75" s="62" t="s">
        <v>1923</v>
      </c>
      <c r="G75" s="62">
        <v>2112</v>
      </c>
      <c r="H75" s="62" t="s">
        <v>1995</v>
      </c>
      <c r="I75" s="62" t="s">
        <v>292</v>
      </c>
      <c r="J75" s="118">
        <v>1</v>
      </c>
      <c r="K75" s="119"/>
      <c r="L75" s="62" t="s">
        <v>77</v>
      </c>
      <c r="M75" s="120" t="s">
        <v>290</v>
      </c>
      <c r="N75" s="65">
        <v>43474</v>
      </c>
      <c r="O75" s="24">
        <v>17927</v>
      </c>
      <c r="P75" s="24">
        <v>23239</v>
      </c>
      <c r="Q75" s="64">
        <f>P75*O75</f>
        <v>416605553</v>
      </c>
      <c r="R75" s="64"/>
      <c r="S75" s="64"/>
      <c r="T75" s="64"/>
      <c r="U75" s="64"/>
      <c r="V75" s="121">
        <v>555481817</v>
      </c>
      <c r="W75" s="122"/>
      <c r="X75" s="64">
        <v>555481817</v>
      </c>
      <c r="Y75" s="121"/>
      <c r="Z75" s="121"/>
      <c r="AA75" s="121"/>
      <c r="AB75" s="121"/>
      <c r="AC75" s="64">
        <v>555481817</v>
      </c>
      <c r="AD75" s="65">
        <v>45323</v>
      </c>
      <c r="AE75" s="65">
        <v>47149</v>
      </c>
      <c r="AF75" s="62">
        <v>5</v>
      </c>
      <c r="AG75" s="119">
        <v>60</v>
      </c>
      <c r="AH75" s="25">
        <v>4629015</v>
      </c>
      <c r="AI75" s="78">
        <v>273111886</v>
      </c>
      <c r="AJ75" s="78">
        <v>282369931</v>
      </c>
      <c r="AK75" s="27">
        <v>4629015</v>
      </c>
      <c r="AL75" s="27">
        <f t="shared" si="32"/>
        <v>4629015</v>
      </c>
      <c r="AM75" s="27">
        <f t="shared" si="26"/>
        <v>4629015</v>
      </c>
      <c r="AN75" s="27">
        <f t="shared" si="19"/>
        <v>4629015</v>
      </c>
      <c r="AO75" s="27">
        <f t="shared" si="20"/>
        <v>4629015</v>
      </c>
      <c r="AP75" s="27">
        <f t="shared" si="20"/>
        <v>4629015</v>
      </c>
      <c r="AQ75" s="27">
        <f t="shared" si="21"/>
        <v>4629015</v>
      </c>
      <c r="AR75" s="27">
        <f t="shared" si="22"/>
        <v>4629015</v>
      </c>
      <c r="AS75" s="27"/>
      <c r="AT75" s="27"/>
      <c r="AU75" s="27"/>
      <c r="AV75" s="27"/>
      <c r="AW75" s="27">
        <f t="shared" si="33"/>
        <v>37032120</v>
      </c>
      <c r="AX75" s="79">
        <f t="shared" si="34"/>
        <v>245337811</v>
      </c>
      <c r="AY75" s="79">
        <f t="shared" si="35"/>
        <v>310144006</v>
      </c>
      <c r="AZ75" s="25">
        <f>J75-Z75</f>
        <v>1</v>
      </c>
      <c r="BA75" s="62"/>
      <c r="BB75" s="66">
        <v>1</v>
      </c>
      <c r="BC75" s="66"/>
      <c r="BD75" s="66"/>
      <c r="BE75" s="67">
        <f t="shared" si="23"/>
        <v>4629015</v>
      </c>
      <c r="BF75" s="67">
        <f t="shared" si="24"/>
        <v>0</v>
      </c>
      <c r="BG75" s="67">
        <f t="shared" si="36"/>
        <v>0</v>
      </c>
      <c r="BH75" s="66"/>
      <c r="BI75" s="68"/>
      <c r="BJ75" s="68" t="s">
        <v>81</v>
      </c>
      <c r="BK75" s="68" t="s">
        <v>81</v>
      </c>
      <c r="BL75" s="29"/>
    </row>
    <row r="76" spans="1:68" s="182" customFormat="1" ht="15" customHeight="1">
      <c r="A76" s="182" t="s">
        <v>43</v>
      </c>
      <c r="C76" s="182" t="str">
        <f t="shared" si="29"/>
        <v>2403</v>
      </c>
      <c r="D76" s="182" t="str">
        <f t="shared" si="30"/>
        <v>1904</v>
      </c>
      <c r="E76" s="183" t="s">
        <v>48</v>
      </c>
      <c r="F76" s="184" t="s">
        <v>49</v>
      </c>
      <c r="G76" s="184">
        <v>2112</v>
      </c>
      <c r="H76" s="184" t="s">
        <v>293</v>
      </c>
      <c r="I76" s="184" t="s">
        <v>294</v>
      </c>
      <c r="J76" s="185">
        <v>2</v>
      </c>
      <c r="K76" s="186"/>
      <c r="L76" s="184" t="s">
        <v>77</v>
      </c>
      <c r="M76" s="187" t="s">
        <v>295</v>
      </c>
      <c r="N76" s="188">
        <v>43529</v>
      </c>
      <c r="O76" s="189">
        <v>42862</v>
      </c>
      <c r="P76" s="189">
        <v>23253</v>
      </c>
      <c r="Q76" s="190">
        <v>996670086</v>
      </c>
      <c r="R76" s="190"/>
      <c r="S76" s="190"/>
      <c r="T76" s="190">
        <v>15872425.4941983</v>
      </c>
      <c r="U76" s="190" t="s">
        <v>296</v>
      </c>
      <c r="V76" s="191">
        <v>1012542511</v>
      </c>
      <c r="W76" s="192">
        <v>0</v>
      </c>
      <c r="X76" s="190">
        <v>1012542511</v>
      </c>
      <c r="Y76" s="191"/>
      <c r="Z76" s="191"/>
      <c r="AA76" s="191"/>
      <c r="AB76" s="191"/>
      <c r="AC76" s="190">
        <v>1012542511</v>
      </c>
      <c r="AD76" s="188">
        <v>43556</v>
      </c>
      <c r="AE76" s="188">
        <v>45382</v>
      </c>
      <c r="AF76" s="184">
        <v>5</v>
      </c>
      <c r="AG76" s="186">
        <v>60</v>
      </c>
      <c r="AH76" s="193">
        <v>16875708.516666666</v>
      </c>
      <c r="AI76" s="194">
        <v>961915408.16666663</v>
      </c>
      <c r="AJ76" s="194">
        <v>50627102.833333403</v>
      </c>
      <c r="AK76" s="195">
        <f>+IF(AND(AK$3&gt;=$D76,AK$3&lt;$C76),$AH76,$AJ76-SUM(AI76:AJ76))</f>
        <v>16875708.516666666</v>
      </c>
      <c r="AL76" s="195">
        <f t="shared" ref="AL76:AL144" si="40">+IF(AND(AL$3&gt;=$D76,AL$3&lt;$C76),$AH76,$AJ76-SUM(AJ76:AK76))</f>
        <v>16875708.516666666</v>
      </c>
      <c r="AM76" s="195">
        <f t="shared" si="26"/>
        <v>16875685.800000072</v>
      </c>
      <c r="AN76" s="195">
        <f>AJ76-AK76-AL76-AM76</f>
        <v>0</v>
      </c>
      <c r="AO76" s="195">
        <v>0</v>
      </c>
      <c r="AP76" s="27"/>
      <c r="AQ76" s="27">
        <f t="shared" si="21"/>
        <v>0</v>
      </c>
      <c r="AR76" s="27">
        <f>+IF(AND(AR$3&gt;=$D76,AR$3&lt;$C76),$AH76,$AJ76-SUM(AK76:AQ76))</f>
        <v>0</v>
      </c>
      <c r="AS76" s="27"/>
      <c r="AT76" s="27"/>
      <c r="AU76" s="195"/>
      <c r="AV76" s="195"/>
      <c r="AW76" s="195">
        <f t="shared" si="33"/>
        <v>50627102.833333403</v>
      </c>
      <c r="AX76" s="195">
        <f t="shared" si="34"/>
        <v>0</v>
      </c>
      <c r="AY76" s="195">
        <f t="shared" si="35"/>
        <v>1012542511</v>
      </c>
      <c r="AZ76" s="193">
        <v>2</v>
      </c>
      <c r="BA76" s="184" t="s">
        <v>97</v>
      </c>
      <c r="BB76" s="196">
        <v>1</v>
      </c>
      <c r="BC76" s="196"/>
      <c r="BD76" s="196"/>
      <c r="BE76" s="197">
        <f>+$AO76*BB76</f>
        <v>0</v>
      </c>
      <c r="BF76" s="197">
        <f t="shared" si="24"/>
        <v>0</v>
      </c>
      <c r="BG76" s="197">
        <f t="shared" si="36"/>
        <v>0</v>
      </c>
      <c r="BH76" s="196"/>
      <c r="BI76" s="198" t="s">
        <v>183</v>
      </c>
      <c r="BJ76" s="198" t="s">
        <v>58</v>
      </c>
      <c r="BK76" s="198" t="s">
        <v>159</v>
      </c>
      <c r="BL76" s="199"/>
      <c r="BO76" s="182" t="s">
        <v>1804</v>
      </c>
    </row>
    <row r="77" spans="1:68" ht="15" customHeight="1">
      <c r="A77" s="1" t="s">
        <v>43</v>
      </c>
      <c r="C77" s="1" t="str">
        <f t="shared" si="29"/>
        <v>2603</v>
      </c>
      <c r="D77" s="1" t="str">
        <f t="shared" si="30"/>
        <v>1904</v>
      </c>
      <c r="E77" s="19" t="s">
        <v>48</v>
      </c>
      <c r="F77" s="62" t="s">
        <v>49</v>
      </c>
      <c r="G77" s="62">
        <v>2112</v>
      </c>
      <c r="H77" s="62" t="s">
        <v>297</v>
      </c>
      <c r="I77" s="62" t="s">
        <v>298</v>
      </c>
      <c r="J77" s="118">
        <v>1</v>
      </c>
      <c r="K77" s="119"/>
      <c r="L77" s="62" t="s">
        <v>77</v>
      </c>
      <c r="M77" s="120" t="s">
        <v>299</v>
      </c>
      <c r="N77" s="65">
        <v>43549</v>
      </c>
      <c r="O77" s="24">
        <v>69854.84</v>
      </c>
      <c r="P77" s="24">
        <v>23251</v>
      </c>
      <c r="Q77" s="64">
        <v>1624194884.8399999</v>
      </c>
      <c r="R77" s="64">
        <v>48524664.605999999</v>
      </c>
      <c r="S77" s="64"/>
      <c r="T77" s="64">
        <v>18265765</v>
      </c>
      <c r="U77" s="64" t="s">
        <v>300</v>
      </c>
      <c r="V77" s="121">
        <v>1690985314.4460001</v>
      </c>
      <c r="W77" s="122">
        <v>4.6000003814697266E-2</v>
      </c>
      <c r="X77" s="64">
        <v>1690985314.4000001</v>
      </c>
      <c r="Y77" s="121"/>
      <c r="Z77" s="121"/>
      <c r="AA77" s="121"/>
      <c r="AB77" s="121"/>
      <c r="AC77" s="64">
        <v>1690985314.4920001</v>
      </c>
      <c r="AD77" s="65">
        <v>43556</v>
      </c>
      <c r="AE77" s="65">
        <v>46112</v>
      </c>
      <c r="AF77" s="62">
        <v>10</v>
      </c>
      <c r="AG77" s="119">
        <v>120</v>
      </c>
      <c r="AH77" s="25">
        <v>14091544.287433334</v>
      </c>
      <c r="AI77" s="78">
        <v>803218011.36633337</v>
      </c>
      <c r="AJ77" s="78">
        <v>887767303.12566674</v>
      </c>
      <c r="AK77" s="27">
        <f t="shared" si="31"/>
        <v>14091544.287433334</v>
      </c>
      <c r="AL77" s="27">
        <f t="shared" si="40"/>
        <v>14091544.287433334</v>
      </c>
      <c r="AM77" s="27">
        <f t="shared" si="26"/>
        <v>14091544.287433334</v>
      </c>
      <c r="AN77" s="27">
        <f t="shared" si="19"/>
        <v>14091544.287433334</v>
      </c>
      <c r="AO77" s="27">
        <f t="shared" si="20"/>
        <v>14091544.287433334</v>
      </c>
      <c r="AP77" s="27">
        <f t="shared" si="20"/>
        <v>14091544.287433334</v>
      </c>
      <c r="AQ77" s="27">
        <f t="shared" si="21"/>
        <v>14091544.287433334</v>
      </c>
      <c r="AR77" s="27">
        <f t="shared" si="22"/>
        <v>14091544.287433334</v>
      </c>
      <c r="AS77" s="27"/>
      <c r="AT77" s="27"/>
      <c r="AU77" s="27"/>
      <c r="AV77" s="27"/>
      <c r="AW77" s="27">
        <f t="shared" si="33"/>
        <v>112732354.29946664</v>
      </c>
      <c r="AX77" s="79">
        <f t="shared" si="34"/>
        <v>775034948.82620013</v>
      </c>
      <c r="AY77" s="79">
        <f t="shared" si="35"/>
        <v>915950365.66579998</v>
      </c>
      <c r="AZ77" s="25">
        <v>1</v>
      </c>
      <c r="BA77" s="62" t="s">
        <v>97</v>
      </c>
      <c r="BB77" s="66">
        <v>1</v>
      </c>
      <c r="BC77" s="66"/>
      <c r="BD77" s="66"/>
      <c r="BE77" s="67">
        <f t="shared" ref="BE77:BE105" si="41">+$AO77*BB77</f>
        <v>14091544.287433334</v>
      </c>
      <c r="BF77" s="67">
        <f t="shared" si="24"/>
        <v>0</v>
      </c>
      <c r="BG77" s="67">
        <f t="shared" si="36"/>
        <v>0</v>
      </c>
      <c r="BH77" s="66"/>
      <c r="BI77" s="68" t="s">
        <v>191</v>
      </c>
      <c r="BJ77" s="68" t="s">
        <v>121</v>
      </c>
      <c r="BK77" s="68" t="s">
        <v>301</v>
      </c>
      <c r="BL77" s="29"/>
      <c r="BO77" s="35" t="s">
        <v>1800</v>
      </c>
      <c r="BP77" s="1" t="s">
        <v>1808</v>
      </c>
    </row>
    <row r="78" spans="1:68" ht="15" customHeight="1">
      <c r="A78" s="1" t="s">
        <v>43</v>
      </c>
      <c r="C78" s="1" t="str">
        <f t="shared" si="29"/>
        <v>2601</v>
      </c>
      <c r="D78" s="1" t="str">
        <f t="shared" si="30"/>
        <v>1902</v>
      </c>
      <c r="E78" s="19" t="s">
        <v>48</v>
      </c>
      <c r="F78" s="62" t="s">
        <v>49</v>
      </c>
      <c r="G78" s="62">
        <v>2112</v>
      </c>
      <c r="H78" s="62" t="s">
        <v>302</v>
      </c>
      <c r="I78" s="62" t="s">
        <v>303</v>
      </c>
      <c r="J78" s="118">
        <v>1</v>
      </c>
      <c r="K78" s="119"/>
      <c r="L78" s="62" t="s">
        <v>304</v>
      </c>
      <c r="M78" s="120" t="s">
        <v>305</v>
      </c>
      <c r="N78" s="65">
        <v>43477</v>
      </c>
      <c r="O78" s="24"/>
      <c r="P78" s="24"/>
      <c r="Q78" s="32">
        <v>100400000</v>
      </c>
      <c r="R78" s="64"/>
      <c r="S78" s="64"/>
      <c r="T78" s="64"/>
      <c r="U78" s="64"/>
      <c r="V78" s="121">
        <v>100400000</v>
      </c>
      <c r="W78" s="122">
        <v>0</v>
      </c>
      <c r="X78" s="64">
        <v>100400000</v>
      </c>
      <c r="Y78" s="121"/>
      <c r="Z78" s="121"/>
      <c r="AA78" s="121"/>
      <c r="AB78" s="121"/>
      <c r="AC78" s="64">
        <v>100400000</v>
      </c>
      <c r="AD78" s="65">
        <v>43497</v>
      </c>
      <c r="AE78" s="65">
        <v>46053</v>
      </c>
      <c r="AF78" s="62">
        <v>7</v>
      </c>
      <c r="AG78" s="119">
        <v>84</v>
      </c>
      <c r="AH78" s="25">
        <v>1195238.0952380951</v>
      </c>
      <c r="AI78" s="78">
        <v>70519042.952380955</v>
      </c>
      <c r="AJ78" s="78">
        <v>29880957.047619049</v>
      </c>
      <c r="AK78" s="27">
        <f t="shared" si="31"/>
        <v>1195238.0952380951</v>
      </c>
      <c r="AL78" s="27">
        <f t="shared" si="40"/>
        <v>1195238.0952380951</v>
      </c>
      <c r="AM78" s="27">
        <f t="shared" si="26"/>
        <v>1195238.0952380951</v>
      </c>
      <c r="AN78" s="27">
        <f t="shared" si="19"/>
        <v>1195238.0952380951</v>
      </c>
      <c r="AO78" s="27">
        <f t="shared" si="20"/>
        <v>1195238.0952380951</v>
      </c>
      <c r="AP78" s="27">
        <f t="shared" si="20"/>
        <v>1195238.0952380951</v>
      </c>
      <c r="AQ78" s="27">
        <f t="shared" si="21"/>
        <v>1195238.0952380951</v>
      </c>
      <c r="AR78" s="27">
        <f t="shared" si="22"/>
        <v>1195238.0952380951</v>
      </c>
      <c r="AS78" s="27"/>
      <c r="AT78" s="27"/>
      <c r="AU78" s="27"/>
      <c r="AV78" s="27"/>
      <c r="AW78" s="27">
        <f t="shared" si="33"/>
        <v>9561904.7619047612</v>
      </c>
      <c r="AX78" s="79">
        <f t="shared" si="34"/>
        <v>20319052.285714284</v>
      </c>
      <c r="AY78" s="79">
        <f t="shared" si="35"/>
        <v>80080947.714285716</v>
      </c>
      <c r="AZ78" s="25">
        <v>1</v>
      </c>
      <c r="BA78" s="62" t="s">
        <v>97</v>
      </c>
      <c r="BB78" s="66">
        <v>1</v>
      </c>
      <c r="BC78" s="66"/>
      <c r="BD78" s="66"/>
      <c r="BE78" s="67">
        <f t="shared" si="41"/>
        <v>1195238.0952380951</v>
      </c>
      <c r="BF78" s="67">
        <f t="shared" si="24"/>
        <v>0</v>
      </c>
      <c r="BG78" s="67">
        <f t="shared" si="36"/>
        <v>0</v>
      </c>
      <c r="BH78" s="66"/>
      <c r="BI78" s="68" t="s">
        <v>140</v>
      </c>
      <c r="BJ78" s="68" t="s">
        <v>58</v>
      </c>
      <c r="BK78" s="68" t="s">
        <v>59</v>
      </c>
      <c r="BL78" s="29"/>
      <c r="BO78" s="35" t="s">
        <v>1804</v>
      </c>
    </row>
    <row r="79" spans="1:68" ht="15" customHeight="1">
      <c r="A79" s="1" t="s">
        <v>43</v>
      </c>
      <c r="C79" s="1" t="str">
        <f t="shared" si="29"/>
        <v>4402</v>
      </c>
      <c r="D79" s="1" t="str">
        <f t="shared" si="30"/>
        <v>1903</v>
      </c>
      <c r="E79" s="19" t="s">
        <v>48</v>
      </c>
      <c r="F79" s="62" t="s">
        <v>49</v>
      </c>
      <c r="G79" s="62">
        <v>2111</v>
      </c>
      <c r="H79" s="62" t="s">
        <v>306</v>
      </c>
      <c r="I79" s="62" t="s">
        <v>307</v>
      </c>
      <c r="J79" s="118">
        <v>1</v>
      </c>
      <c r="K79" s="119"/>
      <c r="L79" s="62" t="s">
        <v>62</v>
      </c>
      <c r="M79" s="120" t="s">
        <v>308</v>
      </c>
      <c r="N79" s="65">
        <v>43524</v>
      </c>
      <c r="O79" s="24"/>
      <c r="P79" s="24"/>
      <c r="Q79" s="64">
        <v>8455000000</v>
      </c>
      <c r="R79" s="64"/>
      <c r="S79" s="64"/>
      <c r="T79" s="64"/>
      <c r="U79" s="64"/>
      <c r="V79" s="121">
        <v>8455000000</v>
      </c>
      <c r="W79" s="122">
        <v>0</v>
      </c>
      <c r="X79" s="64">
        <v>8455000000</v>
      </c>
      <c r="Y79" s="121"/>
      <c r="Z79" s="121"/>
      <c r="AA79" s="121"/>
      <c r="AB79" s="121"/>
      <c r="AC79" s="64">
        <v>8455000000</v>
      </c>
      <c r="AD79" s="65">
        <v>43525</v>
      </c>
      <c r="AE79" s="65">
        <v>52656</v>
      </c>
      <c r="AF79" s="62">
        <v>25</v>
      </c>
      <c r="AG79" s="119">
        <v>300</v>
      </c>
      <c r="AH79" s="25">
        <v>28183333.333333332</v>
      </c>
      <c r="AI79" s="78">
        <v>1634633317.3333333</v>
      </c>
      <c r="AJ79" s="78">
        <v>6820366682.666667</v>
      </c>
      <c r="AK79" s="27">
        <f t="shared" si="31"/>
        <v>28183333.333333332</v>
      </c>
      <c r="AL79" s="27">
        <f t="shared" si="40"/>
        <v>28183333.333333332</v>
      </c>
      <c r="AM79" s="27">
        <f t="shared" si="26"/>
        <v>28183333.333333332</v>
      </c>
      <c r="AN79" s="27">
        <f t="shared" si="19"/>
        <v>28183333.333333332</v>
      </c>
      <c r="AO79" s="27">
        <f t="shared" si="20"/>
        <v>28183333.333333332</v>
      </c>
      <c r="AP79" s="27">
        <f t="shared" si="20"/>
        <v>28183333.333333332</v>
      </c>
      <c r="AQ79" s="27">
        <f t="shared" si="21"/>
        <v>28183333.333333332</v>
      </c>
      <c r="AR79" s="27">
        <f t="shared" si="22"/>
        <v>28183333.333333332</v>
      </c>
      <c r="AS79" s="27"/>
      <c r="AT79" s="27"/>
      <c r="AU79" s="27"/>
      <c r="AV79" s="27"/>
      <c r="AW79" s="27">
        <f t="shared" si="33"/>
        <v>225466666.66666669</v>
      </c>
      <c r="AX79" s="79">
        <f t="shared" si="34"/>
        <v>6594900016</v>
      </c>
      <c r="AY79" s="79">
        <f t="shared" si="35"/>
        <v>1860099984</v>
      </c>
      <c r="AZ79" s="25">
        <v>1</v>
      </c>
      <c r="BA79" s="62" t="s">
        <v>56</v>
      </c>
      <c r="BB79" s="66">
        <v>0.5</v>
      </c>
      <c r="BC79" s="66">
        <v>0.5</v>
      </c>
      <c r="BD79" s="66"/>
      <c r="BE79" s="67">
        <f t="shared" si="41"/>
        <v>14091666.666666666</v>
      </c>
      <c r="BF79" s="67">
        <f t="shared" si="24"/>
        <v>14091666.666666666</v>
      </c>
      <c r="BG79" s="67">
        <f t="shared" ref="BG79:BG141" si="42">+$AL79*BD79</f>
        <v>0</v>
      </c>
      <c r="BH79" s="66"/>
      <c r="BI79" s="68" t="s">
        <v>57</v>
      </c>
      <c r="BJ79" s="68" t="s">
        <v>58</v>
      </c>
      <c r="BK79" s="68" t="s">
        <v>59</v>
      </c>
      <c r="BL79" s="29"/>
      <c r="BO79" s="35" t="s">
        <v>1799</v>
      </c>
    </row>
    <row r="80" spans="1:68" ht="15" customHeight="1">
      <c r="A80" s="1" t="s">
        <v>43</v>
      </c>
      <c r="C80" s="1" t="str">
        <f t="shared" si="29"/>
        <v>2904</v>
      </c>
      <c r="D80" s="1" t="str">
        <f t="shared" si="30"/>
        <v>1905</v>
      </c>
      <c r="E80" s="19" t="s">
        <v>48</v>
      </c>
      <c r="F80" s="62" t="s">
        <v>49</v>
      </c>
      <c r="G80" s="62">
        <v>2112</v>
      </c>
      <c r="H80" s="62" t="s">
        <v>309</v>
      </c>
      <c r="I80" s="62" t="s">
        <v>310</v>
      </c>
      <c r="J80" s="118">
        <v>3</v>
      </c>
      <c r="K80" s="119"/>
      <c r="L80" s="62" t="s">
        <v>77</v>
      </c>
      <c r="M80" s="120" t="s">
        <v>311</v>
      </c>
      <c r="N80" s="65">
        <v>43558</v>
      </c>
      <c r="O80" s="24">
        <v>643183.72</v>
      </c>
      <c r="P80" s="24">
        <v>23252</v>
      </c>
      <c r="Q80" s="64">
        <v>14955307857.439999</v>
      </c>
      <c r="R80" s="64"/>
      <c r="S80" s="64"/>
      <c r="T80" s="64">
        <v>24194323</v>
      </c>
      <c r="U80" s="64" t="s">
        <v>312</v>
      </c>
      <c r="V80" s="121">
        <v>14979502180</v>
      </c>
      <c r="W80" s="122">
        <v>0</v>
      </c>
      <c r="X80" s="64">
        <v>14979502180</v>
      </c>
      <c r="Y80" s="121"/>
      <c r="Z80" s="121"/>
      <c r="AA80" s="121"/>
      <c r="AB80" s="121"/>
      <c r="AC80" s="64">
        <v>14979502180</v>
      </c>
      <c r="AD80" s="65">
        <v>43586</v>
      </c>
      <c r="AE80" s="65">
        <v>47236</v>
      </c>
      <c r="AF80" s="62">
        <v>10</v>
      </c>
      <c r="AG80" s="119">
        <v>120</v>
      </c>
      <c r="AH80" s="25">
        <v>124829184.83333333</v>
      </c>
      <c r="AI80" s="78">
        <v>6990434357.8933325</v>
      </c>
      <c r="AJ80" s="78">
        <v>7989067822.1066675</v>
      </c>
      <c r="AK80" s="27">
        <f t="shared" si="31"/>
        <v>124829184.83333333</v>
      </c>
      <c r="AL80" s="27">
        <f t="shared" si="40"/>
        <v>124829184.83333333</v>
      </c>
      <c r="AM80" s="27">
        <f t="shared" si="26"/>
        <v>124829184.83333333</v>
      </c>
      <c r="AN80" s="27">
        <f t="shared" si="19"/>
        <v>124829184.83333333</v>
      </c>
      <c r="AO80" s="27">
        <f t="shared" si="20"/>
        <v>124829184.83333333</v>
      </c>
      <c r="AP80" s="27">
        <f t="shared" si="20"/>
        <v>124829184.83333333</v>
      </c>
      <c r="AQ80" s="27">
        <f t="shared" si="21"/>
        <v>124829184.83333333</v>
      </c>
      <c r="AR80" s="27">
        <f t="shared" si="22"/>
        <v>124829184.83333333</v>
      </c>
      <c r="AS80" s="27"/>
      <c r="AT80" s="27"/>
      <c r="AU80" s="27"/>
      <c r="AV80" s="27"/>
      <c r="AW80" s="27">
        <f t="shared" si="33"/>
        <v>998633478.66666675</v>
      </c>
      <c r="AX80" s="79">
        <f t="shared" si="34"/>
        <v>6990434343.4400005</v>
      </c>
      <c r="AY80" s="79">
        <f t="shared" si="35"/>
        <v>7989067836.5599995</v>
      </c>
      <c r="AZ80" s="25">
        <v>3</v>
      </c>
      <c r="BA80" s="62" t="s">
        <v>97</v>
      </c>
      <c r="BB80" s="66">
        <v>1</v>
      </c>
      <c r="BC80" s="66"/>
      <c r="BD80" s="66"/>
      <c r="BE80" s="67">
        <f t="shared" si="41"/>
        <v>124829184.83333333</v>
      </c>
      <c r="BF80" s="67">
        <f t="shared" si="24"/>
        <v>0</v>
      </c>
      <c r="BG80" s="67">
        <f t="shared" si="42"/>
        <v>0</v>
      </c>
      <c r="BH80" s="66"/>
      <c r="BI80" s="68" t="s">
        <v>313</v>
      </c>
      <c r="BJ80" s="68" t="s">
        <v>85</v>
      </c>
      <c r="BK80" s="68" t="s">
        <v>85</v>
      </c>
      <c r="BL80" s="29"/>
      <c r="BO80" s="35" t="s">
        <v>1800</v>
      </c>
      <c r="BP80" s="1" t="s">
        <v>1809</v>
      </c>
    </row>
    <row r="81" spans="1:68" ht="15" customHeight="1">
      <c r="A81" s="1" t="s">
        <v>43</v>
      </c>
      <c r="C81" s="1" t="str">
        <f t="shared" si="29"/>
        <v>2604</v>
      </c>
      <c r="D81" s="1" t="str">
        <f t="shared" si="30"/>
        <v>1905</v>
      </c>
      <c r="E81" s="19" t="s">
        <v>48</v>
      </c>
      <c r="F81" s="62" t="s">
        <v>49</v>
      </c>
      <c r="G81" s="62">
        <v>2112</v>
      </c>
      <c r="H81" s="62" t="s">
        <v>314</v>
      </c>
      <c r="I81" s="62" t="s">
        <v>315</v>
      </c>
      <c r="J81" s="118">
        <v>1</v>
      </c>
      <c r="K81" s="119"/>
      <c r="L81" s="62" t="s">
        <v>77</v>
      </c>
      <c r="M81" s="120" t="s">
        <v>316</v>
      </c>
      <c r="N81" s="65">
        <v>43563</v>
      </c>
      <c r="O81" s="24">
        <v>3115.15</v>
      </c>
      <c r="P81" s="24">
        <v>23251</v>
      </c>
      <c r="Q81" s="64">
        <v>72430352.650000006</v>
      </c>
      <c r="R81" s="64"/>
      <c r="S81" s="64"/>
      <c r="T81" s="64">
        <v>1011884.091</v>
      </c>
      <c r="U81" s="64" t="s">
        <v>317</v>
      </c>
      <c r="V81" s="121">
        <v>73442237</v>
      </c>
      <c r="W81" s="122">
        <v>0</v>
      </c>
      <c r="X81" s="64">
        <v>73442237</v>
      </c>
      <c r="Y81" s="121"/>
      <c r="Z81" s="121"/>
      <c r="AA81" s="121"/>
      <c r="AB81" s="121"/>
      <c r="AC81" s="64">
        <v>73442237</v>
      </c>
      <c r="AD81" s="65">
        <v>43586</v>
      </c>
      <c r="AE81" s="65">
        <v>46141</v>
      </c>
      <c r="AF81" s="62">
        <v>7</v>
      </c>
      <c r="AG81" s="119">
        <v>84</v>
      </c>
      <c r="AH81" s="25">
        <v>874312.34523809527</v>
      </c>
      <c r="AI81" s="78">
        <v>48961475.712380946</v>
      </c>
      <c r="AJ81" s="78">
        <v>24480761.287619051</v>
      </c>
      <c r="AK81" s="27">
        <f t="shared" si="31"/>
        <v>874312.34523809527</v>
      </c>
      <c r="AL81" s="27">
        <f t="shared" si="40"/>
        <v>874312.34523809527</v>
      </c>
      <c r="AM81" s="27">
        <f t="shared" si="26"/>
        <v>874312.34523809527</v>
      </c>
      <c r="AN81" s="27">
        <f t="shared" si="19"/>
        <v>874312.34523809527</v>
      </c>
      <c r="AO81" s="27">
        <f t="shared" si="20"/>
        <v>874312.34523809527</v>
      </c>
      <c r="AP81" s="27">
        <f t="shared" si="20"/>
        <v>874312.34523809527</v>
      </c>
      <c r="AQ81" s="27">
        <f t="shared" si="21"/>
        <v>874312.34523809527</v>
      </c>
      <c r="AR81" s="27">
        <f t="shared" si="22"/>
        <v>874312.34523809527</v>
      </c>
      <c r="AS81" s="27"/>
      <c r="AT81" s="27"/>
      <c r="AU81" s="27"/>
      <c r="AV81" s="27"/>
      <c r="AW81" s="27">
        <f t="shared" si="33"/>
        <v>6994498.7619047621</v>
      </c>
      <c r="AX81" s="79">
        <f t="shared" si="34"/>
        <v>17486262.525714293</v>
      </c>
      <c r="AY81" s="79">
        <f t="shared" si="35"/>
        <v>55955974.474285707</v>
      </c>
      <c r="AZ81" s="25">
        <v>1</v>
      </c>
      <c r="BA81" s="62" t="s">
        <v>97</v>
      </c>
      <c r="BB81" s="66">
        <v>1</v>
      </c>
      <c r="BC81" s="66"/>
      <c r="BD81" s="66"/>
      <c r="BE81" s="67">
        <f t="shared" si="41"/>
        <v>874312.34523809527</v>
      </c>
      <c r="BF81" s="67">
        <f t="shared" si="24"/>
        <v>0</v>
      </c>
      <c r="BG81" s="67">
        <f t="shared" si="42"/>
        <v>0</v>
      </c>
      <c r="BH81" s="66"/>
      <c r="BI81" s="68" t="s">
        <v>84</v>
      </c>
      <c r="BJ81" s="68" t="s">
        <v>85</v>
      </c>
      <c r="BK81" s="68" t="s">
        <v>85</v>
      </c>
      <c r="BL81" s="29"/>
      <c r="BO81" s="35" t="s">
        <v>1804</v>
      </c>
    </row>
    <row r="82" spans="1:68" ht="15" customHeight="1">
      <c r="A82" s="1" t="s">
        <v>43</v>
      </c>
      <c r="C82" s="1" t="str">
        <f t="shared" si="29"/>
        <v>2904</v>
      </c>
      <c r="D82" s="1" t="str">
        <f t="shared" si="30"/>
        <v>1905</v>
      </c>
      <c r="E82" s="19" t="s">
        <v>48</v>
      </c>
      <c r="F82" s="62" t="s">
        <v>49</v>
      </c>
      <c r="G82" s="62">
        <v>2112</v>
      </c>
      <c r="H82" s="62" t="s">
        <v>318</v>
      </c>
      <c r="I82" s="62" t="s">
        <v>319</v>
      </c>
      <c r="J82" s="118">
        <v>1</v>
      </c>
      <c r="K82" s="119"/>
      <c r="L82" s="62" t="s">
        <v>77</v>
      </c>
      <c r="M82" s="120" t="s">
        <v>320</v>
      </c>
      <c r="N82" s="65">
        <v>43565</v>
      </c>
      <c r="O82" s="24">
        <v>138765.70000000001</v>
      </c>
      <c r="P82" s="24">
        <v>23251</v>
      </c>
      <c r="Q82" s="64">
        <v>3226441290.7000003</v>
      </c>
      <c r="R82" s="64">
        <v>321242595</v>
      </c>
      <c r="S82" s="64"/>
      <c r="T82" s="130">
        <v>2203385.2779999999</v>
      </c>
      <c r="U82" s="64" t="s">
        <v>321</v>
      </c>
      <c r="V82" s="121">
        <v>3549887271</v>
      </c>
      <c r="W82" s="122">
        <v>0</v>
      </c>
      <c r="X82" s="64">
        <v>3549887271</v>
      </c>
      <c r="Y82" s="121"/>
      <c r="Z82" s="121"/>
      <c r="AA82" s="121"/>
      <c r="AB82" s="121"/>
      <c r="AC82" s="64">
        <v>3549887271</v>
      </c>
      <c r="AD82" s="65">
        <v>43586</v>
      </c>
      <c r="AE82" s="65">
        <v>47236</v>
      </c>
      <c r="AF82" s="62">
        <v>10</v>
      </c>
      <c r="AG82" s="119">
        <v>120</v>
      </c>
      <c r="AH82" s="25">
        <v>29582393.925000001</v>
      </c>
      <c r="AI82" s="78">
        <v>1656614063.27</v>
      </c>
      <c r="AJ82" s="78">
        <v>1893273207.73</v>
      </c>
      <c r="AK82" s="27">
        <f t="shared" si="31"/>
        <v>29582393.925000001</v>
      </c>
      <c r="AL82" s="27">
        <f t="shared" si="40"/>
        <v>29582393.925000001</v>
      </c>
      <c r="AM82" s="27">
        <f t="shared" si="26"/>
        <v>29582393.925000001</v>
      </c>
      <c r="AN82" s="27">
        <f t="shared" si="19"/>
        <v>29582393.925000001</v>
      </c>
      <c r="AO82" s="27">
        <f t="shared" si="20"/>
        <v>29582393.925000001</v>
      </c>
      <c r="AP82" s="27">
        <f t="shared" si="20"/>
        <v>29582393.925000001</v>
      </c>
      <c r="AQ82" s="27">
        <f t="shared" si="21"/>
        <v>29582393.925000001</v>
      </c>
      <c r="AR82" s="27">
        <f t="shared" si="22"/>
        <v>29582393.925000001</v>
      </c>
      <c r="AS82" s="27"/>
      <c r="AT82" s="27"/>
      <c r="AU82" s="27"/>
      <c r="AV82" s="27"/>
      <c r="AW82" s="27">
        <f>+SUM(AK82:AV82)</f>
        <v>236659151.40000004</v>
      </c>
      <c r="AX82" s="79">
        <f t="shared" si="34"/>
        <v>1656614056.3299999</v>
      </c>
      <c r="AY82" s="79">
        <f t="shared" si="35"/>
        <v>1893273214.6700001</v>
      </c>
      <c r="AZ82" s="25">
        <v>1</v>
      </c>
      <c r="BA82" s="62" t="s">
        <v>79</v>
      </c>
      <c r="BB82" s="66">
        <v>1</v>
      </c>
      <c r="BC82" s="66"/>
      <c r="BD82" s="66"/>
      <c r="BE82" s="67">
        <f t="shared" si="41"/>
        <v>29582393.925000001</v>
      </c>
      <c r="BF82" s="67">
        <f t="shared" si="24"/>
        <v>0</v>
      </c>
      <c r="BG82" s="67">
        <f t="shared" si="42"/>
        <v>0</v>
      </c>
      <c r="BH82" s="66"/>
      <c r="BI82" s="68" t="s">
        <v>146</v>
      </c>
      <c r="BJ82" s="68" t="s">
        <v>85</v>
      </c>
      <c r="BK82" s="68" t="s">
        <v>85</v>
      </c>
      <c r="BL82" s="29"/>
      <c r="BO82" s="35" t="s">
        <v>1804</v>
      </c>
    </row>
    <row r="83" spans="1:68" ht="15" customHeight="1">
      <c r="A83" s="1" t="s">
        <v>43</v>
      </c>
      <c r="C83" s="1" t="str">
        <f t="shared" si="29"/>
        <v>2604</v>
      </c>
      <c r="D83" s="1" t="str">
        <f t="shared" si="30"/>
        <v>1905</v>
      </c>
      <c r="E83" s="19" t="s">
        <v>48</v>
      </c>
      <c r="F83" s="62" t="s">
        <v>1896</v>
      </c>
      <c r="G83" s="62">
        <v>2112</v>
      </c>
      <c r="H83" s="62" t="s">
        <v>322</v>
      </c>
      <c r="I83" s="62" t="s">
        <v>323</v>
      </c>
      <c r="J83" s="118">
        <v>2</v>
      </c>
      <c r="K83" s="119"/>
      <c r="L83" s="62" t="s">
        <v>77</v>
      </c>
      <c r="M83" s="120" t="s">
        <v>320</v>
      </c>
      <c r="N83" s="65">
        <v>43565</v>
      </c>
      <c r="O83" s="24">
        <v>12000</v>
      </c>
      <c r="P83" s="24">
        <v>23251</v>
      </c>
      <c r="Q83" s="64">
        <v>279012000</v>
      </c>
      <c r="R83" s="64">
        <v>0</v>
      </c>
      <c r="S83" s="64"/>
      <c r="T83" s="130">
        <v>190541.49</v>
      </c>
      <c r="U83" s="64" t="s">
        <v>321</v>
      </c>
      <c r="V83" s="121">
        <v>279202541.49000001</v>
      </c>
      <c r="W83" s="122">
        <v>-9.9999904632568359E-3</v>
      </c>
      <c r="X83" s="64">
        <v>279202541.5</v>
      </c>
      <c r="Y83" s="121"/>
      <c r="Z83" s="121"/>
      <c r="AA83" s="121"/>
      <c r="AB83" s="121"/>
      <c r="AC83" s="64">
        <v>279202541.48000002</v>
      </c>
      <c r="AD83" s="65">
        <v>43586</v>
      </c>
      <c r="AE83" s="65">
        <v>46141</v>
      </c>
      <c r="AF83" s="62">
        <v>7</v>
      </c>
      <c r="AG83" s="119">
        <v>84</v>
      </c>
      <c r="AH83" s="25">
        <v>3323839.7795238099</v>
      </c>
      <c r="AI83" s="78">
        <v>186135037.78523812</v>
      </c>
      <c r="AJ83" s="78">
        <v>93067503.694761902</v>
      </c>
      <c r="AK83" s="27">
        <f t="shared" si="31"/>
        <v>3323839.7795238099</v>
      </c>
      <c r="AL83" s="27">
        <f t="shared" si="40"/>
        <v>3323839.7795238099</v>
      </c>
      <c r="AM83" s="27">
        <f t="shared" si="26"/>
        <v>3323839.7795238099</v>
      </c>
      <c r="AN83" s="27">
        <f t="shared" si="19"/>
        <v>3323839.7795238099</v>
      </c>
      <c r="AO83" s="27">
        <f t="shared" si="20"/>
        <v>3323839.7795238099</v>
      </c>
      <c r="AP83" s="27">
        <f t="shared" si="20"/>
        <v>3323839.7795238099</v>
      </c>
      <c r="AQ83" s="27">
        <f t="shared" si="21"/>
        <v>3323839.7795238099</v>
      </c>
      <c r="AR83" s="27">
        <f t="shared" si="22"/>
        <v>3323839.7795238099</v>
      </c>
      <c r="AS83" s="27"/>
      <c r="AT83" s="27"/>
      <c r="AU83" s="27"/>
      <c r="AV83" s="27"/>
      <c r="AW83" s="27">
        <f t="shared" si="33"/>
        <v>26590718.236190476</v>
      </c>
      <c r="AX83" s="79">
        <f t="shared" si="34"/>
        <v>66476785.458571427</v>
      </c>
      <c r="AY83" s="79">
        <f t="shared" si="35"/>
        <v>212725756.02142859</v>
      </c>
      <c r="AZ83" s="25">
        <v>2</v>
      </c>
      <c r="BA83" s="62" t="s">
        <v>97</v>
      </c>
      <c r="BB83" s="66">
        <v>1</v>
      </c>
      <c r="BC83" s="66"/>
      <c r="BD83" s="66"/>
      <c r="BE83" s="67">
        <f t="shared" si="41"/>
        <v>3323839.7795238099</v>
      </c>
      <c r="BF83" s="67">
        <f t="shared" si="24"/>
        <v>0</v>
      </c>
      <c r="BG83" s="67">
        <f t="shared" si="42"/>
        <v>0</v>
      </c>
      <c r="BH83" s="66"/>
      <c r="BI83" s="68" t="s">
        <v>80</v>
      </c>
      <c r="BJ83" s="68" t="s">
        <v>1989</v>
      </c>
      <c r="BK83" s="68" t="s">
        <v>1929</v>
      </c>
      <c r="BL83" s="29"/>
      <c r="BO83" s="35" t="s">
        <v>1805</v>
      </c>
    </row>
    <row r="84" spans="1:68" ht="15" customHeight="1">
      <c r="A84" s="1" t="s">
        <v>43</v>
      </c>
      <c r="C84" s="1" t="str">
        <f t="shared" si="29"/>
        <v>2604</v>
      </c>
      <c r="D84" s="1" t="str">
        <f t="shared" si="30"/>
        <v>1905</v>
      </c>
      <c r="E84" s="19" t="s">
        <v>48</v>
      </c>
      <c r="F84" s="62" t="s">
        <v>49</v>
      </c>
      <c r="G84" s="62">
        <v>2112</v>
      </c>
      <c r="H84" s="62" t="s">
        <v>324</v>
      </c>
      <c r="I84" s="62" t="s">
        <v>325</v>
      </c>
      <c r="J84" s="118">
        <v>1</v>
      </c>
      <c r="K84" s="119"/>
      <c r="L84" s="62" t="s">
        <v>77</v>
      </c>
      <c r="M84" s="120" t="s">
        <v>320</v>
      </c>
      <c r="N84" s="65">
        <v>43565</v>
      </c>
      <c r="O84" s="24">
        <v>34927.42</v>
      </c>
      <c r="P84" s="24">
        <v>23251</v>
      </c>
      <c r="Q84" s="64">
        <v>812097442.41999996</v>
      </c>
      <c r="R84" s="64">
        <v>40428489</v>
      </c>
      <c r="S84" s="64"/>
      <c r="T84" s="130">
        <v>554593.55500000005</v>
      </c>
      <c r="U84" s="64" t="s">
        <v>321</v>
      </c>
      <c r="V84" s="121">
        <v>853080525</v>
      </c>
      <c r="W84" s="122">
        <v>0</v>
      </c>
      <c r="X84" s="64">
        <v>853080525</v>
      </c>
      <c r="Y84" s="121"/>
      <c r="Z84" s="121"/>
      <c r="AA84" s="121"/>
      <c r="AB84" s="121"/>
      <c r="AC84" s="64">
        <v>853080525</v>
      </c>
      <c r="AD84" s="65">
        <v>43586</v>
      </c>
      <c r="AE84" s="65">
        <v>46141</v>
      </c>
      <c r="AF84" s="62">
        <v>7</v>
      </c>
      <c r="AG84" s="119">
        <v>84</v>
      </c>
      <c r="AH84" s="25">
        <v>10155720.535714285</v>
      </c>
      <c r="AI84" s="78">
        <v>568720371.38714278</v>
      </c>
      <c r="AJ84" s="78">
        <v>284360153.61285722</v>
      </c>
      <c r="AK84" s="27">
        <f t="shared" si="31"/>
        <v>10155720.535714285</v>
      </c>
      <c r="AL84" s="27">
        <f t="shared" si="40"/>
        <v>10155720.535714285</v>
      </c>
      <c r="AM84" s="27">
        <f t="shared" si="26"/>
        <v>10155720.535714285</v>
      </c>
      <c r="AN84" s="27">
        <f t="shared" si="19"/>
        <v>10155720.535714285</v>
      </c>
      <c r="AO84" s="27">
        <f t="shared" si="20"/>
        <v>10155720.535714285</v>
      </c>
      <c r="AP84" s="27">
        <f t="shared" si="20"/>
        <v>10155720.535714285</v>
      </c>
      <c r="AQ84" s="27">
        <f t="shared" si="21"/>
        <v>10155720.535714285</v>
      </c>
      <c r="AR84" s="27">
        <f t="shared" si="22"/>
        <v>10155720.535714285</v>
      </c>
      <c r="AS84" s="27"/>
      <c r="AT84" s="27"/>
      <c r="AU84" s="27"/>
      <c r="AV84" s="27"/>
      <c r="AW84" s="27">
        <f t="shared" si="33"/>
        <v>81245764.285714284</v>
      </c>
      <c r="AX84" s="79">
        <f t="shared" si="34"/>
        <v>203114389.32714295</v>
      </c>
      <c r="AY84" s="79">
        <f t="shared" si="35"/>
        <v>649966135.67285705</v>
      </c>
      <c r="AZ84" s="25">
        <v>1</v>
      </c>
      <c r="BA84" s="62" t="s">
        <v>97</v>
      </c>
      <c r="BB84" s="66">
        <v>1</v>
      </c>
      <c r="BC84" s="66"/>
      <c r="BD84" s="66"/>
      <c r="BE84" s="67">
        <f t="shared" si="41"/>
        <v>10155720.535714285</v>
      </c>
      <c r="BF84" s="67">
        <f t="shared" si="24"/>
        <v>0</v>
      </c>
      <c r="BG84" s="67">
        <f t="shared" si="42"/>
        <v>0</v>
      </c>
      <c r="BH84" s="66"/>
      <c r="BI84" s="68" t="s">
        <v>326</v>
      </c>
      <c r="BJ84" s="68" t="s">
        <v>117</v>
      </c>
      <c r="BK84" s="68" t="s">
        <v>117</v>
      </c>
      <c r="BL84" s="29"/>
      <c r="BM84" s="1" t="s">
        <v>1887</v>
      </c>
      <c r="BO84" s="35" t="s">
        <v>1807</v>
      </c>
    </row>
    <row r="85" spans="1:68" s="107" customFormat="1" ht="15" customHeight="1">
      <c r="A85" s="107" t="s">
        <v>43</v>
      </c>
      <c r="C85" s="107" t="str">
        <f t="shared" si="29"/>
        <v>2406</v>
      </c>
      <c r="D85" s="107" t="str">
        <f t="shared" si="30"/>
        <v>1907</v>
      </c>
      <c r="E85" s="213" t="s">
        <v>48</v>
      </c>
      <c r="F85" s="108" t="s">
        <v>49</v>
      </c>
      <c r="G85" s="108">
        <v>2112</v>
      </c>
      <c r="H85" s="108" t="s">
        <v>327</v>
      </c>
      <c r="I85" s="108" t="s">
        <v>328</v>
      </c>
      <c r="J85" s="214">
        <v>1</v>
      </c>
      <c r="K85" s="215"/>
      <c r="L85" s="108" t="s">
        <v>77</v>
      </c>
      <c r="M85" s="216" t="s">
        <v>320</v>
      </c>
      <c r="N85" s="217">
        <v>43565</v>
      </c>
      <c r="O85" s="218">
        <v>3000</v>
      </c>
      <c r="P85" s="218">
        <v>23251</v>
      </c>
      <c r="Q85" s="219">
        <v>69753000</v>
      </c>
      <c r="R85" s="219">
        <v>3472500</v>
      </c>
      <c r="S85" s="219"/>
      <c r="T85" s="223">
        <v>47635.373</v>
      </c>
      <c r="U85" s="219" t="s">
        <v>321</v>
      </c>
      <c r="V85" s="220">
        <v>73273135</v>
      </c>
      <c r="W85" s="263">
        <v>0</v>
      </c>
      <c r="X85" s="219">
        <v>73273135</v>
      </c>
      <c r="Y85" s="220"/>
      <c r="Z85" s="220"/>
      <c r="AA85" s="220"/>
      <c r="AB85" s="220"/>
      <c r="AC85" s="219">
        <v>73273135</v>
      </c>
      <c r="AD85" s="217">
        <v>43647</v>
      </c>
      <c r="AE85" s="217">
        <v>45472</v>
      </c>
      <c r="AF85" s="108">
        <v>5</v>
      </c>
      <c r="AG85" s="215">
        <v>60</v>
      </c>
      <c r="AH85" s="109">
        <v>1221218.9166666667</v>
      </c>
      <c r="AI85" s="221">
        <v>65945824.796666667</v>
      </c>
      <c r="AJ85" s="221">
        <v>7327310.2033333331</v>
      </c>
      <c r="AK85" s="110">
        <f t="shared" si="31"/>
        <v>1221218.9166666667</v>
      </c>
      <c r="AL85" s="110">
        <f t="shared" si="40"/>
        <v>1221218.9166666667</v>
      </c>
      <c r="AM85" s="110">
        <f t="shared" si="26"/>
        <v>1221218.9166666667</v>
      </c>
      <c r="AN85" s="110">
        <f t="shared" si="19"/>
        <v>1221218.9166666667</v>
      </c>
      <c r="AO85" s="110">
        <f t="shared" si="20"/>
        <v>1221218.9166666667</v>
      </c>
      <c r="AP85" s="110">
        <f>AJ85-AK85-AL85-AM85-AN85-AO85</f>
        <v>1221215.6199999985</v>
      </c>
      <c r="AQ85" s="110">
        <f t="shared" si="21"/>
        <v>9.3132257461547852E-10</v>
      </c>
      <c r="AR85" s="110">
        <f>+IF(AND(AR$3&gt;=$D85,AR$3&lt;$C85),$AH85,$AJ85-SUM(AK85:AQ85))</f>
        <v>0</v>
      </c>
      <c r="AS85" s="110"/>
      <c r="AT85" s="110"/>
      <c r="AU85" s="110"/>
      <c r="AV85" s="110"/>
      <c r="AW85" s="110">
        <f t="shared" si="33"/>
        <v>7327310.2033333331</v>
      </c>
      <c r="AX85" s="110">
        <f t="shared" si="34"/>
        <v>0</v>
      </c>
      <c r="AY85" s="110">
        <f t="shared" si="35"/>
        <v>73273135</v>
      </c>
      <c r="AZ85" s="109">
        <v>1</v>
      </c>
      <c r="BA85" s="108" t="s">
        <v>97</v>
      </c>
      <c r="BB85" s="111">
        <v>1</v>
      </c>
      <c r="BC85" s="111"/>
      <c r="BD85" s="111"/>
      <c r="BE85" s="222">
        <v>0</v>
      </c>
      <c r="BF85" s="222">
        <f t="shared" si="24"/>
        <v>0</v>
      </c>
      <c r="BG85" s="222">
        <f t="shared" si="42"/>
        <v>0</v>
      </c>
      <c r="BH85" s="111" t="s">
        <v>1707</v>
      </c>
      <c r="BI85" s="112" t="s">
        <v>80</v>
      </c>
      <c r="BJ85" s="112" t="s">
        <v>117</v>
      </c>
      <c r="BK85" s="112" t="s">
        <v>117</v>
      </c>
      <c r="BL85" s="113"/>
      <c r="BM85" s="107" t="s">
        <v>1887</v>
      </c>
      <c r="BO85" s="107" t="s">
        <v>1807</v>
      </c>
    </row>
    <row r="86" spans="1:68" ht="15" customHeight="1">
      <c r="A86" s="1" t="s">
        <v>43</v>
      </c>
      <c r="C86" s="1" t="str">
        <f t="shared" si="29"/>
        <v>2604</v>
      </c>
      <c r="D86" s="1" t="str">
        <f t="shared" si="30"/>
        <v>1905</v>
      </c>
      <c r="E86" s="19" t="s">
        <v>48</v>
      </c>
      <c r="F86" s="62" t="s">
        <v>49</v>
      </c>
      <c r="G86" s="62">
        <v>2112</v>
      </c>
      <c r="H86" s="62" t="s">
        <v>329</v>
      </c>
      <c r="I86" s="62" t="s">
        <v>330</v>
      </c>
      <c r="J86" s="118">
        <v>1</v>
      </c>
      <c r="K86" s="119"/>
      <c r="L86" s="62" t="s">
        <v>77</v>
      </c>
      <c r="M86" s="120" t="s">
        <v>331</v>
      </c>
      <c r="N86" s="65">
        <v>43566</v>
      </c>
      <c r="O86" s="24">
        <v>196348.74</v>
      </c>
      <c r="P86" s="24">
        <v>23250</v>
      </c>
      <c r="Q86" s="64">
        <v>4565108205</v>
      </c>
      <c r="R86" s="64">
        <v>136364195</v>
      </c>
      <c r="S86" s="64"/>
      <c r="T86" s="130">
        <v>75716352.336999997</v>
      </c>
      <c r="U86" s="64" t="s">
        <v>332</v>
      </c>
      <c r="V86" s="121">
        <v>4777188752</v>
      </c>
      <c r="W86" s="122">
        <v>0</v>
      </c>
      <c r="X86" s="64">
        <v>4777188752</v>
      </c>
      <c r="Y86" s="121"/>
      <c r="Z86" s="121"/>
      <c r="AA86" s="121"/>
      <c r="AB86" s="121"/>
      <c r="AC86" s="64">
        <v>4777188752</v>
      </c>
      <c r="AD86" s="65">
        <v>43586</v>
      </c>
      <c r="AE86" s="65">
        <v>46141</v>
      </c>
      <c r="AF86" s="62">
        <v>7</v>
      </c>
      <c r="AG86" s="119">
        <v>84</v>
      </c>
      <c r="AH86" s="25">
        <v>56871294.666666664</v>
      </c>
      <c r="AI86" s="78">
        <v>3184792516.3266664</v>
      </c>
      <c r="AJ86" s="78">
        <v>1592396235.6733336</v>
      </c>
      <c r="AK86" s="27">
        <f t="shared" si="31"/>
        <v>56871294.666666664</v>
      </c>
      <c r="AL86" s="27">
        <f t="shared" si="40"/>
        <v>56871294.666666664</v>
      </c>
      <c r="AM86" s="27">
        <f t="shared" si="26"/>
        <v>56871294.666666664</v>
      </c>
      <c r="AN86" s="27">
        <f t="shared" si="19"/>
        <v>56871294.666666664</v>
      </c>
      <c r="AO86" s="27">
        <f t="shared" si="20"/>
        <v>56871294.666666664</v>
      </c>
      <c r="AP86" s="27">
        <f t="shared" si="20"/>
        <v>56871294.666666664</v>
      </c>
      <c r="AQ86" s="27">
        <f t="shared" si="21"/>
        <v>56871294.666666664</v>
      </c>
      <c r="AR86" s="27">
        <f t="shared" si="22"/>
        <v>56871294.666666664</v>
      </c>
      <c r="AS86" s="27"/>
      <c r="AT86" s="27"/>
      <c r="AU86" s="27"/>
      <c r="AV86" s="27"/>
      <c r="AW86" s="27">
        <f t="shared" si="33"/>
        <v>454970357.33333337</v>
      </c>
      <c r="AX86" s="79">
        <f t="shared" si="34"/>
        <v>1137425878.3400002</v>
      </c>
      <c r="AY86" s="79">
        <f t="shared" si="35"/>
        <v>3639762873.6599998</v>
      </c>
      <c r="AZ86" s="25">
        <v>1</v>
      </c>
      <c r="BA86" s="62" t="s">
        <v>79</v>
      </c>
      <c r="BB86" s="66">
        <v>1</v>
      </c>
      <c r="BC86" s="66"/>
      <c r="BD86" s="66"/>
      <c r="BE86" s="67">
        <f t="shared" si="41"/>
        <v>56871294.666666664</v>
      </c>
      <c r="BF86" s="67">
        <f t="shared" si="24"/>
        <v>0</v>
      </c>
      <c r="BG86" s="67">
        <f t="shared" si="42"/>
        <v>0</v>
      </c>
      <c r="BH86" s="66"/>
      <c r="BI86" s="68" t="s">
        <v>146</v>
      </c>
      <c r="BJ86" s="68" t="s">
        <v>117</v>
      </c>
      <c r="BK86" s="68" t="s">
        <v>117</v>
      </c>
      <c r="BL86" s="29"/>
      <c r="BO86" s="35" t="s">
        <v>1801</v>
      </c>
    </row>
    <row r="87" spans="1:68" ht="15" customHeight="1">
      <c r="A87" s="1" t="s">
        <v>43</v>
      </c>
      <c r="C87" s="1" t="str">
        <f t="shared" si="29"/>
        <v>2904</v>
      </c>
      <c r="D87" s="1" t="str">
        <f t="shared" si="30"/>
        <v>1905</v>
      </c>
      <c r="E87" s="19" t="s">
        <v>48</v>
      </c>
      <c r="F87" s="62" t="s">
        <v>49</v>
      </c>
      <c r="G87" s="62">
        <v>2112</v>
      </c>
      <c r="H87" s="62" t="s">
        <v>333</v>
      </c>
      <c r="I87" s="62" t="s">
        <v>334</v>
      </c>
      <c r="J87" s="118">
        <v>1</v>
      </c>
      <c r="K87" s="119"/>
      <c r="L87" s="62" t="s">
        <v>77</v>
      </c>
      <c r="M87" s="120" t="s">
        <v>331</v>
      </c>
      <c r="N87" s="65">
        <v>43566</v>
      </c>
      <c r="O87" s="24">
        <v>280363.34000000003</v>
      </c>
      <c r="P87" s="24">
        <v>23250</v>
      </c>
      <c r="Q87" s="64">
        <v>6518447655.000001</v>
      </c>
      <c r="R87" s="64"/>
      <c r="S87" s="64"/>
      <c r="T87" s="130">
        <v>108114212.663</v>
      </c>
      <c r="U87" s="64" t="s">
        <v>332</v>
      </c>
      <c r="V87" s="121">
        <v>6626561868</v>
      </c>
      <c r="W87" s="122">
        <v>0</v>
      </c>
      <c r="X87" s="64">
        <v>6626561868</v>
      </c>
      <c r="Y87" s="121"/>
      <c r="Z87" s="121"/>
      <c r="AA87" s="121"/>
      <c r="AB87" s="121"/>
      <c r="AC87" s="64">
        <v>6626561868</v>
      </c>
      <c r="AD87" s="65">
        <v>43586</v>
      </c>
      <c r="AE87" s="65">
        <v>47236</v>
      </c>
      <c r="AF87" s="62">
        <v>10</v>
      </c>
      <c r="AG87" s="119">
        <v>120</v>
      </c>
      <c r="AH87" s="25">
        <v>55221348.899999999</v>
      </c>
      <c r="AI87" s="78">
        <v>3092395543.3400002</v>
      </c>
      <c r="AJ87" s="78">
        <v>3534166324.6599998</v>
      </c>
      <c r="AK87" s="27">
        <f t="shared" si="31"/>
        <v>55221348.899999999</v>
      </c>
      <c r="AL87" s="27">
        <f t="shared" si="40"/>
        <v>55221348.899999999</v>
      </c>
      <c r="AM87" s="27">
        <f t="shared" si="26"/>
        <v>55221348.899999999</v>
      </c>
      <c r="AN87" s="27">
        <f t="shared" si="19"/>
        <v>55221348.899999999</v>
      </c>
      <c r="AO87" s="27">
        <f t="shared" si="20"/>
        <v>55221348.899999999</v>
      </c>
      <c r="AP87" s="27">
        <f t="shared" si="20"/>
        <v>55221348.899999999</v>
      </c>
      <c r="AQ87" s="27">
        <f t="shared" si="21"/>
        <v>55221348.899999999</v>
      </c>
      <c r="AR87" s="27">
        <f t="shared" si="22"/>
        <v>55221348.899999999</v>
      </c>
      <c r="AS87" s="27"/>
      <c r="AT87" s="27"/>
      <c r="AU87" s="27"/>
      <c r="AV87" s="27"/>
      <c r="AW87" s="27">
        <f t="shared" si="33"/>
        <v>441770791.19999993</v>
      </c>
      <c r="AX87" s="79">
        <f t="shared" si="34"/>
        <v>3092395533.46</v>
      </c>
      <c r="AY87" s="79">
        <f t="shared" si="35"/>
        <v>3534166334.54</v>
      </c>
      <c r="AZ87" s="25">
        <v>1</v>
      </c>
      <c r="BA87" s="62" t="s">
        <v>97</v>
      </c>
      <c r="BB87" s="66">
        <v>1</v>
      </c>
      <c r="BC87" s="66"/>
      <c r="BD87" s="66"/>
      <c r="BE87" s="67">
        <f t="shared" si="41"/>
        <v>55221348.899999999</v>
      </c>
      <c r="BF87" s="67">
        <f t="shared" si="24"/>
        <v>0</v>
      </c>
      <c r="BG87" s="67">
        <f t="shared" si="42"/>
        <v>0</v>
      </c>
      <c r="BH87" s="66"/>
      <c r="BI87" s="68" t="s">
        <v>146</v>
      </c>
      <c r="BJ87" s="68" t="s">
        <v>117</v>
      </c>
      <c r="BK87" s="68" t="s">
        <v>117</v>
      </c>
      <c r="BL87" s="29"/>
      <c r="BO87" s="35" t="s">
        <v>1801</v>
      </c>
    </row>
    <row r="88" spans="1:68" ht="15" customHeight="1">
      <c r="C88" s="1" t="str">
        <f t="shared" si="29"/>
        <v>2904</v>
      </c>
      <c r="D88" s="1" t="str">
        <f t="shared" si="30"/>
        <v>2402</v>
      </c>
      <c r="E88" s="19" t="s">
        <v>48</v>
      </c>
      <c r="F88" s="62" t="s">
        <v>1896</v>
      </c>
      <c r="G88" s="62">
        <v>2112</v>
      </c>
      <c r="H88" s="62" t="s">
        <v>1990</v>
      </c>
      <c r="I88" s="62" t="s">
        <v>336</v>
      </c>
      <c r="J88" s="118">
        <v>1</v>
      </c>
      <c r="K88" s="119"/>
      <c r="L88" s="62" t="s">
        <v>77</v>
      </c>
      <c r="M88" s="120" t="s">
        <v>337</v>
      </c>
      <c r="N88" s="65">
        <v>43567</v>
      </c>
      <c r="O88" s="24">
        <v>25368.45</v>
      </c>
      <c r="P88" s="24">
        <v>23251</v>
      </c>
      <c r="Q88" s="64">
        <f>P88*O88</f>
        <v>589841830.95000005</v>
      </c>
      <c r="R88" s="64"/>
      <c r="S88" s="64"/>
      <c r="T88" s="130">
        <v>4439495</v>
      </c>
      <c r="U88" s="64" t="s">
        <v>338</v>
      </c>
      <c r="V88" s="121">
        <v>594281325.95000005</v>
      </c>
      <c r="W88" s="122"/>
      <c r="X88" s="64">
        <v>594281325.95000005</v>
      </c>
      <c r="Y88" s="121"/>
      <c r="Z88" s="121"/>
      <c r="AA88" s="121"/>
      <c r="AB88" s="121"/>
      <c r="AC88" s="64">
        <v>594281325.95000005</v>
      </c>
      <c r="AD88" s="65">
        <v>45323</v>
      </c>
      <c r="AE88" s="65">
        <v>47236</v>
      </c>
      <c r="AF88" s="62"/>
      <c r="AG88" s="119">
        <v>63</v>
      </c>
      <c r="AH88" s="25">
        <v>4952344</v>
      </c>
      <c r="AI88" s="116">
        <v>277331290.76333332</v>
      </c>
      <c r="AJ88" s="115">
        <v>316950035.23666668</v>
      </c>
      <c r="AK88" s="25">
        <f>AH88</f>
        <v>4952344</v>
      </c>
      <c r="AL88" s="27">
        <f t="shared" si="40"/>
        <v>4952344</v>
      </c>
      <c r="AM88" s="27">
        <f t="shared" si="26"/>
        <v>4952344</v>
      </c>
      <c r="AN88" s="27">
        <f t="shared" si="19"/>
        <v>4952344</v>
      </c>
      <c r="AO88" s="27">
        <f t="shared" si="20"/>
        <v>4952344</v>
      </c>
      <c r="AP88" s="27">
        <f t="shared" si="20"/>
        <v>4952344</v>
      </c>
      <c r="AQ88" s="27">
        <f t="shared" si="21"/>
        <v>4952344</v>
      </c>
      <c r="AR88" s="27">
        <f t="shared" si="22"/>
        <v>4952344</v>
      </c>
      <c r="AS88" s="27"/>
      <c r="AT88" s="27"/>
      <c r="AU88" s="27"/>
      <c r="AV88" s="27"/>
      <c r="AW88" s="27">
        <f t="shared" si="33"/>
        <v>39618752</v>
      </c>
      <c r="AX88" s="79">
        <f t="shared" si="34"/>
        <v>277331283.18666673</v>
      </c>
      <c r="AY88" s="79">
        <f t="shared" si="35"/>
        <v>316950042.76333332</v>
      </c>
      <c r="AZ88" s="25">
        <f>J88-Z88</f>
        <v>1</v>
      </c>
      <c r="BA88" s="62"/>
      <c r="BB88" s="66">
        <v>1</v>
      </c>
      <c r="BC88" s="66"/>
      <c r="BD88" s="66"/>
      <c r="BE88" s="67">
        <f t="shared" si="41"/>
        <v>4952344</v>
      </c>
      <c r="BF88" s="67">
        <f t="shared" si="24"/>
        <v>0</v>
      </c>
      <c r="BG88" s="67">
        <f t="shared" si="42"/>
        <v>0</v>
      </c>
      <c r="BH88" s="66"/>
      <c r="BI88" s="68"/>
      <c r="BJ88" s="68" t="s">
        <v>1980</v>
      </c>
      <c r="BK88" s="68" t="s">
        <v>1980</v>
      </c>
      <c r="BL88" s="29"/>
    </row>
    <row r="89" spans="1:68" ht="15" customHeight="1">
      <c r="C89" s="1" t="str">
        <f t="shared" si="29"/>
        <v>2904</v>
      </c>
      <c r="D89" s="1" t="str">
        <f t="shared" si="30"/>
        <v>2402</v>
      </c>
      <c r="E89" s="19" t="s">
        <v>48</v>
      </c>
      <c r="F89" s="62" t="s">
        <v>1896</v>
      </c>
      <c r="G89" s="62">
        <v>2112</v>
      </c>
      <c r="H89" s="62" t="s">
        <v>1991</v>
      </c>
      <c r="I89" s="62" t="s">
        <v>336</v>
      </c>
      <c r="J89" s="118">
        <v>1</v>
      </c>
      <c r="K89" s="119"/>
      <c r="L89" s="62" t="s">
        <v>77</v>
      </c>
      <c r="M89" s="120" t="s">
        <v>337</v>
      </c>
      <c r="N89" s="65">
        <v>43567</v>
      </c>
      <c r="O89" s="24">
        <v>25368.45</v>
      </c>
      <c r="P89" s="24">
        <v>23251</v>
      </c>
      <c r="Q89" s="64">
        <f>P89*O89</f>
        <v>589841830.95000005</v>
      </c>
      <c r="R89" s="64"/>
      <c r="S89" s="64"/>
      <c r="T89" s="130">
        <v>4439495</v>
      </c>
      <c r="U89" s="64" t="s">
        <v>338</v>
      </c>
      <c r="V89" s="121">
        <v>594281325.95000005</v>
      </c>
      <c r="W89" s="122"/>
      <c r="X89" s="64">
        <v>594281325.95000005</v>
      </c>
      <c r="Y89" s="121"/>
      <c r="Z89" s="121"/>
      <c r="AA89" s="121"/>
      <c r="AB89" s="121"/>
      <c r="AC89" s="64">
        <v>594281325.95000005</v>
      </c>
      <c r="AD89" s="65">
        <v>45323</v>
      </c>
      <c r="AE89" s="65">
        <v>47236</v>
      </c>
      <c r="AF89" s="62"/>
      <c r="AG89" s="119">
        <v>63</v>
      </c>
      <c r="AH89" s="25">
        <v>4952344</v>
      </c>
      <c r="AI89" s="116">
        <v>277331290.76333332</v>
      </c>
      <c r="AJ89" s="115">
        <v>316950035.23666668</v>
      </c>
      <c r="AK89" s="25">
        <f>AH89</f>
        <v>4952344</v>
      </c>
      <c r="AL89" s="27">
        <f t="shared" si="40"/>
        <v>4952344</v>
      </c>
      <c r="AM89" s="27">
        <f t="shared" si="26"/>
        <v>4952344</v>
      </c>
      <c r="AN89" s="27">
        <f t="shared" si="19"/>
        <v>4952344</v>
      </c>
      <c r="AO89" s="27">
        <f t="shared" si="20"/>
        <v>4952344</v>
      </c>
      <c r="AP89" s="27">
        <f t="shared" si="20"/>
        <v>4952344</v>
      </c>
      <c r="AQ89" s="27">
        <f t="shared" si="21"/>
        <v>4952344</v>
      </c>
      <c r="AR89" s="27">
        <f t="shared" si="22"/>
        <v>4952344</v>
      </c>
      <c r="AS89" s="27"/>
      <c r="AT89" s="27"/>
      <c r="AU89" s="27"/>
      <c r="AV89" s="27"/>
      <c r="AW89" s="27">
        <f t="shared" si="33"/>
        <v>39618752</v>
      </c>
      <c r="AX89" s="79">
        <f t="shared" si="34"/>
        <v>277331283.18666673</v>
      </c>
      <c r="AY89" s="79">
        <f t="shared" si="35"/>
        <v>316950042.76333332</v>
      </c>
      <c r="AZ89" s="25">
        <f>J89-Z89</f>
        <v>1</v>
      </c>
      <c r="BA89" s="62"/>
      <c r="BB89" s="66">
        <v>1</v>
      </c>
      <c r="BC89" s="66"/>
      <c r="BD89" s="66"/>
      <c r="BE89" s="67">
        <f t="shared" si="41"/>
        <v>4952344</v>
      </c>
      <c r="BF89" s="67">
        <f t="shared" si="24"/>
        <v>0</v>
      </c>
      <c r="BG89" s="67">
        <f t="shared" si="42"/>
        <v>0</v>
      </c>
      <c r="BH89" s="66"/>
      <c r="BI89" s="68"/>
      <c r="BJ89" s="68" t="s">
        <v>1980</v>
      </c>
      <c r="BK89" s="68" t="s">
        <v>1980</v>
      </c>
      <c r="BL89" s="29"/>
    </row>
    <row r="90" spans="1:68" ht="15" customHeight="1">
      <c r="C90" s="1" t="str">
        <f t="shared" si="29"/>
        <v>2904</v>
      </c>
      <c r="D90" s="1" t="str">
        <f t="shared" si="30"/>
        <v>2402</v>
      </c>
      <c r="E90" s="19" t="s">
        <v>48</v>
      </c>
      <c r="F90" s="62" t="s">
        <v>1896</v>
      </c>
      <c r="G90" s="62">
        <v>2112</v>
      </c>
      <c r="H90" s="62" t="s">
        <v>1992</v>
      </c>
      <c r="I90" s="62" t="s">
        <v>336</v>
      </c>
      <c r="J90" s="118">
        <v>1</v>
      </c>
      <c r="K90" s="119"/>
      <c r="L90" s="62" t="s">
        <v>77</v>
      </c>
      <c r="M90" s="120" t="s">
        <v>337</v>
      </c>
      <c r="N90" s="65">
        <v>43567</v>
      </c>
      <c r="O90" s="24">
        <v>25368.45</v>
      </c>
      <c r="P90" s="24">
        <v>23251</v>
      </c>
      <c r="Q90" s="64">
        <f>P90*O90</f>
        <v>589841830.95000005</v>
      </c>
      <c r="R90" s="64"/>
      <c r="S90" s="64"/>
      <c r="T90" s="130">
        <v>4439495</v>
      </c>
      <c r="U90" s="64" t="s">
        <v>338</v>
      </c>
      <c r="V90" s="121">
        <v>594281325.95000005</v>
      </c>
      <c r="W90" s="122"/>
      <c r="X90" s="64">
        <v>594281325.95000005</v>
      </c>
      <c r="Y90" s="121"/>
      <c r="Z90" s="121"/>
      <c r="AA90" s="121"/>
      <c r="AB90" s="121"/>
      <c r="AC90" s="64">
        <v>594281325.95000005</v>
      </c>
      <c r="AD90" s="65">
        <v>45323</v>
      </c>
      <c r="AE90" s="65">
        <v>47236</v>
      </c>
      <c r="AF90" s="62"/>
      <c r="AG90" s="119">
        <v>63</v>
      </c>
      <c r="AH90" s="25">
        <v>4952344</v>
      </c>
      <c r="AI90" s="116">
        <v>277331290.76333332</v>
      </c>
      <c r="AJ90" s="115">
        <v>316950035.23666668</v>
      </c>
      <c r="AK90" s="25">
        <f>AH90</f>
        <v>4952344</v>
      </c>
      <c r="AL90" s="27">
        <f t="shared" si="40"/>
        <v>4952344</v>
      </c>
      <c r="AM90" s="27">
        <f t="shared" si="26"/>
        <v>4952344</v>
      </c>
      <c r="AN90" s="27">
        <f t="shared" si="19"/>
        <v>4952344</v>
      </c>
      <c r="AO90" s="27">
        <f t="shared" si="20"/>
        <v>4952344</v>
      </c>
      <c r="AP90" s="27">
        <f t="shared" si="20"/>
        <v>4952344</v>
      </c>
      <c r="AQ90" s="27">
        <f t="shared" si="21"/>
        <v>4952344</v>
      </c>
      <c r="AR90" s="27">
        <f t="shared" si="22"/>
        <v>4952344</v>
      </c>
      <c r="AS90" s="27"/>
      <c r="AT90" s="27"/>
      <c r="AU90" s="27"/>
      <c r="AV90" s="27"/>
      <c r="AW90" s="27">
        <f t="shared" si="33"/>
        <v>39618752</v>
      </c>
      <c r="AX90" s="79">
        <f t="shared" si="34"/>
        <v>277331283.18666673</v>
      </c>
      <c r="AY90" s="79">
        <f t="shared" si="35"/>
        <v>316950042.76333332</v>
      </c>
      <c r="AZ90" s="25">
        <f>J90-Z90</f>
        <v>1</v>
      </c>
      <c r="BA90" s="62"/>
      <c r="BB90" s="66">
        <v>1</v>
      </c>
      <c r="BC90" s="66"/>
      <c r="BD90" s="66"/>
      <c r="BE90" s="67">
        <f t="shared" si="41"/>
        <v>4952344</v>
      </c>
      <c r="BF90" s="67">
        <f t="shared" si="24"/>
        <v>0</v>
      </c>
      <c r="BG90" s="67">
        <f t="shared" si="42"/>
        <v>0</v>
      </c>
      <c r="BH90" s="66"/>
      <c r="BI90" s="68"/>
      <c r="BJ90" s="68" t="s">
        <v>1980</v>
      </c>
      <c r="BK90" s="68" t="s">
        <v>1980</v>
      </c>
      <c r="BL90" s="29"/>
    </row>
    <row r="91" spans="1:68" ht="15" customHeight="1">
      <c r="C91" s="1" t="str">
        <f t="shared" si="29"/>
        <v>2904</v>
      </c>
      <c r="D91" s="1" t="str">
        <f t="shared" si="30"/>
        <v>2402</v>
      </c>
      <c r="E91" s="19" t="s">
        <v>48</v>
      </c>
      <c r="F91" s="62" t="s">
        <v>1923</v>
      </c>
      <c r="G91" s="62">
        <v>2112</v>
      </c>
      <c r="H91" s="62" t="s">
        <v>1993</v>
      </c>
      <c r="I91" s="62" t="s">
        <v>336</v>
      </c>
      <c r="J91" s="118">
        <v>1</v>
      </c>
      <c r="K91" s="119"/>
      <c r="L91" s="62" t="s">
        <v>77</v>
      </c>
      <c r="M91" s="120" t="s">
        <v>337</v>
      </c>
      <c r="N91" s="65">
        <v>43567</v>
      </c>
      <c r="O91" s="24">
        <v>25368.45</v>
      </c>
      <c r="P91" s="24">
        <v>23251</v>
      </c>
      <c r="Q91" s="64">
        <f>P91*O91</f>
        <v>589841830.95000005</v>
      </c>
      <c r="R91" s="64"/>
      <c r="S91" s="64"/>
      <c r="T91" s="130">
        <v>4439495</v>
      </c>
      <c r="U91" s="64" t="s">
        <v>338</v>
      </c>
      <c r="V91" s="121">
        <v>594281325.95000005</v>
      </c>
      <c r="W91" s="122"/>
      <c r="X91" s="64">
        <v>594281325.95000005</v>
      </c>
      <c r="Y91" s="121"/>
      <c r="Z91" s="121"/>
      <c r="AA91" s="121"/>
      <c r="AB91" s="121"/>
      <c r="AC91" s="64">
        <v>594281325.95000005</v>
      </c>
      <c r="AD91" s="65">
        <v>45323</v>
      </c>
      <c r="AE91" s="65">
        <v>47236</v>
      </c>
      <c r="AF91" s="62"/>
      <c r="AG91" s="119">
        <v>63</v>
      </c>
      <c r="AH91" s="25">
        <v>4952344</v>
      </c>
      <c r="AI91" s="116">
        <v>277331290.76333332</v>
      </c>
      <c r="AJ91" s="115">
        <v>316950035.23666668</v>
      </c>
      <c r="AK91" s="25">
        <f>AH91</f>
        <v>4952344</v>
      </c>
      <c r="AL91" s="27">
        <f t="shared" si="40"/>
        <v>4952344</v>
      </c>
      <c r="AM91" s="27">
        <f t="shared" si="26"/>
        <v>4952344</v>
      </c>
      <c r="AN91" s="27">
        <f t="shared" si="19"/>
        <v>4952344</v>
      </c>
      <c r="AO91" s="27">
        <f t="shared" si="20"/>
        <v>4952344</v>
      </c>
      <c r="AP91" s="27">
        <f t="shared" si="20"/>
        <v>4952344</v>
      </c>
      <c r="AQ91" s="27">
        <f t="shared" si="21"/>
        <v>4952344</v>
      </c>
      <c r="AR91" s="27">
        <f t="shared" si="22"/>
        <v>4952344</v>
      </c>
      <c r="AS91" s="27"/>
      <c r="AT91" s="27"/>
      <c r="AU91" s="27"/>
      <c r="AV91" s="27"/>
      <c r="AW91" s="27">
        <f t="shared" si="33"/>
        <v>39618752</v>
      </c>
      <c r="AX91" s="79">
        <f t="shared" si="34"/>
        <v>277331283.18666673</v>
      </c>
      <c r="AY91" s="79">
        <f t="shared" si="35"/>
        <v>316950042.76333332</v>
      </c>
      <c r="AZ91" s="25">
        <f>J91-Z91</f>
        <v>1</v>
      </c>
      <c r="BA91" s="62"/>
      <c r="BB91" s="66">
        <v>1</v>
      </c>
      <c r="BC91" s="66"/>
      <c r="BD91" s="66"/>
      <c r="BE91" s="67">
        <f t="shared" si="41"/>
        <v>4952344</v>
      </c>
      <c r="BF91" s="67">
        <f t="shared" si="24"/>
        <v>0</v>
      </c>
      <c r="BG91" s="67">
        <f t="shared" si="42"/>
        <v>0</v>
      </c>
      <c r="BH91" s="66"/>
      <c r="BI91" s="68"/>
      <c r="BJ91" s="68" t="s">
        <v>85</v>
      </c>
      <c r="BK91" s="68" t="s">
        <v>85</v>
      </c>
      <c r="BL91" s="29"/>
    </row>
    <row r="92" spans="1:68" ht="15" customHeight="1">
      <c r="A92" s="1" t="s">
        <v>43</v>
      </c>
      <c r="C92" s="1" t="str">
        <f t="shared" si="29"/>
        <v>2904</v>
      </c>
      <c r="D92" s="1" t="str">
        <f t="shared" si="30"/>
        <v>1905</v>
      </c>
      <c r="E92" s="19" t="s">
        <v>48</v>
      </c>
      <c r="F92" s="62" t="s">
        <v>49</v>
      </c>
      <c r="G92" s="62">
        <v>2112</v>
      </c>
      <c r="H92" s="62" t="s">
        <v>340</v>
      </c>
      <c r="I92" s="62" t="s">
        <v>341</v>
      </c>
      <c r="J92" s="118">
        <v>1</v>
      </c>
      <c r="K92" s="119"/>
      <c r="L92" s="62" t="s">
        <v>77</v>
      </c>
      <c r="M92" s="120" t="s">
        <v>342</v>
      </c>
      <c r="N92" s="65">
        <v>43574</v>
      </c>
      <c r="O92" s="24">
        <v>69854.84</v>
      </c>
      <c r="P92" s="24">
        <v>23262</v>
      </c>
      <c r="Q92" s="64">
        <v>1624963288.0799999</v>
      </c>
      <c r="R92" s="64">
        <v>48514186</v>
      </c>
      <c r="S92" s="64"/>
      <c r="T92" s="64">
        <v>7087099.5899999999</v>
      </c>
      <c r="U92" s="64" t="s">
        <v>343</v>
      </c>
      <c r="V92" s="121">
        <v>1680564574</v>
      </c>
      <c r="W92" s="122">
        <v>0</v>
      </c>
      <c r="X92" s="64">
        <v>1680564574</v>
      </c>
      <c r="Y92" s="121"/>
      <c r="Z92" s="121"/>
      <c r="AA92" s="121"/>
      <c r="AB92" s="121"/>
      <c r="AC92" s="64">
        <v>1680564574</v>
      </c>
      <c r="AD92" s="65">
        <v>43586</v>
      </c>
      <c r="AE92" s="65">
        <v>47236</v>
      </c>
      <c r="AF92" s="62">
        <v>10</v>
      </c>
      <c r="AG92" s="119">
        <v>120</v>
      </c>
      <c r="AH92" s="25">
        <v>14004704.783333333</v>
      </c>
      <c r="AI92" s="78">
        <v>784263478.16333318</v>
      </c>
      <c r="AJ92" s="78">
        <v>896301095.83666682</v>
      </c>
      <c r="AK92" s="27">
        <f t="shared" si="31"/>
        <v>14004704.783333333</v>
      </c>
      <c r="AL92" s="27">
        <f t="shared" si="40"/>
        <v>14004704.783333333</v>
      </c>
      <c r="AM92" s="27">
        <f t="shared" si="26"/>
        <v>14004704.783333333</v>
      </c>
      <c r="AN92" s="27">
        <f t="shared" si="19"/>
        <v>14004704.783333333</v>
      </c>
      <c r="AO92" s="27">
        <f t="shared" si="20"/>
        <v>14004704.783333333</v>
      </c>
      <c r="AP92" s="27">
        <f t="shared" si="20"/>
        <v>14004704.783333333</v>
      </c>
      <c r="AQ92" s="27">
        <f t="shared" si="21"/>
        <v>14004704.783333333</v>
      </c>
      <c r="AR92" s="27">
        <f t="shared" si="22"/>
        <v>14004704.783333333</v>
      </c>
      <c r="AS92" s="27"/>
      <c r="AT92" s="27"/>
      <c r="AU92" s="27"/>
      <c r="AV92" s="27"/>
      <c r="AW92" s="27">
        <f t="shared" si="33"/>
        <v>112037638.26666667</v>
      </c>
      <c r="AX92" s="79">
        <f t="shared" si="34"/>
        <v>784263457.57000017</v>
      </c>
      <c r="AY92" s="79">
        <f t="shared" si="35"/>
        <v>896301116.42999983</v>
      </c>
      <c r="AZ92" s="25">
        <v>1</v>
      </c>
      <c r="BA92" s="62" t="s">
        <v>97</v>
      </c>
      <c r="BB92" s="66">
        <v>1</v>
      </c>
      <c r="BC92" s="66"/>
      <c r="BD92" s="66"/>
      <c r="BE92" s="67">
        <f t="shared" si="41"/>
        <v>14004704.783333333</v>
      </c>
      <c r="BF92" s="67">
        <f t="shared" si="24"/>
        <v>0</v>
      </c>
      <c r="BG92" s="67">
        <f t="shared" si="42"/>
        <v>0</v>
      </c>
      <c r="BH92" s="66"/>
      <c r="BI92" s="68" t="s">
        <v>344</v>
      </c>
      <c r="BJ92" s="68" t="s">
        <v>121</v>
      </c>
      <c r="BK92" s="68" t="s">
        <v>301</v>
      </c>
      <c r="BL92" s="29"/>
      <c r="BO92" s="35" t="s">
        <v>1800</v>
      </c>
      <c r="BP92" s="1" t="s">
        <v>1810</v>
      </c>
    </row>
    <row r="93" spans="1:68" ht="15" customHeight="1">
      <c r="A93" s="1" t="s">
        <v>43</v>
      </c>
      <c r="C93" s="1" t="str">
        <f t="shared" si="29"/>
        <v>2604</v>
      </c>
      <c r="D93" s="1" t="str">
        <f t="shared" si="30"/>
        <v>1905</v>
      </c>
      <c r="E93" s="19" t="s">
        <v>48</v>
      </c>
      <c r="F93" s="62" t="s">
        <v>49</v>
      </c>
      <c r="G93" s="62">
        <v>2112</v>
      </c>
      <c r="H93" s="62" t="s">
        <v>345</v>
      </c>
      <c r="I93" s="62" t="s">
        <v>346</v>
      </c>
      <c r="J93" s="118">
        <v>1</v>
      </c>
      <c r="K93" s="119"/>
      <c r="L93" s="62" t="s">
        <v>77</v>
      </c>
      <c r="M93" s="120" t="s">
        <v>347</v>
      </c>
      <c r="N93" s="65">
        <v>43579</v>
      </c>
      <c r="O93" s="24">
        <v>3500</v>
      </c>
      <c r="P93" s="24">
        <v>23295</v>
      </c>
      <c r="Q93" s="64">
        <v>81532500</v>
      </c>
      <c r="R93" s="64">
        <v>1157500</v>
      </c>
      <c r="S93" s="64"/>
      <c r="T93" s="130">
        <v>3491712.5920000002</v>
      </c>
      <c r="U93" s="64" t="s">
        <v>348</v>
      </c>
      <c r="V93" s="121">
        <v>86181713</v>
      </c>
      <c r="W93" s="122">
        <v>0</v>
      </c>
      <c r="X93" s="64">
        <v>86181713</v>
      </c>
      <c r="Y93" s="121"/>
      <c r="Z93" s="121"/>
      <c r="AA93" s="121"/>
      <c r="AB93" s="121"/>
      <c r="AC93" s="64">
        <v>86181713</v>
      </c>
      <c r="AD93" s="65">
        <v>43586</v>
      </c>
      <c r="AE93" s="65">
        <v>46141</v>
      </c>
      <c r="AF93" s="62">
        <v>7</v>
      </c>
      <c r="AG93" s="119">
        <v>84</v>
      </c>
      <c r="AH93" s="25">
        <v>1025972.7738095238</v>
      </c>
      <c r="AI93" s="78">
        <v>57454486.148095235</v>
      </c>
      <c r="AJ93" s="78">
        <v>28727226.851904765</v>
      </c>
      <c r="AK93" s="27">
        <f t="shared" si="31"/>
        <v>1025972.7738095238</v>
      </c>
      <c r="AL93" s="27">
        <f t="shared" si="40"/>
        <v>1025972.7738095238</v>
      </c>
      <c r="AM93" s="27">
        <f t="shared" si="26"/>
        <v>1025972.7738095238</v>
      </c>
      <c r="AN93" s="27">
        <f t="shared" si="19"/>
        <v>1025972.7738095238</v>
      </c>
      <c r="AO93" s="27">
        <f t="shared" si="20"/>
        <v>1025972.7738095238</v>
      </c>
      <c r="AP93" s="27">
        <f t="shared" si="20"/>
        <v>1025972.7738095238</v>
      </c>
      <c r="AQ93" s="27">
        <f t="shared" si="21"/>
        <v>1025972.7738095238</v>
      </c>
      <c r="AR93" s="27">
        <f t="shared" si="22"/>
        <v>1025972.7738095238</v>
      </c>
      <c r="AS93" s="27"/>
      <c r="AT93" s="27"/>
      <c r="AU93" s="27"/>
      <c r="AV93" s="27"/>
      <c r="AW93" s="27">
        <f t="shared" si="33"/>
        <v>8207782.1904761922</v>
      </c>
      <c r="AX93" s="79">
        <f t="shared" si="34"/>
        <v>20519444.661428571</v>
      </c>
      <c r="AY93" s="79">
        <f t="shared" si="35"/>
        <v>65662268.338571429</v>
      </c>
      <c r="AZ93" s="25">
        <v>1</v>
      </c>
      <c r="BA93" s="62" t="s">
        <v>79</v>
      </c>
      <c r="BB93" s="66">
        <v>1</v>
      </c>
      <c r="BC93" s="66"/>
      <c r="BD93" s="66"/>
      <c r="BE93" s="67">
        <f t="shared" si="41"/>
        <v>1025972.7738095238</v>
      </c>
      <c r="BF93" s="67">
        <f t="shared" si="24"/>
        <v>0</v>
      </c>
      <c r="BG93" s="67">
        <f t="shared" si="42"/>
        <v>0</v>
      </c>
      <c r="BH93" s="66"/>
      <c r="BI93" s="68" t="s">
        <v>101</v>
      </c>
      <c r="BJ93" s="68" t="s">
        <v>349</v>
      </c>
      <c r="BK93" s="68" t="s">
        <v>349</v>
      </c>
      <c r="BL93" s="29"/>
      <c r="BO93" s="35" t="s">
        <v>1802</v>
      </c>
    </row>
    <row r="94" spans="1:68" ht="15" customHeight="1">
      <c r="A94" s="1" t="s">
        <v>43</v>
      </c>
      <c r="C94" s="1" t="str">
        <f t="shared" si="29"/>
        <v>2604</v>
      </c>
      <c r="D94" s="1" t="str">
        <f t="shared" si="30"/>
        <v>1905</v>
      </c>
      <c r="E94" s="19" t="s">
        <v>48</v>
      </c>
      <c r="F94" s="62" t="s">
        <v>49</v>
      </c>
      <c r="G94" s="62">
        <v>2112</v>
      </c>
      <c r="H94" s="62" t="s">
        <v>350</v>
      </c>
      <c r="I94" s="62" t="s">
        <v>351</v>
      </c>
      <c r="J94" s="118">
        <v>1</v>
      </c>
      <c r="K94" s="119"/>
      <c r="L94" s="62" t="s">
        <v>77</v>
      </c>
      <c r="M94" s="120" t="s">
        <v>347</v>
      </c>
      <c r="N94" s="65">
        <v>43579</v>
      </c>
      <c r="O94" s="24">
        <v>196000</v>
      </c>
      <c r="P94" s="24">
        <v>23295</v>
      </c>
      <c r="Q94" s="64">
        <v>4565820000</v>
      </c>
      <c r="R94" s="64"/>
      <c r="S94" s="64"/>
      <c r="T94" s="130">
        <v>195535905.155</v>
      </c>
      <c r="U94" s="64" t="s">
        <v>348</v>
      </c>
      <c r="V94" s="121">
        <v>4761355905</v>
      </c>
      <c r="W94" s="122">
        <v>0</v>
      </c>
      <c r="X94" s="64">
        <v>4761355905</v>
      </c>
      <c r="Y94" s="121"/>
      <c r="Z94" s="121"/>
      <c r="AA94" s="121"/>
      <c r="AB94" s="121"/>
      <c r="AC94" s="64">
        <v>4761355905</v>
      </c>
      <c r="AD94" s="65">
        <v>43586</v>
      </c>
      <c r="AE94" s="65">
        <v>46141</v>
      </c>
      <c r="AF94" s="62">
        <v>7</v>
      </c>
      <c r="AG94" s="119">
        <v>84</v>
      </c>
      <c r="AH94" s="25">
        <v>56682808.392857142</v>
      </c>
      <c r="AI94" s="78">
        <v>3174237251.7785711</v>
      </c>
      <c r="AJ94" s="78">
        <v>1587118653.2214286</v>
      </c>
      <c r="AK94" s="27">
        <f t="shared" si="31"/>
        <v>56682808.392857142</v>
      </c>
      <c r="AL94" s="27">
        <f t="shared" si="40"/>
        <v>56682808.392857142</v>
      </c>
      <c r="AM94" s="27">
        <f t="shared" si="26"/>
        <v>56682808.392857142</v>
      </c>
      <c r="AN94" s="27">
        <f t="shared" si="19"/>
        <v>56682808.392857142</v>
      </c>
      <c r="AO94" s="27">
        <f t="shared" si="20"/>
        <v>56682808.392857142</v>
      </c>
      <c r="AP94" s="27">
        <f t="shared" si="20"/>
        <v>56682808.392857142</v>
      </c>
      <c r="AQ94" s="27">
        <f t="shared" si="21"/>
        <v>56682808.392857142</v>
      </c>
      <c r="AR94" s="27">
        <f t="shared" si="22"/>
        <v>56682808.392857142</v>
      </c>
      <c r="AS94" s="27"/>
      <c r="AT94" s="27"/>
      <c r="AU94" s="27"/>
      <c r="AV94" s="27"/>
      <c r="AW94" s="27">
        <f t="shared" si="33"/>
        <v>453462467.14285713</v>
      </c>
      <c r="AX94" s="79">
        <f t="shared" si="34"/>
        <v>1133656186.0785718</v>
      </c>
      <c r="AY94" s="79">
        <f t="shared" si="35"/>
        <v>3627699718.9214282</v>
      </c>
      <c r="AZ94" s="25">
        <v>1</v>
      </c>
      <c r="BA94" s="62" t="s">
        <v>97</v>
      </c>
      <c r="BB94" s="66">
        <v>1</v>
      </c>
      <c r="BC94" s="66"/>
      <c r="BD94" s="66"/>
      <c r="BE94" s="67">
        <f t="shared" si="41"/>
        <v>56682808.392857142</v>
      </c>
      <c r="BF94" s="67">
        <f t="shared" si="24"/>
        <v>0</v>
      </c>
      <c r="BG94" s="67">
        <f t="shared" si="42"/>
        <v>0</v>
      </c>
      <c r="BH94" s="66"/>
      <c r="BI94" s="68" t="s">
        <v>101</v>
      </c>
      <c r="BJ94" s="68" t="s">
        <v>349</v>
      </c>
      <c r="BK94" s="68" t="s">
        <v>349</v>
      </c>
      <c r="BL94" s="29"/>
      <c r="BO94" s="35" t="s">
        <v>1802</v>
      </c>
    </row>
    <row r="95" spans="1:68" s="107" customFormat="1" ht="15" customHeight="1">
      <c r="A95" s="107" t="s">
        <v>2089</v>
      </c>
      <c r="C95" s="107" t="str">
        <f t="shared" si="29"/>
        <v>2404</v>
      </c>
      <c r="D95" s="107" t="str">
        <f t="shared" si="30"/>
        <v>1905</v>
      </c>
      <c r="E95" s="213" t="s">
        <v>48</v>
      </c>
      <c r="F95" s="108" t="s">
        <v>49</v>
      </c>
      <c r="G95" s="108">
        <v>2112</v>
      </c>
      <c r="H95" s="108" t="s">
        <v>352</v>
      </c>
      <c r="I95" s="108" t="s">
        <v>353</v>
      </c>
      <c r="J95" s="214">
        <v>1</v>
      </c>
      <c r="K95" s="215"/>
      <c r="L95" s="108" t="s">
        <v>77</v>
      </c>
      <c r="M95" s="216" t="s">
        <v>347</v>
      </c>
      <c r="N95" s="217">
        <v>43579</v>
      </c>
      <c r="O95" s="218">
        <v>1500</v>
      </c>
      <c r="P95" s="218">
        <v>23295</v>
      </c>
      <c r="Q95" s="219">
        <v>34942500</v>
      </c>
      <c r="R95" s="219"/>
      <c r="S95" s="219"/>
      <c r="T95" s="223">
        <v>1496448.253</v>
      </c>
      <c r="U95" s="219" t="s">
        <v>348</v>
      </c>
      <c r="V95" s="220">
        <v>36438948</v>
      </c>
      <c r="W95" s="263">
        <v>0</v>
      </c>
      <c r="X95" s="219">
        <v>36438948</v>
      </c>
      <c r="Y95" s="220"/>
      <c r="Z95" s="220"/>
      <c r="AA95" s="220"/>
      <c r="AB95" s="220"/>
      <c r="AC95" s="219">
        <v>36438948</v>
      </c>
      <c r="AD95" s="217">
        <v>43586</v>
      </c>
      <c r="AE95" s="217">
        <v>45411</v>
      </c>
      <c r="AF95" s="108">
        <v>5</v>
      </c>
      <c r="AG95" s="215">
        <v>60</v>
      </c>
      <c r="AH95" s="109">
        <v>607315.80000000005</v>
      </c>
      <c r="AI95" s="221">
        <v>34009693.75</v>
      </c>
      <c r="AJ95" s="221">
        <v>2429254.2500000009</v>
      </c>
      <c r="AK95" s="110">
        <f>+IF(AND(AK$3&gt;=$D95,AK$3&lt;$C95),$AH95,$AJ95-SUM(AI95:AJ95))</f>
        <v>607315.80000000005</v>
      </c>
      <c r="AL95" s="110">
        <f t="shared" si="40"/>
        <v>607315.80000000005</v>
      </c>
      <c r="AM95" s="110">
        <f t="shared" si="26"/>
        <v>607315.80000000005</v>
      </c>
      <c r="AN95" s="110">
        <f>AJ95-AK95-AL95-AM95</f>
        <v>607306.85000000079</v>
      </c>
      <c r="AO95" s="110">
        <v>0</v>
      </c>
      <c r="AP95" s="110"/>
      <c r="AQ95" s="110">
        <f t="shared" si="21"/>
        <v>0</v>
      </c>
      <c r="AR95" s="110">
        <f>+IF(AND(AR$3&gt;=$D95,AR$3&lt;$C95),$AH95,$AJ95-SUM(AK95:AQ95))</f>
        <v>0</v>
      </c>
      <c r="AS95" s="110"/>
      <c r="AT95" s="110"/>
      <c r="AU95" s="110"/>
      <c r="AV95" s="110"/>
      <c r="AW95" s="110">
        <f t="shared" si="33"/>
        <v>2429254.2500000009</v>
      </c>
      <c r="AX95" s="110">
        <f t="shared" si="34"/>
        <v>0</v>
      </c>
      <c r="AY95" s="110">
        <f t="shared" si="35"/>
        <v>36438948</v>
      </c>
      <c r="AZ95" s="109">
        <v>1</v>
      </c>
      <c r="BA95" s="108" t="s">
        <v>79</v>
      </c>
      <c r="BB95" s="111">
        <v>1</v>
      </c>
      <c r="BC95" s="111"/>
      <c r="BD95" s="111"/>
      <c r="BE95" s="222">
        <f t="shared" si="41"/>
        <v>0</v>
      </c>
      <c r="BF95" s="222">
        <f t="shared" si="24"/>
        <v>0</v>
      </c>
      <c r="BG95" s="222">
        <f t="shared" si="42"/>
        <v>0</v>
      </c>
      <c r="BH95" s="111"/>
      <c r="BI95" s="112" t="s">
        <v>101</v>
      </c>
      <c r="BJ95" s="112" t="s">
        <v>349</v>
      </c>
      <c r="BK95" s="112" t="s">
        <v>349</v>
      </c>
      <c r="BL95" s="113"/>
      <c r="BO95" s="107" t="s">
        <v>1802</v>
      </c>
    </row>
    <row r="96" spans="1:68" ht="15" customHeight="1">
      <c r="A96" s="1" t="s">
        <v>43</v>
      </c>
      <c r="C96" s="1" t="str">
        <f t="shared" si="29"/>
        <v>2904</v>
      </c>
      <c r="D96" s="1" t="str">
        <f t="shared" si="30"/>
        <v>1905</v>
      </c>
      <c r="E96" s="19" t="s">
        <v>48</v>
      </c>
      <c r="F96" s="62" t="s">
        <v>49</v>
      </c>
      <c r="G96" s="62">
        <v>2112</v>
      </c>
      <c r="H96" s="62" t="s">
        <v>358</v>
      </c>
      <c r="I96" s="62" t="s">
        <v>359</v>
      </c>
      <c r="J96" s="118">
        <v>3</v>
      </c>
      <c r="K96" s="119"/>
      <c r="L96" s="62" t="s">
        <v>77</v>
      </c>
      <c r="M96" s="120" t="s">
        <v>360</v>
      </c>
      <c r="N96" s="65">
        <v>43580</v>
      </c>
      <c r="O96" s="24">
        <v>118741.2</v>
      </c>
      <c r="P96" s="24">
        <v>23327</v>
      </c>
      <c r="Q96" s="64">
        <v>2769875972.4000001</v>
      </c>
      <c r="R96" s="64"/>
      <c r="S96" s="64"/>
      <c r="T96" s="64">
        <v>5115000</v>
      </c>
      <c r="U96" s="64" t="s">
        <v>343</v>
      </c>
      <c r="V96" s="121">
        <v>2774990972</v>
      </c>
      <c r="W96" s="122">
        <v>0</v>
      </c>
      <c r="X96" s="64">
        <v>2774990972</v>
      </c>
      <c r="Y96" s="121"/>
      <c r="Z96" s="121"/>
      <c r="AA96" s="121"/>
      <c r="AB96" s="121"/>
      <c r="AC96" s="64">
        <v>2774990972</v>
      </c>
      <c r="AD96" s="65">
        <v>43586</v>
      </c>
      <c r="AE96" s="65">
        <v>47236</v>
      </c>
      <c r="AF96" s="62">
        <v>10</v>
      </c>
      <c r="AG96" s="119">
        <v>120</v>
      </c>
      <c r="AH96" s="25">
        <v>23124924.766666666</v>
      </c>
      <c r="AI96" s="78">
        <v>1294995797.2666664</v>
      </c>
      <c r="AJ96" s="78">
        <v>1479995174.7333336</v>
      </c>
      <c r="AK96" s="27">
        <f t="shared" si="31"/>
        <v>23124924.766666666</v>
      </c>
      <c r="AL96" s="27">
        <f t="shared" si="40"/>
        <v>23124924.766666666</v>
      </c>
      <c r="AM96" s="27">
        <f t="shared" si="26"/>
        <v>23124924.766666666</v>
      </c>
      <c r="AN96" s="27">
        <f t="shared" si="19"/>
        <v>23124924.766666666</v>
      </c>
      <c r="AO96" s="27">
        <f t="shared" si="20"/>
        <v>23124924.766666666</v>
      </c>
      <c r="AP96" s="27">
        <f t="shared" si="20"/>
        <v>23124924.766666666</v>
      </c>
      <c r="AQ96" s="27">
        <f t="shared" si="21"/>
        <v>23124924.766666666</v>
      </c>
      <c r="AR96" s="27">
        <f t="shared" si="22"/>
        <v>23124924.766666666</v>
      </c>
      <c r="AS96" s="27"/>
      <c r="AT96" s="27"/>
      <c r="AU96" s="27"/>
      <c r="AV96" s="27"/>
      <c r="AW96" s="27">
        <f t="shared" si="33"/>
        <v>184999398.13333333</v>
      </c>
      <c r="AX96" s="79">
        <f t="shared" si="34"/>
        <v>1294995776.6000004</v>
      </c>
      <c r="AY96" s="79">
        <f t="shared" si="35"/>
        <v>1479995195.3999996</v>
      </c>
      <c r="AZ96" s="25">
        <v>3</v>
      </c>
      <c r="BA96" s="62" t="s">
        <v>97</v>
      </c>
      <c r="BB96" s="66">
        <v>1</v>
      </c>
      <c r="BC96" s="66"/>
      <c r="BD96" s="66"/>
      <c r="BE96" s="67">
        <f t="shared" si="41"/>
        <v>23124924.766666666</v>
      </c>
      <c r="BF96" s="67">
        <f t="shared" si="24"/>
        <v>0</v>
      </c>
      <c r="BG96" s="67">
        <f t="shared" si="42"/>
        <v>0</v>
      </c>
      <c r="BH96" s="66"/>
      <c r="BI96" s="68" t="s">
        <v>361</v>
      </c>
      <c r="BJ96" s="68" t="s">
        <v>121</v>
      </c>
      <c r="BK96" s="68" t="s">
        <v>121</v>
      </c>
      <c r="BL96" s="29"/>
      <c r="BO96" s="35" t="s">
        <v>1800</v>
      </c>
      <c r="BP96" s="1" t="s">
        <v>1811</v>
      </c>
    </row>
    <row r="97" spans="1:67" ht="15" customHeight="1">
      <c r="A97" s="1" t="s">
        <v>43</v>
      </c>
      <c r="C97" s="1" t="str">
        <f t="shared" si="29"/>
        <v>2604</v>
      </c>
      <c r="D97" s="1" t="str">
        <f t="shared" si="30"/>
        <v>1905</v>
      </c>
      <c r="E97" s="19" t="s">
        <v>48</v>
      </c>
      <c r="F97" s="62" t="s">
        <v>49</v>
      </c>
      <c r="G97" s="62">
        <v>2112</v>
      </c>
      <c r="H97" s="62" t="s">
        <v>362</v>
      </c>
      <c r="I97" s="62" t="s">
        <v>363</v>
      </c>
      <c r="J97" s="118">
        <v>1</v>
      </c>
      <c r="K97" s="119"/>
      <c r="L97" s="62" t="s">
        <v>304</v>
      </c>
      <c r="M97" s="120" t="s">
        <v>364</v>
      </c>
      <c r="N97" s="65">
        <v>43574</v>
      </c>
      <c r="O97" s="24"/>
      <c r="P97" s="24"/>
      <c r="Q97" s="64">
        <v>155000000</v>
      </c>
      <c r="R97" s="64"/>
      <c r="S97" s="64"/>
      <c r="T97" s="64"/>
      <c r="U97" s="64"/>
      <c r="V97" s="121">
        <v>155000000</v>
      </c>
      <c r="W97" s="122">
        <v>0</v>
      </c>
      <c r="X97" s="64">
        <v>155000000</v>
      </c>
      <c r="Y97" s="121"/>
      <c r="Z97" s="121"/>
      <c r="AA97" s="121"/>
      <c r="AB97" s="121"/>
      <c r="AC97" s="64">
        <v>155000000</v>
      </c>
      <c r="AD97" s="65">
        <v>43586</v>
      </c>
      <c r="AE97" s="65">
        <v>46141</v>
      </c>
      <c r="AF97" s="62">
        <v>7</v>
      </c>
      <c r="AG97" s="119">
        <v>84</v>
      </c>
      <c r="AH97" s="25">
        <v>1845238.0952380951</v>
      </c>
      <c r="AI97" s="78">
        <v>103333328.95238096</v>
      </c>
      <c r="AJ97" s="78">
        <v>51666671.047619045</v>
      </c>
      <c r="AK97" s="27">
        <f t="shared" si="31"/>
        <v>1845238.0952380951</v>
      </c>
      <c r="AL97" s="27">
        <f t="shared" si="40"/>
        <v>1845238.0952380951</v>
      </c>
      <c r="AM97" s="27">
        <f t="shared" si="26"/>
        <v>1845238.0952380951</v>
      </c>
      <c r="AN97" s="27">
        <f t="shared" si="19"/>
        <v>1845238.0952380951</v>
      </c>
      <c r="AO97" s="27">
        <f t="shared" si="20"/>
        <v>1845238.0952380951</v>
      </c>
      <c r="AP97" s="27">
        <f t="shared" si="20"/>
        <v>1845238.0952380951</v>
      </c>
      <c r="AQ97" s="27">
        <f t="shared" si="21"/>
        <v>1845238.0952380951</v>
      </c>
      <c r="AR97" s="27">
        <f t="shared" si="22"/>
        <v>1845238.0952380951</v>
      </c>
      <c r="AS97" s="27"/>
      <c r="AT97" s="27"/>
      <c r="AU97" s="27"/>
      <c r="AV97" s="27"/>
      <c r="AW97" s="27">
        <f t="shared" si="33"/>
        <v>14761904.761904761</v>
      </c>
      <c r="AX97" s="79">
        <f t="shared" si="34"/>
        <v>36904766.285714284</v>
      </c>
      <c r="AY97" s="79">
        <f t="shared" si="35"/>
        <v>118095233.71428572</v>
      </c>
      <c r="AZ97" s="25">
        <v>1</v>
      </c>
      <c r="BA97" s="62" t="s">
        <v>97</v>
      </c>
      <c r="BB97" s="66">
        <v>1</v>
      </c>
      <c r="BC97" s="66"/>
      <c r="BD97" s="66"/>
      <c r="BE97" s="67">
        <f t="shared" si="41"/>
        <v>1845238.0952380951</v>
      </c>
      <c r="BF97" s="67">
        <f t="shared" si="24"/>
        <v>0</v>
      </c>
      <c r="BG97" s="67">
        <f t="shared" si="42"/>
        <v>0</v>
      </c>
      <c r="BH97" s="66"/>
      <c r="BI97" s="68" t="s">
        <v>101</v>
      </c>
      <c r="BJ97" s="68" t="s">
        <v>58</v>
      </c>
      <c r="BK97" s="68" t="s">
        <v>59</v>
      </c>
      <c r="BL97" s="29"/>
      <c r="BO97" s="35" t="s">
        <v>1802</v>
      </c>
    </row>
    <row r="98" spans="1:67" ht="15" customHeight="1">
      <c r="A98" s="1" t="s">
        <v>43</v>
      </c>
      <c r="C98" s="1" t="str">
        <f t="shared" si="29"/>
        <v>2605</v>
      </c>
      <c r="D98" s="1" t="str">
        <f t="shared" si="30"/>
        <v>1905</v>
      </c>
      <c r="E98" s="19" t="s">
        <v>48</v>
      </c>
      <c r="F98" s="62" t="s">
        <v>49</v>
      </c>
      <c r="G98" s="62">
        <v>2112</v>
      </c>
      <c r="H98" s="62" t="s">
        <v>365</v>
      </c>
      <c r="I98" s="62" t="s">
        <v>366</v>
      </c>
      <c r="J98" s="118">
        <v>1</v>
      </c>
      <c r="K98" s="119"/>
      <c r="L98" s="62" t="s">
        <v>367</v>
      </c>
      <c r="M98" s="120" t="s">
        <v>368</v>
      </c>
      <c r="N98" s="65">
        <v>43608</v>
      </c>
      <c r="O98" s="24"/>
      <c r="P98" s="24"/>
      <c r="Q98" s="64">
        <v>72500000</v>
      </c>
      <c r="R98" s="64"/>
      <c r="S98" s="64"/>
      <c r="T98" s="64"/>
      <c r="U98" s="64"/>
      <c r="V98" s="121">
        <v>72500000</v>
      </c>
      <c r="W98" s="122">
        <v>0</v>
      </c>
      <c r="X98" s="64">
        <v>72500000</v>
      </c>
      <c r="Y98" s="121"/>
      <c r="Z98" s="121"/>
      <c r="AA98" s="121"/>
      <c r="AB98" s="121"/>
      <c r="AC98" s="64">
        <v>72500000</v>
      </c>
      <c r="AD98" s="65">
        <v>43608</v>
      </c>
      <c r="AE98" s="65">
        <v>46163</v>
      </c>
      <c r="AF98" s="62">
        <v>7</v>
      </c>
      <c r="AG98" s="119">
        <v>84</v>
      </c>
      <c r="AH98" s="25">
        <v>863095.23809523811</v>
      </c>
      <c r="AI98" s="78">
        <v>47720803.380952381</v>
      </c>
      <c r="AJ98" s="78">
        <v>24779196.619047619</v>
      </c>
      <c r="AK98" s="27">
        <f t="shared" si="31"/>
        <v>863095.23809523811</v>
      </c>
      <c r="AL98" s="27">
        <f t="shared" si="40"/>
        <v>863095.23809523811</v>
      </c>
      <c r="AM98" s="27">
        <f t="shared" si="26"/>
        <v>863095.23809523811</v>
      </c>
      <c r="AN98" s="27">
        <f t="shared" si="19"/>
        <v>863095.23809523811</v>
      </c>
      <c r="AO98" s="27">
        <f t="shared" si="20"/>
        <v>863095.23809523811</v>
      </c>
      <c r="AP98" s="27">
        <f t="shared" si="20"/>
        <v>863095.23809523811</v>
      </c>
      <c r="AQ98" s="27">
        <f t="shared" si="21"/>
        <v>863095.23809523811</v>
      </c>
      <c r="AR98" s="27">
        <f t="shared" si="22"/>
        <v>863095.23809523811</v>
      </c>
      <c r="AS98" s="27"/>
      <c r="AT98" s="27"/>
      <c r="AU98" s="27"/>
      <c r="AV98" s="27"/>
      <c r="AW98" s="27">
        <f t="shared" si="33"/>
        <v>6904761.9047619039</v>
      </c>
      <c r="AX98" s="79">
        <f t="shared" si="34"/>
        <v>17874434.714285716</v>
      </c>
      <c r="AY98" s="79">
        <f t="shared" si="35"/>
        <v>54625565.285714284</v>
      </c>
      <c r="AZ98" s="25">
        <v>1</v>
      </c>
      <c r="BA98" s="62" t="s">
        <v>97</v>
      </c>
      <c r="BB98" s="66">
        <v>1</v>
      </c>
      <c r="BC98" s="66"/>
      <c r="BD98" s="66"/>
      <c r="BE98" s="67">
        <f t="shared" si="41"/>
        <v>863095.23809523811</v>
      </c>
      <c r="BF98" s="67">
        <f t="shared" si="24"/>
        <v>0</v>
      </c>
      <c r="BG98" s="67">
        <f t="shared" si="42"/>
        <v>0</v>
      </c>
      <c r="BH98" s="66"/>
      <c r="BI98" s="68" t="s">
        <v>101</v>
      </c>
      <c r="BJ98" s="68" t="s">
        <v>349</v>
      </c>
      <c r="BK98" s="68" t="s">
        <v>349</v>
      </c>
      <c r="BL98" s="29"/>
      <c r="BO98" s="35" t="s">
        <v>1802</v>
      </c>
    </row>
    <row r="99" spans="1:67" ht="15" customHeight="1">
      <c r="C99" s="1" t="str">
        <f t="shared" ref="C99:C104" si="43">+RIGHT(YEAR(AE99),2)&amp;IF(LEN(MONTH(AE99))=2,MONTH(AE99),"0"&amp;MONTH(AE99))</f>
        <v>2905</v>
      </c>
      <c r="D99" s="1" t="str">
        <f t="shared" ref="D99:D104" si="44">+RIGHT(YEAR(AD99),2)&amp;IF(LEN(MONTH(AD99))=2,MONTH(AD99),"0"&amp;MONTH(AD99))</f>
        <v>2402</v>
      </c>
      <c r="E99" s="19" t="s">
        <v>48</v>
      </c>
      <c r="F99" s="62" t="s">
        <v>1896</v>
      </c>
      <c r="G99" s="62">
        <v>2112</v>
      </c>
      <c r="H99" s="62" t="s">
        <v>2035</v>
      </c>
      <c r="I99" s="62" t="s">
        <v>370</v>
      </c>
      <c r="J99" s="118">
        <v>1</v>
      </c>
      <c r="K99" s="119"/>
      <c r="L99" s="62" t="s">
        <v>77</v>
      </c>
      <c r="M99" s="120" t="s">
        <v>371</v>
      </c>
      <c r="N99" s="65">
        <v>43587</v>
      </c>
      <c r="O99" s="168">
        <v>22655.623</v>
      </c>
      <c r="P99" s="24">
        <v>23313</v>
      </c>
      <c r="Q99" s="64">
        <f t="shared" ref="Q99:Q103" si="45">+ROUND(O99*P99,0)</f>
        <v>528170539</v>
      </c>
      <c r="R99" s="64"/>
      <c r="S99" s="64"/>
      <c r="T99" s="64">
        <v>3347312</v>
      </c>
      <c r="U99" s="64"/>
      <c r="V99" s="121">
        <v>531517851</v>
      </c>
      <c r="W99" s="122"/>
      <c r="X99" s="64">
        <v>531517851</v>
      </c>
      <c r="Y99" s="121"/>
      <c r="Z99" s="121"/>
      <c r="AA99" s="121"/>
      <c r="AB99" s="121"/>
      <c r="AC99" s="64">
        <v>531517851</v>
      </c>
      <c r="AD99" s="65">
        <v>45323</v>
      </c>
      <c r="AE99" s="65">
        <v>47269</v>
      </c>
      <c r="AF99" s="62"/>
      <c r="AG99" s="119">
        <v>64</v>
      </c>
      <c r="AH99" s="25">
        <v>4429315</v>
      </c>
      <c r="AI99" s="78">
        <v>243612334</v>
      </c>
      <c r="AJ99" s="78">
        <v>287905486</v>
      </c>
      <c r="AK99" s="27">
        <f>+AH99</f>
        <v>4429315</v>
      </c>
      <c r="AL99" s="27">
        <f t="shared" ref="AL99:AL104" si="46">+IF(AND(AL$3&gt;=$D99,AL$3&lt;$C99),$AH99,$AJ99-SUM(AJ99:AK99))</f>
        <v>4429315</v>
      </c>
      <c r="AM99" s="27">
        <f t="shared" si="26"/>
        <v>4429315</v>
      </c>
      <c r="AN99" s="27">
        <f t="shared" si="19"/>
        <v>4429315</v>
      </c>
      <c r="AO99" s="27">
        <f t="shared" si="20"/>
        <v>4429315</v>
      </c>
      <c r="AP99" s="27">
        <f t="shared" si="20"/>
        <v>4429315</v>
      </c>
      <c r="AQ99" s="27">
        <f t="shared" si="21"/>
        <v>4429315</v>
      </c>
      <c r="AR99" s="27">
        <f t="shared" si="22"/>
        <v>4429315</v>
      </c>
      <c r="AS99" s="27"/>
      <c r="AT99" s="27"/>
      <c r="AU99" s="27"/>
      <c r="AV99" s="27"/>
      <c r="AW99" s="27">
        <f t="shared" si="33"/>
        <v>35434520</v>
      </c>
      <c r="AX99" s="79">
        <f t="shared" ref="AX99:AX104" si="47">AC99-AI99-AW99</f>
        <v>252470997</v>
      </c>
      <c r="AY99" s="79">
        <f t="shared" ref="AY99:AY104" si="48">AW99+AI99</f>
        <v>279046854</v>
      </c>
      <c r="AZ99" s="25">
        <v>1</v>
      </c>
      <c r="BA99" s="62"/>
      <c r="BB99" s="66">
        <v>1</v>
      </c>
      <c r="BC99" s="66"/>
      <c r="BD99" s="66"/>
      <c r="BE99" s="67">
        <f t="shared" si="41"/>
        <v>4429315</v>
      </c>
      <c r="BF99" s="67">
        <f t="shared" si="24"/>
        <v>0</v>
      </c>
      <c r="BG99" s="67">
        <f t="shared" si="42"/>
        <v>0</v>
      </c>
      <c r="BH99" s="66"/>
      <c r="BI99" s="68"/>
      <c r="BJ99" s="68" t="s">
        <v>1930</v>
      </c>
      <c r="BK99" s="68" t="s">
        <v>1930</v>
      </c>
      <c r="BL99" s="29"/>
    </row>
    <row r="100" spans="1:67" ht="15" customHeight="1">
      <c r="C100" s="1" t="str">
        <f t="shared" si="43"/>
        <v>2905</v>
      </c>
      <c r="D100" s="1" t="str">
        <f t="shared" si="44"/>
        <v>2402</v>
      </c>
      <c r="E100" s="19" t="s">
        <v>48</v>
      </c>
      <c r="F100" s="62" t="s">
        <v>1923</v>
      </c>
      <c r="G100" s="62">
        <v>2112</v>
      </c>
      <c r="H100" s="62" t="s">
        <v>2036</v>
      </c>
      <c r="I100" s="62" t="s">
        <v>370</v>
      </c>
      <c r="J100" s="118">
        <v>1</v>
      </c>
      <c r="K100" s="119"/>
      <c r="L100" s="62" t="s">
        <v>77</v>
      </c>
      <c r="M100" s="120" t="s">
        <v>371</v>
      </c>
      <c r="N100" s="65">
        <v>43587</v>
      </c>
      <c r="O100" s="168">
        <v>22655.623</v>
      </c>
      <c r="P100" s="24">
        <v>23313</v>
      </c>
      <c r="Q100" s="64">
        <f t="shared" si="45"/>
        <v>528170539</v>
      </c>
      <c r="R100" s="64"/>
      <c r="S100" s="64"/>
      <c r="T100" s="64">
        <v>3347312</v>
      </c>
      <c r="U100" s="64"/>
      <c r="V100" s="121">
        <v>531517851</v>
      </c>
      <c r="W100" s="122"/>
      <c r="X100" s="64">
        <v>531517851</v>
      </c>
      <c r="Y100" s="121"/>
      <c r="Z100" s="121"/>
      <c r="AA100" s="121"/>
      <c r="AB100" s="121"/>
      <c r="AC100" s="64">
        <v>531517851</v>
      </c>
      <c r="AD100" s="65">
        <v>45323</v>
      </c>
      <c r="AE100" s="65">
        <v>47269</v>
      </c>
      <c r="AF100" s="62"/>
      <c r="AG100" s="119">
        <v>64</v>
      </c>
      <c r="AH100" s="25">
        <v>4429315</v>
      </c>
      <c r="AI100" s="78">
        <v>243612334</v>
      </c>
      <c r="AJ100" s="78">
        <v>287905486</v>
      </c>
      <c r="AK100" s="27">
        <f t="shared" ref="AK100:AK104" si="49">+AH100</f>
        <v>4429315</v>
      </c>
      <c r="AL100" s="27">
        <f t="shared" si="46"/>
        <v>4429315</v>
      </c>
      <c r="AM100" s="27">
        <f t="shared" si="26"/>
        <v>4429315</v>
      </c>
      <c r="AN100" s="27">
        <f t="shared" si="19"/>
        <v>4429315</v>
      </c>
      <c r="AO100" s="27">
        <f t="shared" si="20"/>
        <v>4429315</v>
      </c>
      <c r="AP100" s="27">
        <f t="shared" si="20"/>
        <v>4429315</v>
      </c>
      <c r="AQ100" s="27">
        <f t="shared" si="21"/>
        <v>4429315</v>
      </c>
      <c r="AR100" s="27">
        <f t="shared" si="22"/>
        <v>4429315</v>
      </c>
      <c r="AS100" s="27"/>
      <c r="AT100" s="27"/>
      <c r="AU100" s="27"/>
      <c r="AV100" s="27"/>
      <c r="AW100" s="27">
        <f t="shared" si="33"/>
        <v>35434520</v>
      </c>
      <c r="AX100" s="79">
        <f t="shared" si="47"/>
        <v>252470997</v>
      </c>
      <c r="AY100" s="79">
        <f t="shared" si="48"/>
        <v>279046854</v>
      </c>
      <c r="AZ100" s="25">
        <v>1</v>
      </c>
      <c r="BA100" s="62"/>
      <c r="BB100" s="66">
        <v>1</v>
      </c>
      <c r="BC100" s="66"/>
      <c r="BD100" s="66"/>
      <c r="BE100" s="67">
        <f t="shared" si="41"/>
        <v>4429315</v>
      </c>
      <c r="BF100" s="67">
        <f t="shared" si="24"/>
        <v>0</v>
      </c>
      <c r="BG100" s="67">
        <f t="shared" si="42"/>
        <v>0</v>
      </c>
      <c r="BH100" s="66"/>
      <c r="BI100" s="68"/>
      <c r="BJ100" s="68" t="s">
        <v>81</v>
      </c>
      <c r="BK100" s="68" t="s">
        <v>81</v>
      </c>
      <c r="BL100" s="29"/>
    </row>
    <row r="101" spans="1:67" ht="15" customHeight="1">
      <c r="C101" s="1" t="str">
        <f t="shared" si="43"/>
        <v>2905</v>
      </c>
      <c r="D101" s="1" t="str">
        <f t="shared" si="44"/>
        <v>2402</v>
      </c>
      <c r="E101" s="19" t="s">
        <v>48</v>
      </c>
      <c r="F101" s="62" t="s">
        <v>1923</v>
      </c>
      <c r="G101" s="62">
        <v>2112</v>
      </c>
      <c r="H101" s="62" t="s">
        <v>2037</v>
      </c>
      <c r="I101" s="62" t="s">
        <v>370</v>
      </c>
      <c r="J101" s="118">
        <v>1</v>
      </c>
      <c r="K101" s="119"/>
      <c r="L101" s="62" t="s">
        <v>77</v>
      </c>
      <c r="M101" s="120" t="s">
        <v>371</v>
      </c>
      <c r="N101" s="65">
        <v>43587</v>
      </c>
      <c r="O101" s="168">
        <v>22655.620999999999</v>
      </c>
      <c r="P101" s="24">
        <v>23313</v>
      </c>
      <c r="Q101" s="64">
        <f t="shared" si="45"/>
        <v>528170492</v>
      </c>
      <c r="R101" s="64"/>
      <c r="S101" s="64"/>
      <c r="T101" s="64">
        <v>3347312</v>
      </c>
      <c r="U101" s="64"/>
      <c r="V101" s="121">
        <v>531517804</v>
      </c>
      <c r="W101" s="122"/>
      <c r="X101" s="64">
        <v>531517804</v>
      </c>
      <c r="Y101" s="121"/>
      <c r="Z101" s="121"/>
      <c r="AA101" s="121"/>
      <c r="AB101" s="121"/>
      <c r="AC101" s="64">
        <v>531517804</v>
      </c>
      <c r="AD101" s="65">
        <v>45323</v>
      </c>
      <c r="AE101" s="65">
        <v>47269</v>
      </c>
      <c r="AF101" s="62"/>
      <c r="AG101" s="119">
        <v>64</v>
      </c>
      <c r="AH101" s="25">
        <v>4429315</v>
      </c>
      <c r="AI101" s="78">
        <v>243612334</v>
      </c>
      <c r="AJ101" s="78">
        <v>287905486</v>
      </c>
      <c r="AK101" s="27">
        <f t="shared" si="49"/>
        <v>4429315</v>
      </c>
      <c r="AL101" s="27">
        <f t="shared" si="46"/>
        <v>4429315</v>
      </c>
      <c r="AM101" s="27">
        <f t="shared" si="26"/>
        <v>4429315</v>
      </c>
      <c r="AN101" s="27">
        <f t="shared" si="19"/>
        <v>4429315</v>
      </c>
      <c r="AO101" s="27">
        <f t="shared" si="20"/>
        <v>4429315</v>
      </c>
      <c r="AP101" s="27">
        <f t="shared" si="20"/>
        <v>4429315</v>
      </c>
      <c r="AQ101" s="27">
        <f t="shared" si="21"/>
        <v>4429315</v>
      </c>
      <c r="AR101" s="27">
        <f t="shared" si="22"/>
        <v>4429315</v>
      </c>
      <c r="AS101" s="27"/>
      <c r="AT101" s="27"/>
      <c r="AU101" s="27"/>
      <c r="AV101" s="27"/>
      <c r="AW101" s="27">
        <f t="shared" si="33"/>
        <v>35434520</v>
      </c>
      <c r="AX101" s="79">
        <f t="shared" si="47"/>
        <v>252470950</v>
      </c>
      <c r="AY101" s="79">
        <f t="shared" si="48"/>
        <v>279046854</v>
      </c>
      <c r="AZ101" s="25">
        <v>1</v>
      </c>
      <c r="BA101" s="62"/>
      <c r="BB101" s="66">
        <v>1</v>
      </c>
      <c r="BC101" s="66"/>
      <c r="BD101" s="66"/>
      <c r="BE101" s="67">
        <f t="shared" si="41"/>
        <v>4429315</v>
      </c>
      <c r="BF101" s="67">
        <f t="shared" si="24"/>
        <v>0</v>
      </c>
      <c r="BG101" s="67">
        <f t="shared" si="42"/>
        <v>0</v>
      </c>
      <c r="BH101" s="66"/>
      <c r="BI101" s="68"/>
      <c r="BJ101" s="68" t="s">
        <v>81</v>
      </c>
      <c r="BK101" s="68" t="s">
        <v>81</v>
      </c>
      <c r="BL101" s="29"/>
    </row>
    <row r="102" spans="1:67" ht="15" customHeight="1">
      <c r="C102" s="1" t="str">
        <f t="shared" si="43"/>
        <v>2905</v>
      </c>
      <c r="D102" s="1" t="str">
        <f t="shared" si="44"/>
        <v>2402</v>
      </c>
      <c r="E102" s="19" t="s">
        <v>48</v>
      </c>
      <c r="F102" s="62" t="s">
        <v>1923</v>
      </c>
      <c r="G102" s="62">
        <v>2112</v>
      </c>
      <c r="H102" s="62" t="s">
        <v>2038</v>
      </c>
      <c r="I102" s="62" t="s">
        <v>370</v>
      </c>
      <c r="J102" s="118">
        <v>1</v>
      </c>
      <c r="K102" s="119"/>
      <c r="L102" s="62" t="s">
        <v>77</v>
      </c>
      <c r="M102" s="120" t="s">
        <v>371</v>
      </c>
      <c r="N102" s="65">
        <v>43587</v>
      </c>
      <c r="O102" s="168">
        <v>22655.620999999999</v>
      </c>
      <c r="P102" s="24">
        <v>23313</v>
      </c>
      <c r="Q102" s="64">
        <f t="shared" si="45"/>
        <v>528170492</v>
      </c>
      <c r="R102" s="64"/>
      <c r="S102" s="64"/>
      <c r="T102" s="64">
        <v>3347312</v>
      </c>
      <c r="U102" s="64"/>
      <c r="V102" s="121">
        <v>531517804</v>
      </c>
      <c r="W102" s="122"/>
      <c r="X102" s="64">
        <v>531517804</v>
      </c>
      <c r="Y102" s="121"/>
      <c r="Z102" s="121"/>
      <c r="AA102" s="121"/>
      <c r="AB102" s="121"/>
      <c r="AC102" s="64">
        <v>531517804</v>
      </c>
      <c r="AD102" s="65">
        <v>45323</v>
      </c>
      <c r="AE102" s="65">
        <v>47269</v>
      </c>
      <c r="AF102" s="62"/>
      <c r="AG102" s="119">
        <v>64</v>
      </c>
      <c r="AH102" s="25">
        <v>4429315</v>
      </c>
      <c r="AI102" s="78">
        <v>243612334</v>
      </c>
      <c r="AJ102" s="78">
        <v>287905486</v>
      </c>
      <c r="AK102" s="27">
        <f t="shared" si="49"/>
        <v>4429315</v>
      </c>
      <c r="AL102" s="27">
        <f t="shared" si="46"/>
        <v>4429315</v>
      </c>
      <c r="AM102" s="27">
        <f t="shared" si="26"/>
        <v>4429315</v>
      </c>
      <c r="AN102" s="27">
        <f t="shared" si="19"/>
        <v>4429315</v>
      </c>
      <c r="AO102" s="27">
        <f t="shared" si="20"/>
        <v>4429315</v>
      </c>
      <c r="AP102" s="27">
        <f t="shared" si="20"/>
        <v>4429315</v>
      </c>
      <c r="AQ102" s="27">
        <f t="shared" si="21"/>
        <v>4429315</v>
      </c>
      <c r="AR102" s="27">
        <f t="shared" si="22"/>
        <v>4429315</v>
      </c>
      <c r="AS102" s="27"/>
      <c r="AT102" s="27"/>
      <c r="AU102" s="27"/>
      <c r="AV102" s="27"/>
      <c r="AW102" s="27">
        <f t="shared" si="33"/>
        <v>35434520</v>
      </c>
      <c r="AX102" s="79">
        <f t="shared" si="47"/>
        <v>252470950</v>
      </c>
      <c r="AY102" s="79">
        <f t="shared" si="48"/>
        <v>279046854</v>
      </c>
      <c r="AZ102" s="25">
        <v>1</v>
      </c>
      <c r="BA102" s="62"/>
      <c r="BB102" s="66">
        <v>1</v>
      </c>
      <c r="BC102" s="66"/>
      <c r="BD102" s="66"/>
      <c r="BE102" s="67">
        <f t="shared" si="41"/>
        <v>4429315</v>
      </c>
      <c r="BF102" s="67">
        <f t="shared" si="24"/>
        <v>0</v>
      </c>
      <c r="BG102" s="67">
        <f t="shared" si="42"/>
        <v>0</v>
      </c>
      <c r="BH102" s="66"/>
      <c r="BI102" s="68"/>
      <c r="BJ102" s="68" t="s">
        <v>81</v>
      </c>
      <c r="BK102" s="68" t="s">
        <v>81</v>
      </c>
      <c r="BL102" s="29"/>
    </row>
    <row r="103" spans="1:67" ht="15" customHeight="1">
      <c r="C103" s="1" t="str">
        <f t="shared" si="43"/>
        <v>2905</v>
      </c>
      <c r="D103" s="1" t="str">
        <f t="shared" si="44"/>
        <v>2402</v>
      </c>
      <c r="E103" s="19" t="s">
        <v>48</v>
      </c>
      <c r="F103" s="62" t="s">
        <v>1923</v>
      </c>
      <c r="G103" s="62">
        <v>2112</v>
      </c>
      <c r="H103" s="62" t="s">
        <v>2039</v>
      </c>
      <c r="I103" s="62" t="s">
        <v>370</v>
      </c>
      <c r="J103" s="118">
        <v>1</v>
      </c>
      <c r="K103" s="119"/>
      <c r="L103" s="62" t="s">
        <v>77</v>
      </c>
      <c r="M103" s="120" t="s">
        <v>371</v>
      </c>
      <c r="N103" s="65">
        <v>43587</v>
      </c>
      <c r="O103" s="168">
        <v>22655.620999999999</v>
      </c>
      <c r="P103" s="24">
        <v>23313</v>
      </c>
      <c r="Q103" s="64">
        <f t="shared" si="45"/>
        <v>528170492</v>
      </c>
      <c r="R103" s="64"/>
      <c r="S103" s="64"/>
      <c r="T103" s="64">
        <v>3347313</v>
      </c>
      <c r="U103" s="64"/>
      <c r="V103" s="121">
        <v>531517805</v>
      </c>
      <c r="W103" s="122"/>
      <c r="X103" s="64">
        <v>531517805</v>
      </c>
      <c r="Y103" s="121"/>
      <c r="Z103" s="121"/>
      <c r="AA103" s="121"/>
      <c r="AB103" s="121"/>
      <c r="AC103" s="64">
        <v>531517805</v>
      </c>
      <c r="AD103" s="65">
        <v>45323</v>
      </c>
      <c r="AE103" s="65">
        <v>47269</v>
      </c>
      <c r="AF103" s="62"/>
      <c r="AG103" s="119">
        <v>64</v>
      </c>
      <c r="AH103" s="25">
        <v>4429315</v>
      </c>
      <c r="AI103" s="78">
        <v>243612334</v>
      </c>
      <c r="AJ103" s="78">
        <v>287905486</v>
      </c>
      <c r="AK103" s="27">
        <f t="shared" si="49"/>
        <v>4429315</v>
      </c>
      <c r="AL103" s="27">
        <f t="shared" si="46"/>
        <v>4429315</v>
      </c>
      <c r="AM103" s="27">
        <f t="shared" si="26"/>
        <v>4429315</v>
      </c>
      <c r="AN103" s="27">
        <f t="shared" si="19"/>
        <v>4429315</v>
      </c>
      <c r="AO103" s="27">
        <f t="shared" si="20"/>
        <v>4429315</v>
      </c>
      <c r="AP103" s="27">
        <f t="shared" si="20"/>
        <v>4429315</v>
      </c>
      <c r="AQ103" s="27">
        <f t="shared" si="21"/>
        <v>4429315</v>
      </c>
      <c r="AR103" s="27">
        <f t="shared" si="22"/>
        <v>4429315</v>
      </c>
      <c r="AS103" s="27"/>
      <c r="AT103" s="27"/>
      <c r="AU103" s="27"/>
      <c r="AV103" s="27"/>
      <c r="AW103" s="27">
        <f t="shared" si="33"/>
        <v>35434520</v>
      </c>
      <c r="AX103" s="79">
        <f t="shared" si="47"/>
        <v>252470951</v>
      </c>
      <c r="AY103" s="79">
        <f t="shared" si="48"/>
        <v>279046854</v>
      </c>
      <c r="AZ103" s="25">
        <v>1</v>
      </c>
      <c r="BA103" s="62"/>
      <c r="BB103" s="66">
        <v>1</v>
      </c>
      <c r="BC103" s="66"/>
      <c r="BD103" s="66"/>
      <c r="BE103" s="67">
        <f t="shared" si="41"/>
        <v>4429315</v>
      </c>
      <c r="BF103" s="67">
        <f t="shared" si="24"/>
        <v>0</v>
      </c>
      <c r="BG103" s="67">
        <f t="shared" si="42"/>
        <v>0</v>
      </c>
      <c r="BH103" s="66"/>
      <c r="BI103" s="68"/>
      <c r="BJ103" s="68" t="s">
        <v>81</v>
      </c>
      <c r="BK103" s="68" t="s">
        <v>81</v>
      </c>
      <c r="BL103" s="29"/>
    </row>
    <row r="104" spans="1:67" ht="15" customHeight="1">
      <c r="C104" s="1" t="str">
        <f t="shared" si="43"/>
        <v>2905</v>
      </c>
      <c r="D104" s="1" t="str">
        <f t="shared" si="44"/>
        <v>2402</v>
      </c>
      <c r="E104" s="19" t="s">
        <v>48</v>
      </c>
      <c r="F104" s="62" t="s">
        <v>1923</v>
      </c>
      <c r="G104" s="62">
        <v>2112</v>
      </c>
      <c r="H104" s="62" t="s">
        <v>2040</v>
      </c>
      <c r="I104" s="62" t="s">
        <v>370</v>
      </c>
      <c r="J104" s="118">
        <v>1</v>
      </c>
      <c r="K104" s="119"/>
      <c r="L104" s="62" t="s">
        <v>77</v>
      </c>
      <c r="M104" s="120" t="s">
        <v>371</v>
      </c>
      <c r="N104" s="65">
        <v>43587</v>
      </c>
      <c r="O104" s="168">
        <v>22655.620999999999</v>
      </c>
      <c r="P104" s="24">
        <v>23313</v>
      </c>
      <c r="Q104" s="64">
        <f>+ROUND(O104*P104,0)+1</f>
        <v>528170493</v>
      </c>
      <c r="R104" s="64"/>
      <c r="S104" s="64"/>
      <c r="T104" s="64">
        <v>3347313</v>
      </c>
      <c r="U104" s="64"/>
      <c r="V104" s="121">
        <v>531517806</v>
      </c>
      <c r="W104" s="122"/>
      <c r="X104" s="64">
        <v>531517806</v>
      </c>
      <c r="Y104" s="121"/>
      <c r="Z104" s="121"/>
      <c r="AA104" s="125"/>
      <c r="AB104" s="121"/>
      <c r="AC104" s="64">
        <v>531517806</v>
      </c>
      <c r="AD104" s="65">
        <v>45323</v>
      </c>
      <c r="AE104" s="65">
        <v>47269</v>
      </c>
      <c r="AF104" s="62"/>
      <c r="AG104" s="119">
        <v>64</v>
      </c>
      <c r="AH104" s="25">
        <v>4429315</v>
      </c>
      <c r="AI104" s="78">
        <v>243612334</v>
      </c>
      <c r="AJ104" s="78">
        <v>287905486</v>
      </c>
      <c r="AK104" s="27">
        <f t="shared" si="49"/>
        <v>4429315</v>
      </c>
      <c r="AL104" s="27">
        <f t="shared" si="46"/>
        <v>4429315</v>
      </c>
      <c r="AM104" s="27">
        <f t="shared" si="26"/>
        <v>4429315</v>
      </c>
      <c r="AN104" s="27">
        <f t="shared" si="19"/>
        <v>4429315</v>
      </c>
      <c r="AO104" s="27">
        <f t="shared" si="20"/>
        <v>4429315</v>
      </c>
      <c r="AP104" s="27">
        <f t="shared" si="20"/>
        <v>4429315</v>
      </c>
      <c r="AQ104" s="27">
        <f t="shared" si="21"/>
        <v>4429315</v>
      </c>
      <c r="AR104" s="27">
        <f t="shared" si="22"/>
        <v>4429315</v>
      </c>
      <c r="AS104" s="27"/>
      <c r="AT104" s="27"/>
      <c r="AU104" s="27"/>
      <c r="AV104" s="27"/>
      <c r="AW104" s="27">
        <f t="shared" si="33"/>
        <v>35434520</v>
      </c>
      <c r="AX104" s="79">
        <f t="shared" si="47"/>
        <v>252470952</v>
      </c>
      <c r="AY104" s="79">
        <f t="shared" si="48"/>
        <v>279046854</v>
      </c>
      <c r="AZ104" s="25">
        <v>1</v>
      </c>
      <c r="BA104" s="62"/>
      <c r="BB104" s="66">
        <v>1</v>
      </c>
      <c r="BC104" s="66"/>
      <c r="BD104" s="66"/>
      <c r="BE104" s="67">
        <f t="shared" si="41"/>
        <v>4429315</v>
      </c>
      <c r="BF104" s="67">
        <f t="shared" si="24"/>
        <v>0</v>
      </c>
      <c r="BG104" s="67">
        <f t="shared" si="42"/>
        <v>0</v>
      </c>
      <c r="BH104" s="66"/>
      <c r="BI104" s="68"/>
      <c r="BJ104" s="68" t="s">
        <v>81</v>
      </c>
      <c r="BK104" s="68" t="s">
        <v>81</v>
      </c>
      <c r="BL104" s="29"/>
    </row>
    <row r="105" spans="1:67" ht="15" customHeight="1">
      <c r="A105" s="1" t="s">
        <v>43</v>
      </c>
      <c r="C105" s="1" t="str">
        <f t="shared" si="29"/>
        <v>2605</v>
      </c>
      <c r="D105" s="1" t="str">
        <f t="shared" si="30"/>
        <v>1906</v>
      </c>
      <c r="E105" s="19" t="s">
        <v>48</v>
      </c>
      <c r="F105" s="62" t="s">
        <v>49</v>
      </c>
      <c r="G105" s="62">
        <v>2112</v>
      </c>
      <c r="H105" s="62" t="s">
        <v>374</v>
      </c>
      <c r="I105" s="62" t="s">
        <v>375</v>
      </c>
      <c r="J105" s="118">
        <v>3</v>
      </c>
      <c r="K105" s="119"/>
      <c r="L105" s="62" t="s">
        <v>77</v>
      </c>
      <c r="M105" s="120" t="s">
        <v>376</v>
      </c>
      <c r="N105" s="65">
        <v>43595</v>
      </c>
      <c r="O105" s="24">
        <v>5663.91</v>
      </c>
      <c r="P105" s="24">
        <v>23325</v>
      </c>
      <c r="Q105" s="64">
        <v>132110700.75</v>
      </c>
      <c r="R105" s="64">
        <v>0</v>
      </c>
      <c r="S105" s="64"/>
      <c r="T105" s="130">
        <v>2657196.58</v>
      </c>
      <c r="U105" s="64" t="s">
        <v>377</v>
      </c>
      <c r="V105" s="121">
        <v>134767897</v>
      </c>
      <c r="W105" s="122">
        <v>0</v>
      </c>
      <c r="X105" s="64">
        <v>134767897</v>
      </c>
      <c r="Y105" s="121"/>
      <c r="Z105" s="121"/>
      <c r="AA105" s="121"/>
      <c r="AB105" s="121"/>
      <c r="AC105" s="64">
        <v>134767897</v>
      </c>
      <c r="AD105" s="65">
        <v>43617</v>
      </c>
      <c r="AE105" s="65">
        <v>46172</v>
      </c>
      <c r="AF105" s="62">
        <v>7</v>
      </c>
      <c r="AG105" s="119">
        <v>84</v>
      </c>
      <c r="AH105" s="25">
        <v>1604379.7261904762</v>
      </c>
      <c r="AI105" s="78">
        <v>88240896.931904763</v>
      </c>
      <c r="AJ105" s="78">
        <v>46527000.068095237</v>
      </c>
      <c r="AK105" s="27">
        <f t="shared" si="31"/>
        <v>1604379.7261904762</v>
      </c>
      <c r="AL105" s="27">
        <f t="shared" si="40"/>
        <v>1604379.7261904762</v>
      </c>
      <c r="AM105" s="27">
        <f t="shared" si="26"/>
        <v>1604379.7261904762</v>
      </c>
      <c r="AN105" s="27">
        <f t="shared" si="19"/>
        <v>1604379.7261904762</v>
      </c>
      <c r="AO105" s="27">
        <f t="shared" si="20"/>
        <v>1604379.7261904762</v>
      </c>
      <c r="AP105" s="27">
        <f t="shared" si="20"/>
        <v>1604379.7261904762</v>
      </c>
      <c r="AQ105" s="27">
        <f t="shared" si="21"/>
        <v>1604379.7261904762</v>
      </c>
      <c r="AR105" s="27">
        <f t="shared" si="22"/>
        <v>1604379.7261904762</v>
      </c>
      <c r="AS105" s="27"/>
      <c r="AT105" s="27"/>
      <c r="AU105" s="27"/>
      <c r="AV105" s="27"/>
      <c r="AW105" s="27">
        <f t="shared" si="33"/>
        <v>12835037.809523808</v>
      </c>
      <c r="AX105" s="79">
        <f t="shared" si="34"/>
        <v>33691962.258571431</v>
      </c>
      <c r="AY105" s="79">
        <f t="shared" si="35"/>
        <v>101075934.74142857</v>
      </c>
      <c r="AZ105" s="25">
        <v>3</v>
      </c>
      <c r="BA105" s="62" t="s">
        <v>97</v>
      </c>
      <c r="BB105" s="66">
        <v>1</v>
      </c>
      <c r="BC105" s="66"/>
      <c r="BD105" s="66"/>
      <c r="BE105" s="67">
        <f t="shared" si="41"/>
        <v>1604379.7261904762</v>
      </c>
      <c r="BF105" s="67">
        <f t="shared" si="24"/>
        <v>0</v>
      </c>
      <c r="BG105" s="67">
        <f t="shared" si="42"/>
        <v>0</v>
      </c>
      <c r="BH105" s="66"/>
      <c r="BI105" s="68" t="s">
        <v>146</v>
      </c>
      <c r="BJ105" s="68" t="s">
        <v>58</v>
      </c>
      <c r="BK105" s="68" t="s">
        <v>159</v>
      </c>
      <c r="BL105" s="29"/>
      <c r="BO105" s="35" t="s">
        <v>1804</v>
      </c>
    </row>
    <row r="106" spans="1:67" s="107" customFormat="1" ht="15" customHeight="1">
      <c r="A106" s="107" t="s">
        <v>43</v>
      </c>
      <c r="C106" s="107" t="str">
        <f t="shared" si="29"/>
        <v>2405</v>
      </c>
      <c r="D106" s="107" t="str">
        <f t="shared" si="30"/>
        <v>1906</v>
      </c>
      <c r="E106" s="213" t="s">
        <v>48</v>
      </c>
      <c r="F106" s="108" t="s">
        <v>49</v>
      </c>
      <c r="G106" s="108">
        <v>2112</v>
      </c>
      <c r="H106" s="108" t="s">
        <v>378</v>
      </c>
      <c r="I106" s="108" t="s">
        <v>379</v>
      </c>
      <c r="J106" s="214">
        <v>6</v>
      </c>
      <c r="K106" s="215"/>
      <c r="L106" s="108" t="s">
        <v>77</v>
      </c>
      <c r="M106" s="216" t="s">
        <v>376</v>
      </c>
      <c r="N106" s="217">
        <v>43595</v>
      </c>
      <c r="O106" s="218">
        <v>14329.68</v>
      </c>
      <c r="P106" s="218">
        <v>23325</v>
      </c>
      <c r="Q106" s="219">
        <v>334239786</v>
      </c>
      <c r="R106" s="219">
        <v>0</v>
      </c>
      <c r="S106" s="219"/>
      <c r="T106" s="223">
        <v>6722701.5599999996</v>
      </c>
      <c r="U106" s="219" t="s">
        <v>377</v>
      </c>
      <c r="V106" s="220">
        <v>340962488</v>
      </c>
      <c r="W106" s="263">
        <v>0</v>
      </c>
      <c r="X106" s="219">
        <v>340962488</v>
      </c>
      <c r="Y106" s="220"/>
      <c r="Z106" s="220"/>
      <c r="AA106" s="220"/>
      <c r="AB106" s="220"/>
      <c r="AC106" s="219">
        <v>340962488</v>
      </c>
      <c r="AD106" s="217">
        <v>43617</v>
      </c>
      <c r="AE106" s="217">
        <v>45442</v>
      </c>
      <c r="AF106" s="108">
        <v>5</v>
      </c>
      <c r="AG106" s="215">
        <v>60</v>
      </c>
      <c r="AH106" s="109">
        <v>5682708.1333333338</v>
      </c>
      <c r="AI106" s="221">
        <v>312548941.77333331</v>
      </c>
      <c r="AJ106" s="221">
        <v>28413546.226666674</v>
      </c>
      <c r="AK106" s="110">
        <f t="shared" si="31"/>
        <v>5682708.1333333338</v>
      </c>
      <c r="AL106" s="110">
        <f t="shared" si="40"/>
        <v>5682708.1333333338</v>
      </c>
      <c r="AM106" s="110">
        <f t="shared" si="26"/>
        <v>5682708.1333333338</v>
      </c>
      <c r="AN106" s="110">
        <f t="shared" si="19"/>
        <v>5682708.1333333338</v>
      </c>
      <c r="AO106" s="110">
        <f>+IF(AND(AO$3&gt;=$D106,AO$3&lt;$C106),$AH106,$AJ106-SUM(AK106:AN106))</f>
        <v>5682713.6933333389</v>
      </c>
      <c r="AP106" s="110">
        <v>0</v>
      </c>
      <c r="AQ106" s="110">
        <f t="shared" si="21"/>
        <v>0</v>
      </c>
      <c r="AR106" s="110">
        <f>+IF(AND(AR$3&gt;=$D106,AR$3&lt;$C106),$AH106,$AJ106-SUM(AK106:AQ106))</f>
        <v>0</v>
      </c>
      <c r="AS106" s="110"/>
      <c r="AT106" s="110"/>
      <c r="AU106" s="110"/>
      <c r="AV106" s="110"/>
      <c r="AW106" s="110">
        <f t="shared" si="33"/>
        <v>28413546.226666674</v>
      </c>
      <c r="AX106" s="110">
        <f t="shared" si="34"/>
        <v>0</v>
      </c>
      <c r="AY106" s="110">
        <f t="shared" si="35"/>
        <v>340962488</v>
      </c>
      <c r="AZ106" s="109">
        <v>6</v>
      </c>
      <c r="BA106" s="108" t="s">
        <v>97</v>
      </c>
      <c r="BB106" s="111">
        <v>1</v>
      </c>
      <c r="BC106" s="111"/>
      <c r="BD106" s="111"/>
      <c r="BE106" s="222">
        <f>+$AP106*BB106</f>
        <v>0</v>
      </c>
      <c r="BF106" s="222">
        <f t="shared" si="24"/>
        <v>0</v>
      </c>
      <c r="BG106" s="222">
        <f t="shared" si="42"/>
        <v>0</v>
      </c>
      <c r="BH106" s="111"/>
      <c r="BI106" s="112">
        <v>0</v>
      </c>
      <c r="BJ106" s="112" t="s">
        <v>58</v>
      </c>
      <c r="BK106" s="112" t="s">
        <v>159</v>
      </c>
      <c r="BL106" s="113"/>
      <c r="BO106" s="107" t="s">
        <v>1804</v>
      </c>
    </row>
    <row r="107" spans="1:67" ht="15" customHeight="1">
      <c r="A107" s="1" t="s">
        <v>43</v>
      </c>
      <c r="C107" s="1" t="str">
        <f t="shared" si="29"/>
        <v>2605</v>
      </c>
      <c r="D107" s="1" t="str">
        <f t="shared" si="30"/>
        <v>1906</v>
      </c>
      <c r="E107" s="19" t="s">
        <v>48</v>
      </c>
      <c r="F107" s="62" t="s">
        <v>49</v>
      </c>
      <c r="G107" s="62">
        <v>2112</v>
      </c>
      <c r="H107" s="62" t="s">
        <v>380</v>
      </c>
      <c r="I107" s="62" t="s">
        <v>381</v>
      </c>
      <c r="J107" s="118">
        <v>1</v>
      </c>
      <c r="K107" s="119"/>
      <c r="L107" s="62" t="s">
        <v>77</v>
      </c>
      <c r="M107" s="120" t="s">
        <v>382</v>
      </c>
      <c r="N107" s="65">
        <v>43606</v>
      </c>
      <c r="O107" s="24">
        <v>3040</v>
      </c>
      <c r="P107" s="24">
        <v>23458</v>
      </c>
      <c r="Q107" s="64">
        <v>71312320</v>
      </c>
      <c r="R107" s="64">
        <v>0</v>
      </c>
      <c r="S107" s="64"/>
      <c r="T107" s="130">
        <v>1617185.72</v>
      </c>
      <c r="U107" s="64" t="s">
        <v>383</v>
      </c>
      <c r="V107" s="121">
        <v>72929506</v>
      </c>
      <c r="W107" s="122">
        <v>0</v>
      </c>
      <c r="X107" s="64">
        <v>72929506</v>
      </c>
      <c r="Y107" s="121"/>
      <c r="Z107" s="121"/>
      <c r="AA107" s="121"/>
      <c r="AB107" s="121"/>
      <c r="AC107" s="64">
        <v>72929506</v>
      </c>
      <c r="AD107" s="65">
        <v>43617</v>
      </c>
      <c r="AE107" s="65">
        <v>46172</v>
      </c>
      <c r="AF107" s="62">
        <v>7</v>
      </c>
      <c r="AG107" s="119">
        <v>84</v>
      </c>
      <c r="AH107" s="25">
        <v>868208.40476190473</v>
      </c>
      <c r="AI107" s="78">
        <v>47751444.327619046</v>
      </c>
      <c r="AJ107" s="78">
        <v>25178061.67238095</v>
      </c>
      <c r="AK107" s="27">
        <f t="shared" si="31"/>
        <v>868208.40476190473</v>
      </c>
      <c r="AL107" s="27">
        <f t="shared" si="40"/>
        <v>868208.40476190473</v>
      </c>
      <c r="AM107" s="27">
        <f t="shared" si="26"/>
        <v>868208.40476190473</v>
      </c>
      <c r="AN107" s="27">
        <f t="shared" si="19"/>
        <v>868208.40476190473</v>
      </c>
      <c r="AO107" s="27">
        <f t="shared" si="20"/>
        <v>868208.40476190473</v>
      </c>
      <c r="AP107" s="27">
        <f t="shared" si="20"/>
        <v>868208.40476190473</v>
      </c>
      <c r="AQ107" s="27">
        <f t="shared" si="21"/>
        <v>868208.40476190473</v>
      </c>
      <c r="AR107" s="27">
        <f t="shared" si="22"/>
        <v>868208.40476190473</v>
      </c>
      <c r="AS107" s="27"/>
      <c r="AT107" s="27"/>
      <c r="AU107" s="27"/>
      <c r="AV107" s="27"/>
      <c r="AW107" s="27">
        <f t="shared" si="33"/>
        <v>6945667.2380952379</v>
      </c>
      <c r="AX107" s="79">
        <f t="shared" si="34"/>
        <v>18232394.434285715</v>
      </c>
      <c r="AY107" s="79">
        <f t="shared" si="35"/>
        <v>54697111.565714285</v>
      </c>
      <c r="AZ107" s="25">
        <v>1</v>
      </c>
      <c r="BA107" s="62" t="s">
        <v>97</v>
      </c>
      <c r="BB107" s="66">
        <v>1</v>
      </c>
      <c r="BC107" s="66"/>
      <c r="BD107" s="66"/>
      <c r="BE107" s="67">
        <f t="shared" ref="BE107:BE164" si="50">+$AP107*BB107</f>
        <v>868208.40476190473</v>
      </c>
      <c r="BF107" s="67">
        <f t="shared" si="24"/>
        <v>0</v>
      </c>
      <c r="BG107" s="67">
        <f t="shared" si="42"/>
        <v>0</v>
      </c>
      <c r="BH107" s="66"/>
      <c r="BI107" s="68" t="s">
        <v>84</v>
      </c>
      <c r="BJ107" s="68" t="s">
        <v>85</v>
      </c>
      <c r="BK107" s="68" t="s">
        <v>85</v>
      </c>
      <c r="BL107" s="29"/>
      <c r="BO107" s="35" t="s">
        <v>1805</v>
      </c>
    </row>
    <row r="108" spans="1:67" ht="15" customHeight="1">
      <c r="A108" s="1" t="s">
        <v>43</v>
      </c>
      <c r="C108" s="1" t="str">
        <f t="shared" si="29"/>
        <v>2605</v>
      </c>
      <c r="D108" s="1" t="str">
        <f t="shared" si="30"/>
        <v>1906</v>
      </c>
      <c r="E108" s="19" t="s">
        <v>48</v>
      </c>
      <c r="F108" s="62" t="s">
        <v>1896</v>
      </c>
      <c r="G108" s="62">
        <v>2112</v>
      </c>
      <c r="H108" s="62" t="s">
        <v>384</v>
      </c>
      <c r="I108" s="62" t="s">
        <v>385</v>
      </c>
      <c r="J108" s="118">
        <v>1</v>
      </c>
      <c r="K108" s="119"/>
      <c r="L108" s="62" t="s">
        <v>77</v>
      </c>
      <c r="M108" s="120" t="s">
        <v>382</v>
      </c>
      <c r="N108" s="65">
        <v>43606</v>
      </c>
      <c r="O108" s="24">
        <v>3040</v>
      </c>
      <c r="P108" s="24">
        <v>23458</v>
      </c>
      <c r="Q108" s="64">
        <v>71312320</v>
      </c>
      <c r="R108" s="64">
        <v>0</v>
      </c>
      <c r="S108" s="64"/>
      <c r="T108" s="64">
        <v>1617185.72</v>
      </c>
      <c r="U108" s="64" t="s">
        <v>383</v>
      </c>
      <c r="V108" s="121">
        <v>72929506</v>
      </c>
      <c r="W108" s="122">
        <v>0</v>
      </c>
      <c r="X108" s="64">
        <v>72929506</v>
      </c>
      <c r="Y108" s="121"/>
      <c r="Z108" s="121"/>
      <c r="AA108" s="121"/>
      <c r="AB108" s="121"/>
      <c r="AC108" s="64">
        <v>72929506</v>
      </c>
      <c r="AD108" s="65">
        <v>43617</v>
      </c>
      <c r="AE108" s="65">
        <v>46172</v>
      </c>
      <c r="AF108" s="62">
        <v>7</v>
      </c>
      <c r="AG108" s="119">
        <v>84</v>
      </c>
      <c r="AH108" s="25">
        <v>868208.40476190473</v>
      </c>
      <c r="AI108" s="78">
        <v>47751444.327619046</v>
      </c>
      <c r="AJ108" s="78">
        <v>25178061.67238095</v>
      </c>
      <c r="AK108" s="27">
        <f t="shared" si="31"/>
        <v>868208.40476190473</v>
      </c>
      <c r="AL108" s="27">
        <f t="shared" si="40"/>
        <v>868208.40476190473</v>
      </c>
      <c r="AM108" s="27">
        <f t="shared" si="26"/>
        <v>868208.40476190473</v>
      </c>
      <c r="AN108" s="27">
        <f t="shared" si="19"/>
        <v>868208.40476190473</v>
      </c>
      <c r="AO108" s="27">
        <f t="shared" si="20"/>
        <v>868208.40476190473</v>
      </c>
      <c r="AP108" s="27">
        <f t="shared" si="20"/>
        <v>868208.40476190473</v>
      </c>
      <c r="AQ108" s="27">
        <f t="shared" si="21"/>
        <v>868208.40476190473</v>
      </c>
      <c r="AR108" s="27">
        <f t="shared" si="22"/>
        <v>868208.40476190473</v>
      </c>
      <c r="AS108" s="27"/>
      <c r="AT108" s="27"/>
      <c r="AU108" s="27"/>
      <c r="AV108" s="27"/>
      <c r="AW108" s="27">
        <f t="shared" si="33"/>
        <v>6945667.2380952379</v>
      </c>
      <c r="AX108" s="79">
        <f t="shared" si="34"/>
        <v>18232394.434285715</v>
      </c>
      <c r="AY108" s="79">
        <f t="shared" si="35"/>
        <v>54697111.565714285</v>
      </c>
      <c r="AZ108" s="25">
        <v>1</v>
      </c>
      <c r="BA108" s="62" t="s">
        <v>97</v>
      </c>
      <c r="BB108" s="66">
        <v>1</v>
      </c>
      <c r="BC108" s="66"/>
      <c r="BD108" s="66"/>
      <c r="BE108" s="67">
        <f t="shared" si="50"/>
        <v>868208.40476190473</v>
      </c>
      <c r="BF108" s="67">
        <f t="shared" si="24"/>
        <v>0</v>
      </c>
      <c r="BG108" s="67">
        <f t="shared" si="42"/>
        <v>0</v>
      </c>
      <c r="BH108" s="66"/>
      <c r="BI108" s="68">
        <v>0</v>
      </c>
      <c r="BJ108" s="68" t="s">
        <v>1980</v>
      </c>
      <c r="BK108" s="68" t="s">
        <v>1980</v>
      </c>
      <c r="BL108" s="29"/>
      <c r="BO108" s="35" t="s">
        <v>1805</v>
      </c>
    </row>
    <row r="109" spans="1:67" ht="15" customHeight="1">
      <c r="A109" s="1" t="s">
        <v>43</v>
      </c>
      <c r="C109" s="1" t="str">
        <f t="shared" si="29"/>
        <v>2605</v>
      </c>
      <c r="D109" s="1" t="str">
        <f t="shared" si="30"/>
        <v>1906</v>
      </c>
      <c r="E109" s="19" t="s">
        <v>48</v>
      </c>
      <c r="F109" s="62" t="s">
        <v>1896</v>
      </c>
      <c r="G109" s="62">
        <v>2112</v>
      </c>
      <c r="H109" s="62" t="s">
        <v>386</v>
      </c>
      <c r="I109" s="62" t="s">
        <v>387</v>
      </c>
      <c r="J109" s="118">
        <v>1</v>
      </c>
      <c r="K109" s="119"/>
      <c r="L109" s="62" t="s">
        <v>77</v>
      </c>
      <c r="M109" s="120" t="s">
        <v>382</v>
      </c>
      <c r="N109" s="65">
        <v>43606</v>
      </c>
      <c r="O109" s="24">
        <v>3040</v>
      </c>
      <c r="P109" s="24">
        <v>23458</v>
      </c>
      <c r="Q109" s="64">
        <v>71312320</v>
      </c>
      <c r="R109" s="64">
        <v>0</v>
      </c>
      <c r="S109" s="64"/>
      <c r="T109" s="64">
        <v>1617185.72</v>
      </c>
      <c r="U109" s="64" t="s">
        <v>383</v>
      </c>
      <c r="V109" s="121">
        <v>72929506</v>
      </c>
      <c r="W109" s="122">
        <v>0</v>
      </c>
      <c r="X109" s="64">
        <v>72929506</v>
      </c>
      <c r="Y109" s="121"/>
      <c r="Z109" s="121"/>
      <c r="AA109" s="121"/>
      <c r="AB109" s="121"/>
      <c r="AC109" s="64">
        <v>72929506</v>
      </c>
      <c r="AD109" s="65">
        <v>43617</v>
      </c>
      <c r="AE109" s="65">
        <v>46172</v>
      </c>
      <c r="AF109" s="62">
        <v>7</v>
      </c>
      <c r="AG109" s="119">
        <v>84</v>
      </c>
      <c r="AH109" s="25">
        <v>868208.40476190473</v>
      </c>
      <c r="AI109" s="78">
        <v>47751444.327619046</v>
      </c>
      <c r="AJ109" s="78">
        <v>25178061.67238095</v>
      </c>
      <c r="AK109" s="27">
        <f t="shared" si="31"/>
        <v>868208.40476190473</v>
      </c>
      <c r="AL109" s="27">
        <f t="shared" si="40"/>
        <v>868208.40476190473</v>
      </c>
      <c r="AM109" s="27">
        <f t="shared" si="26"/>
        <v>868208.40476190473</v>
      </c>
      <c r="AN109" s="27">
        <f t="shared" si="19"/>
        <v>868208.40476190473</v>
      </c>
      <c r="AO109" s="27">
        <f t="shared" si="20"/>
        <v>868208.40476190473</v>
      </c>
      <c r="AP109" s="27">
        <f t="shared" si="20"/>
        <v>868208.40476190473</v>
      </c>
      <c r="AQ109" s="27">
        <f t="shared" si="21"/>
        <v>868208.40476190473</v>
      </c>
      <c r="AR109" s="27">
        <f t="shared" si="22"/>
        <v>868208.40476190473</v>
      </c>
      <c r="AS109" s="27"/>
      <c r="AT109" s="27"/>
      <c r="AU109" s="27"/>
      <c r="AV109" s="27"/>
      <c r="AW109" s="27">
        <f t="shared" si="33"/>
        <v>6945667.2380952379</v>
      </c>
      <c r="AX109" s="79">
        <f t="shared" si="34"/>
        <v>18232394.434285715</v>
      </c>
      <c r="AY109" s="79">
        <f t="shared" si="35"/>
        <v>54697111.565714285</v>
      </c>
      <c r="AZ109" s="25">
        <v>1</v>
      </c>
      <c r="BA109" s="62" t="s">
        <v>97</v>
      </c>
      <c r="BB109" s="66">
        <v>1</v>
      </c>
      <c r="BC109" s="66"/>
      <c r="BD109" s="66"/>
      <c r="BE109" s="67">
        <f t="shared" si="50"/>
        <v>868208.40476190473</v>
      </c>
      <c r="BF109" s="67">
        <f t="shared" si="24"/>
        <v>0</v>
      </c>
      <c r="BG109" s="67">
        <f t="shared" si="42"/>
        <v>0</v>
      </c>
      <c r="BH109" s="66"/>
      <c r="BI109" s="68" t="s">
        <v>80</v>
      </c>
      <c r="BJ109" s="68" t="s">
        <v>1930</v>
      </c>
      <c r="BK109" s="68" t="s">
        <v>1930</v>
      </c>
      <c r="BL109" s="29"/>
      <c r="BO109" s="35" t="s">
        <v>1805</v>
      </c>
    </row>
    <row r="110" spans="1:67" ht="15" customHeight="1">
      <c r="A110" s="1" t="s">
        <v>43</v>
      </c>
      <c r="C110" s="1" t="str">
        <f t="shared" si="29"/>
        <v>2605</v>
      </c>
      <c r="D110" s="1" t="str">
        <f t="shared" si="30"/>
        <v>1906</v>
      </c>
      <c r="E110" s="19" t="s">
        <v>48</v>
      </c>
      <c r="F110" s="62" t="s">
        <v>1896</v>
      </c>
      <c r="G110" s="62">
        <v>2112</v>
      </c>
      <c r="H110" s="62" t="s">
        <v>388</v>
      </c>
      <c r="I110" s="62" t="s">
        <v>389</v>
      </c>
      <c r="J110" s="118">
        <v>1</v>
      </c>
      <c r="K110" s="119"/>
      <c r="L110" s="62" t="s">
        <v>77</v>
      </c>
      <c r="M110" s="120" t="s">
        <v>382</v>
      </c>
      <c r="N110" s="65">
        <v>43606</v>
      </c>
      <c r="O110" s="24">
        <v>17345.78</v>
      </c>
      <c r="P110" s="24">
        <v>23458</v>
      </c>
      <c r="Q110" s="64">
        <v>406897307.23999995</v>
      </c>
      <c r="R110" s="64">
        <v>0</v>
      </c>
      <c r="S110" s="64"/>
      <c r="T110" s="64">
        <v>9227416.9900000002</v>
      </c>
      <c r="U110" s="64" t="s">
        <v>383</v>
      </c>
      <c r="V110" s="121">
        <v>416124724</v>
      </c>
      <c r="W110" s="122">
        <v>0</v>
      </c>
      <c r="X110" s="64">
        <v>416124724</v>
      </c>
      <c r="Y110" s="121"/>
      <c r="Z110" s="121"/>
      <c r="AA110" s="121"/>
      <c r="AB110" s="121"/>
      <c r="AC110" s="64">
        <v>416124724</v>
      </c>
      <c r="AD110" s="65">
        <v>43617</v>
      </c>
      <c r="AE110" s="65">
        <v>46172</v>
      </c>
      <c r="AF110" s="62">
        <v>7</v>
      </c>
      <c r="AG110" s="119">
        <v>84</v>
      </c>
      <c r="AH110" s="25">
        <v>4953865.7619047621</v>
      </c>
      <c r="AI110" s="78">
        <v>272462627.38904762</v>
      </c>
      <c r="AJ110" s="78">
        <v>143662096.61095241</v>
      </c>
      <c r="AK110" s="27">
        <f t="shared" si="31"/>
        <v>4953865.7619047621</v>
      </c>
      <c r="AL110" s="27">
        <f t="shared" si="40"/>
        <v>4953865.7619047621</v>
      </c>
      <c r="AM110" s="27">
        <f t="shared" si="26"/>
        <v>4953865.7619047621</v>
      </c>
      <c r="AN110" s="27">
        <f t="shared" si="19"/>
        <v>4953865.7619047621</v>
      </c>
      <c r="AO110" s="27">
        <f t="shared" si="20"/>
        <v>4953865.7619047621</v>
      </c>
      <c r="AP110" s="27">
        <f t="shared" si="20"/>
        <v>4953865.7619047621</v>
      </c>
      <c r="AQ110" s="27">
        <f t="shared" si="21"/>
        <v>4953865.7619047621</v>
      </c>
      <c r="AR110" s="27">
        <f t="shared" si="22"/>
        <v>4953865.7619047621</v>
      </c>
      <c r="AS110" s="27"/>
      <c r="AT110" s="27"/>
      <c r="AU110" s="27"/>
      <c r="AV110" s="27"/>
      <c r="AW110" s="27">
        <f t="shared" si="33"/>
        <v>39630926.095238097</v>
      </c>
      <c r="AX110" s="79">
        <f t="shared" si="34"/>
        <v>104031170.51571429</v>
      </c>
      <c r="AY110" s="79">
        <f t="shared" si="35"/>
        <v>312093553.48428571</v>
      </c>
      <c r="AZ110" s="25">
        <v>1</v>
      </c>
      <c r="BA110" s="62" t="s">
        <v>97</v>
      </c>
      <c r="BB110" s="66">
        <v>1</v>
      </c>
      <c r="BC110" s="66"/>
      <c r="BD110" s="66"/>
      <c r="BE110" s="67">
        <f t="shared" si="50"/>
        <v>4953865.7619047621</v>
      </c>
      <c r="BF110" s="67">
        <f t="shared" si="24"/>
        <v>0</v>
      </c>
      <c r="BG110" s="67">
        <f t="shared" si="42"/>
        <v>0</v>
      </c>
      <c r="BH110" s="66"/>
      <c r="BI110" s="68" t="s">
        <v>80</v>
      </c>
      <c r="BJ110" s="68" t="s">
        <v>1930</v>
      </c>
      <c r="BK110" s="68" t="s">
        <v>1930</v>
      </c>
      <c r="BL110" s="29"/>
      <c r="BO110" s="35" t="s">
        <v>1805</v>
      </c>
    </row>
    <row r="111" spans="1:67" ht="15" customHeight="1">
      <c r="A111" s="1" t="s">
        <v>43</v>
      </c>
      <c r="C111" s="1" t="str">
        <f t="shared" si="29"/>
        <v>2605</v>
      </c>
      <c r="D111" s="1" t="str">
        <f t="shared" si="30"/>
        <v>1906</v>
      </c>
      <c r="E111" s="19" t="s">
        <v>48</v>
      </c>
      <c r="F111" s="62" t="s">
        <v>49</v>
      </c>
      <c r="G111" s="62">
        <v>2112</v>
      </c>
      <c r="H111" s="62" t="s">
        <v>390</v>
      </c>
      <c r="I111" s="62" t="s">
        <v>391</v>
      </c>
      <c r="J111" s="118">
        <v>1</v>
      </c>
      <c r="K111" s="119"/>
      <c r="L111" s="62" t="s">
        <v>77</v>
      </c>
      <c r="M111" s="120" t="s">
        <v>392</v>
      </c>
      <c r="N111" s="65">
        <v>43612</v>
      </c>
      <c r="O111" s="24">
        <v>1887.97</v>
      </c>
      <c r="P111" s="24">
        <v>23452</v>
      </c>
      <c r="Q111" s="64">
        <v>44276672.439999998</v>
      </c>
      <c r="R111" s="64">
        <v>0</v>
      </c>
      <c r="S111" s="64"/>
      <c r="T111" s="131">
        <v>599581.15</v>
      </c>
      <c r="U111" s="64" t="s">
        <v>393</v>
      </c>
      <c r="V111" s="121">
        <v>44876254</v>
      </c>
      <c r="W111" s="122">
        <v>0</v>
      </c>
      <c r="X111" s="64">
        <v>44876254</v>
      </c>
      <c r="Y111" s="121"/>
      <c r="Z111" s="121"/>
      <c r="AA111" s="121"/>
      <c r="AB111" s="121"/>
      <c r="AC111" s="64">
        <v>44876254</v>
      </c>
      <c r="AD111" s="65">
        <v>43617</v>
      </c>
      <c r="AE111" s="65">
        <v>46172</v>
      </c>
      <c r="AF111" s="62">
        <v>7</v>
      </c>
      <c r="AG111" s="119">
        <v>84</v>
      </c>
      <c r="AH111" s="25">
        <v>534241.11904761905</v>
      </c>
      <c r="AI111" s="78">
        <v>29383256.600476187</v>
      </c>
      <c r="AJ111" s="78">
        <v>15492997.399523813</v>
      </c>
      <c r="AK111" s="27">
        <f t="shared" si="31"/>
        <v>534241.11904761905</v>
      </c>
      <c r="AL111" s="27">
        <f t="shared" si="40"/>
        <v>534241.11904761905</v>
      </c>
      <c r="AM111" s="27">
        <f t="shared" si="26"/>
        <v>534241.11904761905</v>
      </c>
      <c r="AN111" s="27">
        <f t="shared" si="19"/>
        <v>534241.11904761905</v>
      </c>
      <c r="AO111" s="27">
        <f t="shared" si="20"/>
        <v>534241.11904761905</v>
      </c>
      <c r="AP111" s="27">
        <f t="shared" si="20"/>
        <v>534241.11904761905</v>
      </c>
      <c r="AQ111" s="27">
        <f t="shared" si="21"/>
        <v>534241.11904761905</v>
      </c>
      <c r="AR111" s="27">
        <f t="shared" si="22"/>
        <v>534241.11904761905</v>
      </c>
      <c r="AS111" s="27"/>
      <c r="AT111" s="27"/>
      <c r="AU111" s="27"/>
      <c r="AV111" s="27"/>
      <c r="AW111" s="27">
        <f t="shared" si="33"/>
        <v>4273928.9523809524</v>
      </c>
      <c r="AX111" s="79">
        <f t="shared" si="34"/>
        <v>11219068.447142862</v>
      </c>
      <c r="AY111" s="79">
        <f t="shared" si="35"/>
        <v>33657185.552857138</v>
      </c>
      <c r="AZ111" s="25">
        <v>1</v>
      </c>
      <c r="BA111" s="62" t="s">
        <v>97</v>
      </c>
      <c r="BB111" s="66">
        <v>1</v>
      </c>
      <c r="BC111" s="66"/>
      <c r="BD111" s="66"/>
      <c r="BE111" s="67">
        <f t="shared" si="50"/>
        <v>534241.11904761905</v>
      </c>
      <c r="BF111" s="67">
        <f t="shared" si="24"/>
        <v>0</v>
      </c>
      <c r="BG111" s="67">
        <f t="shared" si="42"/>
        <v>0</v>
      </c>
      <c r="BH111" s="66"/>
      <c r="BI111" s="68" t="s">
        <v>146</v>
      </c>
      <c r="BJ111" s="68" t="s">
        <v>58</v>
      </c>
      <c r="BK111" s="68" t="s">
        <v>159</v>
      </c>
      <c r="BL111" s="29"/>
      <c r="BO111" s="35" t="s">
        <v>1804</v>
      </c>
    </row>
    <row r="112" spans="1:67" ht="15" customHeight="1">
      <c r="A112" s="1" t="s">
        <v>43</v>
      </c>
      <c r="C112" s="1" t="str">
        <f t="shared" si="29"/>
        <v>2605</v>
      </c>
      <c r="D112" s="1" t="str">
        <f t="shared" si="30"/>
        <v>1906</v>
      </c>
      <c r="E112" s="19" t="s">
        <v>48</v>
      </c>
      <c r="F112" s="62" t="s">
        <v>1896</v>
      </c>
      <c r="G112" s="62">
        <v>2112</v>
      </c>
      <c r="H112" s="62" t="s">
        <v>395</v>
      </c>
      <c r="I112" s="62" t="s">
        <v>396</v>
      </c>
      <c r="J112" s="118">
        <v>1</v>
      </c>
      <c r="K112" s="119"/>
      <c r="L112" s="62" t="s">
        <v>77</v>
      </c>
      <c r="M112" s="120" t="s">
        <v>397</v>
      </c>
      <c r="N112" s="65">
        <v>43615</v>
      </c>
      <c r="O112" s="24">
        <v>45395.82</v>
      </c>
      <c r="P112" s="24">
        <v>23479</v>
      </c>
      <c r="Q112" s="64">
        <v>1065848457.78</v>
      </c>
      <c r="R112" s="64">
        <v>0</v>
      </c>
      <c r="S112" s="64"/>
      <c r="T112" s="64">
        <v>19359209.214000002</v>
      </c>
      <c r="U112" s="64" t="s">
        <v>398</v>
      </c>
      <c r="V112" s="121">
        <v>1085207667</v>
      </c>
      <c r="W112" s="122">
        <v>0</v>
      </c>
      <c r="X112" s="64">
        <v>1085207667</v>
      </c>
      <c r="Y112" s="121"/>
      <c r="Z112" s="121"/>
      <c r="AA112" s="121"/>
      <c r="AB112" s="121"/>
      <c r="AC112" s="64">
        <v>1085207667</v>
      </c>
      <c r="AD112" s="65">
        <v>43617</v>
      </c>
      <c r="AE112" s="65">
        <v>46172</v>
      </c>
      <c r="AF112" s="62">
        <v>7</v>
      </c>
      <c r="AG112" s="119">
        <v>84</v>
      </c>
      <c r="AH112" s="25">
        <v>12919138.892857144</v>
      </c>
      <c r="AI112" s="78">
        <v>710552643.93857145</v>
      </c>
      <c r="AJ112" s="78">
        <v>374655023.06142855</v>
      </c>
      <c r="AK112" s="27">
        <f t="shared" si="31"/>
        <v>12919138.892857144</v>
      </c>
      <c r="AL112" s="27">
        <f t="shared" si="40"/>
        <v>12919138.892857144</v>
      </c>
      <c r="AM112" s="27">
        <f t="shared" si="26"/>
        <v>12919138.892857144</v>
      </c>
      <c r="AN112" s="27">
        <f t="shared" si="19"/>
        <v>12919138.892857144</v>
      </c>
      <c r="AO112" s="27">
        <f t="shared" si="20"/>
        <v>12919138.892857144</v>
      </c>
      <c r="AP112" s="27">
        <f t="shared" si="20"/>
        <v>12919138.892857144</v>
      </c>
      <c r="AQ112" s="27">
        <f t="shared" si="21"/>
        <v>12919138.892857144</v>
      </c>
      <c r="AR112" s="27">
        <f t="shared" si="22"/>
        <v>12919138.892857144</v>
      </c>
      <c r="AS112" s="27"/>
      <c r="AT112" s="27"/>
      <c r="AU112" s="27"/>
      <c r="AV112" s="27"/>
      <c r="AW112" s="27">
        <f t="shared" si="33"/>
        <v>103353111.14285716</v>
      </c>
      <c r="AX112" s="79">
        <f t="shared" si="34"/>
        <v>271301911.91857135</v>
      </c>
      <c r="AY112" s="79">
        <f t="shared" si="35"/>
        <v>813905755.08142865</v>
      </c>
      <c r="AZ112" s="25">
        <v>1</v>
      </c>
      <c r="BA112" s="62" t="s">
        <v>97</v>
      </c>
      <c r="BB112" s="66">
        <v>1</v>
      </c>
      <c r="BC112" s="66"/>
      <c r="BD112" s="66"/>
      <c r="BE112" s="67">
        <f t="shared" si="50"/>
        <v>12919138.892857144</v>
      </c>
      <c r="BF112" s="67">
        <f t="shared" si="24"/>
        <v>0</v>
      </c>
      <c r="BG112" s="67">
        <f t="shared" si="42"/>
        <v>0</v>
      </c>
      <c r="BH112" s="66"/>
      <c r="BI112" s="68" t="s">
        <v>57</v>
      </c>
      <c r="BJ112" s="68" t="s">
        <v>1982</v>
      </c>
      <c r="BK112" s="68" t="s">
        <v>1982</v>
      </c>
      <c r="BL112" s="29"/>
      <c r="BM112" s="1" t="s">
        <v>1887</v>
      </c>
      <c r="BO112" s="35" t="s">
        <v>1807</v>
      </c>
    </row>
    <row r="113" spans="1:68" ht="15" customHeight="1">
      <c r="A113" s="1" t="s">
        <v>43</v>
      </c>
      <c r="C113" s="1" t="str">
        <f t="shared" si="29"/>
        <v>2606</v>
      </c>
      <c r="D113" s="1" t="str">
        <f t="shared" si="30"/>
        <v>1906</v>
      </c>
      <c r="E113" s="19" t="s">
        <v>48</v>
      </c>
      <c r="F113" s="62" t="s">
        <v>1896</v>
      </c>
      <c r="G113" s="62">
        <v>2114</v>
      </c>
      <c r="H113" s="62" t="s">
        <v>400</v>
      </c>
      <c r="I113" s="62" t="s">
        <v>401</v>
      </c>
      <c r="J113" s="118">
        <v>1</v>
      </c>
      <c r="K113" s="119"/>
      <c r="L113" s="62" t="s">
        <v>402</v>
      </c>
      <c r="M113" s="120" t="s">
        <v>403</v>
      </c>
      <c r="N113" s="65">
        <v>43627</v>
      </c>
      <c r="O113" s="24"/>
      <c r="P113" s="24"/>
      <c r="Q113" s="64">
        <v>52800000</v>
      </c>
      <c r="R113" s="64"/>
      <c r="S113" s="64"/>
      <c r="T113" s="64"/>
      <c r="U113" s="64"/>
      <c r="V113" s="121">
        <v>52800000</v>
      </c>
      <c r="W113" s="122">
        <v>0</v>
      </c>
      <c r="X113" s="64">
        <v>52800000</v>
      </c>
      <c r="Y113" s="121"/>
      <c r="Z113" s="121"/>
      <c r="AA113" s="121"/>
      <c r="AB113" s="121"/>
      <c r="AC113" s="64">
        <v>52800000</v>
      </c>
      <c r="AD113" s="65">
        <v>43627</v>
      </c>
      <c r="AE113" s="65">
        <v>46182</v>
      </c>
      <c r="AF113" s="62">
        <v>7</v>
      </c>
      <c r="AG113" s="119">
        <v>84</v>
      </c>
      <c r="AH113" s="25">
        <v>628571.42857142852</v>
      </c>
      <c r="AI113" s="78">
        <v>34361885.285714284</v>
      </c>
      <c r="AJ113" s="78">
        <v>18438114.714285716</v>
      </c>
      <c r="AK113" s="27">
        <f t="shared" si="31"/>
        <v>628571.42857142852</v>
      </c>
      <c r="AL113" s="27">
        <f t="shared" si="40"/>
        <v>628571.42857142852</v>
      </c>
      <c r="AM113" s="27">
        <f t="shared" si="26"/>
        <v>628571.42857142852</v>
      </c>
      <c r="AN113" s="27">
        <f t="shared" si="19"/>
        <v>628571.42857142852</v>
      </c>
      <c r="AO113" s="27">
        <f t="shared" si="20"/>
        <v>628571.42857142852</v>
      </c>
      <c r="AP113" s="27">
        <f t="shared" si="20"/>
        <v>628571.42857142852</v>
      </c>
      <c r="AQ113" s="27">
        <f t="shared" si="21"/>
        <v>628571.42857142852</v>
      </c>
      <c r="AR113" s="27">
        <f t="shared" si="22"/>
        <v>628571.42857142852</v>
      </c>
      <c r="AS113" s="27"/>
      <c r="AT113" s="27"/>
      <c r="AU113" s="27"/>
      <c r="AV113" s="27"/>
      <c r="AW113" s="27">
        <f t="shared" si="33"/>
        <v>5028571.4285714282</v>
      </c>
      <c r="AX113" s="79">
        <f>AC113-AI113-AW113</f>
        <v>13409543.285714287</v>
      </c>
      <c r="AY113" s="79">
        <f t="shared" si="35"/>
        <v>39390456.714285709</v>
      </c>
      <c r="AZ113" s="25">
        <v>1</v>
      </c>
      <c r="BA113" s="62" t="s">
        <v>97</v>
      </c>
      <c r="BB113" s="66">
        <v>1</v>
      </c>
      <c r="BC113" s="66"/>
      <c r="BD113" s="66"/>
      <c r="BE113" s="67">
        <f t="shared" si="50"/>
        <v>628571.42857142852</v>
      </c>
      <c r="BF113" s="67">
        <f t="shared" si="24"/>
        <v>0</v>
      </c>
      <c r="BG113" s="67">
        <f t="shared" si="42"/>
        <v>0</v>
      </c>
      <c r="BH113" s="66"/>
      <c r="BI113" s="68" t="s">
        <v>80</v>
      </c>
      <c r="BJ113" s="68" t="s">
        <v>1930</v>
      </c>
      <c r="BK113" s="68" t="s">
        <v>1930</v>
      </c>
      <c r="BL113" s="29"/>
      <c r="BO113" s="35" t="s">
        <v>1801</v>
      </c>
    </row>
    <row r="114" spans="1:68" ht="15" customHeight="1">
      <c r="A114" s="1" t="s">
        <v>43</v>
      </c>
      <c r="C114" s="1" t="str">
        <f t="shared" si="29"/>
        <v>2706</v>
      </c>
      <c r="D114" s="1" t="str">
        <f t="shared" si="30"/>
        <v>1906</v>
      </c>
      <c r="E114" s="19" t="s">
        <v>48</v>
      </c>
      <c r="F114" s="62" t="s">
        <v>49</v>
      </c>
      <c r="G114" s="62">
        <v>2111</v>
      </c>
      <c r="H114" s="62" t="s">
        <v>404</v>
      </c>
      <c r="I114" s="62" t="s">
        <v>405</v>
      </c>
      <c r="J114" s="118">
        <v>1</v>
      </c>
      <c r="K114" s="119"/>
      <c r="L114" s="62" t="s">
        <v>70</v>
      </c>
      <c r="M114" s="120" t="s">
        <v>406</v>
      </c>
      <c r="N114" s="65">
        <v>43631</v>
      </c>
      <c r="O114" s="24"/>
      <c r="P114" s="24"/>
      <c r="Q114" s="64">
        <v>44167200</v>
      </c>
      <c r="R114" s="64"/>
      <c r="S114" s="64"/>
      <c r="T114" s="64"/>
      <c r="U114" s="64"/>
      <c r="V114" s="121">
        <v>44167200</v>
      </c>
      <c r="W114" s="122">
        <v>0</v>
      </c>
      <c r="X114" s="64">
        <v>44167200</v>
      </c>
      <c r="Y114" s="121"/>
      <c r="Z114" s="121"/>
      <c r="AA114" s="121"/>
      <c r="AB114" s="121"/>
      <c r="AC114" s="64">
        <v>44167200</v>
      </c>
      <c r="AD114" s="65">
        <v>43631</v>
      </c>
      <c r="AE114" s="65">
        <v>46552</v>
      </c>
      <c r="AF114" s="62">
        <v>8</v>
      </c>
      <c r="AG114" s="119">
        <v>96</v>
      </c>
      <c r="AH114" s="25">
        <v>460075</v>
      </c>
      <c r="AI114" s="78">
        <v>25089423</v>
      </c>
      <c r="AJ114" s="78">
        <v>19077777</v>
      </c>
      <c r="AK114" s="27">
        <f t="shared" si="31"/>
        <v>460075</v>
      </c>
      <c r="AL114" s="27">
        <f t="shared" si="40"/>
        <v>460075</v>
      </c>
      <c r="AM114" s="27">
        <f t="shared" si="26"/>
        <v>460075</v>
      </c>
      <c r="AN114" s="27">
        <f t="shared" ref="AN114:AN171" si="51">+IF(AND(AN$3&gt;=$D114,AN$3&lt;$C114),$AH114,$AJ114-SUM(AL114:AM114))</f>
        <v>460075</v>
      </c>
      <c r="AO114" s="27">
        <f t="shared" ref="AO114:AP171" si="52">+IF(AND(AO$3&gt;=$D114,AO$3&lt;$C114),$AH114,$AJ114-SUM(AM114:AN114))</f>
        <v>460075</v>
      </c>
      <c r="AP114" s="27">
        <f t="shared" si="52"/>
        <v>460075</v>
      </c>
      <c r="AQ114" s="27">
        <f t="shared" ref="AQ114:AQ171" si="53">+IF(AND(AQ$3&gt;=$D114,AQ$3&lt;$C114),$AH114,$AJ114-SUM(AK114:AP114))</f>
        <v>460075</v>
      </c>
      <c r="AR114" s="27">
        <f t="shared" ref="AR114:AR171" si="54">+IF(AND(AR$3&gt;=$D114,AR$3&lt;$C114),$AH114,$AJ114-SUM(AL114:AQ114))</f>
        <v>460075</v>
      </c>
      <c r="AS114" s="27"/>
      <c r="AT114" s="27"/>
      <c r="AU114" s="27"/>
      <c r="AV114" s="27"/>
      <c r="AW114" s="27">
        <f t="shared" si="33"/>
        <v>3680600</v>
      </c>
      <c r="AX114" s="79">
        <f t="shared" si="34"/>
        <v>15397177</v>
      </c>
      <c r="AY114" s="79">
        <f t="shared" si="35"/>
        <v>28770023</v>
      </c>
      <c r="AZ114" s="25">
        <v>1</v>
      </c>
      <c r="BA114" s="62" t="s">
        <v>56</v>
      </c>
      <c r="BB114" s="66">
        <v>1</v>
      </c>
      <c r="BC114" s="66"/>
      <c r="BD114" s="66"/>
      <c r="BE114" s="67">
        <f t="shared" si="50"/>
        <v>460075</v>
      </c>
      <c r="BF114" s="67">
        <f t="shared" ref="BF114:BF171" si="55">+$AM114*BC114</f>
        <v>0</v>
      </c>
      <c r="BG114" s="67">
        <f t="shared" si="42"/>
        <v>0</v>
      </c>
      <c r="BH114" s="66"/>
      <c r="BI114" s="68" t="s">
        <v>57</v>
      </c>
      <c r="BJ114" s="68" t="s">
        <v>58</v>
      </c>
      <c r="BK114" s="68" t="s">
        <v>59</v>
      </c>
      <c r="BL114" s="29"/>
      <c r="BO114" s="35" t="s">
        <v>1799</v>
      </c>
    </row>
    <row r="115" spans="1:68" s="107" customFormat="1" ht="15" customHeight="1">
      <c r="A115" s="107" t="s">
        <v>43</v>
      </c>
      <c r="C115" s="107" t="str">
        <f t="shared" si="29"/>
        <v>2406</v>
      </c>
      <c r="D115" s="107" t="str">
        <f t="shared" si="30"/>
        <v>1907</v>
      </c>
      <c r="E115" s="213" t="s">
        <v>48</v>
      </c>
      <c r="F115" s="108" t="s">
        <v>1896</v>
      </c>
      <c r="G115" s="108">
        <v>2112</v>
      </c>
      <c r="H115" s="108" t="s">
        <v>407</v>
      </c>
      <c r="I115" s="108" t="s">
        <v>408</v>
      </c>
      <c r="J115" s="214">
        <v>1</v>
      </c>
      <c r="K115" s="215"/>
      <c r="L115" s="108" t="s">
        <v>77</v>
      </c>
      <c r="M115" s="216" t="s">
        <v>409</v>
      </c>
      <c r="N115" s="217">
        <v>43643</v>
      </c>
      <c r="O115" s="218">
        <v>9500</v>
      </c>
      <c r="P115" s="218">
        <v>23396</v>
      </c>
      <c r="Q115" s="219">
        <v>222262000</v>
      </c>
      <c r="R115" s="219">
        <v>0</v>
      </c>
      <c r="S115" s="219"/>
      <c r="T115" s="219">
        <v>2128544.6809999999</v>
      </c>
      <c r="U115" s="219" t="s">
        <v>410</v>
      </c>
      <c r="V115" s="220">
        <v>224390545</v>
      </c>
      <c r="W115" s="263">
        <v>0</v>
      </c>
      <c r="X115" s="219">
        <v>224390545</v>
      </c>
      <c r="Y115" s="220"/>
      <c r="Z115" s="220"/>
      <c r="AA115" s="220"/>
      <c r="AB115" s="220"/>
      <c r="AC115" s="219">
        <v>224390545</v>
      </c>
      <c r="AD115" s="217">
        <v>43647</v>
      </c>
      <c r="AE115" s="217">
        <v>45472</v>
      </c>
      <c r="AF115" s="108">
        <v>5</v>
      </c>
      <c r="AG115" s="215">
        <v>60</v>
      </c>
      <c r="AH115" s="109">
        <v>3739842.4166666665</v>
      </c>
      <c r="AI115" s="221">
        <v>201951472.48666665</v>
      </c>
      <c r="AJ115" s="221">
        <v>22439072.513333343</v>
      </c>
      <c r="AK115" s="110">
        <f t="shared" si="31"/>
        <v>3739842.4166666665</v>
      </c>
      <c r="AL115" s="110">
        <f t="shared" si="40"/>
        <v>3739842.4166666665</v>
      </c>
      <c r="AM115" s="110">
        <f t="shared" si="26"/>
        <v>3739842.4166666665</v>
      </c>
      <c r="AN115" s="110">
        <f t="shared" si="51"/>
        <v>3739842.4166666665</v>
      </c>
      <c r="AO115" s="110">
        <f t="shared" si="52"/>
        <v>3739842.4166666665</v>
      </c>
      <c r="AP115" s="110">
        <f>AJ115-AK115-AL115-AM115-AN115-AO115</f>
        <v>3739860.4300000104</v>
      </c>
      <c r="AQ115" s="110">
        <f t="shared" si="53"/>
        <v>0</v>
      </c>
      <c r="AR115" s="110">
        <f>+IF(AND(AR$3&gt;=$D115,AR$3&lt;$C115),$AH115,$AJ115-SUM(AK115:AQ115))</f>
        <v>0</v>
      </c>
      <c r="AS115" s="110"/>
      <c r="AT115" s="110"/>
      <c r="AU115" s="110"/>
      <c r="AV115" s="110"/>
      <c r="AW115" s="110">
        <f t="shared" si="33"/>
        <v>22439072.513333343</v>
      </c>
      <c r="AX115" s="110">
        <f t="shared" si="34"/>
        <v>0</v>
      </c>
      <c r="AY115" s="110">
        <f t="shared" si="35"/>
        <v>224390545</v>
      </c>
      <c r="AZ115" s="109">
        <v>1</v>
      </c>
      <c r="BA115" s="108" t="s">
        <v>97</v>
      </c>
      <c r="BB115" s="111">
        <v>1</v>
      </c>
      <c r="BC115" s="111"/>
      <c r="BD115" s="111"/>
      <c r="BE115" s="222">
        <v>0</v>
      </c>
      <c r="BF115" s="222">
        <f t="shared" si="55"/>
        <v>0</v>
      </c>
      <c r="BG115" s="222">
        <f t="shared" si="42"/>
        <v>0</v>
      </c>
      <c r="BH115" s="111"/>
      <c r="BI115" s="112" t="s">
        <v>411</v>
      </c>
      <c r="BJ115" s="112" t="s">
        <v>1982</v>
      </c>
      <c r="BK115" s="112" t="s">
        <v>1982</v>
      </c>
      <c r="BL115" s="113"/>
      <c r="BO115" s="107" t="s">
        <v>1805</v>
      </c>
    </row>
    <row r="116" spans="1:68" ht="15" customHeight="1">
      <c r="A116" s="1" t="s">
        <v>43</v>
      </c>
      <c r="C116" s="1" t="str">
        <f t="shared" si="29"/>
        <v>2606</v>
      </c>
      <c r="D116" s="1" t="str">
        <f t="shared" si="30"/>
        <v>1907</v>
      </c>
      <c r="E116" s="19" t="s">
        <v>48</v>
      </c>
      <c r="F116" s="62" t="s">
        <v>1896</v>
      </c>
      <c r="G116" s="62">
        <v>2112</v>
      </c>
      <c r="H116" s="62" t="s">
        <v>412</v>
      </c>
      <c r="I116" s="62" t="s">
        <v>413</v>
      </c>
      <c r="J116" s="118">
        <v>1</v>
      </c>
      <c r="K116" s="119"/>
      <c r="L116" s="62" t="s">
        <v>77</v>
      </c>
      <c r="M116" s="120" t="s">
        <v>409</v>
      </c>
      <c r="N116" s="65">
        <v>43643</v>
      </c>
      <c r="O116" s="24">
        <v>11620</v>
      </c>
      <c r="P116" s="24">
        <v>23396</v>
      </c>
      <c r="Q116" s="64">
        <v>271861520</v>
      </c>
      <c r="R116" s="64">
        <v>0</v>
      </c>
      <c r="S116" s="64"/>
      <c r="T116" s="64">
        <v>2603546.23</v>
      </c>
      <c r="U116" s="64" t="s">
        <v>410</v>
      </c>
      <c r="V116" s="121">
        <v>274465066</v>
      </c>
      <c r="W116" s="122">
        <v>0</v>
      </c>
      <c r="X116" s="64">
        <v>274465066</v>
      </c>
      <c r="Y116" s="121"/>
      <c r="Z116" s="121"/>
      <c r="AA116" s="121"/>
      <c r="AB116" s="121"/>
      <c r="AC116" s="64">
        <v>274465066</v>
      </c>
      <c r="AD116" s="65">
        <v>43647</v>
      </c>
      <c r="AE116" s="65">
        <v>46202</v>
      </c>
      <c r="AF116" s="62">
        <v>7</v>
      </c>
      <c r="AG116" s="119">
        <v>84</v>
      </c>
      <c r="AH116" s="25">
        <v>3267441.2619047621</v>
      </c>
      <c r="AI116" s="78">
        <v>176441816.38904762</v>
      </c>
      <c r="AJ116" s="78">
        <v>98023249.610952377</v>
      </c>
      <c r="AK116" s="27">
        <f t="shared" si="31"/>
        <v>3267441.2619047621</v>
      </c>
      <c r="AL116" s="27">
        <f t="shared" si="40"/>
        <v>3267441.2619047621</v>
      </c>
      <c r="AM116" s="27">
        <f t="shared" si="26"/>
        <v>3267441.2619047621</v>
      </c>
      <c r="AN116" s="27">
        <f t="shared" si="51"/>
        <v>3267441.2619047621</v>
      </c>
      <c r="AO116" s="27">
        <f t="shared" si="52"/>
        <v>3267441.2619047621</v>
      </c>
      <c r="AP116" s="27">
        <f t="shared" si="52"/>
        <v>3267441.2619047621</v>
      </c>
      <c r="AQ116" s="27">
        <f t="shared" si="53"/>
        <v>3267441.2619047621</v>
      </c>
      <c r="AR116" s="27">
        <f t="shared" si="54"/>
        <v>3267441.2619047621</v>
      </c>
      <c r="AS116" s="27"/>
      <c r="AT116" s="27"/>
      <c r="AU116" s="27"/>
      <c r="AV116" s="27"/>
      <c r="AW116" s="27">
        <f t="shared" si="33"/>
        <v>26139530.095238093</v>
      </c>
      <c r="AX116" s="79">
        <f t="shared" si="34"/>
        <v>71883719.515714288</v>
      </c>
      <c r="AY116" s="79">
        <f t="shared" si="35"/>
        <v>202581346.48428571</v>
      </c>
      <c r="AZ116" s="25">
        <v>1</v>
      </c>
      <c r="BA116" s="62" t="s">
        <v>97</v>
      </c>
      <c r="BB116" s="66">
        <v>1</v>
      </c>
      <c r="BC116" s="66"/>
      <c r="BD116" s="66"/>
      <c r="BE116" s="67">
        <f t="shared" si="50"/>
        <v>3267441.2619047621</v>
      </c>
      <c r="BF116" s="67">
        <f t="shared" si="55"/>
        <v>0</v>
      </c>
      <c r="BG116" s="67">
        <f t="shared" si="42"/>
        <v>0</v>
      </c>
      <c r="BH116" s="66"/>
      <c r="BI116" s="68" t="s">
        <v>414</v>
      </c>
      <c r="BJ116" s="68" t="s">
        <v>1930</v>
      </c>
      <c r="BK116" s="68" t="s">
        <v>1930</v>
      </c>
      <c r="BL116" s="29"/>
      <c r="BO116" s="35" t="s">
        <v>1805</v>
      </c>
    </row>
    <row r="117" spans="1:68" ht="15" customHeight="1">
      <c r="A117" s="1" t="s">
        <v>43</v>
      </c>
      <c r="C117" s="1" t="str">
        <f t="shared" si="29"/>
        <v>2606</v>
      </c>
      <c r="D117" s="1" t="str">
        <f t="shared" si="30"/>
        <v>1907</v>
      </c>
      <c r="E117" s="19" t="s">
        <v>48</v>
      </c>
      <c r="F117" s="62" t="s">
        <v>1896</v>
      </c>
      <c r="G117" s="62">
        <v>2112</v>
      </c>
      <c r="H117" s="62" t="s">
        <v>415</v>
      </c>
      <c r="I117" s="62" t="s">
        <v>416</v>
      </c>
      <c r="J117" s="118">
        <v>1</v>
      </c>
      <c r="K117" s="119"/>
      <c r="L117" s="62" t="s">
        <v>77</v>
      </c>
      <c r="M117" s="120" t="s">
        <v>409</v>
      </c>
      <c r="N117" s="65">
        <v>43643</v>
      </c>
      <c r="O117" s="24">
        <v>17340</v>
      </c>
      <c r="P117" s="24">
        <v>23396</v>
      </c>
      <c r="Q117" s="64">
        <v>405686640</v>
      </c>
      <c r="R117" s="64">
        <v>0</v>
      </c>
      <c r="S117" s="64"/>
      <c r="T117" s="64">
        <v>3885154.1910000001</v>
      </c>
      <c r="U117" s="64" t="s">
        <v>410</v>
      </c>
      <c r="V117" s="121">
        <v>409571794</v>
      </c>
      <c r="W117" s="122">
        <v>0</v>
      </c>
      <c r="X117" s="64">
        <v>409571794</v>
      </c>
      <c r="Y117" s="121"/>
      <c r="Z117" s="121"/>
      <c r="AA117" s="121"/>
      <c r="AB117" s="121"/>
      <c r="AC117" s="64">
        <v>409571794</v>
      </c>
      <c r="AD117" s="65">
        <v>43647</v>
      </c>
      <c r="AE117" s="65">
        <v>46202</v>
      </c>
      <c r="AF117" s="62">
        <v>7</v>
      </c>
      <c r="AG117" s="119">
        <v>84</v>
      </c>
      <c r="AH117" s="25">
        <v>4875854.6904761903</v>
      </c>
      <c r="AI117" s="78">
        <v>263296166.71476191</v>
      </c>
      <c r="AJ117" s="78">
        <v>146275627.28523809</v>
      </c>
      <c r="AK117" s="27">
        <f t="shared" si="31"/>
        <v>4875854.6904761903</v>
      </c>
      <c r="AL117" s="27">
        <f t="shared" si="40"/>
        <v>4875854.6904761903</v>
      </c>
      <c r="AM117" s="27">
        <f t="shared" si="26"/>
        <v>4875854.6904761903</v>
      </c>
      <c r="AN117" s="27">
        <f t="shared" si="51"/>
        <v>4875854.6904761903</v>
      </c>
      <c r="AO117" s="27">
        <f t="shared" si="52"/>
        <v>4875854.6904761903</v>
      </c>
      <c r="AP117" s="27">
        <f t="shared" si="52"/>
        <v>4875854.6904761903</v>
      </c>
      <c r="AQ117" s="27">
        <f t="shared" si="53"/>
        <v>4875854.6904761903</v>
      </c>
      <c r="AR117" s="27">
        <f t="shared" si="54"/>
        <v>4875854.6904761903</v>
      </c>
      <c r="AS117" s="27"/>
      <c r="AT117" s="27"/>
      <c r="AU117" s="27"/>
      <c r="AV117" s="27"/>
      <c r="AW117" s="27">
        <f t="shared" si="33"/>
        <v>39006837.523809522</v>
      </c>
      <c r="AX117" s="79">
        <f t="shared" si="34"/>
        <v>107268789.76142856</v>
      </c>
      <c r="AY117" s="79">
        <f t="shared" si="35"/>
        <v>302303004.23857141</v>
      </c>
      <c r="AZ117" s="25">
        <v>1</v>
      </c>
      <c r="BA117" s="62" t="s">
        <v>97</v>
      </c>
      <c r="BB117" s="66">
        <v>1</v>
      </c>
      <c r="BC117" s="66"/>
      <c r="BD117" s="66"/>
      <c r="BE117" s="67">
        <f t="shared" si="50"/>
        <v>4875854.6904761903</v>
      </c>
      <c r="BF117" s="67">
        <f t="shared" si="55"/>
        <v>0</v>
      </c>
      <c r="BG117" s="67">
        <f t="shared" si="42"/>
        <v>0</v>
      </c>
      <c r="BH117" s="66"/>
      <c r="BI117" s="68" t="s">
        <v>414</v>
      </c>
      <c r="BJ117" s="68" t="s">
        <v>1930</v>
      </c>
      <c r="BK117" s="68" t="s">
        <v>1930</v>
      </c>
      <c r="BL117" s="29"/>
      <c r="BO117" s="35" t="s">
        <v>1805</v>
      </c>
    </row>
    <row r="118" spans="1:68" ht="15" customHeight="1">
      <c r="A118" s="1" t="s">
        <v>43</v>
      </c>
      <c r="C118" s="1" t="str">
        <f t="shared" si="29"/>
        <v>2606</v>
      </c>
      <c r="D118" s="1" t="str">
        <f t="shared" si="30"/>
        <v>1907</v>
      </c>
      <c r="E118" s="19" t="s">
        <v>48</v>
      </c>
      <c r="F118" s="62" t="s">
        <v>1896</v>
      </c>
      <c r="G118" s="62">
        <v>2112</v>
      </c>
      <c r="H118" s="62" t="s">
        <v>421</v>
      </c>
      <c r="I118" s="62" t="s">
        <v>422</v>
      </c>
      <c r="J118" s="118">
        <v>1</v>
      </c>
      <c r="K118" s="119"/>
      <c r="L118" s="62" t="s">
        <v>77</v>
      </c>
      <c r="M118" s="120" t="s">
        <v>409</v>
      </c>
      <c r="N118" s="65">
        <v>43643</v>
      </c>
      <c r="O118" s="24">
        <v>40120</v>
      </c>
      <c r="P118" s="24">
        <v>23396</v>
      </c>
      <c r="Q118" s="64">
        <v>938647520</v>
      </c>
      <c r="R118" s="64">
        <v>0</v>
      </c>
      <c r="S118" s="64"/>
      <c r="T118" s="64">
        <v>8989180.2819999978</v>
      </c>
      <c r="U118" s="64" t="s">
        <v>410</v>
      </c>
      <c r="V118" s="121">
        <v>947636700</v>
      </c>
      <c r="W118" s="122">
        <v>0</v>
      </c>
      <c r="X118" s="64">
        <v>947636700</v>
      </c>
      <c r="Y118" s="121"/>
      <c r="Z118" s="121"/>
      <c r="AA118" s="121"/>
      <c r="AB118" s="121"/>
      <c r="AC118" s="64">
        <v>947636700</v>
      </c>
      <c r="AD118" s="65">
        <v>43647</v>
      </c>
      <c r="AE118" s="65">
        <v>46202</v>
      </c>
      <c r="AF118" s="62">
        <v>7</v>
      </c>
      <c r="AG118" s="119">
        <v>84</v>
      </c>
      <c r="AH118" s="25">
        <v>11281389.285714285</v>
      </c>
      <c r="AI118" s="78">
        <v>609195008.57714283</v>
      </c>
      <c r="AJ118" s="78">
        <v>338441691.42285717</v>
      </c>
      <c r="AK118" s="27">
        <f t="shared" si="31"/>
        <v>11281389.285714285</v>
      </c>
      <c r="AL118" s="27">
        <f t="shared" si="40"/>
        <v>11281389.285714285</v>
      </c>
      <c r="AM118" s="27">
        <f t="shared" ref="AM118:AM175" si="56">+IF(AND(AM$3&gt;=$D118,AM$3&lt;$C118),$AH118,$AJ118-SUM(AK118:AL118))</f>
        <v>11281389.285714285</v>
      </c>
      <c r="AN118" s="27">
        <f t="shared" si="51"/>
        <v>11281389.285714285</v>
      </c>
      <c r="AO118" s="27">
        <f t="shared" si="52"/>
        <v>11281389.285714285</v>
      </c>
      <c r="AP118" s="27">
        <f t="shared" si="52"/>
        <v>11281389.285714285</v>
      </c>
      <c r="AQ118" s="27">
        <f t="shared" si="53"/>
        <v>11281389.285714285</v>
      </c>
      <c r="AR118" s="27">
        <f t="shared" si="54"/>
        <v>11281389.285714285</v>
      </c>
      <c r="AS118" s="27"/>
      <c r="AT118" s="27"/>
      <c r="AU118" s="27"/>
      <c r="AV118" s="27"/>
      <c r="AW118" s="27">
        <f t="shared" si="33"/>
        <v>90251114.285714284</v>
      </c>
      <c r="AX118" s="79">
        <f t="shared" si="34"/>
        <v>248190577.1371429</v>
      </c>
      <c r="AY118" s="79">
        <f t="shared" si="35"/>
        <v>699446122.8628571</v>
      </c>
      <c r="AZ118" s="25">
        <v>1</v>
      </c>
      <c r="BA118" s="62" t="s">
        <v>97</v>
      </c>
      <c r="BB118" s="66">
        <v>1</v>
      </c>
      <c r="BC118" s="66"/>
      <c r="BD118" s="66"/>
      <c r="BE118" s="67">
        <f t="shared" si="50"/>
        <v>11281389.285714285</v>
      </c>
      <c r="BF118" s="67">
        <f t="shared" si="55"/>
        <v>0</v>
      </c>
      <c r="BG118" s="67">
        <f t="shared" si="42"/>
        <v>0</v>
      </c>
      <c r="BH118" s="66" t="s">
        <v>1662</v>
      </c>
      <c r="BI118" s="68" t="s">
        <v>107</v>
      </c>
      <c r="BJ118" s="68" t="s">
        <v>2049</v>
      </c>
      <c r="BK118" s="68" t="s">
        <v>2049</v>
      </c>
      <c r="BL118" s="29"/>
      <c r="BO118" s="35" t="s">
        <v>1805</v>
      </c>
    </row>
    <row r="119" spans="1:68" ht="15" customHeight="1">
      <c r="A119" s="1" t="s">
        <v>43</v>
      </c>
      <c r="C119" s="1" t="str">
        <f t="shared" si="29"/>
        <v>2606</v>
      </c>
      <c r="D119" s="1" t="str">
        <f t="shared" si="30"/>
        <v>1907</v>
      </c>
      <c r="E119" s="19" t="s">
        <v>48</v>
      </c>
      <c r="F119" s="62" t="s">
        <v>49</v>
      </c>
      <c r="G119" s="62">
        <v>2112</v>
      </c>
      <c r="H119" s="62" t="s">
        <v>423</v>
      </c>
      <c r="I119" s="62" t="s">
        <v>424</v>
      </c>
      <c r="J119" s="118">
        <v>1</v>
      </c>
      <c r="K119" s="119"/>
      <c r="L119" s="62" t="s">
        <v>77</v>
      </c>
      <c r="M119" s="120" t="s">
        <v>409</v>
      </c>
      <c r="N119" s="65">
        <v>43643</v>
      </c>
      <c r="O119" s="24">
        <v>43210</v>
      </c>
      <c r="P119" s="24">
        <v>23396</v>
      </c>
      <c r="Q119" s="64">
        <v>1010941160</v>
      </c>
      <c r="R119" s="64">
        <v>0</v>
      </c>
      <c r="S119" s="64"/>
      <c r="T119" s="64">
        <v>9681517.4480000008</v>
      </c>
      <c r="U119" s="64" t="s">
        <v>410</v>
      </c>
      <c r="V119" s="121">
        <v>1020622677</v>
      </c>
      <c r="W119" s="122">
        <v>0</v>
      </c>
      <c r="X119" s="64">
        <v>1020622677</v>
      </c>
      <c r="Y119" s="121"/>
      <c r="Z119" s="121"/>
      <c r="AA119" s="121"/>
      <c r="AB119" s="121"/>
      <c r="AC119" s="64">
        <v>1020622677</v>
      </c>
      <c r="AD119" s="65">
        <v>43647</v>
      </c>
      <c r="AE119" s="65">
        <v>46202</v>
      </c>
      <c r="AF119" s="62">
        <v>7</v>
      </c>
      <c r="AG119" s="119">
        <v>84</v>
      </c>
      <c r="AH119" s="25">
        <v>12150269.964285715</v>
      </c>
      <c r="AI119" s="78">
        <v>656114579.19285715</v>
      </c>
      <c r="AJ119" s="78">
        <v>364508097.80714285</v>
      </c>
      <c r="AK119" s="27">
        <f t="shared" si="31"/>
        <v>12150269.964285715</v>
      </c>
      <c r="AL119" s="27">
        <f t="shared" si="40"/>
        <v>12150269.964285715</v>
      </c>
      <c r="AM119" s="27">
        <f t="shared" si="56"/>
        <v>12150269.964285715</v>
      </c>
      <c r="AN119" s="27">
        <f t="shared" si="51"/>
        <v>12150269.964285715</v>
      </c>
      <c r="AO119" s="27">
        <f t="shared" si="52"/>
        <v>12150269.964285715</v>
      </c>
      <c r="AP119" s="27">
        <f t="shared" si="52"/>
        <v>12150269.964285715</v>
      </c>
      <c r="AQ119" s="27">
        <f t="shared" si="53"/>
        <v>12150269.964285715</v>
      </c>
      <c r="AR119" s="27">
        <f t="shared" si="54"/>
        <v>12150269.964285715</v>
      </c>
      <c r="AS119" s="27"/>
      <c r="AT119" s="27"/>
      <c r="AU119" s="27"/>
      <c r="AV119" s="27"/>
      <c r="AW119" s="27">
        <f t="shared" si="33"/>
        <v>97202159.714285716</v>
      </c>
      <c r="AX119" s="79">
        <f t="shared" si="34"/>
        <v>267305938.09285712</v>
      </c>
      <c r="AY119" s="79">
        <f t="shared" si="35"/>
        <v>753316738.90714288</v>
      </c>
      <c r="AZ119" s="25">
        <v>1</v>
      </c>
      <c r="BA119" s="62" t="s">
        <v>97</v>
      </c>
      <c r="BB119" s="66">
        <v>1</v>
      </c>
      <c r="BC119" s="66"/>
      <c r="BD119" s="66"/>
      <c r="BE119" s="67">
        <f t="shared" si="50"/>
        <v>12150269.964285715</v>
      </c>
      <c r="BF119" s="67">
        <f t="shared" si="55"/>
        <v>0</v>
      </c>
      <c r="BG119" s="67">
        <f t="shared" si="42"/>
        <v>0</v>
      </c>
      <c r="BH119" s="66"/>
      <c r="BI119" s="68" t="s">
        <v>411</v>
      </c>
      <c r="BJ119" s="68" t="s">
        <v>121</v>
      </c>
      <c r="BK119" s="68" t="s">
        <v>121</v>
      </c>
      <c r="BL119" s="29"/>
      <c r="BO119" s="35" t="s">
        <v>1800</v>
      </c>
      <c r="BP119" s="1" t="s">
        <v>1812</v>
      </c>
    </row>
    <row r="120" spans="1:68" ht="15" customHeight="1">
      <c r="A120" s="1" t="s">
        <v>43</v>
      </c>
      <c r="C120" s="1" t="str">
        <f t="shared" si="29"/>
        <v>2606</v>
      </c>
      <c r="D120" s="1" t="str">
        <f t="shared" si="30"/>
        <v>1907</v>
      </c>
      <c r="E120" s="19" t="s">
        <v>48</v>
      </c>
      <c r="F120" s="62" t="s">
        <v>49</v>
      </c>
      <c r="G120" s="62">
        <v>2112</v>
      </c>
      <c r="H120" s="62" t="s">
        <v>425</v>
      </c>
      <c r="I120" s="62" t="s">
        <v>426</v>
      </c>
      <c r="J120" s="118">
        <v>1</v>
      </c>
      <c r="K120" s="119"/>
      <c r="L120" s="62" t="s">
        <v>77</v>
      </c>
      <c r="M120" s="120" t="s">
        <v>409</v>
      </c>
      <c r="N120" s="65">
        <v>43643</v>
      </c>
      <c r="O120" s="24">
        <v>70370</v>
      </c>
      <c r="P120" s="24">
        <v>23396</v>
      </c>
      <c r="Q120" s="64">
        <v>1646376520</v>
      </c>
      <c r="R120" s="64">
        <v>0</v>
      </c>
      <c r="S120" s="64"/>
      <c r="T120" s="64">
        <v>15766914.665999999</v>
      </c>
      <c r="U120" s="64" t="s">
        <v>410</v>
      </c>
      <c r="V120" s="121">
        <v>1662143435</v>
      </c>
      <c r="W120" s="122">
        <v>0</v>
      </c>
      <c r="X120" s="64">
        <v>1662143435</v>
      </c>
      <c r="Y120" s="121"/>
      <c r="Z120" s="121"/>
      <c r="AA120" s="121"/>
      <c r="AB120" s="121"/>
      <c r="AC120" s="64">
        <v>1662143435</v>
      </c>
      <c r="AD120" s="65">
        <v>43647</v>
      </c>
      <c r="AE120" s="65">
        <v>46202</v>
      </c>
      <c r="AF120" s="62">
        <v>7</v>
      </c>
      <c r="AG120" s="119">
        <v>84</v>
      </c>
      <c r="AH120" s="25">
        <v>19787421.845238097</v>
      </c>
      <c r="AI120" s="78">
        <v>1068520786.7823808</v>
      </c>
      <c r="AJ120" s="78">
        <v>593622648.21761918</v>
      </c>
      <c r="AK120" s="27">
        <f t="shared" si="31"/>
        <v>19787421.845238097</v>
      </c>
      <c r="AL120" s="27">
        <f t="shared" si="40"/>
        <v>19787421.845238097</v>
      </c>
      <c r="AM120" s="27">
        <f t="shared" si="56"/>
        <v>19787421.845238097</v>
      </c>
      <c r="AN120" s="27">
        <f t="shared" si="51"/>
        <v>19787421.845238097</v>
      </c>
      <c r="AO120" s="27">
        <f t="shared" si="52"/>
        <v>19787421.845238097</v>
      </c>
      <c r="AP120" s="27">
        <f t="shared" si="52"/>
        <v>19787421.845238097</v>
      </c>
      <c r="AQ120" s="27">
        <f t="shared" si="53"/>
        <v>19787421.845238097</v>
      </c>
      <c r="AR120" s="27">
        <f t="shared" si="54"/>
        <v>19787421.845238097</v>
      </c>
      <c r="AS120" s="27"/>
      <c r="AT120" s="27"/>
      <c r="AU120" s="27"/>
      <c r="AV120" s="27"/>
      <c r="AW120" s="27">
        <f t="shared" si="33"/>
        <v>158299374.76190475</v>
      </c>
      <c r="AX120" s="79">
        <f t="shared" si="34"/>
        <v>435323273.45571446</v>
      </c>
      <c r="AY120" s="79">
        <f t="shared" si="35"/>
        <v>1226820161.5442855</v>
      </c>
      <c r="AZ120" s="25">
        <v>1</v>
      </c>
      <c r="BA120" s="62" t="s">
        <v>97</v>
      </c>
      <c r="BB120" s="66">
        <v>1</v>
      </c>
      <c r="BC120" s="66"/>
      <c r="BD120" s="66"/>
      <c r="BE120" s="67">
        <f t="shared" si="50"/>
        <v>19787421.845238097</v>
      </c>
      <c r="BF120" s="67">
        <f t="shared" si="55"/>
        <v>0</v>
      </c>
      <c r="BG120" s="67">
        <f t="shared" si="42"/>
        <v>0</v>
      </c>
      <c r="BH120" s="66"/>
      <c r="BI120" s="68" t="s">
        <v>427</v>
      </c>
      <c r="BJ120" s="68" t="s">
        <v>85</v>
      </c>
      <c r="BK120" s="68" t="s">
        <v>85</v>
      </c>
      <c r="BL120" s="29"/>
      <c r="BO120" s="35" t="s">
        <v>1805</v>
      </c>
    </row>
    <row r="121" spans="1:68" ht="15" customHeight="1">
      <c r="C121" s="1" t="str">
        <f t="shared" si="29"/>
        <v>2608</v>
      </c>
      <c r="D121" s="1" t="str">
        <f t="shared" si="30"/>
        <v>2402</v>
      </c>
      <c r="E121" s="19" t="s">
        <v>48</v>
      </c>
      <c r="F121" s="62" t="s">
        <v>1896</v>
      </c>
      <c r="G121" s="62">
        <v>2112</v>
      </c>
      <c r="H121" s="62" t="s">
        <v>2041</v>
      </c>
      <c r="I121" s="62" t="s">
        <v>429</v>
      </c>
      <c r="J121" s="118">
        <v>1</v>
      </c>
      <c r="K121" s="119"/>
      <c r="L121" s="62" t="s">
        <v>77</v>
      </c>
      <c r="M121" s="120" t="s">
        <v>409</v>
      </c>
      <c r="N121" s="65">
        <v>43643</v>
      </c>
      <c r="O121" s="24">
        <v>1910</v>
      </c>
      <c r="P121" s="24">
        <v>23396</v>
      </c>
      <c r="Q121" s="64">
        <f>+ROUND(O121*P121,0)</f>
        <v>44686360</v>
      </c>
      <c r="R121" s="64"/>
      <c r="S121" s="64"/>
      <c r="T121" s="64">
        <v>427950</v>
      </c>
      <c r="U121" s="64"/>
      <c r="V121" s="121">
        <v>45114310</v>
      </c>
      <c r="W121" s="122"/>
      <c r="X121" s="64">
        <v>45114310</v>
      </c>
      <c r="Y121" s="121"/>
      <c r="Z121" s="121"/>
      <c r="AA121" s="121"/>
      <c r="AB121" s="121"/>
      <c r="AC121" s="64">
        <v>45114310</v>
      </c>
      <c r="AD121" s="65">
        <v>45323</v>
      </c>
      <c r="AE121" s="65">
        <v>46264</v>
      </c>
      <c r="AF121" s="62"/>
      <c r="AG121" s="119">
        <v>31</v>
      </c>
      <c r="AH121" s="25">
        <v>537075</v>
      </c>
      <c r="AI121" s="78">
        <v>27927901</v>
      </c>
      <c r="AJ121" s="78">
        <v>17186408</v>
      </c>
      <c r="AK121" s="27">
        <f>+AH121</f>
        <v>537075</v>
      </c>
      <c r="AL121" s="27">
        <f t="shared" si="40"/>
        <v>537075</v>
      </c>
      <c r="AM121" s="27">
        <f t="shared" si="56"/>
        <v>537075</v>
      </c>
      <c r="AN121" s="27">
        <f t="shared" si="51"/>
        <v>537075</v>
      </c>
      <c r="AO121" s="27">
        <f t="shared" si="52"/>
        <v>537075</v>
      </c>
      <c r="AP121" s="27">
        <f t="shared" si="52"/>
        <v>537075</v>
      </c>
      <c r="AQ121" s="27">
        <f t="shared" si="53"/>
        <v>537075</v>
      </c>
      <c r="AR121" s="27">
        <f t="shared" si="54"/>
        <v>537075</v>
      </c>
      <c r="AS121" s="27"/>
      <c r="AT121" s="27"/>
      <c r="AU121" s="27"/>
      <c r="AV121" s="27"/>
      <c r="AW121" s="27">
        <f t="shared" ref="AW121:AW124" si="57">+SUM(AK121:AV121)</f>
        <v>4296600</v>
      </c>
      <c r="AX121" s="79">
        <f t="shared" ref="AX121:AX124" si="58">AC121-AI121-AW121</f>
        <v>12889809</v>
      </c>
      <c r="AY121" s="79">
        <f t="shared" ref="AY121:AY124" si="59">AW121+AI121</f>
        <v>32224501</v>
      </c>
      <c r="AZ121" s="25">
        <v>1</v>
      </c>
      <c r="BA121" s="62"/>
      <c r="BB121" s="66">
        <v>1</v>
      </c>
      <c r="BC121" s="66"/>
      <c r="BD121" s="66"/>
      <c r="BE121" s="67">
        <f t="shared" si="50"/>
        <v>537075</v>
      </c>
      <c r="BF121" s="67">
        <f t="shared" si="55"/>
        <v>0</v>
      </c>
      <c r="BG121" s="67">
        <f t="shared" si="42"/>
        <v>0</v>
      </c>
      <c r="BH121" s="66"/>
      <c r="BI121" s="68"/>
      <c r="BJ121" s="68" t="s">
        <v>1980</v>
      </c>
      <c r="BK121" s="68" t="s">
        <v>1980</v>
      </c>
      <c r="BL121" s="29"/>
    </row>
    <row r="122" spans="1:68" ht="15" customHeight="1">
      <c r="C122" s="1" t="str">
        <f t="shared" si="29"/>
        <v>2608</v>
      </c>
      <c r="D122" s="1" t="str">
        <f t="shared" si="30"/>
        <v>2402</v>
      </c>
      <c r="E122" s="19" t="s">
        <v>48</v>
      </c>
      <c r="F122" s="62" t="s">
        <v>1923</v>
      </c>
      <c r="G122" s="62">
        <v>2112</v>
      </c>
      <c r="H122" s="62" t="s">
        <v>2042</v>
      </c>
      <c r="I122" s="62" t="s">
        <v>429</v>
      </c>
      <c r="J122" s="118">
        <v>1</v>
      </c>
      <c r="K122" s="119"/>
      <c r="L122" s="62" t="s">
        <v>77</v>
      </c>
      <c r="M122" s="120" t="s">
        <v>409</v>
      </c>
      <c r="N122" s="65">
        <v>43643</v>
      </c>
      <c r="O122" s="24">
        <v>1910</v>
      </c>
      <c r="P122" s="24">
        <v>23396</v>
      </c>
      <c r="Q122" s="64">
        <f t="shared" ref="Q122:Q124" si="60">+ROUND(O122*P122,0)</f>
        <v>44686360</v>
      </c>
      <c r="R122" s="64"/>
      <c r="S122" s="64"/>
      <c r="T122" s="64">
        <v>427950</v>
      </c>
      <c r="U122" s="64"/>
      <c r="V122" s="121">
        <v>45114310</v>
      </c>
      <c r="W122" s="122"/>
      <c r="X122" s="64">
        <v>45114310</v>
      </c>
      <c r="Y122" s="121"/>
      <c r="Z122" s="121"/>
      <c r="AA122" s="121"/>
      <c r="AB122" s="121"/>
      <c r="AC122" s="64">
        <v>45114310</v>
      </c>
      <c r="AD122" s="65">
        <v>45323</v>
      </c>
      <c r="AE122" s="65">
        <v>46264</v>
      </c>
      <c r="AF122" s="62"/>
      <c r="AG122" s="119">
        <v>31</v>
      </c>
      <c r="AH122" s="25">
        <v>537075</v>
      </c>
      <c r="AI122" s="78">
        <v>27927901</v>
      </c>
      <c r="AJ122" s="78">
        <v>17186408</v>
      </c>
      <c r="AK122" s="27">
        <f t="shared" ref="AK122:AK124" si="61">+AH122</f>
        <v>537075</v>
      </c>
      <c r="AL122" s="27">
        <f t="shared" si="40"/>
        <v>537075</v>
      </c>
      <c r="AM122" s="27">
        <f t="shared" si="56"/>
        <v>537075</v>
      </c>
      <c r="AN122" s="27">
        <f t="shared" si="51"/>
        <v>537075</v>
      </c>
      <c r="AO122" s="27">
        <f t="shared" si="52"/>
        <v>537075</v>
      </c>
      <c r="AP122" s="27">
        <f t="shared" si="52"/>
        <v>537075</v>
      </c>
      <c r="AQ122" s="27">
        <f t="shared" si="53"/>
        <v>537075</v>
      </c>
      <c r="AR122" s="27">
        <f t="shared" si="54"/>
        <v>537075</v>
      </c>
      <c r="AS122" s="27"/>
      <c r="AT122" s="27"/>
      <c r="AU122" s="27"/>
      <c r="AV122" s="27"/>
      <c r="AW122" s="27">
        <f t="shared" si="57"/>
        <v>4296600</v>
      </c>
      <c r="AX122" s="79">
        <f t="shared" si="58"/>
        <v>12889809</v>
      </c>
      <c r="AY122" s="79">
        <f t="shared" si="59"/>
        <v>32224501</v>
      </c>
      <c r="AZ122" s="25">
        <v>1</v>
      </c>
      <c r="BA122" s="62"/>
      <c r="BB122" s="66">
        <v>1</v>
      </c>
      <c r="BC122" s="66"/>
      <c r="BD122" s="66"/>
      <c r="BE122" s="67">
        <f t="shared" si="50"/>
        <v>537075</v>
      </c>
      <c r="BF122" s="67">
        <f t="shared" si="55"/>
        <v>0</v>
      </c>
      <c r="BG122" s="67">
        <f t="shared" ref="BG122:BG124" si="62">+$AL122*BD122</f>
        <v>0</v>
      </c>
      <c r="BH122" s="66"/>
      <c r="BI122" s="68"/>
      <c r="BJ122" s="68" t="s">
        <v>85</v>
      </c>
      <c r="BK122" s="68" t="s">
        <v>85</v>
      </c>
      <c r="BL122" s="29"/>
    </row>
    <row r="123" spans="1:68" ht="15" customHeight="1">
      <c r="C123" s="1" t="str">
        <f t="shared" si="29"/>
        <v>2608</v>
      </c>
      <c r="D123" s="1" t="str">
        <f t="shared" si="30"/>
        <v>2402</v>
      </c>
      <c r="E123" s="19" t="s">
        <v>48</v>
      </c>
      <c r="F123" s="62" t="s">
        <v>1923</v>
      </c>
      <c r="G123" s="62">
        <v>2112</v>
      </c>
      <c r="H123" s="62" t="s">
        <v>2043</v>
      </c>
      <c r="I123" s="62" t="s">
        <v>429</v>
      </c>
      <c r="J123" s="118">
        <v>1</v>
      </c>
      <c r="K123" s="119"/>
      <c r="L123" s="62" t="s">
        <v>77</v>
      </c>
      <c r="M123" s="120" t="s">
        <v>409</v>
      </c>
      <c r="N123" s="65">
        <v>43643</v>
      </c>
      <c r="O123" s="24">
        <v>1910</v>
      </c>
      <c r="P123" s="24">
        <v>23396</v>
      </c>
      <c r="Q123" s="64">
        <f t="shared" si="60"/>
        <v>44686360</v>
      </c>
      <c r="R123" s="64"/>
      <c r="S123" s="64"/>
      <c r="T123" s="64">
        <v>427949</v>
      </c>
      <c r="U123" s="64"/>
      <c r="V123" s="121">
        <v>45114309</v>
      </c>
      <c r="W123" s="122"/>
      <c r="X123" s="64">
        <v>45114309</v>
      </c>
      <c r="Y123" s="121"/>
      <c r="Z123" s="121"/>
      <c r="AA123" s="121"/>
      <c r="AB123" s="121"/>
      <c r="AC123" s="64">
        <v>45114309</v>
      </c>
      <c r="AD123" s="65">
        <v>45323</v>
      </c>
      <c r="AE123" s="65">
        <v>46264</v>
      </c>
      <c r="AF123" s="62"/>
      <c r="AG123" s="119">
        <v>31</v>
      </c>
      <c r="AH123" s="25">
        <v>537075</v>
      </c>
      <c r="AI123" s="78">
        <v>27927901</v>
      </c>
      <c r="AJ123" s="78">
        <v>17186408</v>
      </c>
      <c r="AK123" s="27">
        <f t="shared" si="61"/>
        <v>537075</v>
      </c>
      <c r="AL123" s="27">
        <f t="shared" si="40"/>
        <v>537075</v>
      </c>
      <c r="AM123" s="27">
        <f t="shared" si="56"/>
        <v>537075</v>
      </c>
      <c r="AN123" s="27">
        <f t="shared" si="51"/>
        <v>537075</v>
      </c>
      <c r="AO123" s="27">
        <f t="shared" si="52"/>
        <v>537075</v>
      </c>
      <c r="AP123" s="27">
        <f t="shared" si="52"/>
        <v>537075</v>
      </c>
      <c r="AQ123" s="27">
        <f t="shared" si="53"/>
        <v>537075</v>
      </c>
      <c r="AR123" s="27">
        <f t="shared" si="54"/>
        <v>537075</v>
      </c>
      <c r="AS123" s="27"/>
      <c r="AT123" s="27"/>
      <c r="AU123" s="27"/>
      <c r="AV123" s="27"/>
      <c r="AW123" s="27">
        <f t="shared" si="57"/>
        <v>4296600</v>
      </c>
      <c r="AX123" s="79">
        <f t="shared" si="58"/>
        <v>12889808</v>
      </c>
      <c r="AY123" s="79">
        <f t="shared" si="59"/>
        <v>32224501</v>
      </c>
      <c r="AZ123" s="25">
        <v>1</v>
      </c>
      <c r="BA123" s="62"/>
      <c r="BB123" s="66">
        <v>1</v>
      </c>
      <c r="BC123" s="66"/>
      <c r="BD123" s="66"/>
      <c r="BE123" s="67">
        <f t="shared" si="50"/>
        <v>537075</v>
      </c>
      <c r="BF123" s="67">
        <f t="shared" si="55"/>
        <v>0</v>
      </c>
      <c r="BG123" s="67">
        <f t="shared" si="62"/>
        <v>0</v>
      </c>
      <c r="BH123" s="66"/>
      <c r="BI123" s="68"/>
      <c r="BJ123" s="68" t="s">
        <v>85</v>
      </c>
      <c r="BK123" s="68" t="s">
        <v>85</v>
      </c>
      <c r="BL123" s="29"/>
    </row>
    <row r="124" spans="1:68" ht="15" customHeight="1">
      <c r="C124" s="1" t="str">
        <f t="shared" si="29"/>
        <v>2608</v>
      </c>
      <c r="D124" s="1" t="str">
        <f t="shared" si="30"/>
        <v>2402</v>
      </c>
      <c r="E124" s="19" t="s">
        <v>48</v>
      </c>
      <c r="F124" s="62" t="s">
        <v>1923</v>
      </c>
      <c r="G124" s="62">
        <v>2112</v>
      </c>
      <c r="H124" s="62" t="s">
        <v>2044</v>
      </c>
      <c r="I124" s="62" t="s">
        <v>429</v>
      </c>
      <c r="J124" s="118">
        <v>1</v>
      </c>
      <c r="K124" s="119"/>
      <c r="L124" s="62" t="s">
        <v>77</v>
      </c>
      <c r="M124" s="120" t="s">
        <v>409</v>
      </c>
      <c r="N124" s="65">
        <v>43643</v>
      </c>
      <c r="O124" s="24">
        <v>1910</v>
      </c>
      <c r="P124" s="24">
        <v>23396</v>
      </c>
      <c r="Q124" s="64">
        <f t="shared" si="60"/>
        <v>44686360</v>
      </c>
      <c r="R124" s="64"/>
      <c r="S124" s="64"/>
      <c r="T124" s="64">
        <v>427949</v>
      </c>
      <c r="U124" s="64"/>
      <c r="V124" s="121">
        <v>45114309</v>
      </c>
      <c r="W124" s="122"/>
      <c r="X124" s="64">
        <v>45114309</v>
      </c>
      <c r="Y124" s="121"/>
      <c r="Z124" s="121"/>
      <c r="AA124" s="121"/>
      <c r="AB124" s="121"/>
      <c r="AC124" s="64">
        <v>45114309</v>
      </c>
      <c r="AD124" s="65">
        <v>45323</v>
      </c>
      <c r="AE124" s="65">
        <v>46264</v>
      </c>
      <c r="AF124" s="62"/>
      <c r="AG124" s="119">
        <v>31</v>
      </c>
      <c r="AH124" s="25">
        <v>537075</v>
      </c>
      <c r="AI124" s="78">
        <v>27927901</v>
      </c>
      <c r="AJ124" s="78">
        <v>17186408</v>
      </c>
      <c r="AK124" s="27">
        <f t="shared" si="61"/>
        <v>537075</v>
      </c>
      <c r="AL124" s="27">
        <f t="shared" si="40"/>
        <v>537075</v>
      </c>
      <c r="AM124" s="27">
        <f t="shared" si="56"/>
        <v>537075</v>
      </c>
      <c r="AN124" s="27">
        <f t="shared" si="51"/>
        <v>537075</v>
      </c>
      <c r="AO124" s="27">
        <f t="shared" si="52"/>
        <v>537075</v>
      </c>
      <c r="AP124" s="27">
        <f t="shared" si="52"/>
        <v>537075</v>
      </c>
      <c r="AQ124" s="27">
        <f t="shared" si="53"/>
        <v>537075</v>
      </c>
      <c r="AR124" s="27">
        <f t="shared" si="54"/>
        <v>537075</v>
      </c>
      <c r="AS124" s="27"/>
      <c r="AT124" s="27"/>
      <c r="AU124" s="27"/>
      <c r="AV124" s="27"/>
      <c r="AW124" s="27">
        <f t="shared" si="57"/>
        <v>4296600</v>
      </c>
      <c r="AX124" s="79">
        <f t="shared" si="58"/>
        <v>12889808</v>
      </c>
      <c r="AY124" s="79">
        <f t="shared" si="59"/>
        <v>32224501</v>
      </c>
      <c r="AZ124" s="25">
        <v>1</v>
      </c>
      <c r="BA124" s="62"/>
      <c r="BB124" s="66">
        <v>1</v>
      </c>
      <c r="BC124" s="66"/>
      <c r="BD124" s="66"/>
      <c r="BE124" s="67">
        <f t="shared" si="50"/>
        <v>537075</v>
      </c>
      <c r="BF124" s="67">
        <f t="shared" si="55"/>
        <v>0</v>
      </c>
      <c r="BG124" s="67">
        <f t="shared" si="62"/>
        <v>0</v>
      </c>
      <c r="BH124" s="66"/>
      <c r="BI124" s="68"/>
      <c r="BJ124" s="68" t="s">
        <v>85</v>
      </c>
      <c r="BK124" s="68" t="s">
        <v>85</v>
      </c>
      <c r="BL124" s="29"/>
    </row>
    <row r="125" spans="1:68" s="107" customFormat="1" ht="15" customHeight="1">
      <c r="A125" s="107" t="s">
        <v>43</v>
      </c>
      <c r="C125" s="107" t="str">
        <f t="shared" si="29"/>
        <v>2408</v>
      </c>
      <c r="D125" s="107" t="str">
        <f t="shared" si="30"/>
        <v>1909</v>
      </c>
      <c r="E125" s="213" t="s">
        <v>48</v>
      </c>
      <c r="F125" s="108" t="s">
        <v>49</v>
      </c>
      <c r="G125" s="108">
        <v>2112</v>
      </c>
      <c r="H125" s="108" t="s">
        <v>431</v>
      </c>
      <c r="I125" s="108" t="s">
        <v>432</v>
      </c>
      <c r="J125" s="214">
        <v>1</v>
      </c>
      <c r="K125" s="215"/>
      <c r="L125" s="108" t="s">
        <v>77</v>
      </c>
      <c r="M125" s="216" t="s">
        <v>433</v>
      </c>
      <c r="N125" s="217">
        <v>43642</v>
      </c>
      <c r="O125" s="218">
        <v>1828.59</v>
      </c>
      <c r="P125" s="218">
        <v>23356</v>
      </c>
      <c r="Q125" s="219">
        <v>42708548.039999999</v>
      </c>
      <c r="R125" s="219">
        <v>0</v>
      </c>
      <c r="S125" s="219"/>
      <c r="T125" s="219">
        <v>214721.25999999998</v>
      </c>
      <c r="U125" s="219" t="s">
        <v>434</v>
      </c>
      <c r="V125" s="220">
        <v>42923269</v>
      </c>
      <c r="W125" s="263">
        <v>0</v>
      </c>
      <c r="X125" s="219">
        <v>42923269</v>
      </c>
      <c r="Y125" s="220"/>
      <c r="Z125" s="220"/>
      <c r="AA125" s="220"/>
      <c r="AB125" s="220"/>
      <c r="AC125" s="219">
        <v>42923269</v>
      </c>
      <c r="AD125" s="217">
        <v>43709</v>
      </c>
      <c r="AE125" s="217">
        <v>45534</v>
      </c>
      <c r="AF125" s="108">
        <v>5</v>
      </c>
      <c r="AG125" s="215">
        <v>60</v>
      </c>
      <c r="AH125" s="109">
        <v>715387.81666666665</v>
      </c>
      <c r="AI125" s="221">
        <v>37200173.86666666</v>
      </c>
      <c r="AJ125" s="221">
        <v>5723095.1333333366</v>
      </c>
      <c r="AK125" s="110">
        <f t="shared" si="31"/>
        <v>715387.81666666665</v>
      </c>
      <c r="AL125" s="110">
        <f t="shared" si="40"/>
        <v>715387.81666666665</v>
      </c>
      <c r="AM125" s="110">
        <f t="shared" si="56"/>
        <v>715387.81666666665</v>
      </c>
      <c r="AN125" s="110">
        <f t="shared" si="51"/>
        <v>715387.81666666665</v>
      </c>
      <c r="AO125" s="110">
        <f t="shared" si="52"/>
        <v>715387.81666666665</v>
      </c>
      <c r="AP125" s="110">
        <f t="shared" si="52"/>
        <v>715387.81666666665</v>
      </c>
      <c r="AQ125" s="110">
        <f t="shared" si="53"/>
        <v>715387.81666666665</v>
      </c>
      <c r="AR125" s="110">
        <f>AJ125-SUM(AK125:AQ125)</f>
        <v>715380.4166666707</v>
      </c>
      <c r="AS125" s="110"/>
      <c r="AT125" s="110"/>
      <c r="AU125" s="110"/>
      <c r="AV125" s="110"/>
      <c r="AW125" s="110">
        <f t="shared" si="33"/>
        <v>5723095.1333333366</v>
      </c>
      <c r="AX125" s="110">
        <f t="shared" si="34"/>
        <v>0</v>
      </c>
      <c r="AY125" s="110">
        <f t="shared" si="35"/>
        <v>42923269</v>
      </c>
      <c r="AZ125" s="109">
        <v>1</v>
      </c>
      <c r="BA125" s="108" t="s">
        <v>79</v>
      </c>
      <c r="BB125" s="111">
        <v>1</v>
      </c>
      <c r="BC125" s="111"/>
      <c r="BD125" s="111"/>
      <c r="BE125" s="222">
        <f t="shared" si="50"/>
        <v>715387.81666666665</v>
      </c>
      <c r="BF125" s="222">
        <f t="shared" si="55"/>
        <v>0</v>
      </c>
      <c r="BG125" s="222">
        <f t="shared" si="42"/>
        <v>0</v>
      </c>
      <c r="BH125" s="111"/>
      <c r="BI125" s="112">
        <v>0</v>
      </c>
      <c r="BJ125" s="112" t="s">
        <v>58</v>
      </c>
      <c r="BK125" s="112" t="s">
        <v>159</v>
      </c>
      <c r="BL125" s="113"/>
      <c r="BO125" s="107" t="s">
        <v>1804</v>
      </c>
    </row>
    <row r="126" spans="1:68" ht="15" customHeight="1">
      <c r="A126" s="1" t="s">
        <v>43</v>
      </c>
      <c r="C126" s="1" t="str">
        <f t="shared" si="29"/>
        <v>2906</v>
      </c>
      <c r="D126" s="1" t="str">
        <f t="shared" si="30"/>
        <v>1907</v>
      </c>
      <c r="E126" s="19" t="s">
        <v>48</v>
      </c>
      <c r="F126" s="62" t="s">
        <v>49</v>
      </c>
      <c r="G126" s="62">
        <v>2112</v>
      </c>
      <c r="H126" s="62" t="s">
        <v>435</v>
      </c>
      <c r="I126" s="62" t="s">
        <v>436</v>
      </c>
      <c r="J126" s="118">
        <v>1</v>
      </c>
      <c r="K126" s="119"/>
      <c r="L126" s="62" t="s">
        <v>77</v>
      </c>
      <c r="M126" s="120" t="s">
        <v>437</v>
      </c>
      <c r="N126" s="65">
        <v>43628</v>
      </c>
      <c r="O126" s="24">
        <v>46799</v>
      </c>
      <c r="P126" s="24">
        <v>23387</v>
      </c>
      <c r="Q126" s="64">
        <v>1094488213</v>
      </c>
      <c r="R126" s="64">
        <v>0</v>
      </c>
      <c r="S126" s="64"/>
      <c r="T126" s="64"/>
      <c r="U126" s="64"/>
      <c r="V126" s="121">
        <v>1094488213</v>
      </c>
      <c r="W126" s="122">
        <v>0</v>
      </c>
      <c r="X126" s="64">
        <v>1094488213</v>
      </c>
      <c r="Y126" s="121"/>
      <c r="Z126" s="121"/>
      <c r="AA126" s="121"/>
      <c r="AB126" s="121"/>
      <c r="AC126" s="64">
        <v>1094488213</v>
      </c>
      <c r="AD126" s="65">
        <v>43647</v>
      </c>
      <c r="AE126" s="65">
        <v>47297</v>
      </c>
      <c r="AF126" s="62">
        <v>10</v>
      </c>
      <c r="AG126" s="119">
        <v>120</v>
      </c>
      <c r="AH126" s="25">
        <v>9120735.1083333325</v>
      </c>
      <c r="AI126" s="78">
        <v>492519691.08333337</v>
      </c>
      <c r="AJ126" s="78">
        <v>601968521.91666663</v>
      </c>
      <c r="AK126" s="27">
        <f t="shared" si="31"/>
        <v>9120735.1083333325</v>
      </c>
      <c r="AL126" s="27">
        <f t="shared" si="40"/>
        <v>9120735.1083333325</v>
      </c>
      <c r="AM126" s="27">
        <f t="shared" si="56"/>
        <v>9120735.1083333325</v>
      </c>
      <c r="AN126" s="27">
        <f t="shared" si="51"/>
        <v>9120735.1083333325</v>
      </c>
      <c r="AO126" s="27">
        <f t="shared" si="52"/>
        <v>9120735.1083333325</v>
      </c>
      <c r="AP126" s="27">
        <f t="shared" si="52"/>
        <v>9120735.1083333325</v>
      </c>
      <c r="AQ126" s="27">
        <f t="shared" si="53"/>
        <v>9120735.1083333325</v>
      </c>
      <c r="AR126" s="27">
        <f t="shared" si="54"/>
        <v>9120735.1083333325</v>
      </c>
      <c r="AS126" s="27"/>
      <c r="AT126" s="27"/>
      <c r="AU126" s="27"/>
      <c r="AV126" s="27"/>
      <c r="AW126" s="27">
        <f t="shared" si="33"/>
        <v>72965880.86666666</v>
      </c>
      <c r="AX126" s="79">
        <f t="shared" si="34"/>
        <v>529002641.04999995</v>
      </c>
      <c r="AY126" s="79">
        <f t="shared" si="35"/>
        <v>565485571.95000005</v>
      </c>
      <c r="AZ126" s="25">
        <v>1</v>
      </c>
      <c r="BA126" s="62" t="s">
        <v>97</v>
      </c>
      <c r="BB126" s="66">
        <v>1</v>
      </c>
      <c r="BC126" s="66"/>
      <c r="BD126" s="66"/>
      <c r="BE126" s="67">
        <f t="shared" si="50"/>
        <v>9120735.1083333325</v>
      </c>
      <c r="BF126" s="67">
        <f t="shared" si="55"/>
        <v>0</v>
      </c>
      <c r="BG126" s="67">
        <f t="shared" si="42"/>
        <v>0</v>
      </c>
      <c r="BH126" s="66"/>
      <c r="BI126" s="68" t="s">
        <v>80</v>
      </c>
      <c r="BJ126" s="68" t="s">
        <v>124</v>
      </c>
      <c r="BK126" s="68" t="s">
        <v>124</v>
      </c>
      <c r="BL126" s="29"/>
      <c r="BO126" s="35" t="s">
        <v>1801</v>
      </c>
    </row>
    <row r="127" spans="1:68" ht="15" customHeight="1">
      <c r="C127" s="1" t="str">
        <f t="shared" ref="C127:C128" si="63">+RIGHT(YEAR(AE127),2)&amp;IF(LEN(MONTH(AE127))=2,MONTH(AE127),"0"&amp;MONTH(AE127))</f>
        <v>2906</v>
      </c>
      <c r="D127" s="1" t="str">
        <f t="shared" ref="D127:D128" si="64">+RIGHT(YEAR(AD127),2)&amp;IF(LEN(MONTH(AD127))=2,MONTH(AD127),"0"&amp;MONTH(AD127))</f>
        <v>2402</v>
      </c>
      <c r="E127" s="19" t="s">
        <v>48</v>
      </c>
      <c r="F127" s="62" t="s">
        <v>1896</v>
      </c>
      <c r="G127" s="62">
        <v>2112</v>
      </c>
      <c r="H127" s="62" t="s">
        <v>2045</v>
      </c>
      <c r="I127" s="62" t="s">
        <v>439</v>
      </c>
      <c r="J127" s="118">
        <v>1</v>
      </c>
      <c r="K127" s="119"/>
      <c r="L127" s="62" t="s">
        <v>77</v>
      </c>
      <c r="M127" s="120" t="s">
        <v>440</v>
      </c>
      <c r="N127" s="65">
        <v>43621</v>
      </c>
      <c r="O127" s="24">
        <v>154230</v>
      </c>
      <c r="P127" s="24">
        <v>23464</v>
      </c>
      <c r="Q127" s="64">
        <f>+O127*P127</f>
        <v>3618852720</v>
      </c>
      <c r="R127" s="64"/>
      <c r="S127" s="64"/>
      <c r="T127" s="64" t="e">
        <f>+#REF!/2</f>
        <v>#REF!</v>
      </c>
      <c r="U127" s="64" t="s">
        <v>441</v>
      </c>
      <c r="V127" s="121">
        <v>3621760220</v>
      </c>
      <c r="W127" s="122"/>
      <c r="X127" s="64">
        <v>3621760220</v>
      </c>
      <c r="Y127" s="121"/>
      <c r="Z127" s="121"/>
      <c r="AA127" s="121"/>
      <c r="AB127" s="121"/>
      <c r="AC127" s="64">
        <v>3621760220</v>
      </c>
      <c r="AD127" s="65">
        <v>45323</v>
      </c>
      <c r="AE127" s="65">
        <v>47299</v>
      </c>
      <c r="AF127" s="62"/>
      <c r="AG127" s="119">
        <v>65</v>
      </c>
      <c r="AH127" s="25">
        <v>30181335</v>
      </c>
      <c r="AI127" s="78">
        <v>1629792092</v>
      </c>
      <c r="AJ127" s="78">
        <v>1991968128</v>
      </c>
      <c r="AK127" s="27">
        <f>+AH127</f>
        <v>30181335</v>
      </c>
      <c r="AL127" s="27">
        <f t="shared" si="40"/>
        <v>30181335</v>
      </c>
      <c r="AM127" s="27">
        <f t="shared" si="56"/>
        <v>30181335</v>
      </c>
      <c r="AN127" s="27">
        <f t="shared" si="51"/>
        <v>30181335</v>
      </c>
      <c r="AO127" s="27">
        <f t="shared" si="52"/>
        <v>30181335</v>
      </c>
      <c r="AP127" s="27">
        <f t="shared" si="52"/>
        <v>30181335</v>
      </c>
      <c r="AQ127" s="27">
        <f t="shared" si="53"/>
        <v>30181335</v>
      </c>
      <c r="AR127" s="27">
        <f t="shared" si="54"/>
        <v>30181335</v>
      </c>
      <c r="AS127" s="27"/>
      <c r="AT127" s="27"/>
      <c r="AU127" s="27"/>
      <c r="AV127" s="27"/>
      <c r="AW127" s="27">
        <f t="shared" si="33"/>
        <v>241450680</v>
      </c>
      <c r="AX127" s="79">
        <f t="shared" si="34"/>
        <v>1750517448</v>
      </c>
      <c r="AY127" s="79">
        <f t="shared" si="35"/>
        <v>1871242772</v>
      </c>
      <c r="AZ127" s="25">
        <v>1</v>
      </c>
      <c r="BA127" s="62"/>
      <c r="BB127" s="66">
        <v>1</v>
      </c>
      <c r="BC127" s="66"/>
      <c r="BD127" s="66"/>
      <c r="BE127" s="67">
        <f t="shared" si="50"/>
        <v>30181335</v>
      </c>
      <c r="BF127" s="67">
        <f t="shared" si="55"/>
        <v>0</v>
      </c>
      <c r="BG127" s="67">
        <f t="shared" si="42"/>
        <v>0</v>
      </c>
      <c r="BH127" s="66"/>
      <c r="BI127" s="68"/>
      <c r="BJ127" s="68" t="s">
        <v>1979</v>
      </c>
      <c r="BK127" s="68" t="s">
        <v>1979</v>
      </c>
      <c r="BL127" s="29"/>
    </row>
    <row r="128" spans="1:68" ht="15" customHeight="1">
      <c r="C128" s="1" t="str">
        <f t="shared" si="63"/>
        <v>2906</v>
      </c>
      <c r="D128" s="1" t="str">
        <f t="shared" si="64"/>
        <v>2402</v>
      </c>
      <c r="E128" s="19" t="s">
        <v>48</v>
      </c>
      <c r="F128" s="62" t="s">
        <v>1923</v>
      </c>
      <c r="G128" s="62">
        <v>2112</v>
      </c>
      <c r="H128" s="62" t="s">
        <v>2046</v>
      </c>
      <c r="I128" s="62" t="s">
        <v>439</v>
      </c>
      <c r="J128" s="118">
        <v>1</v>
      </c>
      <c r="K128" s="119"/>
      <c r="L128" s="62" t="s">
        <v>77</v>
      </c>
      <c r="M128" s="120" t="s">
        <v>440</v>
      </c>
      <c r="N128" s="65">
        <v>43621</v>
      </c>
      <c r="O128" s="24">
        <v>154230</v>
      </c>
      <c r="P128" s="24">
        <v>23464</v>
      </c>
      <c r="Q128" s="64">
        <f t="shared" ref="Q128" si="65">+O128*P128</f>
        <v>3618852720</v>
      </c>
      <c r="R128" s="64"/>
      <c r="S128" s="64"/>
      <c r="T128" s="64">
        <v>2907500</v>
      </c>
      <c r="U128" s="64" t="s">
        <v>441</v>
      </c>
      <c r="V128" s="121">
        <v>3621760220</v>
      </c>
      <c r="W128" s="122"/>
      <c r="X128" s="64">
        <v>3621760220</v>
      </c>
      <c r="Y128" s="121"/>
      <c r="Z128" s="121"/>
      <c r="AA128" s="121"/>
      <c r="AB128" s="121"/>
      <c r="AC128" s="64">
        <v>3621760220</v>
      </c>
      <c r="AD128" s="65">
        <v>45323</v>
      </c>
      <c r="AE128" s="65">
        <v>47299</v>
      </c>
      <c r="AF128" s="62"/>
      <c r="AG128" s="119">
        <v>65</v>
      </c>
      <c r="AH128" s="25">
        <v>30181335</v>
      </c>
      <c r="AI128" s="78">
        <v>1629792092</v>
      </c>
      <c r="AJ128" s="78">
        <v>1991968128</v>
      </c>
      <c r="AK128" s="27">
        <f>+AH128</f>
        <v>30181335</v>
      </c>
      <c r="AL128" s="27">
        <f t="shared" si="40"/>
        <v>30181335</v>
      </c>
      <c r="AM128" s="27">
        <f t="shared" si="56"/>
        <v>30181335</v>
      </c>
      <c r="AN128" s="27">
        <f t="shared" si="51"/>
        <v>30181335</v>
      </c>
      <c r="AO128" s="27">
        <f t="shared" si="52"/>
        <v>30181335</v>
      </c>
      <c r="AP128" s="27">
        <f t="shared" si="52"/>
        <v>30181335</v>
      </c>
      <c r="AQ128" s="27">
        <f t="shared" si="53"/>
        <v>30181335</v>
      </c>
      <c r="AR128" s="27">
        <f t="shared" si="54"/>
        <v>30181335</v>
      </c>
      <c r="AS128" s="27"/>
      <c r="AT128" s="27"/>
      <c r="AU128" s="27"/>
      <c r="AV128" s="27"/>
      <c r="AW128" s="27">
        <f t="shared" si="33"/>
        <v>241450680</v>
      </c>
      <c r="AX128" s="79">
        <f t="shared" si="34"/>
        <v>1750517448</v>
      </c>
      <c r="AY128" s="79">
        <f t="shared" si="35"/>
        <v>1871242772</v>
      </c>
      <c r="AZ128" s="25">
        <v>1</v>
      </c>
      <c r="BA128" s="62"/>
      <c r="BB128" s="66">
        <v>1</v>
      </c>
      <c r="BC128" s="66"/>
      <c r="BD128" s="66"/>
      <c r="BE128" s="67">
        <f t="shared" si="50"/>
        <v>30181335</v>
      </c>
      <c r="BF128" s="67">
        <f t="shared" si="55"/>
        <v>0</v>
      </c>
      <c r="BG128" s="67">
        <f t="shared" si="42"/>
        <v>0</v>
      </c>
      <c r="BH128" s="66"/>
      <c r="BI128" s="68"/>
      <c r="BJ128" s="68" t="s">
        <v>121</v>
      </c>
      <c r="BK128" s="68" t="s">
        <v>121</v>
      </c>
      <c r="BL128" s="29"/>
    </row>
    <row r="129" spans="1:68" ht="15" customHeight="1">
      <c r="A129" s="1" t="s">
        <v>43</v>
      </c>
      <c r="C129" s="1" t="str">
        <f t="shared" si="29"/>
        <v>2206</v>
      </c>
      <c r="D129" s="1" t="str">
        <f t="shared" si="30"/>
        <v>1907</v>
      </c>
      <c r="E129" s="19" t="s">
        <v>48</v>
      </c>
      <c r="F129" s="62" t="s">
        <v>49</v>
      </c>
      <c r="G129" s="62">
        <v>2112</v>
      </c>
      <c r="H129" s="62" t="s">
        <v>442</v>
      </c>
      <c r="I129" s="62" t="s">
        <v>443</v>
      </c>
      <c r="J129" s="118">
        <v>2</v>
      </c>
      <c r="K129" s="119"/>
      <c r="L129" s="62" t="s">
        <v>77</v>
      </c>
      <c r="M129" s="120" t="s">
        <v>444</v>
      </c>
      <c r="N129" s="65">
        <v>43619</v>
      </c>
      <c r="O129" s="24">
        <v>1746.37</v>
      </c>
      <c r="P129" s="24">
        <v>23462</v>
      </c>
      <c r="Q129" s="64">
        <v>40973332.939999998</v>
      </c>
      <c r="R129" s="64">
        <v>0</v>
      </c>
      <c r="S129" s="64"/>
      <c r="T129" s="64">
        <v>254440.51699999999</v>
      </c>
      <c r="U129" s="64" t="s">
        <v>445</v>
      </c>
      <c r="V129" s="121">
        <v>41227773</v>
      </c>
      <c r="W129" s="122">
        <v>0</v>
      </c>
      <c r="X129" s="64">
        <v>41227773</v>
      </c>
      <c r="Y129" s="121"/>
      <c r="Z129" s="121"/>
      <c r="AA129" s="121"/>
      <c r="AB129" s="121"/>
      <c r="AC129" s="64">
        <v>41227773</v>
      </c>
      <c r="AD129" s="65">
        <v>43647</v>
      </c>
      <c r="AE129" s="65">
        <v>44742</v>
      </c>
      <c r="AF129" s="62">
        <v>3</v>
      </c>
      <c r="AG129" s="119">
        <v>36</v>
      </c>
      <c r="AH129" s="25">
        <v>1145215.9166666667</v>
      </c>
      <c r="AI129" s="78">
        <v>41227773</v>
      </c>
      <c r="AJ129" s="78">
        <v>0</v>
      </c>
      <c r="AK129" s="27">
        <f t="shared" si="31"/>
        <v>0</v>
      </c>
      <c r="AL129" s="27">
        <f t="shared" si="40"/>
        <v>0</v>
      </c>
      <c r="AM129" s="27">
        <f t="shared" si="56"/>
        <v>0</v>
      </c>
      <c r="AN129" s="27">
        <f t="shared" si="51"/>
        <v>0</v>
      </c>
      <c r="AO129" s="27">
        <f t="shared" si="52"/>
        <v>0</v>
      </c>
      <c r="AP129" s="27">
        <f t="shared" si="52"/>
        <v>0</v>
      </c>
      <c r="AQ129" s="27">
        <f t="shared" si="53"/>
        <v>0</v>
      </c>
      <c r="AR129" s="27">
        <f t="shared" si="54"/>
        <v>0</v>
      </c>
      <c r="AS129" s="27"/>
      <c r="AT129" s="27"/>
      <c r="AU129" s="27"/>
      <c r="AV129" s="27"/>
      <c r="AW129" s="27">
        <f t="shared" si="33"/>
        <v>0</v>
      </c>
      <c r="AX129" s="79">
        <f t="shared" si="34"/>
        <v>0</v>
      </c>
      <c r="AY129" s="79">
        <f t="shared" si="35"/>
        <v>41227773</v>
      </c>
      <c r="AZ129" s="25">
        <v>2</v>
      </c>
      <c r="BA129" s="62" t="s">
        <v>79</v>
      </c>
      <c r="BB129" s="66">
        <v>1</v>
      </c>
      <c r="BC129" s="66"/>
      <c r="BD129" s="66"/>
      <c r="BE129" s="67">
        <f t="shared" si="50"/>
        <v>0</v>
      </c>
      <c r="BF129" s="67">
        <f t="shared" si="55"/>
        <v>0</v>
      </c>
      <c r="BG129" s="67">
        <f t="shared" si="42"/>
        <v>0</v>
      </c>
      <c r="BH129" s="66"/>
      <c r="BI129" s="68" t="s">
        <v>446</v>
      </c>
      <c r="BJ129" s="68" t="s">
        <v>58</v>
      </c>
      <c r="BK129" s="68" t="s">
        <v>159</v>
      </c>
      <c r="BL129" s="29"/>
      <c r="BO129" s="35" t="s">
        <v>1805</v>
      </c>
    </row>
    <row r="130" spans="1:68" ht="15" customHeight="1">
      <c r="A130" s="1" t="s">
        <v>43</v>
      </c>
      <c r="C130" s="1" t="str">
        <f t="shared" si="29"/>
        <v>2606</v>
      </c>
      <c r="D130" s="1" t="str">
        <f t="shared" si="30"/>
        <v>1906</v>
      </c>
      <c r="E130" s="19" t="s">
        <v>48</v>
      </c>
      <c r="F130" s="62" t="s">
        <v>49</v>
      </c>
      <c r="G130" s="62">
        <v>2114</v>
      </c>
      <c r="H130" s="62" t="s">
        <v>447</v>
      </c>
      <c r="I130" s="62" t="s">
        <v>448</v>
      </c>
      <c r="J130" s="118">
        <v>1</v>
      </c>
      <c r="K130" s="119"/>
      <c r="L130" s="62" t="s">
        <v>449</v>
      </c>
      <c r="M130" s="120" t="s">
        <v>450</v>
      </c>
      <c r="N130" s="65">
        <v>43621</v>
      </c>
      <c r="O130" s="24"/>
      <c r="P130" s="24"/>
      <c r="Q130" s="64">
        <v>55000000</v>
      </c>
      <c r="R130" s="64"/>
      <c r="S130" s="64"/>
      <c r="T130" s="64"/>
      <c r="U130" s="64"/>
      <c r="V130" s="121">
        <v>55000000</v>
      </c>
      <c r="W130" s="122">
        <v>0</v>
      </c>
      <c r="X130" s="64">
        <v>55000000</v>
      </c>
      <c r="Y130" s="121"/>
      <c r="Z130" s="121"/>
      <c r="AA130" s="121"/>
      <c r="AB130" s="121"/>
      <c r="AC130" s="64">
        <v>55000000</v>
      </c>
      <c r="AD130" s="65">
        <v>43621</v>
      </c>
      <c r="AE130" s="65">
        <v>46176</v>
      </c>
      <c r="AF130" s="62">
        <v>7</v>
      </c>
      <c r="AG130" s="119">
        <v>84</v>
      </c>
      <c r="AH130" s="25">
        <v>654761.90476190473</v>
      </c>
      <c r="AI130" s="78">
        <v>35924607.047619045</v>
      </c>
      <c r="AJ130" s="78">
        <v>19075392.952380951</v>
      </c>
      <c r="AK130" s="27">
        <f t="shared" si="31"/>
        <v>654761.90476190473</v>
      </c>
      <c r="AL130" s="27">
        <f t="shared" si="40"/>
        <v>654761.90476190473</v>
      </c>
      <c r="AM130" s="27">
        <f t="shared" si="56"/>
        <v>654761.90476190473</v>
      </c>
      <c r="AN130" s="27">
        <f t="shared" si="51"/>
        <v>654761.90476190473</v>
      </c>
      <c r="AO130" s="27">
        <f t="shared" si="52"/>
        <v>654761.90476190473</v>
      </c>
      <c r="AP130" s="27">
        <f t="shared" si="52"/>
        <v>654761.90476190473</v>
      </c>
      <c r="AQ130" s="27">
        <f t="shared" si="53"/>
        <v>654761.90476190473</v>
      </c>
      <c r="AR130" s="27">
        <f t="shared" si="54"/>
        <v>654761.90476190473</v>
      </c>
      <c r="AS130" s="27"/>
      <c r="AT130" s="27"/>
      <c r="AU130" s="27"/>
      <c r="AV130" s="27"/>
      <c r="AW130" s="27">
        <f t="shared" si="33"/>
        <v>5238095.2380952379</v>
      </c>
      <c r="AX130" s="79">
        <f t="shared" si="34"/>
        <v>13837297.714285716</v>
      </c>
      <c r="AY130" s="79">
        <f t="shared" si="35"/>
        <v>41162702.285714284</v>
      </c>
      <c r="AZ130" s="25">
        <v>1</v>
      </c>
      <c r="BA130" s="62" t="s">
        <v>97</v>
      </c>
      <c r="BB130" s="66"/>
      <c r="BC130" s="66">
        <v>1</v>
      </c>
      <c r="BD130" s="66"/>
      <c r="BE130" s="67">
        <f t="shared" si="50"/>
        <v>0</v>
      </c>
      <c r="BF130" s="67">
        <f t="shared" si="55"/>
        <v>654761.90476190473</v>
      </c>
      <c r="BG130" s="67">
        <f t="shared" si="42"/>
        <v>0</v>
      </c>
      <c r="BH130" s="66"/>
      <c r="BI130" s="68" t="s">
        <v>451</v>
      </c>
      <c r="BJ130" s="68" t="s">
        <v>58</v>
      </c>
      <c r="BK130" s="68" t="s">
        <v>59</v>
      </c>
      <c r="BL130" s="29"/>
      <c r="BO130" s="35" t="s">
        <v>1799</v>
      </c>
    </row>
    <row r="131" spans="1:68" ht="15" customHeight="1">
      <c r="A131" s="1" t="s">
        <v>43</v>
      </c>
      <c r="C131" s="1" t="str">
        <f t="shared" si="29"/>
        <v>2606</v>
      </c>
      <c r="D131" s="1" t="str">
        <f t="shared" si="30"/>
        <v>1906</v>
      </c>
      <c r="E131" s="19" t="s">
        <v>48</v>
      </c>
      <c r="F131" s="62" t="s">
        <v>49</v>
      </c>
      <c r="G131" s="62">
        <v>2114</v>
      </c>
      <c r="H131" s="62" t="s">
        <v>452</v>
      </c>
      <c r="I131" s="62" t="s">
        <v>453</v>
      </c>
      <c r="J131" s="118">
        <v>1</v>
      </c>
      <c r="K131" s="119"/>
      <c r="L131" s="62" t="s">
        <v>449</v>
      </c>
      <c r="M131" s="120" t="s">
        <v>450</v>
      </c>
      <c r="N131" s="65">
        <v>43621</v>
      </c>
      <c r="O131" s="24"/>
      <c r="P131" s="24"/>
      <c r="Q131" s="64">
        <v>42750000</v>
      </c>
      <c r="R131" s="64"/>
      <c r="S131" s="64"/>
      <c r="T131" s="64"/>
      <c r="U131" s="64"/>
      <c r="V131" s="121">
        <v>42750000</v>
      </c>
      <c r="W131" s="122">
        <v>0</v>
      </c>
      <c r="X131" s="64">
        <v>42750000</v>
      </c>
      <c r="Y131" s="121"/>
      <c r="Z131" s="121"/>
      <c r="AA131" s="121"/>
      <c r="AB131" s="121"/>
      <c r="AC131" s="64">
        <v>42750000</v>
      </c>
      <c r="AD131" s="65">
        <v>43621</v>
      </c>
      <c r="AE131" s="65">
        <v>46176</v>
      </c>
      <c r="AF131" s="62">
        <v>7</v>
      </c>
      <c r="AG131" s="119">
        <v>84</v>
      </c>
      <c r="AH131" s="25">
        <v>508928.57142857142</v>
      </c>
      <c r="AI131" s="78">
        <v>27923233.714285716</v>
      </c>
      <c r="AJ131" s="78">
        <v>14826766.285714284</v>
      </c>
      <c r="AK131" s="27">
        <f t="shared" si="31"/>
        <v>508928.57142857142</v>
      </c>
      <c r="AL131" s="27">
        <f t="shared" si="40"/>
        <v>508928.57142857142</v>
      </c>
      <c r="AM131" s="27">
        <f t="shared" si="56"/>
        <v>508928.57142857142</v>
      </c>
      <c r="AN131" s="27">
        <f t="shared" si="51"/>
        <v>508928.57142857142</v>
      </c>
      <c r="AO131" s="27">
        <f t="shared" si="52"/>
        <v>508928.57142857142</v>
      </c>
      <c r="AP131" s="27">
        <f t="shared" si="52"/>
        <v>508928.57142857142</v>
      </c>
      <c r="AQ131" s="27">
        <f t="shared" si="53"/>
        <v>508928.57142857142</v>
      </c>
      <c r="AR131" s="27">
        <f t="shared" si="54"/>
        <v>508928.57142857142</v>
      </c>
      <c r="AS131" s="27"/>
      <c r="AT131" s="27"/>
      <c r="AU131" s="27"/>
      <c r="AV131" s="27"/>
      <c r="AW131" s="27">
        <f t="shared" si="33"/>
        <v>4071428.5714285714</v>
      </c>
      <c r="AX131" s="79">
        <f t="shared" si="34"/>
        <v>10755337.714285713</v>
      </c>
      <c r="AY131" s="79">
        <f t="shared" si="35"/>
        <v>31994662.285714287</v>
      </c>
      <c r="AZ131" s="25">
        <v>1</v>
      </c>
      <c r="BA131" s="62" t="s">
        <v>79</v>
      </c>
      <c r="BB131" s="66"/>
      <c r="BC131" s="66">
        <v>1</v>
      </c>
      <c r="BD131" s="66"/>
      <c r="BE131" s="67">
        <f t="shared" si="50"/>
        <v>0</v>
      </c>
      <c r="BF131" s="67">
        <f t="shared" si="55"/>
        <v>508928.57142857142</v>
      </c>
      <c r="BG131" s="67">
        <f t="shared" si="42"/>
        <v>0</v>
      </c>
      <c r="BH131" s="66"/>
      <c r="BI131" s="68" t="s">
        <v>451</v>
      </c>
      <c r="BJ131" s="68" t="s">
        <v>58</v>
      </c>
      <c r="BK131" s="68" t="s">
        <v>59</v>
      </c>
      <c r="BL131" s="29"/>
      <c r="BO131" s="35" t="s">
        <v>1799</v>
      </c>
    </row>
    <row r="132" spans="1:68" ht="15" customHeight="1">
      <c r="A132" s="1" t="s">
        <v>43</v>
      </c>
      <c r="C132" s="1" t="str">
        <f t="shared" si="29"/>
        <v>2707</v>
      </c>
      <c r="D132" s="1" t="str">
        <f t="shared" si="30"/>
        <v>1907</v>
      </c>
      <c r="E132" s="19" t="s">
        <v>48</v>
      </c>
      <c r="F132" s="62" t="s">
        <v>49</v>
      </c>
      <c r="G132" s="62">
        <v>2111</v>
      </c>
      <c r="H132" s="62" t="s">
        <v>454</v>
      </c>
      <c r="I132" s="62" t="s">
        <v>455</v>
      </c>
      <c r="J132" s="118">
        <v>1</v>
      </c>
      <c r="K132" s="119"/>
      <c r="L132" s="62" t="s">
        <v>70</v>
      </c>
      <c r="M132" s="120" t="s">
        <v>456</v>
      </c>
      <c r="N132" s="65">
        <v>43668</v>
      </c>
      <c r="O132" s="24"/>
      <c r="P132" s="24"/>
      <c r="Q132" s="64">
        <v>127322534</v>
      </c>
      <c r="R132" s="64"/>
      <c r="S132" s="64"/>
      <c r="T132" s="64"/>
      <c r="U132" s="64"/>
      <c r="V132" s="121">
        <v>127322534</v>
      </c>
      <c r="W132" s="122">
        <v>0</v>
      </c>
      <c r="X132" s="64">
        <v>127322534</v>
      </c>
      <c r="Y132" s="121"/>
      <c r="Z132" s="121"/>
      <c r="AA132" s="121"/>
      <c r="AB132" s="121"/>
      <c r="AC132" s="64">
        <v>127322534</v>
      </c>
      <c r="AD132" s="65">
        <v>43668</v>
      </c>
      <c r="AE132" s="65">
        <v>46589</v>
      </c>
      <c r="AF132" s="62">
        <v>8</v>
      </c>
      <c r="AG132" s="119">
        <v>96</v>
      </c>
      <c r="AH132" s="25">
        <v>1326276.3958333333</v>
      </c>
      <c r="AI132" s="78">
        <v>70720462.958333343</v>
      </c>
      <c r="AJ132" s="78">
        <v>56602071.041666664</v>
      </c>
      <c r="AK132" s="27">
        <f t="shared" si="31"/>
        <v>1326276.3958333333</v>
      </c>
      <c r="AL132" s="27">
        <f t="shared" si="40"/>
        <v>1326276.3958333333</v>
      </c>
      <c r="AM132" s="27">
        <f t="shared" si="56"/>
        <v>1326276.3958333333</v>
      </c>
      <c r="AN132" s="27">
        <f t="shared" si="51"/>
        <v>1326276.3958333333</v>
      </c>
      <c r="AO132" s="27">
        <f t="shared" si="52"/>
        <v>1326276.3958333333</v>
      </c>
      <c r="AP132" s="27">
        <f t="shared" si="52"/>
        <v>1326276.3958333333</v>
      </c>
      <c r="AQ132" s="27">
        <f t="shared" si="53"/>
        <v>1326276.3958333333</v>
      </c>
      <c r="AR132" s="27">
        <f t="shared" si="54"/>
        <v>1326276.3958333333</v>
      </c>
      <c r="AS132" s="27"/>
      <c r="AT132" s="27"/>
      <c r="AU132" s="27"/>
      <c r="AV132" s="27"/>
      <c r="AW132" s="27">
        <f t="shared" si="33"/>
        <v>10610211.166666666</v>
      </c>
      <c r="AX132" s="79">
        <f t="shared" si="34"/>
        <v>45991859.874999993</v>
      </c>
      <c r="AY132" s="79">
        <f t="shared" si="35"/>
        <v>81330674.125000015</v>
      </c>
      <c r="AZ132" s="25">
        <v>1</v>
      </c>
      <c r="BA132" s="62" t="s">
        <v>56</v>
      </c>
      <c r="BB132" s="66">
        <v>1</v>
      </c>
      <c r="BC132" s="66"/>
      <c r="BD132" s="66"/>
      <c r="BE132" s="67">
        <f t="shared" si="50"/>
        <v>1326276.3958333333</v>
      </c>
      <c r="BF132" s="67">
        <f t="shared" si="55"/>
        <v>0</v>
      </c>
      <c r="BG132" s="67">
        <f t="shared" si="42"/>
        <v>0</v>
      </c>
      <c r="BH132" s="66"/>
      <c r="BI132" s="68" t="s">
        <v>457</v>
      </c>
      <c r="BJ132" s="68" t="s">
        <v>58</v>
      </c>
      <c r="BK132" s="68" t="s">
        <v>59</v>
      </c>
      <c r="BL132" s="29"/>
      <c r="BO132" s="35" t="s">
        <v>1799</v>
      </c>
    </row>
    <row r="133" spans="1:68" ht="15" customHeight="1">
      <c r="A133" s="1" t="s">
        <v>43</v>
      </c>
      <c r="C133" s="1" t="str">
        <f t="shared" si="29"/>
        <v>2907</v>
      </c>
      <c r="D133" s="1" t="str">
        <f t="shared" si="30"/>
        <v>1908</v>
      </c>
      <c r="E133" s="19" t="s">
        <v>48</v>
      </c>
      <c r="F133" s="62" t="s">
        <v>49</v>
      </c>
      <c r="G133" s="62">
        <v>2112</v>
      </c>
      <c r="H133" s="62" t="s">
        <v>458</v>
      </c>
      <c r="I133" s="62" t="s">
        <v>459</v>
      </c>
      <c r="J133" s="118">
        <v>1</v>
      </c>
      <c r="K133" s="119"/>
      <c r="L133" s="62" t="s">
        <v>77</v>
      </c>
      <c r="M133" s="120" t="s">
        <v>460</v>
      </c>
      <c r="N133" s="65">
        <v>43651</v>
      </c>
      <c r="O133" s="24">
        <v>7436.55</v>
      </c>
      <c r="P133" s="24">
        <v>23296</v>
      </c>
      <c r="Q133" s="64">
        <v>173241868.80000001</v>
      </c>
      <c r="R133" s="64">
        <v>0</v>
      </c>
      <c r="S133" s="64"/>
      <c r="T133" s="64">
        <v>18533.484</v>
      </c>
      <c r="U133" s="64" t="s">
        <v>461</v>
      </c>
      <c r="V133" s="121">
        <v>173260402</v>
      </c>
      <c r="W133" s="122">
        <v>0</v>
      </c>
      <c r="X133" s="64">
        <v>173260402</v>
      </c>
      <c r="Y133" s="121"/>
      <c r="Z133" s="121"/>
      <c r="AA133" s="121"/>
      <c r="AB133" s="121"/>
      <c r="AC133" s="64">
        <v>173260402</v>
      </c>
      <c r="AD133" s="65">
        <v>43678</v>
      </c>
      <c r="AE133" s="65">
        <v>47328</v>
      </c>
      <c r="AF133" s="62">
        <v>10</v>
      </c>
      <c r="AG133" s="119">
        <v>120</v>
      </c>
      <c r="AH133" s="25">
        <v>1443836.6833333333</v>
      </c>
      <c r="AI133" s="78">
        <v>76523357.553333342</v>
      </c>
      <c r="AJ133" s="78">
        <v>96737044.446666658</v>
      </c>
      <c r="AK133" s="27">
        <f t="shared" si="31"/>
        <v>1443836.6833333333</v>
      </c>
      <c r="AL133" s="27">
        <f t="shared" si="40"/>
        <v>1443836.6833333333</v>
      </c>
      <c r="AM133" s="27">
        <f t="shared" si="56"/>
        <v>1443836.6833333333</v>
      </c>
      <c r="AN133" s="27">
        <f t="shared" si="51"/>
        <v>1443836.6833333333</v>
      </c>
      <c r="AO133" s="27">
        <f t="shared" si="52"/>
        <v>1443836.6833333333</v>
      </c>
      <c r="AP133" s="27">
        <f t="shared" si="52"/>
        <v>1443836.6833333333</v>
      </c>
      <c r="AQ133" s="27">
        <f t="shared" si="53"/>
        <v>1443836.6833333333</v>
      </c>
      <c r="AR133" s="27">
        <f t="shared" si="54"/>
        <v>1443836.6833333333</v>
      </c>
      <c r="AS133" s="27"/>
      <c r="AT133" s="27"/>
      <c r="AU133" s="27"/>
      <c r="AV133" s="27"/>
      <c r="AW133" s="27">
        <f t="shared" si="33"/>
        <v>11550693.466666667</v>
      </c>
      <c r="AX133" s="79">
        <f t="shared" si="34"/>
        <v>85186350.979999989</v>
      </c>
      <c r="AY133" s="79">
        <f t="shared" si="35"/>
        <v>88074051.020000011</v>
      </c>
      <c r="AZ133" s="25">
        <v>1</v>
      </c>
      <c r="BA133" s="62" t="s">
        <v>97</v>
      </c>
      <c r="BB133" s="66">
        <v>1</v>
      </c>
      <c r="BC133" s="66"/>
      <c r="BD133" s="66"/>
      <c r="BE133" s="67">
        <f t="shared" si="50"/>
        <v>1443836.6833333333</v>
      </c>
      <c r="BF133" s="67">
        <f t="shared" si="55"/>
        <v>0</v>
      </c>
      <c r="BG133" s="67">
        <f t="shared" si="42"/>
        <v>0</v>
      </c>
      <c r="BH133" s="66"/>
      <c r="BI133" s="68">
        <v>0</v>
      </c>
      <c r="BJ133" s="68" t="s">
        <v>58</v>
      </c>
      <c r="BK133" s="68" t="s">
        <v>159</v>
      </c>
      <c r="BL133" s="29"/>
      <c r="BO133" s="35" t="s">
        <v>1801</v>
      </c>
    </row>
    <row r="134" spans="1:68" ht="15" customHeight="1">
      <c r="A134" s="1" t="s">
        <v>43</v>
      </c>
      <c r="C134" s="1" t="str">
        <f t="shared" si="29"/>
        <v>2908</v>
      </c>
      <c r="D134" s="1" t="str">
        <f t="shared" si="30"/>
        <v>1909</v>
      </c>
      <c r="E134" s="19" t="s">
        <v>48</v>
      </c>
      <c r="F134" s="62" t="s">
        <v>1896</v>
      </c>
      <c r="G134" s="62">
        <v>2112</v>
      </c>
      <c r="H134" s="62" t="s">
        <v>462</v>
      </c>
      <c r="I134" s="62" t="s">
        <v>463</v>
      </c>
      <c r="J134" s="118">
        <v>1</v>
      </c>
      <c r="K134" s="119"/>
      <c r="L134" s="62" t="s">
        <v>77</v>
      </c>
      <c r="M134" s="120" t="s">
        <v>464</v>
      </c>
      <c r="N134" s="65">
        <v>43675</v>
      </c>
      <c r="O134" s="24">
        <v>6743</v>
      </c>
      <c r="P134" s="24">
        <v>23270</v>
      </c>
      <c r="Q134" s="64">
        <v>156909610</v>
      </c>
      <c r="R134" s="64">
        <v>0</v>
      </c>
      <c r="S134" s="64"/>
      <c r="T134" s="64">
        <v>3205300</v>
      </c>
      <c r="U134" s="64" t="s">
        <v>465</v>
      </c>
      <c r="V134" s="121">
        <v>160114910</v>
      </c>
      <c r="W134" s="122">
        <v>0</v>
      </c>
      <c r="X134" s="64">
        <v>160114910</v>
      </c>
      <c r="Y134" s="121"/>
      <c r="Z134" s="121"/>
      <c r="AA134" s="121"/>
      <c r="AB134" s="121"/>
      <c r="AC134" s="64">
        <v>160114910</v>
      </c>
      <c r="AD134" s="65">
        <v>43709</v>
      </c>
      <c r="AE134" s="65">
        <v>47359</v>
      </c>
      <c r="AF134" s="62">
        <v>10</v>
      </c>
      <c r="AG134" s="119">
        <v>120</v>
      </c>
      <c r="AH134" s="25">
        <v>1334290.9166666667</v>
      </c>
      <c r="AI134" s="78">
        <v>69383131.166666657</v>
      </c>
      <c r="AJ134" s="78">
        <v>90731778.833333343</v>
      </c>
      <c r="AK134" s="27">
        <f t="shared" si="31"/>
        <v>1334290.9166666667</v>
      </c>
      <c r="AL134" s="27">
        <f t="shared" si="40"/>
        <v>1334290.9166666667</v>
      </c>
      <c r="AM134" s="27">
        <f t="shared" si="56"/>
        <v>1334290.9166666667</v>
      </c>
      <c r="AN134" s="27">
        <f t="shared" si="51"/>
        <v>1334290.9166666667</v>
      </c>
      <c r="AO134" s="27">
        <f t="shared" si="52"/>
        <v>1334290.9166666667</v>
      </c>
      <c r="AP134" s="27">
        <f t="shared" si="52"/>
        <v>1334290.9166666667</v>
      </c>
      <c r="AQ134" s="27">
        <f t="shared" si="53"/>
        <v>1334290.9166666667</v>
      </c>
      <c r="AR134" s="27">
        <f t="shared" si="54"/>
        <v>1334290.9166666667</v>
      </c>
      <c r="AS134" s="27"/>
      <c r="AT134" s="27"/>
      <c r="AU134" s="27"/>
      <c r="AV134" s="27"/>
      <c r="AW134" s="27">
        <f t="shared" si="33"/>
        <v>10674327.333333334</v>
      </c>
      <c r="AX134" s="79">
        <f t="shared" si="34"/>
        <v>80057451.500000015</v>
      </c>
      <c r="AY134" s="79">
        <f t="shared" si="35"/>
        <v>80057458.499999985</v>
      </c>
      <c r="AZ134" s="25">
        <v>1</v>
      </c>
      <c r="BA134" s="62" t="s">
        <v>97</v>
      </c>
      <c r="BB134" s="66">
        <v>1</v>
      </c>
      <c r="BC134" s="66"/>
      <c r="BD134" s="66"/>
      <c r="BE134" s="67">
        <f t="shared" si="50"/>
        <v>1334290.9166666667</v>
      </c>
      <c r="BF134" s="67">
        <f t="shared" si="55"/>
        <v>0</v>
      </c>
      <c r="BG134" s="67">
        <f t="shared" si="42"/>
        <v>0</v>
      </c>
      <c r="BH134" s="66"/>
      <c r="BI134" s="68" t="s">
        <v>466</v>
      </c>
      <c r="BJ134" s="68" t="s">
        <v>1929</v>
      </c>
      <c r="BK134" s="68" t="s">
        <v>1989</v>
      </c>
      <c r="BL134" s="29"/>
      <c r="BO134" s="35" t="s">
        <v>1804</v>
      </c>
    </row>
    <row r="135" spans="1:68" ht="15" customHeight="1">
      <c r="A135" s="1" t="s">
        <v>43</v>
      </c>
      <c r="C135" s="1" t="str">
        <f t="shared" si="29"/>
        <v>2608</v>
      </c>
      <c r="D135" s="1" t="str">
        <f t="shared" si="30"/>
        <v>1909</v>
      </c>
      <c r="E135" s="19" t="s">
        <v>48</v>
      </c>
      <c r="F135" s="62" t="s">
        <v>49</v>
      </c>
      <c r="G135" s="62">
        <v>2112</v>
      </c>
      <c r="H135" s="62" t="s">
        <v>467</v>
      </c>
      <c r="I135" s="62" t="s">
        <v>468</v>
      </c>
      <c r="J135" s="118">
        <v>1</v>
      </c>
      <c r="K135" s="119" t="s">
        <v>469</v>
      </c>
      <c r="L135" s="62" t="s">
        <v>77</v>
      </c>
      <c r="M135" s="120" t="s">
        <v>470</v>
      </c>
      <c r="N135" s="132">
        <v>43679</v>
      </c>
      <c r="O135" s="24">
        <v>44210</v>
      </c>
      <c r="P135" s="24">
        <v>23283</v>
      </c>
      <c r="Q135" s="64">
        <v>1029341430</v>
      </c>
      <c r="R135" s="64">
        <v>0</v>
      </c>
      <c r="S135" s="64"/>
      <c r="T135" s="64">
        <v>11132546.938999999</v>
      </c>
      <c r="U135" s="64" t="s">
        <v>471</v>
      </c>
      <c r="V135" s="121">
        <v>1040473977</v>
      </c>
      <c r="W135" s="122">
        <v>0</v>
      </c>
      <c r="X135" s="64">
        <v>1040473977</v>
      </c>
      <c r="Y135" s="121"/>
      <c r="Z135" s="121"/>
      <c r="AA135" s="121"/>
      <c r="AB135" s="121"/>
      <c r="AC135" s="64">
        <v>1040473977</v>
      </c>
      <c r="AD135" s="65">
        <v>43709</v>
      </c>
      <c r="AE135" s="65">
        <v>46264</v>
      </c>
      <c r="AF135" s="62">
        <v>7</v>
      </c>
      <c r="AG135" s="119">
        <v>84</v>
      </c>
      <c r="AH135" s="25">
        <v>12386594.964285715</v>
      </c>
      <c r="AI135" s="78">
        <v>644102939.70285702</v>
      </c>
      <c r="AJ135" s="78">
        <v>396371037.29714292</v>
      </c>
      <c r="AK135" s="27">
        <f t="shared" si="31"/>
        <v>12386594.964285715</v>
      </c>
      <c r="AL135" s="27">
        <f t="shared" si="40"/>
        <v>12386594.964285715</v>
      </c>
      <c r="AM135" s="27">
        <f t="shared" si="56"/>
        <v>12386594.964285715</v>
      </c>
      <c r="AN135" s="27">
        <f t="shared" si="51"/>
        <v>12386594.964285715</v>
      </c>
      <c r="AO135" s="27">
        <f t="shared" si="52"/>
        <v>12386594.964285715</v>
      </c>
      <c r="AP135" s="27">
        <f t="shared" si="52"/>
        <v>12386594.964285715</v>
      </c>
      <c r="AQ135" s="27">
        <f t="shared" si="53"/>
        <v>12386594.964285715</v>
      </c>
      <c r="AR135" s="27">
        <f t="shared" si="54"/>
        <v>12386594.964285715</v>
      </c>
      <c r="AS135" s="27"/>
      <c r="AT135" s="27"/>
      <c r="AU135" s="27"/>
      <c r="AV135" s="27"/>
      <c r="AW135" s="27">
        <f t="shared" si="33"/>
        <v>99092759.714285716</v>
      </c>
      <c r="AX135" s="79">
        <f t="shared" si="34"/>
        <v>297278277.58285725</v>
      </c>
      <c r="AY135" s="79">
        <f t="shared" si="35"/>
        <v>743195699.41714275</v>
      </c>
      <c r="AZ135" s="25">
        <v>1</v>
      </c>
      <c r="BA135" s="62" t="s">
        <v>97</v>
      </c>
      <c r="BB135" s="66">
        <v>1</v>
      </c>
      <c r="BC135" s="66"/>
      <c r="BD135" s="66"/>
      <c r="BE135" s="67">
        <f t="shared" si="50"/>
        <v>12386594.964285715</v>
      </c>
      <c r="BF135" s="67">
        <f t="shared" si="55"/>
        <v>0</v>
      </c>
      <c r="BG135" s="67">
        <f t="shared" si="42"/>
        <v>0</v>
      </c>
      <c r="BH135" s="66"/>
      <c r="BI135" s="68" t="s">
        <v>414</v>
      </c>
      <c r="BJ135" s="68" t="s">
        <v>98</v>
      </c>
      <c r="BK135" s="68" t="s">
        <v>98</v>
      </c>
      <c r="BL135" s="29"/>
      <c r="BO135" s="35" t="s">
        <v>1801</v>
      </c>
    </row>
    <row r="136" spans="1:68" ht="15" customHeight="1">
      <c r="C136" s="1" t="str">
        <f t="shared" ref="C136:C137" si="66">+RIGHT(YEAR(AE136),2)&amp;IF(LEN(MONTH(AE136))=2,MONTH(AE136),"0"&amp;MONTH(AE136))</f>
        <v>2608</v>
      </c>
      <c r="D136" s="1" t="str">
        <f t="shared" ref="D136:D137" si="67">+RIGHT(YEAR(AD136),2)&amp;IF(LEN(MONTH(AD136))=2,MONTH(AD136),"0"&amp;MONTH(AD136))</f>
        <v>2402</v>
      </c>
      <c r="E136" s="19" t="s">
        <v>48</v>
      </c>
      <c r="F136" s="62" t="s">
        <v>1896</v>
      </c>
      <c r="G136" s="62">
        <v>2112</v>
      </c>
      <c r="H136" s="62" t="s">
        <v>2047</v>
      </c>
      <c r="I136" s="62" t="s">
        <v>473</v>
      </c>
      <c r="J136" s="118">
        <v>1</v>
      </c>
      <c r="K136" s="119" t="s">
        <v>469</v>
      </c>
      <c r="L136" s="62" t="s">
        <v>77</v>
      </c>
      <c r="M136" s="120" t="s">
        <v>470</v>
      </c>
      <c r="N136" s="132">
        <v>43679</v>
      </c>
      <c r="O136" s="24">
        <v>24630</v>
      </c>
      <c r="P136" s="24">
        <v>23283</v>
      </c>
      <c r="Q136" s="64">
        <f>+P136*O136</f>
        <v>573460290</v>
      </c>
      <c r="R136" s="64"/>
      <c r="S136" s="64"/>
      <c r="T136" s="64">
        <v>6202095.2465000004</v>
      </c>
      <c r="U136" s="64" t="s">
        <v>471</v>
      </c>
      <c r="V136" s="121">
        <v>579662385.24650002</v>
      </c>
      <c r="W136" s="122"/>
      <c r="X136" s="64">
        <v>579662385.24650002</v>
      </c>
      <c r="Y136" s="121"/>
      <c r="Z136" s="121"/>
      <c r="AA136" s="121"/>
      <c r="AB136" s="121"/>
      <c r="AC136" s="64">
        <v>579662385.24650002</v>
      </c>
      <c r="AD136" s="65">
        <v>45323</v>
      </c>
      <c r="AE136" s="65">
        <v>46264</v>
      </c>
      <c r="AF136" s="62"/>
      <c r="AG136" s="119">
        <v>31</v>
      </c>
      <c r="AH136" s="25">
        <v>6900743</v>
      </c>
      <c r="AI136" s="78">
        <v>358838612</v>
      </c>
      <c r="AJ136" s="78">
        <v>220823773</v>
      </c>
      <c r="AK136" s="27">
        <f>+AH136</f>
        <v>6900743</v>
      </c>
      <c r="AL136" s="27">
        <f t="shared" si="40"/>
        <v>6900743</v>
      </c>
      <c r="AM136" s="27">
        <f t="shared" si="56"/>
        <v>6900743</v>
      </c>
      <c r="AN136" s="27">
        <f t="shared" si="51"/>
        <v>6900743</v>
      </c>
      <c r="AO136" s="27">
        <f t="shared" si="52"/>
        <v>6900743</v>
      </c>
      <c r="AP136" s="27">
        <f t="shared" si="52"/>
        <v>6900743</v>
      </c>
      <c r="AQ136" s="27">
        <f t="shared" si="53"/>
        <v>6900743</v>
      </c>
      <c r="AR136" s="27">
        <f t="shared" si="54"/>
        <v>6900743</v>
      </c>
      <c r="AS136" s="27"/>
      <c r="AT136" s="27"/>
      <c r="AU136" s="27"/>
      <c r="AV136" s="27"/>
      <c r="AW136" s="27">
        <f t="shared" ref="AW136:AW137" si="68">+SUM(AK136:AV136)</f>
        <v>55205944</v>
      </c>
      <c r="AX136" s="79">
        <f t="shared" ref="AX136:AX137" si="69">AC136-AI136-AW136</f>
        <v>165617829.24650002</v>
      </c>
      <c r="AY136" s="79">
        <f t="shared" ref="AY136:AY137" si="70">AW136+AI136</f>
        <v>414044556</v>
      </c>
      <c r="AZ136" s="25">
        <v>1</v>
      </c>
      <c r="BA136" s="62"/>
      <c r="BB136" s="66">
        <v>1</v>
      </c>
      <c r="BC136" s="66"/>
      <c r="BD136" s="66"/>
      <c r="BE136" s="67">
        <f t="shared" si="50"/>
        <v>6900743</v>
      </c>
      <c r="BF136" s="67">
        <f t="shared" si="55"/>
        <v>0</v>
      </c>
      <c r="BG136" s="67">
        <f t="shared" ref="BG136:BG137" si="71">+$AL136*BD136</f>
        <v>0</v>
      </c>
      <c r="BH136" s="66"/>
      <c r="BI136" s="68"/>
      <c r="BJ136" s="68" t="s">
        <v>1930</v>
      </c>
      <c r="BK136" s="68" t="s">
        <v>1930</v>
      </c>
      <c r="BL136" s="29"/>
    </row>
    <row r="137" spans="1:68" ht="15" customHeight="1">
      <c r="C137" s="1" t="str">
        <f t="shared" si="66"/>
        <v>2608</v>
      </c>
      <c r="D137" s="1" t="str">
        <f t="shared" si="67"/>
        <v>2402</v>
      </c>
      <c r="E137" s="19" t="s">
        <v>48</v>
      </c>
      <c r="F137" s="62" t="s">
        <v>1896</v>
      </c>
      <c r="G137" s="62">
        <v>2112</v>
      </c>
      <c r="H137" s="62" t="s">
        <v>2048</v>
      </c>
      <c r="I137" s="62" t="s">
        <v>473</v>
      </c>
      <c r="J137" s="118">
        <v>1</v>
      </c>
      <c r="K137" s="119" t="s">
        <v>469</v>
      </c>
      <c r="L137" s="62" t="s">
        <v>77</v>
      </c>
      <c r="M137" s="120" t="s">
        <v>470</v>
      </c>
      <c r="N137" s="132">
        <v>43679</v>
      </c>
      <c r="O137" s="24">
        <v>24630</v>
      </c>
      <c r="P137" s="24">
        <v>23283</v>
      </c>
      <c r="Q137" s="64">
        <f t="shared" ref="Q137" si="72">+P137*O137</f>
        <v>573460290</v>
      </c>
      <c r="R137" s="64"/>
      <c r="S137" s="64"/>
      <c r="T137" s="64">
        <v>6202095.2465000004</v>
      </c>
      <c r="U137" s="64" t="s">
        <v>471</v>
      </c>
      <c r="V137" s="121">
        <v>579662385.24650002</v>
      </c>
      <c r="W137" s="122"/>
      <c r="X137" s="64">
        <v>579662385.24650002</v>
      </c>
      <c r="Y137" s="121"/>
      <c r="Z137" s="121"/>
      <c r="AA137" s="121"/>
      <c r="AB137" s="121"/>
      <c r="AC137" s="64">
        <v>579662385.24650002</v>
      </c>
      <c r="AD137" s="65">
        <v>45323</v>
      </c>
      <c r="AE137" s="65">
        <v>46264</v>
      </c>
      <c r="AF137" s="62"/>
      <c r="AG137" s="119">
        <v>31</v>
      </c>
      <c r="AH137" s="25">
        <v>6900743</v>
      </c>
      <c r="AI137" s="78">
        <v>358838612</v>
      </c>
      <c r="AJ137" s="78">
        <v>220823773</v>
      </c>
      <c r="AK137" s="27">
        <f>+AH137</f>
        <v>6900743</v>
      </c>
      <c r="AL137" s="27">
        <f t="shared" si="40"/>
        <v>6900743</v>
      </c>
      <c r="AM137" s="27">
        <f t="shared" si="56"/>
        <v>6900743</v>
      </c>
      <c r="AN137" s="27">
        <f t="shared" si="51"/>
        <v>6900743</v>
      </c>
      <c r="AO137" s="27">
        <f t="shared" si="52"/>
        <v>6900743</v>
      </c>
      <c r="AP137" s="27">
        <f t="shared" si="52"/>
        <v>6900743</v>
      </c>
      <c r="AQ137" s="27">
        <f t="shared" si="53"/>
        <v>6900743</v>
      </c>
      <c r="AR137" s="27">
        <f t="shared" si="54"/>
        <v>6900743</v>
      </c>
      <c r="AS137" s="27"/>
      <c r="AT137" s="27"/>
      <c r="AU137" s="27"/>
      <c r="AV137" s="27"/>
      <c r="AW137" s="27">
        <f t="shared" si="68"/>
        <v>55205944</v>
      </c>
      <c r="AX137" s="79">
        <f t="shared" si="69"/>
        <v>165617829.24650002</v>
      </c>
      <c r="AY137" s="79">
        <f t="shared" si="70"/>
        <v>414044556</v>
      </c>
      <c r="AZ137" s="25">
        <v>1</v>
      </c>
      <c r="BA137" s="62"/>
      <c r="BB137" s="66">
        <v>1</v>
      </c>
      <c r="BC137" s="66"/>
      <c r="BD137" s="66"/>
      <c r="BE137" s="67">
        <f t="shared" si="50"/>
        <v>6900743</v>
      </c>
      <c r="BF137" s="67">
        <f t="shared" si="55"/>
        <v>0</v>
      </c>
      <c r="BG137" s="67">
        <f t="shared" si="71"/>
        <v>0</v>
      </c>
      <c r="BH137" s="66"/>
      <c r="BI137" s="68"/>
      <c r="BJ137" s="68" t="s">
        <v>1930</v>
      </c>
      <c r="BK137" s="68" t="s">
        <v>1930</v>
      </c>
      <c r="BL137" s="29"/>
    </row>
    <row r="138" spans="1:68" ht="15" customHeight="1">
      <c r="A138" s="1" t="s">
        <v>43</v>
      </c>
      <c r="C138" s="1" t="str">
        <f t="shared" si="29"/>
        <v>2608</v>
      </c>
      <c r="D138" s="1" t="str">
        <f t="shared" si="30"/>
        <v>1909</v>
      </c>
      <c r="E138" s="19" t="s">
        <v>48</v>
      </c>
      <c r="F138" s="62" t="s">
        <v>49</v>
      </c>
      <c r="G138" s="62">
        <v>2112</v>
      </c>
      <c r="H138" s="62" t="s">
        <v>475</v>
      </c>
      <c r="I138" s="62" t="s">
        <v>476</v>
      </c>
      <c r="J138" s="118">
        <v>1</v>
      </c>
      <c r="K138" s="119" t="s">
        <v>469</v>
      </c>
      <c r="L138" s="62" t="s">
        <v>77</v>
      </c>
      <c r="M138" s="120" t="s">
        <v>470</v>
      </c>
      <c r="N138" s="132">
        <v>43679</v>
      </c>
      <c r="O138" s="24">
        <v>28950</v>
      </c>
      <c r="P138" s="24">
        <v>23283</v>
      </c>
      <c r="Q138" s="64">
        <v>674042850</v>
      </c>
      <c r="R138" s="64">
        <v>20105775</v>
      </c>
      <c r="S138" s="64"/>
      <c r="T138" s="64">
        <v>7289917.0749999993</v>
      </c>
      <c r="U138" s="64" t="s">
        <v>471</v>
      </c>
      <c r="V138" s="121">
        <v>701438542</v>
      </c>
      <c r="W138" s="122">
        <v>0</v>
      </c>
      <c r="X138" s="64">
        <v>701438542</v>
      </c>
      <c r="Y138" s="121"/>
      <c r="Z138" s="121"/>
      <c r="AA138" s="121"/>
      <c r="AB138" s="121"/>
      <c r="AC138" s="64">
        <v>701438542</v>
      </c>
      <c r="AD138" s="65">
        <v>43709</v>
      </c>
      <c r="AE138" s="65">
        <v>46264</v>
      </c>
      <c r="AF138" s="62">
        <v>7</v>
      </c>
      <c r="AG138" s="119">
        <v>84</v>
      </c>
      <c r="AH138" s="25">
        <v>8350458.833333333</v>
      </c>
      <c r="AI138" s="78">
        <v>434223866.25333327</v>
      </c>
      <c r="AJ138" s="78">
        <v>267214675.74666673</v>
      </c>
      <c r="AK138" s="27">
        <f t="shared" si="31"/>
        <v>8350458.833333333</v>
      </c>
      <c r="AL138" s="27">
        <f t="shared" si="40"/>
        <v>8350458.833333333</v>
      </c>
      <c r="AM138" s="27">
        <f t="shared" si="56"/>
        <v>8350458.833333333</v>
      </c>
      <c r="AN138" s="27">
        <f t="shared" si="51"/>
        <v>8350458.833333333</v>
      </c>
      <c r="AO138" s="27">
        <f t="shared" si="52"/>
        <v>8350458.833333333</v>
      </c>
      <c r="AP138" s="27">
        <f t="shared" si="52"/>
        <v>8350458.833333333</v>
      </c>
      <c r="AQ138" s="27">
        <f t="shared" si="53"/>
        <v>8350458.833333333</v>
      </c>
      <c r="AR138" s="27">
        <f t="shared" si="54"/>
        <v>8350458.833333333</v>
      </c>
      <c r="AS138" s="27"/>
      <c r="AT138" s="27"/>
      <c r="AU138" s="27"/>
      <c r="AV138" s="27"/>
      <c r="AW138" s="27">
        <f t="shared" si="33"/>
        <v>66803670.666666672</v>
      </c>
      <c r="AX138" s="79">
        <f t="shared" si="34"/>
        <v>200411005.08000004</v>
      </c>
      <c r="AY138" s="79">
        <f t="shared" si="35"/>
        <v>501027536.91999996</v>
      </c>
      <c r="AZ138" s="25">
        <v>1</v>
      </c>
      <c r="BA138" s="62" t="s">
        <v>97</v>
      </c>
      <c r="BB138" s="66">
        <v>1</v>
      </c>
      <c r="BC138" s="66"/>
      <c r="BD138" s="66"/>
      <c r="BE138" s="67">
        <f t="shared" si="50"/>
        <v>8350458.833333333</v>
      </c>
      <c r="BF138" s="67">
        <f t="shared" si="55"/>
        <v>0</v>
      </c>
      <c r="BG138" s="67">
        <f t="shared" si="42"/>
        <v>0</v>
      </c>
      <c r="BH138" s="66"/>
      <c r="BI138" s="68" t="s">
        <v>477</v>
      </c>
      <c r="BJ138" s="68" t="s">
        <v>121</v>
      </c>
      <c r="BK138" s="68" t="s">
        <v>301</v>
      </c>
      <c r="BL138" s="29"/>
      <c r="BO138" s="35" t="s">
        <v>1800</v>
      </c>
      <c r="BP138" s="1" t="s">
        <v>1809</v>
      </c>
    </row>
    <row r="139" spans="1:68" ht="15" customHeight="1">
      <c r="A139" s="1" t="s">
        <v>43</v>
      </c>
      <c r="C139" s="1" t="str">
        <f t="shared" si="29"/>
        <v>2608</v>
      </c>
      <c r="D139" s="1" t="str">
        <f t="shared" si="30"/>
        <v>1909</v>
      </c>
      <c r="E139" s="19" t="s">
        <v>48</v>
      </c>
      <c r="F139" s="62" t="s">
        <v>49</v>
      </c>
      <c r="G139" s="62">
        <v>2112</v>
      </c>
      <c r="H139" s="62" t="s">
        <v>478</v>
      </c>
      <c r="I139" s="62" t="s">
        <v>479</v>
      </c>
      <c r="J139" s="118">
        <v>1</v>
      </c>
      <c r="K139" s="119" t="s">
        <v>469</v>
      </c>
      <c r="L139" s="62" t="s">
        <v>77</v>
      </c>
      <c r="M139" s="120" t="s">
        <v>470</v>
      </c>
      <c r="N139" s="132">
        <v>43679</v>
      </c>
      <c r="O139" s="24">
        <v>28950</v>
      </c>
      <c r="P139" s="24">
        <v>23283</v>
      </c>
      <c r="Q139" s="64">
        <v>674042850</v>
      </c>
      <c r="R139" s="64">
        <v>20105775</v>
      </c>
      <c r="S139" s="64"/>
      <c r="T139" s="64">
        <v>7289917.0749999993</v>
      </c>
      <c r="U139" s="64" t="s">
        <v>471</v>
      </c>
      <c r="V139" s="121">
        <v>701438542</v>
      </c>
      <c r="W139" s="122">
        <v>0</v>
      </c>
      <c r="X139" s="64">
        <v>701438542</v>
      </c>
      <c r="Y139" s="121"/>
      <c r="Z139" s="121"/>
      <c r="AA139" s="121"/>
      <c r="AB139" s="121"/>
      <c r="AC139" s="64">
        <v>701438542</v>
      </c>
      <c r="AD139" s="65">
        <v>43709</v>
      </c>
      <c r="AE139" s="65">
        <v>46264</v>
      </c>
      <c r="AF139" s="62">
        <v>7</v>
      </c>
      <c r="AG139" s="119">
        <v>84</v>
      </c>
      <c r="AH139" s="25">
        <v>8350458.833333333</v>
      </c>
      <c r="AI139" s="78">
        <v>434223866.25333327</v>
      </c>
      <c r="AJ139" s="78">
        <v>267214675.74666673</v>
      </c>
      <c r="AK139" s="27">
        <f t="shared" si="31"/>
        <v>8350458.833333333</v>
      </c>
      <c r="AL139" s="27">
        <f t="shared" si="40"/>
        <v>8350458.833333333</v>
      </c>
      <c r="AM139" s="27">
        <f t="shared" si="56"/>
        <v>8350458.833333333</v>
      </c>
      <c r="AN139" s="27">
        <f t="shared" si="51"/>
        <v>8350458.833333333</v>
      </c>
      <c r="AO139" s="27">
        <f t="shared" si="52"/>
        <v>8350458.833333333</v>
      </c>
      <c r="AP139" s="27">
        <f t="shared" si="52"/>
        <v>8350458.833333333</v>
      </c>
      <c r="AQ139" s="27">
        <f t="shared" si="53"/>
        <v>8350458.833333333</v>
      </c>
      <c r="AR139" s="27">
        <f t="shared" si="54"/>
        <v>8350458.833333333</v>
      </c>
      <c r="AS139" s="27"/>
      <c r="AT139" s="27"/>
      <c r="AU139" s="27"/>
      <c r="AV139" s="27"/>
      <c r="AW139" s="27">
        <f t="shared" si="33"/>
        <v>66803670.666666672</v>
      </c>
      <c r="AX139" s="79">
        <f t="shared" si="34"/>
        <v>200411005.08000004</v>
      </c>
      <c r="AY139" s="79">
        <f t="shared" si="35"/>
        <v>501027536.91999996</v>
      </c>
      <c r="AZ139" s="25">
        <v>1</v>
      </c>
      <c r="BA139" s="62" t="s">
        <v>97</v>
      </c>
      <c r="BB139" s="66">
        <v>1</v>
      </c>
      <c r="BC139" s="66"/>
      <c r="BD139" s="66"/>
      <c r="BE139" s="67">
        <f t="shared" si="50"/>
        <v>8350458.833333333</v>
      </c>
      <c r="BF139" s="67">
        <f t="shared" si="55"/>
        <v>0</v>
      </c>
      <c r="BG139" s="67">
        <f t="shared" si="42"/>
        <v>0</v>
      </c>
      <c r="BH139" s="66"/>
      <c r="BI139" s="68" t="s">
        <v>480</v>
      </c>
      <c r="BJ139" s="68" t="s">
        <v>121</v>
      </c>
      <c r="BK139" s="68" t="s">
        <v>301</v>
      </c>
      <c r="BL139" s="29"/>
      <c r="BO139" s="35" t="s">
        <v>1800</v>
      </c>
      <c r="BP139" s="1" t="s">
        <v>1811</v>
      </c>
    </row>
    <row r="140" spans="1:68" ht="15" customHeight="1">
      <c r="A140" s="1" t="s">
        <v>43</v>
      </c>
      <c r="C140" s="1" t="str">
        <f t="shared" si="29"/>
        <v>2608</v>
      </c>
      <c r="D140" s="1" t="str">
        <f t="shared" si="30"/>
        <v>1909</v>
      </c>
      <c r="E140" s="19" t="s">
        <v>48</v>
      </c>
      <c r="F140" s="62" t="s">
        <v>49</v>
      </c>
      <c r="G140" s="62">
        <v>2112</v>
      </c>
      <c r="H140" s="62" t="s">
        <v>481</v>
      </c>
      <c r="I140" s="62" t="s">
        <v>424</v>
      </c>
      <c r="J140" s="118">
        <v>2</v>
      </c>
      <c r="K140" s="119" t="s">
        <v>469</v>
      </c>
      <c r="L140" s="62" t="s">
        <v>77</v>
      </c>
      <c r="M140" s="120" t="s">
        <v>470</v>
      </c>
      <c r="N140" s="132">
        <v>43679</v>
      </c>
      <c r="O140" s="24">
        <v>118780</v>
      </c>
      <c r="P140" s="24">
        <v>23283</v>
      </c>
      <c r="Q140" s="64">
        <v>2765554740</v>
      </c>
      <c r="R140" s="64">
        <v>0</v>
      </c>
      <c r="S140" s="64"/>
      <c r="T140" s="64">
        <v>29910063.901000001</v>
      </c>
      <c r="U140" s="64" t="s">
        <v>471</v>
      </c>
      <c r="V140" s="121">
        <v>2795464804</v>
      </c>
      <c r="W140" s="122">
        <v>0</v>
      </c>
      <c r="X140" s="64">
        <v>2795464804</v>
      </c>
      <c r="Y140" s="121"/>
      <c r="Z140" s="121"/>
      <c r="AA140" s="121"/>
      <c r="AB140" s="121"/>
      <c r="AC140" s="64">
        <v>2795464804</v>
      </c>
      <c r="AD140" s="65">
        <v>43709</v>
      </c>
      <c r="AE140" s="65">
        <v>46264</v>
      </c>
      <c r="AF140" s="62">
        <v>7</v>
      </c>
      <c r="AG140" s="119">
        <v>84</v>
      </c>
      <c r="AH140" s="25">
        <v>33279342.904761903</v>
      </c>
      <c r="AI140" s="78">
        <v>1730525835.147619</v>
      </c>
      <c r="AJ140" s="78">
        <v>1064938968.852381</v>
      </c>
      <c r="AK140" s="27">
        <f t="shared" si="31"/>
        <v>33279342.904761903</v>
      </c>
      <c r="AL140" s="27">
        <f t="shared" si="40"/>
        <v>33279342.904761903</v>
      </c>
      <c r="AM140" s="27">
        <f t="shared" si="56"/>
        <v>33279342.904761903</v>
      </c>
      <c r="AN140" s="27">
        <f t="shared" si="51"/>
        <v>33279342.904761903</v>
      </c>
      <c r="AO140" s="27">
        <f t="shared" si="52"/>
        <v>33279342.904761903</v>
      </c>
      <c r="AP140" s="27">
        <f t="shared" si="52"/>
        <v>33279342.904761903</v>
      </c>
      <c r="AQ140" s="27">
        <f t="shared" si="53"/>
        <v>33279342.904761903</v>
      </c>
      <c r="AR140" s="27">
        <f t="shared" si="54"/>
        <v>33279342.904761903</v>
      </c>
      <c r="AS140" s="27"/>
      <c r="AT140" s="27"/>
      <c r="AU140" s="27"/>
      <c r="AV140" s="27"/>
      <c r="AW140" s="27">
        <f t="shared" ref="AW140:AW199" si="73">+SUM(AK140:AV140)</f>
        <v>266234743.23809525</v>
      </c>
      <c r="AX140" s="79">
        <f t="shared" si="34"/>
        <v>798704225.61428571</v>
      </c>
      <c r="AY140" s="79">
        <f t="shared" si="35"/>
        <v>1996760578.3857143</v>
      </c>
      <c r="AZ140" s="25">
        <v>2</v>
      </c>
      <c r="BA140" s="62" t="s">
        <v>97</v>
      </c>
      <c r="BB140" s="66">
        <v>1</v>
      </c>
      <c r="BC140" s="66"/>
      <c r="BD140" s="66"/>
      <c r="BE140" s="67">
        <f t="shared" si="50"/>
        <v>33279342.904761903</v>
      </c>
      <c r="BF140" s="67">
        <f t="shared" si="55"/>
        <v>0</v>
      </c>
      <c r="BG140" s="67">
        <f t="shared" si="42"/>
        <v>0</v>
      </c>
      <c r="BH140" s="66"/>
      <c r="BI140" s="68" t="s">
        <v>482</v>
      </c>
      <c r="BJ140" s="68" t="s">
        <v>121</v>
      </c>
      <c r="BK140" s="68" t="s">
        <v>121</v>
      </c>
      <c r="BL140" s="29"/>
      <c r="BO140" s="35" t="s">
        <v>1800</v>
      </c>
      <c r="BP140" s="1" t="s">
        <v>1814</v>
      </c>
    </row>
    <row r="141" spans="1:68" ht="15" customHeight="1">
      <c r="A141" s="1" t="s">
        <v>43</v>
      </c>
      <c r="C141" s="1" t="str">
        <f t="shared" ref="C141:C200" si="74">+RIGHT(YEAR(AE141),2)&amp;IF(LEN(MONTH(AE141))=2,MONTH(AE141),"0"&amp;MONTH(AE141))</f>
        <v>2608</v>
      </c>
      <c r="D141" s="1" t="str">
        <f t="shared" ref="D141:D200" si="75">+RIGHT(YEAR(AD141),2)&amp;IF(LEN(MONTH(AD141))=2,MONTH(AD141),"0"&amp;MONTH(AD141))</f>
        <v>2010</v>
      </c>
      <c r="E141" s="19" t="s">
        <v>48</v>
      </c>
      <c r="F141" s="62" t="s">
        <v>1896</v>
      </c>
      <c r="G141" s="62">
        <v>2112</v>
      </c>
      <c r="H141" s="62" t="s">
        <v>490</v>
      </c>
      <c r="I141" s="62" t="s">
        <v>487</v>
      </c>
      <c r="J141" s="118">
        <v>1</v>
      </c>
      <c r="K141" s="119" t="s">
        <v>469</v>
      </c>
      <c r="L141" s="62" t="s">
        <v>77</v>
      </c>
      <c r="M141" s="120" t="s">
        <v>470</v>
      </c>
      <c r="N141" s="132">
        <v>43679</v>
      </c>
      <c r="O141" s="24">
        <v>85260</v>
      </c>
      <c r="P141" s="24">
        <v>23283</v>
      </c>
      <c r="Q141" s="64">
        <v>1985108580</v>
      </c>
      <c r="R141" s="64">
        <v>0</v>
      </c>
      <c r="S141" s="64"/>
      <c r="T141" s="64">
        <v>21469372.353</v>
      </c>
      <c r="U141" s="64" t="s">
        <v>471</v>
      </c>
      <c r="V141" s="121">
        <v>2006577952</v>
      </c>
      <c r="W141" s="122">
        <v>310541828.5</v>
      </c>
      <c r="X141" s="64">
        <v>1696036123.5</v>
      </c>
      <c r="Y141" s="121"/>
      <c r="Z141" s="121"/>
      <c r="AA141" s="121"/>
      <c r="AB141" s="121"/>
      <c r="AC141" s="64">
        <v>2006577952</v>
      </c>
      <c r="AD141" s="65">
        <v>44105</v>
      </c>
      <c r="AE141" s="65">
        <v>46264.583333333336</v>
      </c>
      <c r="AF141" s="133">
        <v>7</v>
      </c>
      <c r="AG141" s="119">
        <v>83.999999162753696</v>
      </c>
      <c r="AH141" s="25">
        <v>23887833</v>
      </c>
      <c r="AI141" s="78">
        <v>1242167315.5</v>
      </c>
      <c r="AJ141" s="78">
        <v>764410636.5</v>
      </c>
      <c r="AK141" s="27">
        <f t="shared" ref="AK141:AK200" si="76">+IF(AND(AK$3&gt;=$D141,AK$3&lt;$C141),$AH141,$AJ141)</f>
        <v>23887833</v>
      </c>
      <c r="AL141" s="27">
        <f t="shared" si="40"/>
        <v>23887833</v>
      </c>
      <c r="AM141" s="27">
        <f t="shared" si="56"/>
        <v>23887833</v>
      </c>
      <c r="AN141" s="27">
        <f t="shared" si="51"/>
        <v>23887833</v>
      </c>
      <c r="AO141" s="27">
        <f t="shared" si="52"/>
        <v>23887833</v>
      </c>
      <c r="AP141" s="27">
        <f t="shared" si="52"/>
        <v>23887833</v>
      </c>
      <c r="AQ141" s="27">
        <f t="shared" si="53"/>
        <v>23887833</v>
      </c>
      <c r="AR141" s="27">
        <f t="shared" si="54"/>
        <v>23887833</v>
      </c>
      <c r="AS141" s="27"/>
      <c r="AT141" s="27"/>
      <c r="AU141" s="27"/>
      <c r="AV141" s="27"/>
      <c r="AW141" s="27">
        <f t="shared" si="73"/>
        <v>191102664</v>
      </c>
      <c r="AX141" s="79">
        <f t="shared" ref="AX141:AX200" si="77">AC141-AI141-AW141</f>
        <v>573307972.5</v>
      </c>
      <c r="AY141" s="79">
        <f t="shared" ref="AY141:AY200" si="78">AW141+AI141</f>
        <v>1433269979.5</v>
      </c>
      <c r="AZ141" s="25">
        <v>1</v>
      </c>
      <c r="BA141" s="62" t="s">
        <v>97</v>
      </c>
      <c r="BB141" s="66">
        <v>1</v>
      </c>
      <c r="BC141" s="66"/>
      <c r="BD141" s="66"/>
      <c r="BE141" s="67">
        <f t="shared" si="50"/>
        <v>23887833</v>
      </c>
      <c r="BF141" s="67">
        <f t="shared" si="55"/>
        <v>0</v>
      </c>
      <c r="BG141" s="67">
        <f t="shared" si="42"/>
        <v>0</v>
      </c>
      <c r="BH141" s="66"/>
      <c r="BI141" s="68" t="s">
        <v>491</v>
      </c>
      <c r="BJ141" s="68" t="s">
        <v>1980</v>
      </c>
      <c r="BK141" s="68" t="s">
        <v>1980</v>
      </c>
      <c r="BL141" s="29"/>
      <c r="BO141" s="35" t="s">
        <v>1800</v>
      </c>
    </row>
    <row r="142" spans="1:68" ht="15" customHeight="1">
      <c r="A142" s="1" t="s">
        <v>43</v>
      </c>
      <c r="C142" s="1" t="str">
        <f t="shared" si="74"/>
        <v>3008</v>
      </c>
      <c r="D142" s="1" t="str">
        <f t="shared" si="75"/>
        <v>2010</v>
      </c>
      <c r="E142" s="19" t="s">
        <v>48</v>
      </c>
      <c r="F142" s="62" t="s">
        <v>1896</v>
      </c>
      <c r="G142" s="62">
        <v>2112</v>
      </c>
      <c r="H142" s="62" t="s">
        <v>492</v>
      </c>
      <c r="I142" s="62" t="s">
        <v>487</v>
      </c>
      <c r="J142" s="118">
        <v>1</v>
      </c>
      <c r="K142" s="119" t="s">
        <v>469</v>
      </c>
      <c r="L142" s="62" t="s">
        <v>77</v>
      </c>
      <c r="M142" s="120" t="s">
        <v>493</v>
      </c>
      <c r="N142" s="132">
        <v>43679</v>
      </c>
      <c r="O142" s="24">
        <v>85260</v>
      </c>
      <c r="P142" s="24">
        <v>23283</v>
      </c>
      <c r="Q142" s="64">
        <v>1985108580</v>
      </c>
      <c r="R142" s="64">
        <v>0</v>
      </c>
      <c r="S142" s="64"/>
      <c r="T142" s="64">
        <v>21469372.353</v>
      </c>
      <c r="U142" s="64" t="s">
        <v>471</v>
      </c>
      <c r="V142" s="121">
        <v>2965077952</v>
      </c>
      <c r="W142" s="122">
        <v>310541828.5</v>
      </c>
      <c r="X142" s="64">
        <v>2654536123.5</v>
      </c>
      <c r="Y142" s="121"/>
      <c r="Z142" s="121"/>
      <c r="AA142" s="121"/>
      <c r="AB142" s="121"/>
      <c r="AC142" s="64">
        <v>2965077952</v>
      </c>
      <c r="AD142" s="65">
        <v>44105</v>
      </c>
      <c r="AE142" s="65">
        <v>47724.583333333336</v>
      </c>
      <c r="AF142" s="133">
        <v>10</v>
      </c>
      <c r="AG142" s="119">
        <v>120</v>
      </c>
      <c r="AH142" s="25">
        <v>22307026</v>
      </c>
      <c r="AI142" s="78">
        <v>1180515842.5</v>
      </c>
      <c r="AJ142" s="78">
        <v>1784562109.5</v>
      </c>
      <c r="AK142" s="27">
        <f t="shared" si="76"/>
        <v>22307026</v>
      </c>
      <c r="AL142" s="27">
        <f t="shared" si="40"/>
        <v>22307026</v>
      </c>
      <c r="AM142" s="27">
        <f t="shared" si="56"/>
        <v>22307026</v>
      </c>
      <c r="AN142" s="27">
        <f t="shared" si="51"/>
        <v>22307026</v>
      </c>
      <c r="AO142" s="27">
        <f t="shared" si="52"/>
        <v>22307026</v>
      </c>
      <c r="AP142" s="27">
        <f t="shared" si="52"/>
        <v>22307026</v>
      </c>
      <c r="AQ142" s="27">
        <f t="shared" si="53"/>
        <v>22307026</v>
      </c>
      <c r="AR142" s="27">
        <f t="shared" si="54"/>
        <v>22307026</v>
      </c>
      <c r="AS142" s="27"/>
      <c r="AT142" s="27"/>
      <c r="AU142" s="27"/>
      <c r="AV142" s="27"/>
      <c r="AW142" s="27">
        <f t="shared" si="73"/>
        <v>178456208</v>
      </c>
      <c r="AX142" s="79">
        <f t="shared" si="77"/>
        <v>1606105901.5</v>
      </c>
      <c r="AY142" s="79">
        <f t="shared" si="78"/>
        <v>1358972050.5</v>
      </c>
      <c r="AZ142" s="25">
        <v>1</v>
      </c>
      <c r="BA142" s="62" t="s">
        <v>97</v>
      </c>
      <c r="BB142" s="66">
        <v>1</v>
      </c>
      <c r="BC142" s="66"/>
      <c r="BD142" s="66"/>
      <c r="BE142" s="67">
        <f t="shared" si="50"/>
        <v>22307026</v>
      </c>
      <c r="BF142" s="67">
        <f t="shared" si="55"/>
        <v>0</v>
      </c>
      <c r="BG142" s="67">
        <f t="shared" ref="BG142:BG203" si="79">+$AL142*BD142</f>
        <v>0</v>
      </c>
      <c r="BH142" s="66"/>
      <c r="BI142" s="68" t="s">
        <v>411</v>
      </c>
      <c r="BJ142" s="68" t="s">
        <v>1980</v>
      </c>
      <c r="BK142" s="68" t="s">
        <v>1980</v>
      </c>
      <c r="BL142" s="29"/>
      <c r="BO142" s="35" t="s">
        <v>1800</v>
      </c>
    </row>
    <row r="143" spans="1:68" ht="15" customHeight="1">
      <c r="A143" s="1" t="s">
        <v>43</v>
      </c>
      <c r="C143" s="1" t="str">
        <f t="shared" si="74"/>
        <v>2508</v>
      </c>
      <c r="D143" s="1" t="str">
        <f t="shared" si="75"/>
        <v>1909</v>
      </c>
      <c r="E143" s="19" t="s">
        <v>48</v>
      </c>
      <c r="F143" s="62" t="s">
        <v>49</v>
      </c>
      <c r="G143" s="62">
        <v>2112</v>
      </c>
      <c r="H143" s="62" t="s">
        <v>494</v>
      </c>
      <c r="I143" s="62" t="s">
        <v>495</v>
      </c>
      <c r="J143" s="118">
        <v>1</v>
      </c>
      <c r="K143" s="119" t="s">
        <v>271</v>
      </c>
      <c r="L143" s="62" t="s">
        <v>77</v>
      </c>
      <c r="M143" s="120" t="s">
        <v>470</v>
      </c>
      <c r="N143" s="132">
        <v>43679</v>
      </c>
      <c r="O143" s="24">
        <v>1910</v>
      </c>
      <c r="P143" s="24">
        <v>23283</v>
      </c>
      <c r="Q143" s="64">
        <v>44470530</v>
      </c>
      <c r="R143" s="64">
        <v>0</v>
      </c>
      <c r="S143" s="64"/>
      <c r="T143" s="64">
        <v>480958.25599999999</v>
      </c>
      <c r="U143" s="64" t="s">
        <v>471</v>
      </c>
      <c r="V143" s="121">
        <v>44951488</v>
      </c>
      <c r="W143" s="122">
        <v>0</v>
      </c>
      <c r="X143" s="64">
        <v>44951488</v>
      </c>
      <c r="Y143" s="121"/>
      <c r="Z143" s="121"/>
      <c r="AA143" s="121"/>
      <c r="AB143" s="121"/>
      <c r="AC143" s="64">
        <v>44951488</v>
      </c>
      <c r="AD143" s="65">
        <v>43709</v>
      </c>
      <c r="AE143" s="65">
        <v>45899</v>
      </c>
      <c r="AF143" s="62">
        <v>6</v>
      </c>
      <c r="AG143" s="119">
        <v>72</v>
      </c>
      <c r="AH143" s="25">
        <v>624326.22222222225</v>
      </c>
      <c r="AI143" s="78">
        <v>32464953.962222222</v>
      </c>
      <c r="AJ143" s="78">
        <v>12486534.037777778</v>
      </c>
      <c r="AK143" s="27">
        <f t="shared" si="76"/>
        <v>624326.22222222225</v>
      </c>
      <c r="AL143" s="27">
        <f t="shared" si="40"/>
        <v>624326.22222222225</v>
      </c>
      <c r="AM143" s="27">
        <f t="shared" si="56"/>
        <v>624326.22222222225</v>
      </c>
      <c r="AN143" s="27">
        <f t="shared" si="51"/>
        <v>624326.22222222225</v>
      </c>
      <c r="AO143" s="27">
        <f t="shared" si="52"/>
        <v>624326.22222222225</v>
      </c>
      <c r="AP143" s="27">
        <f t="shared" si="52"/>
        <v>624326.22222222225</v>
      </c>
      <c r="AQ143" s="27">
        <f t="shared" si="53"/>
        <v>624326.22222222225</v>
      </c>
      <c r="AR143" s="27">
        <f t="shared" si="54"/>
        <v>624326.22222222225</v>
      </c>
      <c r="AS143" s="27"/>
      <c r="AT143" s="27"/>
      <c r="AU143" s="27"/>
      <c r="AV143" s="27"/>
      <c r="AW143" s="27">
        <f t="shared" si="73"/>
        <v>4994609.7777777771</v>
      </c>
      <c r="AX143" s="79">
        <f t="shared" si="77"/>
        <v>7491924.2600000007</v>
      </c>
      <c r="AY143" s="79">
        <f t="shared" si="78"/>
        <v>37459563.740000002</v>
      </c>
      <c r="AZ143" s="25">
        <v>1</v>
      </c>
      <c r="BA143" s="62" t="s">
        <v>97</v>
      </c>
      <c r="BB143" s="66">
        <v>1</v>
      </c>
      <c r="BC143" s="66"/>
      <c r="BD143" s="66"/>
      <c r="BE143" s="67">
        <f t="shared" si="50"/>
        <v>624326.22222222225</v>
      </c>
      <c r="BF143" s="67">
        <f t="shared" si="55"/>
        <v>0</v>
      </c>
      <c r="BG143" s="67">
        <f t="shared" si="79"/>
        <v>0</v>
      </c>
      <c r="BH143" s="66"/>
      <c r="BI143" s="68" t="s">
        <v>480</v>
      </c>
      <c r="BJ143" s="68" t="s">
        <v>85</v>
      </c>
      <c r="BK143" s="68" t="s">
        <v>85</v>
      </c>
      <c r="BL143" s="29"/>
      <c r="BO143" s="35" t="s">
        <v>1800</v>
      </c>
      <c r="BP143" s="1" t="s">
        <v>1811</v>
      </c>
    </row>
    <row r="144" spans="1:68" ht="15" customHeight="1">
      <c r="A144" s="1" t="s">
        <v>43</v>
      </c>
      <c r="C144" s="1" t="str">
        <f t="shared" si="74"/>
        <v>2508</v>
      </c>
      <c r="D144" s="1" t="str">
        <f t="shared" si="75"/>
        <v>1909</v>
      </c>
      <c r="E144" s="19" t="s">
        <v>48</v>
      </c>
      <c r="F144" s="62" t="s">
        <v>49</v>
      </c>
      <c r="G144" s="62">
        <v>2112</v>
      </c>
      <c r="H144" s="62" t="s">
        <v>496</v>
      </c>
      <c r="I144" s="62" t="s">
        <v>497</v>
      </c>
      <c r="J144" s="118">
        <v>1</v>
      </c>
      <c r="K144" s="119" t="s">
        <v>271</v>
      </c>
      <c r="L144" s="62" t="s">
        <v>77</v>
      </c>
      <c r="M144" s="120" t="s">
        <v>470</v>
      </c>
      <c r="N144" s="132">
        <v>43679</v>
      </c>
      <c r="O144" s="24">
        <v>1910</v>
      </c>
      <c r="P144" s="24">
        <v>23283</v>
      </c>
      <c r="Q144" s="64">
        <v>44470530</v>
      </c>
      <c r="R144" s="64">
        <v>0</v>
      </c>
      <c r="S144" s="64"/>
      <c r="T144" s="64">
        <v>480958.25599999999</v>
      </c>
      <c r="U144" s="64" t="s">
        <v>471</v>
      </c>
      <c r="V144" s="121">
        <v>44951488</v>
      </c>
      <c r="W144" s="122">
        <v>0</v>
      </c>
      <c r="X144" s="64">
        <v>44951488</v>
      </c>
      <c r="Y144" s="121"/>
      <c r="Z144" s="121"/>
      <c r="AA144" s="121"/>
      <c r="AB144" s="121"/>
      <c r="AC144" s="64">
        <v>44951488</v>
      </c>
      <c r="AD144" s="65">
        <v>43709</v>
      </c>
      <c r="AE144" s="65">
        <v>45899</v>
      </c>
      <c r="AF144" s="62">
        <v>6</v>
      </c>
      <c r="AG144" s="119">
        <v>72</v>
      </c>
      <c r="AH144" s="25">
        <v>624326.22222222225</v>
      </c>
      <c r="AI144" s="78">
        <v>32464953.962222222</v>
      </c>
      <c r="AJ144" s="78">
        <v>12486534.037777778</v>
      </c>
      <c r="AK144" s="27">
        <f t="shared" si="76"/>
        <v>624326.22222222225</v>
      </c>
      <c r="AL144" s="27">
        <f t="shared" si="40"/>
        <v>624326.22222222225</v>
      </c>
      <c r="AM144" s="27">
        <f t="shared" si="56"/>
        <v>624326.22222222225</v>
      </c>
      <c r="AN144" s="27">
        <f t="shared" si="51"/>
        <v>624326.22222222225</v>
      </c>
      <c r="AO144" s="27">
        <f t="shared" si="52"/>
        <v>624326.22222222225</v>
      </c>
      <c r="AP144" s="27">
        <f t="shared" si="52"/>
        <v>624326.22222222225</v>
      </c>
      <c r="AQ144" s="27">
        <f t="shared" si="53"/>
        <v>624326.22222222225</v>
      </c>
      <c r="AR144" s="27">
        <f t="shared" si="54"/>
        <v>624326.22222222225</v>
      </c>
      <c r="AS144" s="27"/>
      <c r="AT144" s="27"/>
      <c r="AU144" s="27"/>
      <c r="AV144" s="27"/>
      <c r="AW144" s="27">
        <f t="shared" si="73"/>
        <v>4994609.7777777771</v>
      </c>
      <c r="AX144" s="79">
        <f t="shared" si="77"/>
        <v>7491924.2600000007</v>
      </c>
      <c r="AY144" s="79">
        <f t="shared" si="78"/>
        <v>37459563.740000002</v>
      </c>
      <c r="AZ144" s="25">
        <v>1</v>
      </c>
      <c r="BA144" s="62" t="s">
        <v>97</v>
      </c>
      <c r="BB144" s="66">
        <v>1</v>
      </c>
      <c r="BC144" s="66"/>
      <c r="BD144" s="66"/>
      <c r="BE144" s="67">
        <f t="shared" si="50"/>
        <v>624326.22222222225</v>
      </c>
      <c r="BF144" s="67">
        <f t="shared" si="55"/>
        <v>0</v>
      </c>
      <c r="BG144" s="67">
        <f t="shared" si="79"/>
        <v>0</v>
      </c>
      <c r="BH144" s="66"/>
      <c r="BI144" s="68" t="s">
        <v>498</v>
      </c>
      <c r="BJ144" s="68" t="s">
        <v>85</v>
      </c>
      <c r="BK144" s="68" t="s">
        <v>85</v>
      </c>
      <c r="BL144" s="29"/>
      <c r="BO144" s="35" t="s">
        <v>1800</v>
      </c>
      <c r="BP144" s="1" t="s">
        <v>1815</v>
      </c>
    </row>
    <row r="145" spans="1:68" ht="15" customHeight="1">
      <c r="A145" s="1" t="s">
        <v>43</v>
      </c>
      <c r="C145" s="1" t="str">
        <f t="shared" si="74"/>
        <v>2508</v>
      </c>
      <c r="D145" s="1" t="str">
        <f t="shared" si="75"/>
        <v>1909</v>
      </c>
      <c r="E145" s="19" t="s">
        <v>48</v>
      </c>
      <c r="F145" s="62" t="s">
        <v>49</v>
      </c>
      <c r="G145" s="62">
        <v>2112</v>
      </c>
      <c r="H145" s="62" t="s">
        <v>499</v>
      </c>
      <c r="I145" s="62" t="s">
        <v>500</v>
      </c>
      <c r="J145" s="118">
        <v>1</v>
      </c>
      <c r="K145" s="119" t="s">
        <v>271</v>
      </c>
      <c r="L145" s="62" t="s">
        <v>77</v>
      </c>
      <c r="M145" s="120" t="s">
        <v>470</v>
      </c>
      <c r="N145" s="132">
        <v>43679</v>
      </c>
      <c r="O145" s="24">
        <v>1910</v>
      </c>
      <c r="P145" s="24">
        <v>23283</v>
      </c>
      <c r="Q145" s="64">
        <v>44470530</v>
      </c>
      <c r="R145" s="64">
        <v>0</v>
      </c>
      <c r="S145" s="64"/>
      <c r="T145" s="64">
        <v>480958.25599999999</v>
      </c>
      <c r="U145" s="64" t="s">
        <v>471</v>
      </c>
      <c r="V145" s="121">
        <v>44951488</v>
      </c>
      <c r="W145" s="122">
        <v>0</v>
      </c>
      <c r="X145" s="64">
        <v>44951488</v>
      </c>
      <c r="Y145" s="121"/>
      <c r="Z145" s="121"/>
      <c r="AA145" s="121"/>
      <c r="AB145" s="121"/>
      <c r="AC145" s="64">
        <v>44951488</v>
      </c>
      <c r="AD145" s="65">
        <v>43709</v>
      </c>
      <c r="AE145" s="65">
        <v>45899</v>
      </c>
      <c r="AF145" s="62">
        <v>6</v>
      </c>
      <c r="AG145" s="119">
        <v>72</v>
      </c>
      <c r="AH145" s="25">
        <v>624326.22222222225</v>
      </c>
      <c r="AI145" s="78">
        <v>32464953.962222222</v>
      </c>
      <c r="AJ145" s="78">
        <v>12486534.037777778</v>
      </c>
      <c r="AK145" s="27">
        <f t="shared" si="76"/>
        <v>624326.22222222225</v>
      </c>
      <c r="AL145" s="27">
        <f t="shared" ref="AL145:AM206" si="80">+IF(AND(AL$3&gt;=$D145,AL$3&lt;$C145),$AH145,$AJ145-SUM(AJ145:AK145))</f>
        <v>624326.22222222225</v>
      </c>
      <c r="AM145" s="27">
        <f t="shared" si="56"/>
        <v>624326.22222222225</v>
      </c>
      <c r="AN145" s="27">
        <f t="shared" si="51"/>
        <v>624326.22222222225</v>
      </c>
      <c r="AO145" s="27">
        <f t="shared" si="52"/>
        <v>624326.22222222225</v>
      </c>
      <c r="AP145" s="27">
        <f t="shared" si="52"/>
        <v>624326.22222222225</v>
      </c>
      <c r="AQ145" s="27">
        <f t="shared" si="53"/>
        <v>624326.22222222225</v>
      </c>
      <c r="AR145" s="27">
        <f t="shared" si="54"/>
        <v>624326.22222222225</v>
      </c>
      <c r="AS145" s="27"/>
      <c r="AT145" s="27"/>
      <c r="AU145" s="27"/>
      <c r="AV145" s="27"/>
      <c r="AW145" s="27">
        <f t="shared" si="73"/>
        <v>4994609.7777777771</v>
      </c>
      <c r="AX145" s="79">
        <f t="shared" si="77"/>
        <v>7491924.2600000007</v>
      </c>
      <c r="AY145" s="79">
        <f t="shared" si="78"/>
        <v>37459563.740000002</v>
      </c>
      <c r="AZ145" s="25">
        <v>1</v>
      </c>
      <c r="BA145" s="62" t="s">
        <v>97</v>
      </c>
      <c r="BB145" s="66">
        <v>1</v>
      </c>
      <c r="BC145" s="66"/>
      <c r="BD145" s="66"/>
      <c r="BE145" s="67">
        <f t="shared" si="50"/>
        <v>624326.22222222225</v>
      </c>
      <c r="BF145" s="67">
        <f t="shared" si="55"/>
        <v>0</v>
      </c>
      <c r="BG145" s="67">
        <f t="shared" si="79"/>
        <v>0</v>
      </c>
      <c r="BH145" s="66"/>
      <c r="BI145" s="68" t="s">
        <v>427</v>
      </c>
      <c r="BJ145" s="68" t="s">
        <v>85</v>
      </c>
      <c r="BK145" s="68" t="s">
        <v>85</v>
      </c>
      <c r="BL145" s="29"/>
      <c r="BO145" s="35" t="s">
        <v>1800</v>
      </c>
      <c r="BP145" s="1" t="s">
        <v>1803</v>
      </c>
    </row>
    <row r="146" spans="1:68" ht="15" customHeight="1">
      <c r="A146" s="1" t="s">
        <v>43</v>
      </c>
      <c r="C146" s="1" t="str">
        <f t="shared" si="74"/>
        <v>2508</v>
      </c>
      <c r="D146" s="1" t="str">
        <f t="shared" si="75"/>
        <v>1909</v>
      </c>
      <c r="E146" s="19" t="s">
        <v>48</v>
      </c>
      <c r="F146" s="62" t="s">
        <v>49</v>
      </c>
      <c r="G146" s="62">
        <v>2112</v>
      </c>
      <c r="H146" s="62" t="s">
        <v>501</v>
      </c>
      <c r="I146" s="62" t="s">
        <v>502</v>
      </c>
      <c r="J146" s="118">
        <v>1</v>
      </c>
      <c r="K146" s="119" t="s">
        <v>271</v>
      </c>
      <c r="L146" s="62" t="s">
        <v>77</v>
      </c>
      <c r="M146" s="120" t="s">
        <v>470</v>
      </c>
      <c r="N146" s="132">
        <v>43679</v>
      </c>
      <c r="O146" s="24">
        <v>1910</v>
      </c>
      <c r="P146" s="24">
        <v>23283</v>
      </c>
      <c r="Q146" s="64">
        <v>44470530</v>
      </c>
      <c r="R146" s="64">
        <v>0</v>
      </c>
      <c r="S146" s="64"/>
      <c r="T146" s="64">
        <v>480958.25599999999</v>
      </c>
      <c r="U146" s="64" t="s">
        <v>471</v>
      </c>
      <c r="V146" s="121">
        <v>44951488</v>
      </c>
      <c r="W146" s="122">
        <v>0</v>
      </c>
      <c r="X146" s="64">
        <v>44951488</v>
      </c>
      <c r="Y146" s="121"/>
      <c r="Z146" s="121"/>
      <c r="AA146" s="121"/>
      <c r="AB146" s="121"/>
      <c r="AC146" s="64">
        <v>44951488</v>
      </c>
      <c r="AD146" s="65">
        <v>43709</v>
      </c>
      <c r="AE146" s="65">
        <v>45899</v>
      </c>
      <c r="AF146" s="62">
        <v>6</v>
      </c>
      <c r="AG146" s="119">
        <v>72</v>
      </c>
      <c r="AH146" s="25">
        <v>624326.22222222225</v>
      </c>
      <c r="AI146" s="78">
        <v>32464953.962222222</v>
      </c>
      <c r="AJ146" s="78">
        <v>12486534.037777778</v>
      </c>
      <c r="AK146" s="27">
        <f t="shared" si="76"/>
        <v>624326.22222222225</v>
      </c>
      <c r="AL146" s="27">
        <f t="shared" si="80"/>
        <v>624326.22222222225</v>
      </c>
      <c r="AM146" s="27">
        <f t="shared" si="56"/>
        <v>624326.22222222225</v>
      </c>
      <c r="AN146" s="27">
        <f t="shared" si="51"/>
        <v>624326.22222222225</v>
      </c>
      <c r="AO146" s="27">
        <f t="shared" si="52"/>
        <v>624326.22222222225</v>
      </c>
      <c r="AP146" s="27">
        <f t="shared" si="52"/>
        <v>624326.22222222225</v>
      </c>
      <c r="AQ146" s="27">
        <f t="shared" si="53"/>
        <v>624326.22222222225</v>
      </c>
      <c r="AR146" s="27">
        <f t="shared" si="54"/>
        <v>624326.22222222225</v>
      </c>
      <c r="AS146" s="27"/>
      <c r="AT146" s="27"/>
      <c r="AU146" s="27"/>
      <c r="AV146" s="27"/>
      <c r="AW146" s="27">
        <f t="shared" si="73"/>
        <v>4994609.7777777771</v>
      </c>
      <c r="AX146" s="79">
        <f t="shared" si="77"/>
        <v>7491924.2600000007</v>
      </c>
      <c r="AY146" s="79">
        <f t="shared" si="78"/>
        <v>37459563.740000002</v>
      </c>
      <c r="AZ146" s="25">
        <v>1</v>
      </c>
      <c r="BA146" s="62" t="s">
        <v>97</v>
      </c>
      <c r="BB146" s="66">
        <v>1</v>
      </c>
      <c r="BC146" s="66"/>
      <c r="BD146" s="66"/>
      <c r="BE146" s="67">
        <f t="shared" si="50"/>
        <v>624326.22222222225</v>
      </c>
      <c r="BF146" s="67">
        <f t="shared" si="55"/>
        <v>0</v>
      </c>
      <c r="BG146" s="67">
        <f t="shared" si="79"/>
        <v>0</v>
      </c>
      <c r="BH146" s="66"/>
      <c r="BI146" s="68" t="s">
        <v>480</v>
      </c>
      <c r="BJ146" s="68" t="s">
        <v>85</v>
      </c>
      <c r="BK146" s="68" t="s">
        <v>85</v>
      </c>
      <c r="BL146" s="29"/>
      <c r="BO146" s="35" t="s">
        <v>1800</v>
      </c>
      <c r="BP146" s="1" t="s">
        <v>1811</v>
      </c>
    </row>
    <row r="147" spans="1:68" ht="15" customHeight="1">
      <c r="A147" s="1" t="s">
        <v>43</v>
      </c>
      <c r="C147" s="1" t="str">
        <f t="shared" si="74"/>
        <v>2508</v>
      </c>
      <c r="D147" s="1" t="str">
        <f t="shared" si="75"/>
        <v>1909</v>
      </c>
      <c r="E147" s="19" t="s">
        <v>48</v>
      </c>
      <c r="F147" s="62" t="s">
        <v>49</v>
      </c>
      <c r="G147" s="62">
        <v>2112</v>
      </c>
      <c r="H147" s="62" t="s">
        <v>503</v>
      </c>
      <c r="I147" s="62" t="s">
        <v>504</v>
      </c>
      <c r="J147" s="118">
        <v>1</v>
      </c>
      <c r="K147" s="119" t="s">
        <v>271</v>
      </c>
      <c r="L147" s="62" t="s">
        <v>77</v>
      </c>
      <c r="M147" s="120" t="s">
        <v>470</v>
      </c>
      <c r="N147" s="132">
        <v>43679</v>
      </c>
      <c r="O147" s="24">
        <v>1910</v>
      </c>
      <c r="P147" s="24">
        <v>23283</v>
      </c>
      <c r="Q147" s="64">
        <v>44470530</v>
      </c>
      <c r="R147" s="64">
        <v>0</v>
      </c>
      <c r="S147" s="64"/>
      <c r="T147" s="64">
        <v>480958.25599999999</v>
      </c>
      <c r="U147" s="64" t="s">
        <v>471</v>
      </c>
      <c r="V147" s="121">
        <v>44951488</v>
      </c>
      <c r="W147" s="122">
        <v>0</v>
      </c>
      <c r="X147" s="64">
        <v>44951488</v>
      </c>
      <c r="Y147" s="121"/>
      <c r="Z147" s="121"/>
      <c r="AA147" s="121"/>
      <c r="AB147" s="121"/>
      <c r="AC147" s="64">
        <v>44951488</v>
      </c>
      <c r="AD147" s="65">
        <v>43709</v>
      </c>
      <c r="AE147" s="65">
        <v>45899</v>
      </c>
      <c r="AF147" s="62">
        <v>6</v>
      </c>
      <c r="AG147" s="119">
        <v>72</v>
      </c>
      <c r="AH147" s="25">
        <v>624326.22222222225</v>
      </c>
      <c r="AI147" s="78">
        <v>32464953.962222222</v>
      </c>
      <c r="AJ147" s="78">
        <v>12486534.037777778</v>
      </c>
      <c r="AK147" s="27">
        <f t="shared" si="76"/>
        <v>624326.22222222225</v>
      </c>
      <c r="AL147" s="27">
        <f t="shared" si="80"/>
        <v>624326.22222222225</v>
      </c>
      <c r="AM147" s="27">
        <f t="shared" si="56"/>
        <v>624326.22222222225</v>
      </c>
      <c r="AN147" s="27">
        <f t="shared" si="51"/>
        <v>624326.22222222225</v>
      </c>
      <c r="AO147" s="27">
        <f t="shared" si="52"/>
        <v>624326.22222222225</v>
      </c>
      <c r="AP147" s="27">
        <f t="shared" si="52"/>
        <v>624326.22222222225</v>
      </c>
      <c r="AQ147" s="27">
        <f t="shared" si="53"/>
        <v>624326.22222222225</v>
      </c>
      <c r="AR147" s="27">
        <f t="shared" si="54"/>
        <v>624326.22222222225</v>
      </c>
      <c r="AS147" s="27"/>
      <c r="AT147" s="27"/>
      <c r="AU147" s="27"/>
      <c r="AV147" s="27"/>
      <c r="AW147" s="27">
        <f t="shared" si="73"/>
        <v>4994609.7777777771</v>
      </c>
      <c r="AX147" s="79">
        <f t="shared" si="77"/>
        <v>7491924.2600000007</v>
      </c>
      <c r="AY147" s="79">
        <f t="shared" si="78"/>
        <v>37459563.740000002</v>
      </c>
      <c r="AZ147" s="25">
        <v>1</v>
      </c>
      <c r="BA147" s="62" t="s">
        <v>97</v>
      </c>
      <c r="BB147" s="66">
        <v>1</v>
      </c>
      <c r="BC147" s="66"/>
      <c r="BD147" s="66"/>
      <c r="BE147" s="67">
        <f t="shared" si="50"/>
        <v>624326.22222222225</v>
      </c>
      <c r="BF147" s="67">
        <f t="shared" si="55"/>
        <v>0</v>
      </c>
      <c r="BG147" s="67">
        <f t="shared" si="79"/>
        <v>0</v>
      </c>
      <c r="BH147" s="66"/>
      <c r="BI147" s="68" t="s">
        <v>427</v>
      </c>
      <c r="BJ147" s="68" t="s">
        <v>85</v>
      </c>
      <c r="BK147" s="68" t="s">
        <v>85</v>
      </c>
      <c r="BL147" s="29"/>
      <c r="BO147" s="35" t="s">
        <v>1800</v>
      </c>
      <c r="BP147" s="1" t="s">
        <v>1803</v>
      </c>
    </row>
    <row r="148" spans="1:68" ht="15" customHeight="1">
      <c r="A148" s="1" t="s">
        <v>43</v>
      </c>
      <c r="C148" s="1" t="str">
        <f t="shared" si="74"/>
        <v>2508</v>
      </c>
      <c r="D148" s="1" t="str">
        <f t="shared" si="75"/>
        <v>1909</v>
      </c>
      <c r="E148" s="19" t="s">
        <v>48</v>
      </c>
      <c r="F148" s="62" t="s">
        <v>49</v>
      </c>
      <c r="G148" s="62">
        <v>2112</v>
      </c>
      <c r="H148" s="62" t="s">
        <v>505</v>
      </c>
      <c r="I148" s="62" t="s">
        <v>506</v>
      </c>
      <c r="J148" s="118">
        <v>1</v>
      </c>
      <c r="K148" s="119" t="s">
        <v>271</v>
      </c>
      <c r="L148" s="62" t="s">
        <v>77</v>
      </c>
      <c r="M148" s="120" t="s">
        <v>470</v>
      </c>
      <c r="N148" s="132">
        <v>43679</v>
      </c>
      <c r="O148" s="24">
        <v>1910</v>
      </c>
      <c r="P148" s="24">
        <v>23283</v>
      </c>
      <c r="Q148" s="64">
        <v>44470530</v>
      </c>
      <c r="R148" s="64">
        <v>0</v>
      </c>
      <c r="S148" s="64"/>
      <c r="T148" s="64">
        <v>480958.25599999999</v>
      </c>
      <c r="U148" s="64" t="s">
        <v>471</v>
      </c>
      <c r="V148" s="121">
        <v>44951488</v>
      </c>
      <c r="W148" s="122">
        <v>0</v>
      </c>
      <c r="X148" s="64">
        <v>44951488</v>
      </c>
      <c r="Y148" s="121"/>
      <c r="Z148" s="121"/>
      <c r="AA148" s="121"/>
      <c r="AB148" s="121"/>
      <c r="AC148" s="64">
        <v>44951488</v>
      </c>
      <c r="AD148" s="65">
        <v>43709</v>
      </c>
      <c r="AE148" s="65">
        <v>45899</v>
      </c>
      <c r="AF148" s="62">
        <v>6</v>
      </c>
      <c r="AG148" s="119">
        <v>72</v>
      </c>
      <c r="AH148" s="25">
        <v>624326.22222222225</v>
      </c>
      <c r="AI148" s="78">
        <v>32464953.962222222</v>
      </c>
      <c r="AJ148" s="78">
        <v>12486534.037777778</v>
      </c>
      <c r="AK148" s="27">
        <f t="shared" si="76"/>
        <v>624326.22222222225</v>
      </c>
      <c r="AL148" s="27">
        <f t="shared" si="80"/>
        <v>624326.22222222225</v>
      </c>
      <c r="AM148" s="27">
        <f t="shared" si="56"/>
        <v>624326.22222222225</v>
      </c>
      <c r="AN148" s="27">
        <f t="shared" si="51"/>
        <v>624326.22222222225</v>
      </c>
      <c r="AO148" s="27">
        <f t="shared" si="52"/>
        <v>624326.22222222225</v>
      </c>
      <c r="AP148" s="27">
        <f t="shared" si="52"/>
        <v>624326.22222222225</v>
      </c>
      <c r="AQ148" s="27">
        <f t="shared" si="53"/>
        <v>624326.22222222225</v>
      </c>
      <c r="AR148" s="27">
        <f t="shared" si="54"/>
        <v>624326.22222222225</v>
      </c>
      <c r="AS148" s="27"/>
      <c r="AT148" s="27"/>
      <c r="AU148" s="27"/>
      <c r="AV148" s="27"/>
      <c r="AW148" s="27">
        <f t="shared" si="73"/>
        <v>4994609.7777777771</v>
      </c>
      <c r="AX148" s="79">
        <f t="shared" si="77"/>
        <v>7491924.2600000007</v>
      </c>
      <c r="AY148" s="79">
        <f t="shared" si="78"/>
        <v>37459563.740000002</v>
      </c>
      <c r="AZ148" s="25">
        <v>1</v>
      </c>
      <c r="BA148" s="62" t="s">
        <v>97</v>
      </c>
      <c r="BB148" s="66">
        <v>1</v>
      </c>
      <c r="BC148" s="66"/>
      <c r="BD148" s="66"/>
      <c r="BE148" s="67">
        <f t="shared" si="50"/>
        <v>624326.22222222225</v>
      </c>
      <c r="BF148" s="67">
        <f t="shared" si="55"/>
        <v>0</v>
      </c>
      <c r="BG148" s="67">
        <f t="shared" si="79"/>
        <v>0</v>
      </c>
      <c r="BH148" s="66"/>
      <c r="BI148" s="68" t="s">
        <v>427</v>
      </c>
      <c r="BJ148" s="68" t="s">
        <v>85</v>
      </c>
      <c r="BK148" s="68" t="s">
        <v>85</v>
      </c>
      <c r="BL148" s="29"/>
      <c r="BO148" s="35" t="s">
        <v>1800</v>
      </c>
      <c r="BP148" s="1" t="s">
        <v>1803</v>
      </c>
    </row>
    <row r="149" spans="1:68" s="107" customFormat="1" ht="15" customHeight="1">
      <c r="A149" s="107" t="s">
        <v>43</v>
      </c>
      <c r="C149" s="107" t="str">
        <f t="shared" si="74"/>
        <v>2408</v>
      </c>
      <c r="D149" s="107" t="str">
        <f t="shared" si="75"/>
        <v>1909</v>
      </c>
      <c r="E149" s="213" t="s">
        <v>48</v>
      </c>
      <c r="F149" s="108" t="s">
        <v>49</v>
      </c>
      <c r="G149" s="108">
        <v>2112</v>
      </c>
      <c r="H149" s="108" t="s">
        <v>507</v>
      </c>
      <c r="I149" s="108" t="s">
        <v>508</v>
      </c>
      <c r="J149" s="214">
        <v>1</v>
      </c>
      <c r="K149" s="215" t="s">
        <v>271</v>
      </c>
      <c r="L149" s="108" t="s">
        <v>77</v>
      </c>
      <c r="M149" s="216" t="s">
        <v>509</v>
      </c>
      <c r="N149" s="264">
        <v>43692</v>
      </c>
      <c r="O149" s="218">
        <v>12650</v>
      </c>
      <c r="P149" s="218">
        <v>23269</v>
      </c>
      <c r="Q149" s="219">
        <v>294352850</v>
      </c>
      <c r="R149" s="219">
        <v>0</v>
      </c>
      <c r="S149" s="219"/>
      <c r="T149" s="219">
        <v>14692196.269000001</v>
      </c>
      <c r="U149" s="219" t="s">
        <v>510</v>
      </c>
      <c r="V149" s="220">
        <v>309045046</v>
      </c>
      <c r="W149" s="263">
        <v>0</v>
      </c>
      <c r="X149" s="219">
        <v>309045046</v>
      </c>
      <c r="Y149" s="220"/>
      <c r="Z149" s="220"/>
      <c r="AA149" s="220"/>
      <c r="AB149" s="220"/>
      <c r="AC149" s="219">
        <v>309045046</v>
      </c>
      <c r="AD149" s="217">
        <v>43709</v>
      </c>
      <c r="AE149" s="217">
        <v>45534</v>
      </c>
      <c r="AF149" s="108">
        <v>5</v>
      </c>
      <c r="AG149" s="215">
        <v>60</v>
      </c>
      <c r="AH149" s="109">
        <v>5150750.7666666666</v>
      </c>
      <c r="AI149" s="221">
        <v>267839049.39666665</v>
      </c>
      <c r="AJ149" s="221">
        <v>41205996.603333354</v>
      </c>
      <c r="AK149" s="110">
        <f t="shared" si="76"/>
        <v>5150750.7666666666</v>
      </c>
      <c r="AL149" s="110">
        <f t="shared" si="80"/>
        <v>5150750.7666666666</v>
      </c>
      <c r="AM149" s="110">
        <f t="shared" si="56"/>
        <v>5150750.7666666666</v>
      </c>
      <c r="AN149" s="110">
        <f t="shared" si="51"/>
        <v>5150750.7666666666</v>
      </c>
      <c r="AO149" s="110">
        <f t="shared" si="52"/>
        <v>5150750.7666666666</v>
      </c>
      <c r="AP149" s="110">
        <f t="shared" si="52"/>
        <v>5150750.7666666666</v>
      </c>
      <c r="AQ149" s="110">
        <f t="shared" si="53"/>
        <v>5150750.7666666666</v>
      </c>
      <c r="AR149" s="110">
        <f>AJ149-SUM(AK149:AQ149)</f>
        <v>5150741.2366666868</v>
      </c>
      <c r="AS149" s="110"/>
      <c r="AT149" s="110"/>
      <c r="AU149" s="110"/>
      <c r="AV149" s="110"/>
      <c r="AW149" s="110">
        <f t="shared" si="73"/>
        <v>41205996.603333354</v>
      </c>
      <c r="AX149" s="110">
        <f t="shared" si="77"/>
        <v>0</v>
      </c>
      <c r="AY149" s="110">
        <f t="shared" si="78"/>
        <v>309045046</v>
      </c>
      <c r="AZ149" s="109">
        <v>1</v>
      </c>
      <c r="BA149" s="108" t="s">
        <v>97</v>
      </c>
      <c r="BB149" s="111">
        <v>1</v>
      </c>
      <c r="BC149" s="111"/>
      <c r="BD149" s="111"/>
      <c r="BE149" s="222">
        <f t="shared" si="50"/>
        <v>5150750.7666666666</v>
      </c>
      <c r="BF149" s="222">
        <f t="shared" si="55"/>
        <v>0</v>
      </c>
      <c r="BG149" s="222">
        <f t="shared" si="79"/>
        <v>0</v>
      </c>
      <c r="BH149" s="111"/>
      <c r="BI149" s="112" t="s">
        <v>427</v>
      </c>
      <c r="BJ149" s="112" t="s">
        <v>98</v>
      </c>
      <c r="BK149" s="112" t="s">
        <v>98</v>
      </c>
      <c r="BL149" s="113"/>
      <c r="BO149" s="107" t="s">
        <v>1800</v>
      </c>
      <c r="BP149" s="107" t="s">
        <v>1803</v>
      </c>
    </row>
    <row r="150" spans="1:68" ht="15" customHeight="1">
      <c r="A150" s="1" t="s">
        <v>43</v>
      </c>
      <c r="C150" s="1" t="str">
        <f t="shared" si="74"/>
        <v>2708</v>
      </c>
      <c r="D150" s="1" t="str">
        <f t="shared" si="75"/>
        <v>1909</v>
      </c>
      <c r="E150" s="19" t="s">
        <v>48</v>
      </c>
      <c r="F150" s="62" t="s">
        <v>49</v>
      </c>
      <c r="G150" s="62">
        <v>2112</v>
      </c>
      <c r="H150" s="62" t="s">
        <v>511</v>
      </c>
      <c r="I150" s="62" t="s">
        <v>512</v>
      </c>
      <c r="J150" s="118">
        <v>1</v>
      </c>
      <c r="K150" s="119" t="s">
        <v>469</v>
      </c>
      <c r="L150" s="62" t="s">
        <v>77</v>
      </c>
      <c r="M150" s="120" t="s">
        <v>509</v>
      </c>
      <c r="N150" s="132">
        <v>43692</v>
      </c>
      <c r="O150" s="24">
        <v>3510</v>
      </c>
      <c r="P150" s="24">
        <v>23269</v>
      </c>
      <c r="Q150" s="64">
        <v>81674190</v>
      </c>
      <c r="R150" s="64">
        <v>4064580</v>
      </c>
      <c r="S150" s="64"/>
      <c r="T150" s="64">
        <v>4076648.9250000003</v>
      </c>
      <c r="U150" s="64" t="s">
        <v>510</v>
      </c>
      <c r="V150" s="121">
        <v>89815419</v>
      </c>
      <c r="W150" s="122">
        <v>0</v>
      </c>
      <c r="X150" s="64">
        <v>89815419</v>
      </c>
      <c r="Y150" s="121"/>
      <c r="Z150" s="121"/>
      <c r="AA150" s="121"/>
      <c r="AB150" s="121"/>
      <c r="AC150" s="64">
        <v>89815419</v>
      </c>
      <c r="AD150" s="65">
        <v>43709</v>
      </c>
      <c r="AE150" s="65">
        <v>46629</v>
      </c>
      <c r="AF150" s="62">
        <v>8</v>
      </c>
      <c r="AG150" s="119">
        <v>96</v>
      </c>
      <c r="AH150" s="25">
        <v>935577.28125</v>
      </c>
      <c r="AI150" s="78">
        <v>48650006.892499998</v>
      </c>
      <c r="AJ150" s="78">
        <v>41165412.107500002</v>
      </c>
      <c r="AK150" s="27">
        <f t="shared" si="76"/>
        <v>935577.28125</v>
      </c>
      <c r="AL150" s="27">
        <f t="shared" si="80"/>
        <v>935577.28125</v>
      </c>
      <c r="AM150" s="27">
        <f t="shared" si="56"/>
        <v>935577.28125</v>
      </c>
      <c r="AN150" s="27">
        <f t="shared" si="51"/>
        <v>935577.28125</v>
      </c>
      <c r="AO150" s="27">
        <f t="shared" si="52"/>
        <v>935577.28125</v>
      </c>
      <c r="AP150" s="27">
        <f t="shared" si="52"/>
        <v>935577.28125</v>
      </c>
      <c r="AQ150" s="27">
        <f t="shared" si="53"/>
        <v>935577.28125</v>
      </c>
      <c r="AR150" s="27">
        <f t="shared" si="54"/>
        <v>935577.28125</v>
      </c>
      <c r="AS150" s="27"/>
      <c r="AT150" s="27"/>
      <c r="AU150" s="27"/>
      <c r="AV150" s="27"/>
      <c r="AW150" s="27">
        <f t="shared" si="73"/>
        <v>7484618.25</v>
      </c>
      <c r="AX150" s="79">
        <f t="shared" si="77"/>
        <v>33680793.857500002</v>
      </c>
      <c r="AY150" s="79">
        <f t="shared" si="78"/>
        <v>56134625.142499998</v>
      </c>
      <c r="AZ150" s="25">
        <v>1</v>
      </c>
      <c r="BA150" s="62" t="s">
        <v>97</v>
      </c>
      <c r="BB150" s="66">
        <v>1</v>
      </c>
      <c r="BC150" s="66"/>
      <c r="BD150" s="66"/>
      <c r="BE150" s="67">
        <f t="shared" si="50"/>
        <v>935577.28125</v>
      </c>
      <c r="BF150" s="67">
        <f t="shared" si="55"/>
        <v>0</v>
      </c>
      <c r="BG150" s="67">
        <f t="shared" si="79"/>
        <v>0</v>
      </c>
      <c r="BH150" s="66" t="s">
        <v>1662</v>
      </c>
      <c r="BI150" s="68" t="s">
        <v>57</v>
      </c>
      <c r="BJ150" s="68" t="s">
        <v>117</v>
      </c>
      <c r="BK150" s="68" t="s">
        <v>117</v>
      </c>
      <c r="BL150" s="29"/>
      <c r="BO150" s="35" t="s">
        <v>1800</v>
      </c>
    </row>
    <row r="151" spans="1:68" ht="15" customHeight="1">
      <c r="A151" s="1" t="s">
        <v>43</v>
      </c>
      <c r="C151" s="1" t="str">
        <f t="shared" si="74"/>
        <v>2608</v>
      </c>
      <c r="D151" s="1" t="str">
        <f t="shared" si="75"/>
        <v>1909</v>
      </c>
      <c r="E151" s="19" t="s">
        <v>48</v>
      </c>
      <c r="F151" s="62" t="s">
        <v>49</v>
      </c>
      <c r="G151" s="62">
        <v>2112</v>
      </c>
      <c r="H151" s="62" t="s">
        <v>513</v>
      </c>
      <c r="I151" s="62" t="s">
        <v>514</v>
      </c>
      <c r="J151" s="118">
        <v>1</v>
      </c>
      <c r="K151" s="119" t="s">
        <v>469</v>
      </c>
      <c r="L151" s="62" t="s">
        <v>77</v>
      </c>
      <c r="M151" s="120" t="s">
        <v>509</v>
      </c>
      <c r="N151" s="132">
        <v>43692</v>
      </c>
      <c r="O151" s="24">
        <v>20000</v>
      </c>
      <c r="P151" s="24">
        <v>23269</v>
      </c>
      <c r="Q151" s="64">
        <v>465380000</v>
      </c>
      <c r="R151" s="64">
        <v>13896000</v>
      </c>
      <c r="S151" s="64"/>
      <c r="T151" s="64">
        <v>23228768.805</v>
      </c>
      <c r="U151" s="64" t="s">
        <v>510</v>
      </c>
      <c r="V151" s="121">
        <v>502504769</v>
      </c>
      <c r="W151" s="122">
        <v>0</v>
      </c>
      <c r="X151" s="64">
        <v>502504769</v>
      </c>
      <c r="Y151" s="121"/>
      <c r="Z151" s="121"/>
      <c r="AA151" s="121"/>
      <c r="AB151" s="121"/>
      <c r="AC151" s="64">
        <v>502504769</v>
      </c>
      <c r="AD151" s="65">
        <v>43709</v>
      </c>
      <c r="AE151" s="65">
        <v>46264</v>
      </c>
      <c r="AF151" s="62">
        <v>7</v>
      </c>
      <c r="AG151" s="119">
        <v>84</v>
      </c>
      <c r="AH151" s="25">
        <v>5982199.6309523806</v>
      </c>
      <c r="AI151" s="78">
        <v>311074396.49952382</v>
      </c>
      <c r="AJ151" s="78">
        <v>191430372.50047618</v>
      </c>
      <c r="AK151" s="27">
        <f t="shared" si="76"/>
        <v>5982199.6309523806</v>
      </c>
      <c r="AL151" s="27">
        <f t="shared" si="80"/>
        <v>5982199.6309523806</v>
      </c>
      <c r="AM151" s="27">
        <f t="shared" si="56"/>
        <v>5982199.6309523806</v>
      </c>
      <c r="AN151" s="27">
        <f t="shared" si="51"/>
        <v>5982199.6309523806</v>
      </c>
      <c r="AO151" s="27">
        <f t="shared" si="52"/>
        <v>5982199.6309523806</v>
      </c>
      <c r="AP151" s="27">
        <f t="shared" si="52"/>
        <v>5982199.6309523806</v>
      </c>
      <c r="AQ151" s="27">
        <f t="shared" si="53"/>
        <v>5982199.6309523806</v>
      </c>
      <c r="AR151" s="27">
        <f t="shared" si="54"/>
        <v>5982199.6309523806</v>
      </c>
      <c r="AS151" s="27"/>
      <c r="AT151" s="27"/>
      <c r="AU151" s="27"/>
      <c r="AV151" s="27"/>
      <c r="AW151" s="27">
        <f t="shared" si="73"/>
        <v>47857597.047619045</v>
      </c>
      <c r="AX151" s="79">
        <f t="shared" si="77"/>
        <v>143572775.45285714</v>
      </c>
      <c r="AY151" s="79">
        <f t="shared" si="78"/>
        <v>358931993.54714286</v>
      </c>
      <c r="AZ151" s="25">
        <v>1</v>
      </c>
      <c r="BA151" s="62" t="s">
        <v>97</v>
      </c>
      <c r="BB151" s="66">
        <v>1</v>
      </c>
      <c r="BC151" s="66"/>
      <c r="BD151" s="66"/>
      <c r="BE151" s="67">
        <f t="shared" si="50"/>
        <v>5982199.6309523806</v>
      </c>
      <c r="BF151" s="67">
        <f t="shared" si="55"/>
        <v>0</v>
      </c>
      <c r="BG151" s="67">
        <f t="shared" si="79"/>
        <v>0</v>
      </c>
      <c r="BH151" s="66"/>
      <c r="BI151" s="68" t="s">
        <v>498</v>
      </c>
      <c r="BJ151" s="68" t="s">
        <v>121</v>
      </c>
      <c r="BK151" s="68" t="s">
        <v>301</v>
      </c>
      <c r="BL151" s="29"/>
      <c r="BO151" s="35" t="s">
        <v>1800</v>
      </c>
      <c r="BP151" s="1" t="s">
        <v>1816</v>
      </c>
    </row>
    <row r="152" spans="1:68" ht="15" customHeight="1">
      <c r="A152" s="1" t="s">
        <v>43</v>
      </c>
      <c r="C152" s="1" t="str">
        <f t="shared" si="74"/>
        <v>2705</v>
      </c>
      <c r="D152" s="1" t="str">
        <f t="shared" si="75"/>
        <v>2005</v>
      </c>
      <c r="E152" s="19" t="s">
        <v>48</v>
      </c>
      <c r="F152" s="62" t="s">
        <v>1896</v>
      </c>
      <c r="G152" s="62">
        <v>2112</v>
      </c>
      <c r="H152" s="62" t="s">
        <v>516</v>
      </c>
      <c r="I152" s="62" t="s">
        <v>517</v>
      </c>
      <c r="J152" s="118">
        <v>1</v>
      </c>
      <c r="K152" s="119" t="s">
        <v>271</v>
      </c>
      <c r="L152" s="62" t="s">
        <v>77</v>
      </c>
      <c r="M152" s="120" t="s">
        <v>518</v>
      </c>
      <c r="N152" s="132">
        <v>43711</v>
      </c>
      <c r="O152" s="24">
        <v>23500</v>
      </c>
      <c r="P152" s="24">
        <v>23254</v>
      </c>
      <c r="Q152" s="64">
        <v>546469000</v>
      </c>
      <c r="R152" s="64">
        <v>0</v>
      </c>
      <c r="S152" s="64"/>
      <c r="T152" s="64">
        <v>9730944.6629999988</v>
      </c>
      <c r="U152" s="64" t="s">
        <v>519</v>
      </c>
      <c r="V152" s="121">
        <v>556199944.66299999</v>
      </c>
      <c r="W152" s="122">
        <v>0</v>
      </c>
      <c r="X152" s="64">
        <v>556199944.66299999</v>
      </c>
      <c r="Y152" s="121"/>
      <c r="Z152" s="121"/>
      <c r="AA152" s="121"/>
      <c r="AB152" s="121"/>
      <c r="AC152" s="64">
        <v>556199944.66299999</v>
      </c>
      <c r="AD152" s="65">
        <v>43976</v>
      </c>
      <c r="AE152" s="65">
        <v>46531</v>
      </c>
      <c r="AF152" s="62">
        <v>7</v>
      </c>
      <c r="AG152" s="119">
        <v>84</v>
      </c>
      <c r="AH152" s="25">
        <v>6621427.9126547622</v>
      </c>
      <c r="AI152" s="78">
        <v>286216564.1295476</v>
      </c>
      <c r="AJ152" s="78">
        <v>269983380.53345239</v>
      </c>
      <c r="AK152" s="27">
        <f t="shared" si="76"/>
        <v>6621427.9126547622</v>
      </c>
      <c r="AL152" s="27">
        <f t="shared" si="80"/>
        <v>6621427.9126547622</v>
      </c>
      <c r="AM152" s="27">
        <f t="shared" si="56"/>
        <v>6621427.9126547622</v>
      </c>
      <c r="AN152" s="27">
        <f t="shared" si="51"/>
        <v>6621427.9126547622</v>
      </c>
      <c r="AO152" s="27">
        <f t="shared" si="52"/>
        <v>6621427.9126547622</v>
      </c>
      <c r="AP152" s="27">
        <f t="shared" si="52"/>
        <v>6621427.9126547622</v>
      </c>
      <c r="AQ152" s="27">
        <f t="shared" si="53"/>
        <v>6621427.9126547622</v>
      </c>
      <c r="AR152" s="27">
        <f t="shared" si="54"/>
        <v>6621427.9126547622</v>
      </c>
      <c r="AS152" s="27"/>
      <c r="AT152" s="27"/>
      <c r="AU152" s="27"/>
      <c r="AV152" s="27"/>
      <c r="AW152" s="27">
        <f t="shared" si="73"/>
        <v>52971423.301238105</v>
      </c>
      <c r="AX152" s="79">
        <f t="shared" si="77"/>
        <v>217011957.23221427</v>
      </c>
      <c r="AY152" s="79">
        <f t="shared" si="78"/>
        <v>339187987.43078572</v>
      </c>
      <c r="AZ152" s="25">
        <v>1</v>
      </c>
      <c r="BA152" s="62" t="s">
        <v>97</v>
      </c>
      <c r="BB152" s="66">
        <v>1</v>
      </c>
      <c r="BC152" s="66"/>
      <c r="BD152" s="66"/>
      <c r="BE152" s="67">
        <f t="shared" si="50"/>
        <v>6621427.9126547622</v>
      </c>
      <c r="BF152" s="67">
        <f t="shared" si="55"/>
        <v>0</v>
      </c>
      <c r="BG152" s="67">
        <f t="shared" si="79"/>
        <v>0</v>
      </c>
      <c r="BH152" s="66" t="s">
        <v>1662</v>
      </c>
      <c r="BI152" s="68" t="s">
        <v>107</v>
      </c>
      <c r="BJ152" s="68" t="s">
        <v>1930</v>
      </c>
      <c r="BK152" s="68" t="s">
        <v>1930</v>
      </c>
      <c r="BL152" s="29"/>
      <c r="BO152" s="35" t="s">
        <v>1800</v>
      </c>
    </row>
    <row r="153" spans="1:68" ht="15" customHeight="1">
      <c r="A153" s="1" t="s">
        <v>43</v>
      </c>
      <c r="C153" s="1" t="str">
        <f t="shared" si="74"/>
        <v>2609</v>
      </c>
      <c r="D153" s="1" t="str">
        <f t="shared" si="75"/>
        <v>1910</v>
      </c>
      <c r="E153" s="19" t="s">
        <v>48</v>
      </c>
      <c r="F153" s="62" t="s">
        <v>49</v>
      </c>
      <c r="G153" s="62">
        <v>2112</v>
      </c>
      <c r="H153" s="62" t="s">
        <v>521</v>
      </c>
      <c r="I153" s="62" t="s">
        <v>522</v>
      </c>
      <c r="J153" s="118">
        <v>1</v>
      </c>
      <c r="K153" s="119" t="s">
        <v>271</v>
      </c>
      <c r="L153" s="62" t="s">
        <v>77</v>
      </c>
      <c r="M153" s="120" t="s">
        <v>518</v>
      </c>
      <c r="N153" s="65">
        <v>43711</v>
      </c>
      <c r="O153" s="24">
        <v>24290</v>
      </c>
      <c r="P153" s="24">
        <v>23254</v>
      </c>
      <c r="Q153" s="64">
        <v>564839660</v>
      </c>
      <c r="R153" s="64">
        <v>0</v>
      </c>
      <c r="S153" s="64"/>
      <c r="T153" s="64">
        <v>10058070.037</v>
      </c>
      <c r="U153" s="64" t="s">
        <v>519</v>
      </c>
      <c r="V153" s="121">
        <v>574897730</v>
      </c>
      <c r="W153" s="122">
        <v>0</v>
      </c>
      <c r="X153" s="64">
        <v>574897730</v>
      </c>
      <c r="Y153" s="121"/>
      <c r="Z153" s="121"/>
      <c r="AA153" s="121"/>
      <c r="AB153" s="121"/>
      <c r="AC153" s="64">
        <v>574897730</v>
      </c>
      <c r="AD153" s="65">
        <v>43739</v>
      </c>
      <c r="AE153" s="65">
        <v>46294</v>
      </c>
      <c r="AF153" s="62">
        <v>7</v>
      </c>
      <c r="AG153" s="119">
        <v>84</v>
      </c>
      <c r="AH153" s="25">
        <v>6844020.5952380951</v>
      </c>
      <c r="AI153" s="78">
        <v>349045066.91238093</v>
      </c>
      <c r="AJ153" s="78">
        <v>225852663.08761907</v>
      </c>
      <c r="AK153" s="27">
        <f t="shared" si="76"/>
        <v>6844020.5952380951</v>
      </c>
      <c r="AL153" s="27">
        <f t="shared" si="80"/>
        <v>6844020.5952380951</v>
      </c>
      <c r="AM153" s="27">
        <f t="shared" si="56"/>
        <v>6844020.5952380951</v>
      </c>
      <c r="AN153" s="27">
        <f t="shared" si="51"/>
        <v>6844020.5952380951</v>
      </c>
      <c r="AO153" s="27">
        <f t="shared" si="52"/>
        <v>6844020.5952380951</v>
      </c>
      <c r="AP153" s="27">
        <f t="shared" si="52"/>
        <v>6844020.5952380951</v>
      </c>
      <c r="AQ153" s="27">
        <f t="shared" si="53"/>
        <v>6844020.5952380951</v>
      </c>
      <c r="AR153" s="27">
        <f t="shared" si="54"/>
        <v>6844020.5952380951</v>
      </c>
      <c r="AS153" s="27"/>
      <c r="AT153" s="27"/>
      <c r="AU153" s="27"/>
      <c r="AV153" s="27"/>
      <c r="AW153" s="27">
        <f t="shared" si="73"/>
        <v>54752164.761904769</v>
      </c>
      <c r="AX153" s="79">
        <f t="shared" si="77"/>
        <v>171100498.32571429</v>
      </c>
      <c r="AY153" s="79">
        <f t="shared" si="78"/>
        <v>403797231.67428571</v>
      </c>
      <c r="AZ153" s="25">
        <v>1</v>
      </c>
      <c r="BA153" s="62" t="s">
        <v>97</v>
      </c>
      <c r="BB153" s="66">
        <v>1</v>
      </c>
      <c r="BC153" s="66"/>
      <c r="BD153" s="66"/>
      <c r="BE153" s="67">
        <f t="shared" si="50"/>
        <v>6844020.5952380951</v>
      </c>
      <c r="BF153" s="67">
        <f t="shared" si="55"/>
        <v>0</v>
      </c>
      <c r="BG153" s="67">
        <f t="shared" si="79"/>
        <v>0</v>
      </c>
      <c r="BH153" s="66"/>
      <c r="BI153" s="68" t="s">
        <v>80</v>
      </c>
      <c r="BJ153" s="68" t="s">
        <v>124</v>
      </c>
      <c r="BK153" s="68" t="s">
        <v>124</v>
      </c>
      <c r="BL153" s="29"/>
      <c r="BO153" s="35" t="s">
        <v>1801</v>
      </c>
    </row>
    <row r="154" spans="1:68" ht="15" customHeight="1">
      <c r="A154" s="1" t="s">
        <v>43</v>
      </c>
      <c r="C154" s="1" t="str">
        <f t="shared" si="74"/>
        <v>2909</v>
      </c>
      <c r="D154" s="1" t="str">
        <f t="shared" si="75"/>
        <v>1910</v>
      </c>
      <c r="E154" s="19" t="s">
        <v>48</v>
      </c>
      <c r="F154" s="62" t="s">
        <v>1896</v>
      </c>
      <c r="G154" s="62">
        <v>2112</v>
      </c>
      <c r="H154" s="62" t="s">
        <v>523</v>
      </c>
      <c r="I154" s="62" t="s">
        <v>524</v>
      </c>
      <c r="J154" s="118">
        <v>1</v>
      </c>
      <c r="K154" s="119" t="s">
        <v>469</v>
      </c>
      <c r="L154" s="62" t="s">
        <v>77</v>
      </c>
      <c r="M154" s="120" t="s">
        <v>525</v>
      </c>
      <c r="N154" s="65">
        <v>43711</v>
      </c>
      <c r="O154" s="24">
        <v>140450</v>
      </c>
      <c r="P154" s="24">
        <v>23254</v>
      </c>
      <c r="Q154" s="64">
        <v>3266024300</v>
      </c>
      <c r="R154" s="64">
        <v>0</v>
      </c>
      <c r="S154" s="64"/>
      <c r="T154" s="64">
        <v>5140000</v>
      </c>
      <c r="U154" s="64" t="s">
        <v>526</v>
      </c>
      <c r="V154" s="121">
        <v>3271164300</v>
      </c>
      <c r="W154" s="122">
        <v>0</v>
      </c>
      <c r="X154" s="64">
        <v>3271164300</v>
      </c>
      <c r="Y154" s="121"/>
      <c r="Z154" s="121"/>
      <c r="AA154" s="121"/>
      <c r="AB154" s="121"/>
      <c r="AC154" s="64">
        <v>3271164300</v>
      </c>
      <c r="AD154" s="65">
        <v>43739</v>
      </c>
      <c r="AE154" s="65">
        <v>47389</v>
      </c>
      <c r="AF154" s="62">
        <v>10</v>
      </c>
      <c r="AG154" s="119">
        <v>120</v>
      </c>
      <c r="AH154" s="25">
        <v>27259702.5</v>
      </c>
      <c r="AI154" s="78">
        <v>1390244848</v>
      </c>
      <c r="AJ154" s="78">
        <v>1880919452</v>
      </c>
      <c r="AK154" s="27">
        <f t="shared" si="76"/>
        <v>27259702.5</v>
      </c>
      <c r="AL154" s="27">
        <f t="shared" si="80"/>
        <v>27259702.5</v>
      </c>
      <c r="AM154" s="27">
        <f t="shared" si="56"/>
        <v>27259702.5</v>
      </c>
      <c r="AN154" s="27">
        <f t="shared" si="51"/>
        <v>27259702.5</v>
      </c>
      <c r="AO154" s="27">
        <f t="shared" si="52"/>
        <v>27259702.5</v>
      </c>
      <c r="AP154" s="27">
        <f t="shared" si="52"/>
        <v>27259702.5</v>
      </c>
      <c r="AQ154" s="27">
        <f t="shared" si="53"/>
        <v>27259702.5</v>
      </c>
      <c r="AR154" s="27">
        <f t="shared" si="54"/>
        <v>27259702.5</v>
      </c>
      <c r="AS154" s="27"/>
      <c r="AT154" s="27"/>
      <c r="AU154" s="27"/>
      <c r="AV154" s="27"/>
      <c r="AW154" s="27">
        <f t="shared" si="73"/>
        <v>218077620</v>
      </c>
      <c r="AX154" s="79">
        <f t="shared" si="77"/>
        <v>1662841832</v>
      </c>
      <c r="AY154" s="79">
        <f t="shared" si="78"/>
        <v>1608322468</v>
      </c>
      <c r="AZ154" s="25">
        <v>1</v>
      </c>
      <c r="BA154" s="62" t="s">
        <v>97</v>
      </c>
      <c r="BB154" s="66">
        <v>1</v>
      </c>
      <c r="BC154" s="66"/>
      <c r="BD154" s="66"/>
      <c r="BE154" s="67">
        <f t="shared" si="50"/>
        <v>27259702.5</v>
      </c>
      <c r="BF154" s="67">
        <f t="shared" si="55"/>
        <v>0</v>
      </c>
      <c r="BG154" s="67">
        <f t="shared" si="79"/>
        <v>0</v>
      </c>
      <c r="BH154" s="66"/>
      <c r="BI154" s="68" t="s">
        <v>242</v>
      </c>
      <c r="BJ154" s="68" t="s">
        <v>1979</v>
      </c>
      <c r="BK154" s="68" t="s">
        <v>1979</v>
      </c>
      <c r="BL154" s="29"/>
      <c r="BO154" s="35" t="s">
        <v>1805</v>
      </c>
    </row>
    <row r="155" spans="1:68" ht="15" customHeight="1">
      <c r="A155" s="1" t="s">
        <v>43</v>
      </c>
      <c r="C155" s="1" t="str">
        <f t="shared" si="74"/>
        <v>2909</v>
      </c>
      <c r="D155" s="1" t="str">
        <f t="shared" si="75"/>
        <v>1910</v>
      </c>
      <c r="E155" s="19" t="s">
        <v>48</v>
      </c>
      <c r="F155" s="62" t="s">
        <v>49</v>
      </c>
      <c r="G155" s="62">
        <v>2112</v>
      </c>
      <c r="H155" s="62" t="s">
        <v>527</v>
      </c>
      <c r="I155" s="62" t="s">
        <v>528</v>
      </c>
      <c r="J155" s="118">
        <v>1</v>
      </c>
      <c r="K155" s="119" t="s">
        <v>469</v>
      </c>
      <c r="L155" s="62" t="s">
        <v>77</v>
      </c>
      <c r="M155" s="120" t="s">
        <v>529</v>
      </c>
      <c r="N155" s="65">
        <v>43712</v>
      </c>
      <c r="O155" s="24">
        <v>42530</v>
      </c>
      <c r="P155" s="24">
        <v>23254</v>
      </c>
      <c r="Q155" s="64">
        <v>988992620</v>
      </c>
      <c r="R155" s="64">
        <v>0</v>
      </c>
      <c r="S155" s="64"/>
      <c r="T155" s="64"/>
      <c r="U155" s="64"/>
      <c r="V155" s="121">
        <v>988992620</v>
      </c>
      <c r="W155" s="122">
        <v>0</v>
      </c>
      <c r="X155" s="64">
        <v>988992620</v>
      </c>
      <c r="Y155" s="121"/>
      <c r="Z155" s="121"/>
      <c r="AA155" s="121"/>
      <c r="AB155" s="121"/>
      <c r="AC155" s="64">
        <v>988992620</v>
      </c>
      <c r="AD155" s="65">
        <v>43739</v>
      </c>
      <c r="AE155" s="65">
        <v>47389</v>
      </c>
      <c r="AF155" s="62">
        <v>10</v>
      </c>
      <c r="AG155" s="119">
        <v>120</v>
      </c>
      <c r="AH155" s="25">
        <v>8241605.166666667</v>
      </c>
      <c r="AI155" s="78">
        <v>420321856.66666669</v>
      </c>
      <c r="AJ155" s="78">
        <v>568670763.33333337</v>
      </c>
      <c r="AK155" s="27">
        <f t="shared" si="76"/>
        <v>8241605.166666667</v>
      </c>
      <c r="AL155" s="27">
        <f t="shared" si="80"/>
        <v>8241605.166666667</v>
      </c>
      <c r="AM155" s="27">
        <f t="shared" si="56"/>
        <v>8241605.166666667</v>
      </c>
      <c r="AN155" s="27">
        <f t="shared" si="51"/>
        <v>8241605.166666667</v>
      </c>
      <c r="AO155" s="27">
        <f t="shared" si="52"/>
        <v>8241605.166666667</v>
      </c>
      <c r="AP155" s="27">
        <f t="shared" si="52"/>
        <v>8241605.166666667</v>
      </c>
      <c r="AQ155" s="27">
        <f t="shared" si="53"/>
        <v>8241605.166666667</v>
      </c>
      <c r="AR155" s="27">
        <f t="shared" si="54"/>
        <v>8241605.166666667</v>
      </c>
      <c r="AS155" s="27"/>
      <c r="AT155" s="27"/>
      <c r="AU155" s="27"/>
      <c r="AV155" s="27"/>
      <c r="AW155" s="27">
        <f t="shared" si="73"/>
        <v>65932841.333333328</v>
      </c>
      <c r="AX155" s="79">
        <f t="shared" si="77"/>
        <v>502737921.99999994</v>
      </c>
      <c r="AY155" s="79">
        <f t="shared" si="78"/>
        <v>486254698</v>
      </c>
      <c r="AZ155" s="25">
        <v>1</v>
      </c>
      <c r="BA155" s="62" t="s">
        <v>97</v>
      </c>
      <c r="BB155" s="66">
        <v>1</v>
      </c>
      <c r="BC155" s="66"/>
      <c r="BD155" s="66"/>
      <c r="BE155" s="67">
        <f t="shared" si="50"/>
        <v>8241605.166666667</v>
      </c>
      <c r="BF155" s="67">
        <f t="shared" si="55"/>
        <v>0</v>
      </c>
      <c r="BG155" s="67">
        <f t="shared" si="79"/>
        <v>0</v>
      </c>
      <c r="BH155" s="66"/>
      <c r="BI155" s="68" t="s">
        <v>80</v>
      </c>
      <c r="BJ155" s="68" t="s">
        <v>81</v>
      </c>
      <c r="BK155" s="68" t="s">
        <v>81</v>
      </c>
      <c r="BL155" s="29"/>
      <c r="BO155" s="35" t="s">
        <v>1805</v>
      </c>
    </row>
    <row r="156" spans="1:68" ht="15" customHeight="1">
      <c r="A156" s="1" t="s">
        <v>43</v>
      </c>
      <c r="C156" s="1" t="str">
        <f t="shared" si="74"/>
        <v>2609</v>
      </c>
      <c r="D156" s="1" t="str">
        <f t="shared" si="75"/>
        <v>1910</v>
      </c>
      <c r="E156" s="19" t="s">
        <v>48</v>
      </c>
      <c r="F156" s="62" t="s">
        <v>1923</v>
      </c>
      <c r="G156" s="62">
        <v>2112</v>
      </c>
      <c r="H156" s="62" t="s">
        <v>530</v>
      </c>
      <c r="I156" s="62" t="s">
        <v>531</v>
      </c>
      <c r="J156" s="118">
        <v>1</v>
      </c>
      <c r="K156" s="119" t="s">
        <v>469</v>
      </c>
      <c r="L156" s="62" t="s">
        <v>77</v>
      </c>
      <c r="M156" s="120" t="s">
        <v>532</v>
      </c>
      <c r="N156" s="65">
        <v>43713</v>
      </c>
      <c r="O156" s="24">
        <v>43210</v>
      </c>
      <c r="P156" s="24">
        <v>23255</v>
      </c>
      <c r="Q156" s="64">
        <v>1004848550</v>
      </c>
      <c r="R156" s="64">
        <v>0</v>
      </c>
      <c r="S156" s="64"/>
      <c r="T156" s="64">
        <v>11375350</v>
      </c>
      <c r="U156" s="64" t="s">
        <v>533</v>
      </c>
      <c r="V156" s="121">
        <v>1016223900</v>
      </c>
      <c r="W156" s="122">
        <v>0</v>
      </c>
      <c r="X156" s="64">
        <v>1016223900</v>
      </c>
      <c r="Y156" s="121"/>
      <c r="Z156" s="121"/>
      <c r="AA156" s="121"/>
      <c r="AB156" s="121"/>
      <c r="AC156" s="64">
        <v>1016223900</v>
      </c>
      <c r="AD156" s="65">
        <v>43739</v>
      </c>
      <c r="AE156" s="65">
        <v>46294</v>
      </c>
      <c r="AF156" s="62">
        <v>7</v>
      </c>
      <c r="AG156" s="119">
        <v>84</v>
      </c>
      <c r="AH156" s="25">
        <v>12097903.571428571</v>
      </c>
      <c r="AI156" s="78">
        <v>616993099.71428561</v>
      </c>
      <c r="AJ156" s="78">
        <v>399230800.28571433</v>
      </c>
      <c r="AK156" s="27">
        <f t="shared" si="76"/>
        <v>12097903.571428571</v>
      </c>
      <c r="AL156" s="27">
        <f t="shared" si="80"/>
        <v>12097903.571428571</v>
      </c>
      <c r="AM156" s="27">
        <f t="shared" si="56"/>
        <v>12097903.571428571</v>
      </c>
      <c r="AN156" s="27">
        <f t="shared" si="51"/>
        <v>12097903.571428571</v>
      </c>
      <c r="AO156" s="27">
        <f t="shared" si="52"/>
        <v>12097903.571428571</v>
      </c>
      <c r="AP156" s="27">
        <f t="shared" si="52"/>
        <v>12097903.571428571</v>
      </c>
      <c r="AQ156" s="27">
        <f t="shared" si="53"/>
        <v>12097903.571428571</v>
      </c>
      <c r="AR156" s="27">
        <f t="shared" si="54"/>
        <v>12097903.571428571</v>
      </c>
      <c r="AS156" s="27"/>
      <c r="AT156" s="27"/>
      <c r="AU156" s="27"/>
      <c r="AV156" s="27"/>
      <c r="AW156" s="27">
        <f t="shared" si="73"/>
        <v>96783228.571428552</v>
      </c>
      <c r="AX156" s="79">
        <f t="shared" si="77"/>
        <v>302447571.71428585</v>
      </c>
      <c r="AY156" s="79">
        <f t="shared" si="78"/>
        <v>713776328.28571415</v>
      </c>
      <c r="AZ156" s="25">
        <v>1</v>
      </c>
      <c r="BA156" s="62" t="s">
        <v>97</v>
      </c>
      <c r="BB156" s="66">
        <v>1</v>
      </c>
      <c r="BC156" s="66"/>
      <c r="BD156" s="66"/>
      <c r="BE156" s="67">
        <f t="shared" si="50"/>
        <v>12097903.571428571</v>
      </c>
      <c r="BF156" s="67">
        <f t="shared" si="55"/>
        <v>0</v>
      </c>
      <c r="BG156" s="67">
        <f t="shared" si="79"/>
        <v>0</v>
      </c>
      <c r="BH156" s="66"/>
      <c r="BI156" s="68" t="s">
        <v>534</v>
      </c>
      <c r="BJ156" s="68" t="s">
        <v>1979</v>
      </c>
      <c r="BK156" s="68" t="s">
        <v>1979</v>
      </c>
      <c r="BL156" s="29"/>
      <c r="BO156" s="35" t="s">
        <v>1805</v>
      </c>
    </row>
    <row r="157" spans="1:68" ht="15" customHeight="1">
      <c r="A157" s="1" t="s">
        <v>43</v>
      </c>
      <c r="C157" s="1" t="str">
        <f t="shared" si="74"/>
        <v>2609</v>
      </c>
      <c r="D157" s="1" t="str">
        <f t="shared" si="75"/>
        <v>1910</v>
      </c>
      <c r="E157" s="19" t="s">
        <v>48</v>
      </c>
      <c r="F157" s="62" t="s">
        <v>1896</v>
      </c>
      <c r="G157" s="62">
        <v>2112</v>
      </c>
      <c r="H157" s="62" t="s">
        <v>535</v>
      </c>
      <c r="I157" s="62" t="s">
        <v>536</v>
      </c>
      <c r="J157" s="118">
        <v>1</v>
      </c>
      <c r="K157" s="119" t="s">
        <v>469</v>
      </c>
      <c r="L157" s="62" t="s">
        <v>77</v>
      </c>
      <c r="M157" s="120" t="s">
        <v>537</v>
      </c>
      <c r="N157" s="65">
        <v>43724</v>
      </c>
      <c r="O157" s="24">
        <v>57830</v>
      </c>
      <c r="P157" s="24">
        <v>23276</v>
      </c>
      <c r="Q157" s="64">
        <v>1346051080</v>
      </c>
      <c r="R157" s="64">
        <v>0</v>
      </c>
      <c r="S157" s="64"/>
      <c r="T157" s="64">
        <v>8854259.2539999988</v>
      </c>
      <c r="U157" s="64" t="s">
        <v>538</v>
      </c>
      <c r="V157" s="121">
        <v>1354905339</v>
      </c>
      <c r="W157" s="122">
        <v>0</v>
      </c>
      <c r="X157" s="64">
        <v>1354905339</v>
      </c>
      <c r="Y157" s="121"/>
      <c r="Z157" s="121"/>
      <c r="AA157" s="121"/>
      <c r="AB157" s="121"/>
      <c r="AC157" s="64">
        <v>1354905339</v>
      </c>
      <c r="AD157" s="65">
        <v>43739</v>
      </c>
      <c r="AE157" s="65">
        <v>46294</v>
      </c>
      <c r="AF157" s="62">
        <v>7</v>
      </c>
      <c r="AG157" s="119">
        <v>84</v>
      </c>
      <c r="AH157" s="25">
        <v>16129825.464285715</v>
      </c>
      <c r="AI157" s="265">
        <v>822621079.39285707</v>
      </c>
      <c r="AJ157" s="265">
        <v>532284259.60714293</v>
      </c>
      <c r="AK157" s="27">
        <f t="shared" si="76"/>
        <v>16129825.464285715</v>
      </c>
      <c r="AL157" s="27">
        <f t="shared" si="80"/>
        <v>16129825.464285715</v>
      </c>
      <c r="AM157" s="27">
        <f t="shared" si="56"/>
        <v>16129825.464285715</v>
      </c>
      <c r="AN157" s="27">
        <f t="shared" si="51"/>
        <v>16129825.464285715</v>
      </c>
      <c r="AO157" s="27">
        <f t="shared" si="52"/>
        <v>16129825.464285715</v>
      </c>
      <c r="AP157" s="27">
        <f t="shared" si="52"/>
        <v>16129825.464285715</v>
      </c>
      <c r="AQ157" s="27">
        <f t="shared" si="53"/>
        <v>16129825.464285715</v>
      </c>
      <c r="AR157" s="27">
        <f t="shared" si="54"/>
        <v>16129825.464285715</v>
      </c>
      <c r="AS157" s="27"/>
      <c r="AT157" s="27"/>
      <c r="AU157" s="27"/>
      <c r="AV157" s="27"/>
      <c r="AW157" s="27">
        <f t="shared" si="73"/>
        <v>129038603.71428572</v>
      </c>
      <c r="AX157" s="27">
        <f t="shared" si="77"/>
        <v>403245655.89285719</v>
      </c>
      <c r="AY157" s="27">
        <f t="shared" si="78"/>
        <v>951659683.10714281</v>
      </c>
      <c r="AZ157" s="25">
        <v>1</v>
      </c>
      <c r="BA157" s="62" t="s">
        <v>97</v>
      </c>
      <c r="BB157" s="66">
        <v>1</v>
      </c>
      <c r="BC157" s="66"/>
      <c r="BD157" s="66"/>
      <c r="BE157" s="67">
        <f t="shared" si="50"/>
        <v>16129825.464285715</v>
      </c>
      <c r="BF157" s="67">
        <f t="shared" si="55"/>
        <v>0</v>
      </c>
      <c r="BG157" s="67">
        <f t="shared" si="79"/>
        <v>0</v>
      </c>
      <c r="BH157" s="66"/>
      <c r="BI157" s="68" t="s">
        <v>326</v>
      </c>
      <c r="BJ157" s="68" t="s">
        <v>121</v>
      </c>
      <c r="BK157" s="68" t="s">
        <v>121</v>
      </c>
      <c r="BL157" s="29"/>
      <c r="BO157" s="1" t="s">
        <v>1801</v>
      </c>
    </row>
    <row r="158" spans="1:68" ht="15" customHeight="1">
      <c r="A158" s="1" t="s">
        <v>43</v>
      </c>
      <c r="C158" s="1" t="str">
        <f t="shared" si="74"/>
        <v>2909</v>
      </c>
      <c r="D158" s="1" t="str">
        <f t="shared" si="75"/>
        <v>1910</v>
      </c>
      <c r="E158" s="19" t="s">
        <v>48</v>
      </c>
      <c r="F158" s="62" t="s">
        <v>49</v>
      </c>
      <c r="G158" s="62">
        <v>2112</v>
      </c>
      <c r="H158" s="62" t="s">
        <v>539</v>
      </c>
      <c r="I158" s="62" t="s">
        <v>540</v>
      </c>
      <c r="J158" s="118">
        <v>3</v>
      </c>
      <c r="K158" s="119" t="s">
        <v>271</v>
      </c>
      <c r="L158" s="62" t="s">
        <v>77</v>
      </c>
      <c r="M158" s="120" t="s">
        <v>537</v>
      </c>
      <c r="N158" s="65">
        <v>43724</v>
      </c>
      <c r="O158" s="24">
        <v>186570</v>
      </c>
      <c r="P158" s="24">
        <v>23276</v>
      </c>
      <c r="Q158" s="64">
        <v>4342603320</v>
      </c>
      <c r="R158" s="64">
        <v>0</v>
      </c>
      <c r="S158" s="64"/>
      <c r="T158" s="64">
        <v>28565435.745999999</v>
      </c>
      <c r="U158" s="64" t="s">
        <v>538</v>
      </c>
      <c r="V158" s="121">
        <v>4371168756</v>
      </c>
      <c r="W158" s="122">
        <v>0</v>
      </c>
      <c r="X158" s="64">
        <v>4371168756</v>
      </c>
      <c r="Y158" s="121"/>
      <c r="Z158" s="121"/>
      <c r="AA158" s="121"/>
      <c r="AB158" s="121"/>
      <c r="AC158" s="64">
        <v>4371168756</v>
      </c>
      <c r="AD158" s="65">
        <v>43739</v>
      </c>
      <c r="AE158" s="65">
        <v>47389</v>
      </c>
      <c r="AF158" s="62">
        <v>10</v>
      </c>
      <c r="AG158" s="119">
        <v>120</v>
      </c>
      <c r="AH158" s="25">
        <v>36426406.299999997</v>
      </c>
      <c r="AI158" s="78">
        <v>1857746709.25</v>
      </c>
      <c r="AJ158" s="78">
        <v>2513422046.75</v>
      </c>
      <c r="AK158" s="27">
        <f t="shared" si="76"/>
        <v>36426406.299999997</v>
      </c>
      <c r="AL158" s="27">
        <f t="shared" si="80"/>
        <v>36426406.299999997</v>
      </c>
      <c r="AM158" s="27">
        <f t="shared" si="56"/>
        <v>36426406.299999997</v>
      </c>
      <c r="AN158" s="27">
        <f t="shared" si="51"/>
        <v>36426406.299999997</v>
      </c>
      <c r="AO158" s="27">
        <f t="shared" si="52"/>
        <v>36426406.299999997</v>
      </c>
      <c r="AP158" s="27">
        <f t="shared" si="52"/>
        <v>36426406.299999997</v>
      </c>
      <c r="AQ158" s="27">
        <f t="shared" si="53"/>
        <v>36426406.299999997</v>
      </c>
      <c r="AR158" s="27">
        <f t="shared" si="54"/>
        <v>36426406.299999997</v>
      </c>
      <c r="AS158" s="27"/>
      <c r="AT158" s="27"/>
      <c r="AU158" s="27"/>
      <c r="AV158" s="27"/>
      <c r="AW158" s="27">
        <f t="shared" si="73"/>
        <v>291411250.40000004</v>
      </c>
      <c r="AX158" s="79">
        <f t="shared" si="77"/>
        <v>2222010796.3499999</v>
      </c>
      <c r="AY158" s="79">
        <f t="shared" si="78"/>
        <v>2149157959.6500001</v>
      </c>
      <c r="AZ158" s="25">
        <v>3</v>
      </c>
      <c r="BA158" s="62" t="s">
        <v>97</v>
      </c>
      <c r="BB158" s="66">
        <v>1</v>
      </c>
      <c r="BC158" s="66"/>
      <c r="BD158" s="66"/>
      <c r="BE158" s="67">
        <f t="shared" si="50"/>
        <v>36426406.299999997</v>
      </c>
      <c r="BF158" s="67">
        <f t="shared" si="55"/>
        <v>0</v>
      </c>
      <c r="BG158" s="67">
        <f t="shared" si="79"/>
        <v>0</v>
      </c>
      <c r="BH158" s="66"/>
      <c r="BI158" s="68" t="s">
        <v>541</v>
      </c>
      <c r="BJ158" s="68" t="s">
        <v>81</v>
      </c>
      <c r="BK158" s="68" t="s">
        <v>81</v>
      </c>
      <c r="BL158" s="29"/>
      <c r="BO158" s="35" t="s">
        <v>1800</v>
      </c>
      <c r="BP158" s="1" t="s">
        <v>1809</v>
      </c>
    </row>
    <row r="159" spans="1:68" ht="15" customHeight="1">
      <c r="A159" s="1" t="s">
        <v>43</v>
      </c>
      <c r="C159" s="1" t="str">
        <f t="shared" si="74"/>
        <v>2610</v>
      </c>
      <c r="D159" s="1" t="str">
        <f t="shared" si="75"/>
        <v>1911</v>
      </c>
      <c r="E159" s="19" t="s">
        <v>48</v>
      </c>
      <c r="F159" s="62" t="s">
        <v>1896</v>
      </c>
      <c r="G159" s="62">
        <v>2112</v>
      </c>
      <c r="H159" s="62" t="s">
        <v>542</v>
      </c>
      <c r="I159" s="62" t="s">
        <v>543</v>
      </c>
      <c r="J159" s="118">
        <v>1</v>
      </c>
      <c r="K159" s="119" t="s">
        <v>271</v>
      </c>
      <c r="L159" s="62" t="s">
        <v>77</v>
      </c>
      <c r="M159" s="120" t="s">
        <v>544</v>
      </c>
      <c r="N159" s="65">
        <v>43739</v>
      </c>
      <c r="O159" s="24">
        <v>1800</v>
      </c>
      <c r="P159" s="24">
        <v>23256</v>
      </c>
      <c r="Q159" s="64">
        <v>41860800</v>
      </c>
      <c r="R159" s="64">
        <v>0</v>
      </c>
      <c r="S159" s="64"/>
      <c r="T159" s="64">
        <v>670038.22499999998</v>
      </c>
      <c r="U159" s="64" t="s">
        <v>545</v>
      </c>
      <c r="V159" s="121">
        <v>42530838</v>
      </c>
      <c r="W159" s="122">
        <v>0</v>
      </c>
      <c r="X159" s="64">
        <v>42530838</v>
      </c>
      <c r="Y159" s="121"/>
      <c r="Z159" s="121"/>
      <c r="AA159" s="121"/>
      <c r="AB159" s="121"/>
      <c r="AC159" s="64">
        <v>42530838</v>
      </c>
      <c r="AD159" s="65">
        <v>43770</v>
      </c>
      <c r="AE159" s="65">
        <v>46325</v>
      </c>
      <c r="AF159" s="62">
        <v>7</v>
      </c>
      <c r="AG159" s="119">
        <v>84</v>
      </c>
      <c r="AH159" s="25">
        <v>506319.5</v>
      </c>
      <c r="AI159" s="78">
        <v>25315995</v>
      </c>
      <c r="AJ159" s="78">
        <v>17214843</v>
      </c>
      <c r="AK159" s="27">
        <f t="shared" si="76"/>
        <v>506319.5</v>
      </c>
      <c r="AL159" s="27">
        <f t="shared" si="80"/>
        <v>506319.5</v>
      </c>
      <c r="AM159" s="27">
        <f t="shared" si="56"/>
        <v>506319.5</v>
      </c>
      <c r="AN159" s="27">
        <f t="shared" si="51"/>
        <v>506319.5</v>
      </c>
      <c r="AO159" s="27">
        <f t="shared" si="52"/>
        <v>506319.5</v>
      </c>
      <c r="AP159" s="27">
        <f t="shared" si="52"/>
        <v>506319.5</v>
      </c>
      <c r="AQ159" s="27">
        <f t="shared" si="53"/>
        <v>506319.5</v>
      </c>
      <c r="AR159" s="27">
        <f t="shared" si="54"/>
        <v>506319.5</v>
      </c>
      <c r="AS159" s="27"/>
      <c r="AT159" s="27"/>
      <c r="AU159" s="27"/>
      <c r="AV159" s="27"/>
      <c r="AW159" s="27">
        <f t="shared" si="73"/>
        <v>4050556</v>
      </c>
      <c r="AX159" s="79">
        <f t="shared" si="77"/>
        <v>13164287</v>
      </c>
      <c r="AY159" s="79">
        <f t="shared" si="78"/>
        <v>29366551</v>
      </c>
      <c r="AZ159" s="25">
        <v>1</v>
      </c>
      <c r="BA159" s="62" t="s">
        <v>97</v>
      </c>
      <c r="BB159" s="66">
        <v>1</v>
      </c>
      <c r="BC159" s="66"/>
      <c r="BD159" s="66"/>
      <c r="BE159" s="67">
        <f t="shared" si="50"/>
        <v>506319.5</v>
      </c>
      <c r="BF159" s="67">
        <f t="shared" si="55"/>
        <v>0</v>
      </c>
      <c r="BG159" s="67">
        <f t="shared" si="79"/>
        <v>0</v>
      </c>
      <c r="BH159" s="66" t="s">
        <v>1662</v>
      </c>
      <c r="BI159" s="68" t="s">
        <v>107</v>
      </c>
      <c r="BJ159" s="68" t="s">
        <v>1982</v>
      </c>
      <c r="BK159" s="68" t="s">
        <v>1982</v>
      </c>
      <c r="BL159" s="29"/>
      <c r="BO159" s="35" t="s">
        <v>1805</v>
      </c>
    </row>
    <row r="160" spans="1:68" ht="15" customHeight="1">
      <c r="A160" s="1" t="s">
        <v>43</v>
      </c>
      <c r="C160" s="1" t="str">
        <f t="shared" si="74"/>
        <v>2610</v>
      </c>
      <c r="D160" s="1" t="str">
        <f t="shared" si="75"/>
        <v>1911</v>
      </c>
      <c r="E160" s="19" t="s">
        <v>48</v>
      </c>
      <c r="F160" s="62" t="s">
        <v>1896</v>
      </c>
      <c r="G160" s="62">
        <v>2112</v>
      </c>
      <c r="H160" s="62" t="s">
        <v>546</v>
      </c>
      <c r="I160" s="62" t="s">
        <v>547</v>
      </c>
      <c r="J160" s="118">
        <v>1</v>
      </c>
      <c r="K160" s="119" t="s">
        <v>469</v>
      </c>
      <c r="L160" s="62" t="s">
        <v>77</v>
      </c>
      <c r="M160" s="120" t="s">
        <v>544</v>
      </c>
      <c r="N160" s="65">
        <v>43739</v>
      </c>
      <c r="O160" s="24">
        <v>149270</v>
      </c>
      <c r="P160" s="24">
        <v>23256</v>
      </c>
      <c r="Q160" s="64">
        <v>3471423120</v>
      </c>
      <c r="R160" s="64">
        <v>0</v>
      </c>
      <c r="S160" s="64"/>
      <c r="T160" s="64">
        <v>55564781.079000004</v>
      </c>
      <c r="U160" s="64" t="s">
        <v>545</v>
      </c>
      <c r="V160" s="121">
        <v>3526987901</v>
      </c>
      <c r="W160" s="122">
        <v>0</v>
      </c>
      <c r="X160" s="64">
        <v>3526987901</v>
      </c>
      <c r="Y160" s="121"/>
      <c r="Z160" s="121"/>
      <c r="AA160" s="121"/>
      <c r="AB160" s="121"/>
      <c r="AC160" s="64">
        <v>3526987901</v>
      </c>
      <c r="AD160" s="65">
        <v>43770</v>
      </c>
      <c r="AE160" s="65">
        <v>46325</v>
      </c>
      <c r="AF160" s="62">
        <v>7</v>
      </c>
      <c r="AG160" s="119">
        <v>84</v>
      </c>
      <c r="AH160" s="25">
        <v>41987951.202380955</v>
      </c>
      <c r="AI160" s="78">
        <v>2099397552.0238094</v>
      </c>
      <c r="AJ160" s="78">
        <v>1427590348.9761906</v>
      </c>
      <c r="AK160" s="27">
        <f t="shared" si="76"/>
        <v>41987951.202380955</v>
      </c>
      <c r="AL160" s="27">
        <f t="shared" si="80"/>
        <v>41987951.202380955</v>
      </c>
      <c r="AM160" s="27">
        <f t="shared" si="56"/>
        <v>41987951.202380955</v>
      </c>
      <c r="AN160" s="27">
        <f t="shared" si="51"/>
        <v>41987951.202380955</v>
      </c>
      <c r="AO160" s="27">
        <f t="shared" si="52"/>
        <v>41987951.202380955</v>
      </c>
      <c r="AP160" s="27">
        <f t="shared" si="52"/>
        <v>41987951.202380955</v>
      </c>
      <c r="AQ160" s="27">
        <f t="shared" si="53"/>
        <v>41987951.202380955</v>
      </c>
      <c r="AR160" s="27">
        <f t="shared" si="54"/>
        <v>41987951.202380955</v>
      </c>
      <c r="AS160" s="27"/>
      <c r="AT160" s="27"/>
      <c r="AU160" s="27"/>
      <c r="AV160" s="27"/>
      <c r="AW160" s="27">
        <f t="shared" si="73"/>
        <v>335903609.61904764</v>
      </c>
      <c r="AX160" s="79">
        <f t="shared" si="77"/>
        <v>1091686739.3571429</v>
      </c>
      <c r="AY160" s="79">
        <f t="shared" si="78"/>
        <v>2435301161.6428571</v>
      </c>
      <c r="AZ160" s="25">
        <v>1</v>
      </c>
      <c r="BA160" s="62" t="s">
        <v>97</v>
      </c>
      <c r="BB160" s="66">
        <v>1</v>
      </c>
      <c r="BC160" s="66"/>
      <c r="BD160" s="66"/>
      <c r="BE160" s="67">
        <f t="shared" si="50"/>
        <v>41987951.202380955</v>
      </c>
      <c r="BF160" s="67">
        <f t="shared" si="55"/>
        <v>0</v>
      </c>
      <c r="BG160" s="67">
        <f t="shared" si="79"/>
        <v>0</v>
      </c>
      <c r="BH160" s="66"/>
      <c r="BI160" s="68" t="s">
        <v>80</v>
      </c>
      <c r="BJ160" s="68" t="s">
        <v>1979</v>
      </c>
      <c r="BK160" s="68" t="s">
        <v>1979</v>
      </c>
      <c r="BL160" s="29"/>
      <c r="BO160" s="35" t="s">
        <v>1801</v>
      </c>
    </row>
    <row r="161" spans="1:68" ht="15" customHeight="1">
      <c r="A161" s="1" t="s">
        <v>43</v>
      </c>
      <c r="C161" s="1" t="str">
        <f t="shared" si="74"/>
        <v>2910</v>
      </c>
      <c r="D161" s="1" t="str">
        <f t="shared" si="75"/>
        <v>1911</v>
      </c>
      <c r="E161" s="19" t="s">
        <v>48</v>
      </c>
      <c r="F161" s="62" t="s">
        <v>1896</v>
      </c>
      <c r="G161" s="62">
        <v>2112</v>
      </c>
      <c r="H161" s="62" t="s">
        <v>548</v>
      </c>
      <c r="I161" s="62" t="s">
        <v>549</v>
      </c>
      <c r="J161" s="118">
        <v>1</v>
      </c>
      <c r="K161" s="119" t="s">
        <v>469</v>
      </c>
      <c r="L161" s="62" t="s">
        <v>77</v>
      </c>
      <c r="M161" s="120" t="s">
        <v>544</v>
      </c>
      <c r="N161" s="65">
        <v>43739</v>
      </c>
      <c r="O161" s="24">
        <v>28940</v>
      </c>
      <c r="P161" s="24">
        <v>23256</v>
      </c>
      <c r="Q161" s="64">
        <v>673028640</v>
      </c>
      <c r="R161" s="64">
        <v>0</v>
      </c>
      <c r="S161" s="64"/>
      <c r="T161" s="64">
        <v>10772725.696</v>
      </c>
      <c r="U161" s="64" t="s">
        <v>545</v>
      </c>
      <c r="V161" s="121">
        <v>683801366</v>
      </c>
      <c r="W161" s="122">
        <v>0</v>
      </c>
      <c r="X161" s="64">
        <v>683801366</v>
      </c>
      <c r="Y161" s="121"/>
      <c r="Z161" s="121"/>
      <c r="AA161" s="121"/>
      <c r="AB161" s="121"/>
      <c r="AC161" s="64">
        <v>683801366</v>
      </c>
      <c r="AD161" s="65">
        <v>43770</v>
      </c>
      <c r="AE161" s="65">
        <v>47420</v>
      </c>
      <c r="AF161" s="62">
        <v>10</v>
      </c>
      <c r="AG161" s="119">
        <v>120</v>
      </c>
      <c r="AH161" s="25">
        <v>5698344.7166666668</v>
      </c>
      <c r="AI161" s="78">
        <v>284917247.16666669</v>
      </c>
      <c r="AJ161" s="78">
        <v>398884118.83333331</v>
      </c>
      <c r="AK161" s="27">
        <f t="shared" si="76"/>
        <v>5698344.7166666668</v>
      </c>
      <c r="AL161" s="27">
        <f t="shared" si="80"/>
        <v>5698344.7166666668</v>
      </c>
      <c r="AM161" s="27">
        <f t="shared" si="56"/>
        <v>5698344.7166666668</v>
      </c>
      <c r="AN161" s="27">
        <f t="shared" si="51"/>
        <v>5698344.7166666668</v>
      </c>
      <c r="AO161" s="27">
        <f t="shared" si="52"/>
        <v>5698344.7166666668</v>
      </c>
      <c r="AP161" s="27">
        <f t="shared" si="52"/>
        <v>5698344.7166666668</v>
      </c>
      <c r="AQ161" s="27">
        <f t="shared" si="53"/>
        <v>5698344.7166666668</v>
      </c>
      <c r="AR161" s="27">
        <f t="shared" si="54"/>
        <v>5698344.7166666668</v>
      </c>
      <c r="AS161" s="27"/>
      <c r="AT161" s="27"/>
      <c r="AU161" s="27"/>
      <c r="AV161" s="27"/>
      <c r="AW161" s="27">
        <f t="shared" si="73"/>
        <v>45586757.733333342</v>
      </c>
      <c r="AX161" s="79">
        <f t="shared" si="77"/>
        <v>353297361.09999996</v>
      </c>
      <c r="AY161" s="79">
        <f t="shared" si="78"/>
        <v>330504004.90000004</v>
      </c>
      <c r="AZ161" s="25">
        <v>1</v>
      </c>
      <c r="BA161" s="62" t="s">
        <v>97</v>
      </c>
      <c r="BB161" s="66">
        <v>1</v>
      </c>
      <c r="BC161" s="66"/>
      <c r="BD161" s="66"/>
      <c r="BE161" s="67">
        <f t="shared" si="50"/>
        <v>5698344.7166666668</v>
      </c>
      <c r="BF161" s="67">
        <f t="shared" si="55"/>
        <v>0</v>
      </c>
      <c r="BG161" s="67">
        <f t="shared" si="79"/>
        <v>0</v>
      </c>
      <c r="BH161" s="66"/>
      <c r="BI161" s="68" t="s">
        <v>80</v>
      </c>
      <c r="BJ161" s="68" t="s">
        <v>1930</v>
      </c>
      <c r="BK161" s="68" t="s">
        <v>1930</v>
      </c>
      <c r="BL161" s="29"/>
      <c r="BO161" s="35" t="s">
        <v>1805</v>
      </c>
    </row>
    <row r="162" spans="1:68" ht="15" customHeight="1">
      <c r="A162" s="1" t="s">
        <v>43</v>
      </c>
      <c r="C162" s="1" t="str">
        <f t="shared" si="74"/>
        <v>2410</v>
      </c>
      <c r="D162" s="1" t="str">
        <f t="shared" si="75"/>
        <v>1910</v>
      </c>
      <c r="E162" s="19" t="s">
        <v>48</v>
      </c>
      <c r="F162" s="62" t="s">
        <v>49</v>
      </c>
      <c r="G162" s="62">
        <v>2112</v>
      </c>
      <c r="H162" s="62" t="s">
        <v>550</v>
      </c>
      <c r="I162" s="62" t="s">
        <v>551</v>
      </c>
      <c r="J162" s="118">
        <v>1</v>
      </c>
      <c r="K162" s="119" t="s">
        <v>469</v>
      </c>
      <c r="L162" s="62" t="s">
        <v>552</v>
      </c>
      <c r="M162" s="120" t="s">
        <v>553</v>
      </c>
      <c r="N162" s="65">
        <v>43768</v>
      </c>
      <c r="O162" s="24"/>
      <c r="P162" s="24"/>
      <c r="Q162" s="64">
        <v>39500000</v>
      </c>
      <c r="R162" s="64"/>
      <c r="S162" s="64"/>
      <c r="T162" s="64"/>
      <c r="U162" s="64"/>
      <c r="V162" s="121">
        <v>39500000</v>
      </c>
      <c r="W162" s="122">
        <v>0</v>
      </c>
      <c r="X162" s="64">
        <v>39500000</v>
      </c>
      <c r="Y162" s="121"/>
      <c r="Z162" s="121"/>
      <c r="AA162" s="121"/>
      <c r="AB162" s="121"/>
      <c r="AC162" s="64">
        <v>39500000</v>
      </c>
      <c r="AD162" s="65">
        <v>43768</v>
      </c>
      <c r="AE162" s="65">
        <v>45593</v>
      </c>
      <c r="AF162" s="62">
        <v>5</v>
      </c>
      <c r="AG162" s="119">
        <v>60</v>
      </c>
      <c r="AH162" s="25">
        <v>658333.33333333337</v>
      </c>
      <c r="AI162" s="78">
        <v>32959126.333333332</v>
      </c>
      <c r="AJ162" s="78">
        <v>6540873.6666666679</v>
      </c>
      <c r="AK162" s="27">
        <f t="shared" si="76"/>
        <v>658333.33333333337</v>
      </c>
      <c r="AL162" s="27">
        <f t="shared" si="80"/>
        <v>658333.33333333337</v>
      </c>
      <c r="AM162" s="27">
        <f t="shared" si="56"/>
        <v>658333.33333333337</v>
      </c>
      <c r="AN162" s="27">
        <f t="shared" si="51"/>
        <v>658333.33333333337</v>
      </c>
      <c r="AO162" s="27">
        <f t="shared" si="52"/>
        <v>658333.33333333337</v>
      </c>
      <c r="AP162" s="27">
        <f t="shared" si="52"/>
        <v>658333.33333333337</v>
      </c>
      <c r="AQ162" s="27">
        <f t="shared" si="53"/>
        <v>658333.33333333337</v>
      </c>
      <c r="AR162" s="27">
        <f t="shared" si="54"/>
        <v>658333.33333333337</v>
      </c>
      <c r="AS162" s="27"/>
      <c r="AT162" s="27"/>
      <c r="AU162" s="27"/>
      <c r="AV162" s="27"/>
      <c r="AW162" s="27">
        <f t="shared" si="73"/>
        <v>5266666.666666667</v>
      </c>
      <c r="AX162" s="79">
        <f t="shared" si="77"/>
        <v>1274207.0000000009</v>
      </c>
      <c r="AY162" s="79">
        <f t="shared" si="78"/>
        <v>38225793</v>
      </c>
      <c r="AZ162" s="25">
        <v>1</v>
      </c>
      <c r="BA162" s="62" t="s">
        <v>79</v>
      </c>
      <c r="BB162" s="66">
        <v>1</v>
      </c>
      <c r="BC162" s="66"/>
      <c r="BD162" s="66"/>
      <c r="BE162" s="67">
        <f t="shared" si="50"/>
        <v>658333.33333333337</v>
      </c>
      <c r="BF162" s="67">
        <f t="shared" si="55"/>
        <v>0</v>
      </c>
      <c r="BG162" s="67">
        <f t="shared" si="79"/>
        <v>0</v>
      </c>
      <c r="BH162" s="66"/>
      <c r="BI162" s="68" t="s">
        <v>57</v>
      </c>
      <c r="BJ162" s="68" t="s">
        <v>58</v>
      </c>
      <c r="BK162" s="68" t="s">
        <v>59</v>
      </c>
      <c r="BL162" s="29"/>
      <c r="BO162" s="35" t="s">
        <v>1807</v>
      </c>
    </row>
    <row r="163" spans="1:68" ht="15" customHeight="1">
      <c r="A163" s="1" t="s">
        <v>43</v>
      </c>
      <c r="C163" s="1" t="str">
        <f t="shared" si="74"/>
        <v>2410</v>
      </c>
      <c r="D163" s="1" t="str">
        <f t="shared" si="75"/>
        <v>1910</v>
      </c>
      <c r="E163" s="19" t="s">
        <v>48</v>
      </c>
      <c r="F163" s="62" t="s">
        <v>49</v>
      </c>
      <c r="G163" s="62">
        <v>2112</v>
      </c>
      <c r="H163" s="62" t="s">
        <v>554</v>
      </c>
      <c r="I163" s="62" t="s">
        <v>555</v>
      </c>
      <c r="J163" s="118">
        <v>1</v>
      </c>
      <c r="K163" s="119" t="s">
        <v>469</v>
      </c>
      <c r="L163" s="62" t="s">
        <v>552</v>
      </c>
      <c r="M163" s="120" t="s">
        <v>553</v>
      </c>
      <c r="N163" s="65">
        <v>43768</v>
      </c>
      <c r="O163" s="24"/>
      <c r="P163" s="24"/>
      <c r="Q163" s="64">
        <v>39500000</v>
      </c>
      <c r="R163" s="64"/>
      <c r="S163" s="64"/>
      <c r="T163" s="64"/>
      <c r="U163" s="64"/>
      <c r="V163" s="121">
        <v>39500000</v>
      </c>
      <c r="W163" s="122">
        <v>0</v>
      </c>
      <c r="X163" s="64">
        <v>39500000</v>
      </c>
      <c r="Y163" s="121"/>
      <c r="Z163" s="121"/>
      <c r="AA163" s="121"/>
      <c r="AB163" s="121"/>
      <c r="AC163" s="64">
        <v>39500000</v>
      </c>
      <c r="AD163" s="65">
        <v>43768</v>
      </c>
      <c r="AE163" s="65">
        <v>45593</v>
      </c>
      <c r="AF163" s="62">
        <v>5</v>
      </c>
      <c r="AG163" s="119">
        <v>60</v>
      </c>
      <c r="AH163" s="25">
        <v>658333.33333333337</v>
      </c>
      <c r="AI163" s="78">
        <v>32959126.333333332</v>
      </c>
      <c r="AJ163" s="78">
        <v>6540873.6666666679</v>
      </c>
      <c r="AK163" s="27">
        <f t="shared" si="76"/>
        <v>658333.33333333337</v>
      </c>
      <c r="AL163" s="27">
        <f t="shared" si="80"/>
        <v>658333.33333333337</v>
      </c>
      <c r="AM163" s="27">
        <f t="shared" si="56"/>
        <v>658333.33333333337</v>
      </c>
      <c r="AN163" s="27">
        <f t="shared" si="51"/>
        <v>658333.33333333337</v>
      </c>
      <c r="AO163" s="27">
        <f t="shared" si="52"/>
        <v>658333.33333333337</v>
      </c>
      <c r="AP163" s="27">
        <f t="shared" si="52"/>
        <v>658333.33333333337</v>
      </c>
      <c r="AQ163" s="27">
        <f t="shared" si="53"/>
        <v>658333.33333333337</v>
      </c>
      <c r="AR163" s="27">
        <f t="shared" si="54"/>
        <v>658333.33333333337</v>
      </c>
      <c r="AS163" s="27"/>
      <c r="AT163" s="27"/>
      <c r="AU163" s="27"/>
      <c r="AV163" s="27"/>
      <c r="AW163" s="27">
        <f t="shared" si="73"/>
        <v>5266666.666666667</v>
      </c>
      <c r="AX163" s="79">
        <f t="shared" si="77"/>
        <v>1274207.0000000009</v>
      </c>
      <c r="AY163" s="79">
        <f t="shared" si="78"/>
        <v>38225793</v>
      </c>
      <c r="AZ163" s="25">
        <v>1</v>
      </c>
      <c r="BA163" s="62" t="s">
        <v>79</v>
      </c>
      <c r="BB163" s="66">
        <v>1</v>
      </c>
      <c r="BC163" s="66"/>
      <c r="BD163" s="66"/>
      <c r="BE163" s="67">
        <f t="shared" si="50"/>
        <v>658333.33333333337</v>
      </c>
      <c r="BF163" s="67">
        <f t="shared" si="55"/>
        <v>0</v>
      </c>
      <c r="BG163" s="67">
        <f t="shared" si="79"/>
        <v>0</v>
      </c>
      <c r="BH163" s="66"/>
      <c r="BI163" s="68" t="s">
        <v>57</v>
      </c>
      <c r="BJ163" s="68" t="s">
        <v>58</v>
      </c>
      <c r="BK163" s="68" t="s">
        <v>59</v>
      </c>
      <c r="BL163" s="29"/>
      <c r="BO163" s="35" t="s">
        <v>1807</v>
      </c>
    </row>
    <row r="164" spans="1:68" ht="15" customHeight="1">
      <c r="A164" s="1" t="s">
        <v>43</v>
      </c>
      <c r="C164" s="1" t="str">
        <f t="shared" si="74"/>
        <v>2410</v>
      </c>
      <c r="D164" s="1" t="str">
        <f t="shared" si="75"/>
        <v>1910</v>
      </c>
      <c r="E164" s="19" t="s">
        <v>48</v>
      </c>
      <c r="F164" s="62" t="s">
        <v>49</v>
      </c>
      <c r="G164" s="62">
        <v>2112</v>
      </c>
      <c r="H164" s="62" t="s">
        <v>556</v>
      </c>
      <c r="I164" s="62" t="s">
        <v>557</v>
      </c>
      <c r="J164" s="118">
        <v>1</v>
      </c>
      <c r="K164" s="119" t="s">
        <v>469</v>
      </c>
      <c r="L164" s="62" t="s">
        <v>552</v>
      </c>
      <c r="M164" s="120" t="s">
        <v>553</v>
      </c>
      <c r="N164" s="65">
        <v>43768</v>
      </c>
      <c r="O164" s="24"/>
      <c r="P164" s="24"/>
      <c r="Q164" s="64">
        <v>34000000</v>
      </c>
      <c r="R164" s="64"/>
      <c r="S164" s="64"/>
      <c r="T164" s="64"/>
      <c r="U164" s="64"/>
      <c r="V164" s="121">
        <v>34000000</v>
      </c>
      <c r="W164" s="122">
        <v>0</v>
      </c>
      <c r="X164" s="64">
        <v>34000000</v>
      </c>
      <c r="Y164" s="121"/>
      <c r="Z164" s="121"/>
      <c r="AA164" s="121"/>
      <c r="AB164" s="121"/>
      <c r="AC164" s="64">
        <v>34000000</v>
      </c>
      <c r="AD164" s="65">
        <v>43768</v>
      </c>
      <c r="AE164" s="65">
        <v>45593</v>
      </c>
      <c r="AF164" s="62">
        <v>5</v>
      </c>
      <c r="AG164" s="119">
        <v>60</v>
      </c>
      <c r="AH164" s="25">
        <v>566666.66666666663</v>
      </c>
      <c r="AI164" s="78">
        <v>28369905.666666668</v>
      </c>
      <c r="AJ164" s="78">
        <v>5630094.333333333</v>
      </c>
      <c r="AK164" s="27">
        <f t="shared" si="76"/>
        <v>566666.66666666663</v>
      </c>
      <c r="AL164" s="27">
        <f t="shared" si="80"/>
        <v>566666.66666666663</v>
      </c>
      <c r="AM164" s="27">
        <f t="shared" si="56"/>
        <v>566666.66666666663</v>
      </c>
      <c r="AN164" s="27">
        <f t="shared" si="51"/>
        <v>566666.66666666663</v>
      </c>
      <c r="AO164" s="27">
        <f t="shared" si="52"/>
        <v>566666.66666666663</v>
      </c>
      <c r="AP164" s="27">
        <f t="shared" si="52"/>
        <v>566666.66666666663</v>
      </c>
      <c r="AQ164" s="27">
        <f t="shared" si="53"/>
        <v>566666.66666666663</v>
      </c>
      <c r="AR164" s="27">
        <f t="shared" si="54"/>
        <v>566666.66666666663</v>
      </c>
      <c r="AS164" s="27"/>
      <c r="AT164" s="27"/>
      <c r="AU164" s="27"/>
      <c r="AV164" s="27"/>
      <c r="AW164" s="27">
        <f t="shared" si="73"/>
        <v>4533333.333333333</v>
      </c>
      <c r="AX164" s="79">
        <f t="shared" si="77"/>
        <v>1096760.9999999991</v>
      </c>
      <c r="AY164" s="79">
        <f t="shared" si="78"/>
        <v>32903239</v>
      </c>
      <c r="AZ164" s="25">
        <v>1</v>
      </c>
      <c r="BA164" s="62" t="s">
        <v>79</v>
      </c>
      <c r="BB164" s="66">
        <v>1</v>
      </c>
      <c r="BC164" s="66"/>
      <c r="BD164" s="66"/>
      <c r="BE164" s="67">
        <f t="shared" si="50"/>
        <v>566666.66666666663</v>
      </c>
      <c r="BF164" s="67">
        <f t="shared" si="55"/>
        <v>0</v>
      </c>
      <c r="BG164" s="67">
        <f t="shared" si="79"/>
        <v>0</v>
      </c>
      <c r="BH164" s="66"/>
      <c r="BI164" s="68" t="s">
        <v>57</v>
      </c>
      <c r="BJ164" s="68" t="s">
        <v>58</v>
      </c>
      <c r="BK164" s="68" t="s">
        <v>59</v>
      </c>
      <c r="BL164" s="29"/>
      <c r="BO164" s="35" t="s">
        <v>1807</v>
      </c>
    </row>
    <row r="165" spans="1:68" ht="15" customHeight="1">
      <c r="A165" s="1" t="s">
        <v>43</v>
      </c>
      <c r="C165" s="1" t="str">
        <f t="shared" si="74"/>
        <v>2711</v>
      </c>
      <c r="D165" s="1" t="str">
        <f t="shared" si="75"/>
        <v>1911</v>
      </c>
      <c r="E165" s="19" t="s">
        <v>48</v>
      </c>
      <c r="F165" s="62" t="s">
        <v>49</v>
      </c>
      <c r="G165" s="62">
        <v>2114</v>
      </c>
      <c r="H165" s="62" t="s">
        <v>558</v>
      </c>
      <c r="I165" s="62" t="s">
        <v>559</v>
      </c>
      <c r="J165" s="118">
        <v>1</v>
      </c>
      <c r="K165" s="119" t="s">
        <v>560</v>
      </c>
      <c r="L165" s="62" t="s">
        <v>62</v>
      </c>
      <c r="M165" s="120" t="s">
        <v>561</v>
      </c>
      <c r="N165" s="65">
        <v>43785</v>
      </c>
      <c r="O165" s="24"/>
      <c r="P165" s="24"/>
      <c r="Q165" s="64">
        <v>1448255302</v>
      </c>
      <c r="R165" s="64"/>
      <c r="S165" s="64"/>
      <c r="T165" s="64"/>
      <c r="U165" s="64"/>
      <c r="V165" s="121">
        <v>1448255302</v>
      </c>
      <c r="W165" s="122">
        <v>0</v>
      </c>
      <c r="X165" s="64">
        <v>1448255302</v>
      </c>
      <c r="Y165" s="121"/>
      <c r="Z165" s="121"/>
      <c r="AA165" s="121"/>
      <c r="AB165" s="121"/>
      <c r="AC165" s="64">
        <v>1448255302</v>
      </c>
      <c r="AD165" s="65">
        <v>43785</v>
      </c>
      <c r="AE165" s="65">
        <v>46705</v>
      </c>
      <c r="AF165" s="62">
        <v>8</v>
      </c>
      <c r="AG165" s="119">
        <v>96</v>
      </c>
      <c r="AH165" s="25">
        <v>15085992.729166666</v>
      </c>
      <c r="AI165" s="78">
        <v>746756651.29166663</v>
      </c>
      <c r="AJ165" s="78">
        <v>701498650.70833337</v>
      </c>
      <c r="AK165" s="27">
        <f t="shared" si="76"/>
        <v>15085992.729166666</v>
      </c>
      <c r="AL165" s="27">
        <f t="shared" si="80"/>
        <v>15085992.729166666</v>
      </c>
      <c r="AM165" s="27">
        <f t="shared" si="56"/>
        <v>15085992.729166666</v>
      </c>
      <c r="AN165" s="27">
        <f t="shared" si="51"/>
        <v>15085992.729166666</v>
      </c>
      <c r="AO165" s="27">
        <f t="shared" si="52"/>
        <v>15085992.729166666</v>
      </c>
      <c r="AP165" s="27">
        <f t="shared" si="52"/>
        <v>15085992.729166666</v>
      </c>
      <c r="AQ165" s="27">
        <f t="shared" si="53"/>
        <v>15085992.729166666</v>
      </c>
      <c r="AR165" s="27">
        <f t="shared" si="54"/>
        <v>15085992.729166666</v>
      </c>
      <c r="AS165" s="27"/>
      <c r="AT165" s="27"/>
      <c r="AU165" s="27"/>
      <c r="AV165" s="27"/>
      <c r="AW165" s="27">
        <f t="shared" si="73"/>
        <v>120687941.83333334</v>
      </c>
      <c r="AX165" s="79">
        <f t="shared" si="77"/>
        <v>580810708.875</v>
      </c>
      <c r="AY165" s="79">
        <f t="shared" si="78"/>
        <v>867444593.125</v>
      </c>
      <c r="AZ165" s="25">
        <v>1</v>
      </c>
      <c r="BA165" s="62" t="s">
        <v>97</v>
      </c>
      <c r="BB165" s="66">
        <v>1</v>
      </c>
      <c r="BC165" s="66"/>
      <c r="BD165" s="66"/>
      <c r="BE165" s="67">
        <f t="shared" ref="BE165:BE226" si="81">+$AP165*BB165</f>
        <v>15085992.729166666</v>
      </c>
      <c r="BF165" s="67">
        <f t="shared" si="55"/>
        <v>0</v>
      </c>
      <c r="BG165" s="67">
        <f t="shared" si="79"/>
        <v>0</v>
      </c>
      <c r="BH165" s="66"/>
      <c r="BI165" s="68" t="s">
        <v>562</v>
      </c>
      <c r="BJ165" s="68" t="s">
        <v>58</v>
      </c>
      <c r="BK165" s="68" t="s">
        <v>59</v>
      </c>
      <c r="BL165" s="29"/>
      <c r="BO165" s="35" t="s">
        <v>1799</v>
      </c>
    </row>
    <row r="166" spans="1:68" ht="15" customHeight="1">
      <c r="A166" s="1" t="s">
        <v>43</v>
      </c>
      <c r="C166" s="1" t="str">
        <f t="shared" si="74"/>
        <v>2711</v>
      </c>
      <c r="D166" s="1" t="str">
        <f t="shared" si="75"/>
        <v>1911</v>
      </c>
      <c r="E166" s="19" t="s">
        <v>48</v>
      </c>
      <c r="F166" s="62" t="s">
        <v>49</v>
      </c>
      <c r="G166" s="62">
        <v>2114</v>
      </c>
      <c r="H166" s="62" t="s">
        <v>563</v>
      </c>
      <c r="I166" s="62" t="s">
        <v>564</v>
      </c>
      <c r="J166" s="118">
        <v>1</v>
      </c>
      <c r="K166" s="119" t="s">
        <v>469</v>
      </c>
      <c r="L166" s="62" t="s">
        <v>62</v>
      </c>
      <c r="M166" s="120" t="s">
        <v>561</v>
      </c>
      <c r="N166" s="65">
        <v>43785</v>
      </c>
      <c r="O166" s="24"/>
      <c r="P166" s="24"/>
      <c r="Q166" s="64">
        <v>94449325</v>
      </c>
      <c r="R166" s="64"/>
      <c r="S166" s="64"/>
      <c r="T166" s="64"/>
      <c r="U166" s="64"/>
      <c r="V166" s="121">
        <v>94449325</v>
      </c>
      <c r="W166" s="122">
        <v>0</v>
      </c>
      <c r="X166" s="64">
        <v>94449325</v>
      </c>
      <c r="Y166" s="121"/>
      <c r="Z166" s="121"/>
      <c r="AA166" s="121"/>
      <c r="AB166" s="121"/>
      <c r="AC166" s="64">
        <v>94449325</v>
      </c>
      <c r="AD166" s="65">
        <v>43785</v>
      </c>
      <c r="AE166" s="65">
        <v>46705</v>
      </c>
      <c r="AF166" s="62">
        <v>8</v>
      </c>
      <c r="AG166" s="119">
        <v>96</v>
      </c>
      <c r="AH166" s="25">
        <v>983847.13541666663</v>
      </c>
      <c r="AI166" s="78">
        <v>48700428.354166664</v>
      </c>
      <c r="AJ166" s="78">
        <v>45748896.645833336</v>
      </c>
      <c r="AK166" s="27">
        <f t="shared" si="76"/>
        <v>983847.13541666663</v>
      </c>
      <c r="AL166" s="27">
        <f t="shared" si="80"/>
        <v>983847.13541666663</v>
      </c>
      <c r="AM166" s="27">
        <f t="shared" si="56"/>
        <v>983847.13541666663</v>
      </c>
      <c r="AN166" s="27">
        <f t="shared" si="51"/>
        <v>983847.13541666663</v>
      </c>
      <c r="AO166" s="27">
        <f t="shared" si="52"/>
        <v>983847.13541666663</v>
      </c>
      <c r="AP166" s="27">
        <f t="shared" si="52"/>
        <v>983847.13541666663</v>
      </c>
      <c r="AQ166" s="27">
        <f t="shared" si="53"/>
        <v>983847.13541666663</v>
      </c>
      <c r="AR166" s="27">
        <f t="shared" si="54"/>
        <v>983847.13541666663</v>
      </c>
      <c r="AS166" s="27"/>
      <c r="AT166" s="27"/>
      <c r="AU166" s="27"/>
      <c r="AV166" s="27"/>
      <c r="AW166" s="27">
        <f t="shared" si="73"/>
        <v>7870777.083333334</v>
      </c>
      <c r="AX166" s="79">
        <f t="shared" si="77"/>
        <v>37878119.5625</v>
      </c>
      <c r="AY166" s="79">
        <f t="shared" si="78"/>
        <v>56571205.4375</v>
      </c>
      <c r="AZ166" s="25">
        <v>1</v>
      </c>
      <c r="BA166" s="62" t="s">
        <v>97</v>
      </c>
      <c r="BB166" s="66">
        <v>1</v>
      </c>
      <c r="BC166" s="66"/>
      <c r="BD166" s="66"/>
      <c r="BE166" s="67">
        <f t="shared" si="81"/>
        <v>983847.13541666663</v>
      </c>
      <c r="BF166" s="67">
        <f t="shared" si="55"/>
        <v>0</v>
      </c>
      <c r="BG166" s="67">
        <f t="shared" si="79"/>
        <v>0</v>
      </c>
      <c r="BH166" s="66"/>
      <c r="BI166" s="68" t="s">
        <v>562</v>
      </c>
      <c r="BJ166" s="68" t="s">
        <v>58</v>
      </c>
      <c r="BK166" s="68" t="s">
        <v>59</v>
      </c>
      <c r="BL166" s="29"/>
      <c r="BO166" s="35" t="s">
        <v>1799</v>
      </c>
    </row>
    <row r="167" spans="1:68" ht="15" customHeight="1">
      <c r="A167" s="1" t="s">
        <v>43</v>
      </c>
      <c r="C167" s="1" t="str">
        <f t="shared" si="74"/>
        <v>2711</v>
      </c>
      <c r="D167" s="1" t="str">
        <f t="shared" si="75"/>
        <v>1911</v>
      </c>
      <c r="E167" s="19" t="s">
        <v>48</v>
      </c>
      <c r="F167" s="62" t="s">
        <v>49</v>
      </c>
      <c r="G167" s="62">
        <v>2112</v>
      </c>
      <c r="H167" s="62" t="s">
        <v>565</v>
      </c>
      <c r="I167" s="62" t="s">
        <v>566</v>
      </c>
      <c r="J167" s="118">
        <v>1</v>
      </c>
      <c r="K167" s="119"/>
      <c r="L167" s="62" t="s">
        <v>62</v>
      </c>
      <c r="M167" s="120" t="s">
        <v>561</v>
      </c>
      <c r="N167" s="65">
        <v>43785</v>
      </c>
      <c r="O167" s="24"/>
      <c r="P167" s="24"/>
      <c r="Q167" s="64">
        <v>142329847</v>
      </c>
      <c r="R167" s="64"/>
      <c r="S167" s="64"/>
      <c r="T167" s="64"/>
      <c r="U167" s="64"/>
      <c r="V167" s="121">
        <v>142329847</v>
      </c>
      <c r="W167" s="122">
        <v>0</v>
      </c>
      <c r="X167" s="64">
        <v>142329847</v>
      </c>
      <c r="Y167" s="121"/>
      <c r="Z167" s="121"/>
      <c r="AA167" s="121"/>
      <c r="AB167" s="121"/>
      <c r="AC167" s="64">
        <v>142329847</v>
      </c>
      <c r="AD167" s="65">
        <v>43785</v>
      </c>
      <c r="AE167" s="65">
        <v>46705</v>
      </c>
      <c r="AF167" s="62">
        <v>8</v>
      </c>
      <c r="AG167" s="119">
        <v>96</v>
      </c>
      <c r="AH167" s="25">
        <v>1482602.5729166667</v>
      </c>
      <c r="AI167" s="78">
        <v>73388844.729166657</v>
      </c>
      <c r="AJ167" s="78">
        <v>68941002.270833343</v>
      </c>
      <c r="AK167" s="27">
        <f t="shared" si="76"/>
        <v>1482602.5729166667</v>
      </c>
      <c r="AL167" s="27">
        <f t="shared" si="80"/>
        <v>1482602.5729166667</v>
      </c>
      <c r="AM167" s="27">
        <f t="shared" si="56"/>
        <v>1482602.5729166667</v>
      </c>
      <c r="AN167" s="27">
        <f t="shared" si="51"/>
        <v>1482602.5729166667</v>
      </c>
      <c r="AO167" s="27">
        <f t="shared" si="52"/>
        <v>1482602.5729166667</v>
      </c>
      <c r="AP167" s="27">
        <f t="shared" si="52"/>
        <v>1482602.5729166667</v>
      </c>
      <c r="AQ167" s="27">
        <f t="shared" si="53"/>
        <v>1482602.5729166667</v>
      </c>
      <c r="AR167" s="27">
        <f t="shared" si="54"/>
        <v>1482602.5729166667</v>
      </c>
      <c r="AS167" s="27"/>
      <c r="AT167" s="27"/>
      <c r="AU167" s="27"/>
      <c r="AV167" s="27"/>
      <c r="AW167" s="27">
        <f t="shared" si="73"/>
        <v>11860820.583333332</v>
      </c>
      <c r="AX167" s="79">
        <f t="shared" si="77"/>
        <v>57080181.687500015</v>
      </c>
      <c r="AY167" s="79">
        <f t="shared" si="78"/>
        <v>85249665.312499985</v>
      </c>
      <c r="AZ167" s="25">
        <v>1</v>
      </c>
      <c r="BA167" s="62" t="s">
        <v>97</v>
      </c>
      <c r="BB167" s="66">
        <v>1</v>
      </c>
      <c r="BC167" s="66"/>
      <c r="BD167" s="66"/>
      <c r="BE167" s="67">
        <f t="shared" si="81"/>
        <v>1482602.5729166667</v>
      </c>
      <c r="BF167" s="67">
        <f t="shared" si="55"/>
        <v>0</v>
      </c>
      <c r="BG167" s="67">
        <f t="shared" si="79"/>
        <v>0</v>
      </c>
      <c r="BH167" s="66"/>
      <c r="BI167" s="68" t="s">
        <v>562</v>
      </c>
      <c r="BJ167" s="68" t="s">
        <v>58</v>
      </c>
      <c r="BK167" s="68" t="s">
        <v>59</v>
      </c>
      <c r="BL167" s="29"/>
      <c r="BO167" s="35" t="s">
        <v>1799</v>
      </c>
    </row>
    <row r="168" spans="1:68" ht="15" customHeight="1">
      <c r="A168" s="1" t="s">
        <v>43</v>
      </c>
      <c r="C168" s="1" t="str">
        <f t="shared" si="74"/>
        <v>2611</v>
      </c>
      <c r="D168" s="1" t="str">
        <f t="shared" si="75"/>
        <v>1911</v>
      </c>
      <c r="E168" s="19" t="s">
        <v>48</v>
      </c>
      <c r="F168" s="62" t="s">
        <v>49</v>
      </c>
      <c r="G168" s="62">
        <v>2112</v>
      </c>
      <c r="H168" s="62" t="s">
        <v>567</v>
      </c>
      <c r="I168" s="62" t="s">
        <v>568</v>
      </c>
      <c r="J168" s="118">
        <v>1</v>
      </c>
      <c r="K168" s="119" t="s">
        <v>271</v>
      </c>
      <c r="L168" s="62" t="s">
        <v>304</v>
      </c>
      <c r="M168" s="120" t="s">
        <v>569</v>
      </c>
      <c r="N168" s="65">
        <v>43799</v>
      </c>
      <c r="O168" s="24"/>
      <c r="P168" s="24"/>
      <c r="Q168" s="64">
        <v>132000000</v>
      </c>
      <c r="R168" s="64"/>
      <c r="S168" s="64"/>
      <c r="T168" s="64"/>
      <c r="U168" s="64"/>
      <c r="V168" s="121">
        <v>132000000</v>
      </c>
      <c r="W168" s="122">
        <v>0</v>
      </c>
      <c r="X168" s="64">
        <v>132000000</v>
      </c>
      <c r="Y168" s="121"/>
      <c r="Z168" s="121"/>
      <c r="AA168" s="121"/>
      <c r="AB168" s="121"/>
      <c r="AC168" s="64">
        <v>132000000</v>
      </c>
      <c r="AD168" s="65">
        <v>43799</v>
      </c>
      <c r="AE168" s="65">
        <v>46354</v>
      </c>
      <c r="AF168" s="62">
        <v>7</v>
      </c>
      <c r="AG168" s="119">
        <v>84</v>
      </c>
      <c r="AH168" s="25">
        <v>1571428.5714285714</v>
      </c>
      <c r="AI168" s="78">
        <v>77052397.714285702</v>
      </c>
      <c r="AJ168" s="78">
        <v>54947602.285714291</v>
      </c>
      <c r="AK168" s="27">
        <f t="shared" si="76"/>
        <v>1571428.5714285714</v>
      </c>
      <c r="AL168" s="27">
        <f t="shared" si="80"/>
        <v>1571428.5714285714</v>
      </c>
      <c r="AM168" s="27">
        <f t="shared" si="56"/>
        <v>1571428.5714285714</v>
      </c>
      <c r="AN168" s="27">
        <f t="shared" si="51"/>
        <v>1571428.5714285714</v>
      </c>
      <c r="AO168" s="27">
        <f t="shared" si="52"/>
        <v>1571428.5714285714</v>
      </c>
      <c r="AP168" s="27">
        <f t="shared" si="52"/>
        <v>1571428.5714285714</v>
      </c>
      <c r="AQ168" s="27">
        <f t="shared" si="53"/>
        <v>1571428.5714285714</v>
      </c>
      <c r="AR168" s="27">
        <f t="shared" si="54"/>
        <v>1571428.5714285714</v>
      </c>
      <c r="AS168" s="27"/>
      <c r="AT168" s="27"/>
      <c r="AU168" s="27"/>
      <c r="AV168" s="27"/>
      <c r="AW168" s="27">
        <f t="shared" si="73"/>
        <v>12571428.571428569</v>
      </c>
      <c r="AX168" s="79">
        <f t="shared" si="77"/>
        <v>42376173.714285731</v>
      </c>
      <c r="AY168" s="79">
        <f t="shared" si="78"/>
        <v>89623826.285714269</v>
      </c>
      <c r="AZ168" s="25">
        <v>1</v>
      </c>
      <c r="BA168" s="62" t="s">
        <v>97</v>
      </c>
      <c r="BB168" s="66">
        <v>1</v>
      </c>
      <c r="BC168" s="66"/>
      <c r="BD168" s="66"/>
      <c r="BE168" s="67">
        <f t="shared" si="81"/>
        <v>1571428.5714285714</v>
      </c>
      <c r="BF168" s="67">
        <f t="shared" si="55"/>
        <v>0</v>
      </c>
      <c r="BG168" s="67">
        <f t="shared" si="79"/>
        <v>0</v>
      </c>
      <c r="BH168" s="66"/>
      <c r="BI168" s="68">
        <v>0</v>
      </c>
      <c r="BJ168" s="68" t="s">
        <v>58</v>
      </c>
      <c r="BK168" s="68" t="s">
        <v>59</v>
      </c>
      <c r="BL168" s="29"/>
      <c r="BO168" s="35" t="s">
        <v>1799</v>
      </c>
    </row>
    <row r="169" spans="1:68" ht="15" customHeight="1">
      <c r="A169" s="1" t="s">
        <v>43</v>
      </c>
      <c r="C169" s="1" t="str">
        <f t="shared" si="74"/>
        <v>4411</v>
      </c>
      <c r="D169" s="1" t="str">
        <f t="shared" si="75"/>
        <v>1911</v>
      </c>
      <c r="E169" s="19" t="s">
        <v>48</v>
      </c>
      <c r="F169" s="62" t="s">
        <v>49</v>
      </c>
      <c r="G169" s="62">
        <v>2111</v>
      </c>
      <c r="H169" s="62" t="s">
        <v>570</v>
      </c>
      <c r="I169" s="62" t="s">
        <v>571</v>
      </c>
      <c r="J169" s="118">
        <v>1</v>
      </c>
      <c r="K169" s="119" t="s">
        <v>572</v>
      </c>
      <c r="L169" s="62" t="s">
        <v>62</v>
      </c>
      <c r="M169" s="120" t="s">
        <v>573</v>
      </c>
      <c r="N169" s="65">
        <v>43785</v>
      </c>
      <c r="O169" s="24"/>
      <c r="P169" s="24"/>
      <c r="Q169" s="64">
        <v>360460000</v>
      </c>
      <c r="R169" s="64"/>
      <c r="S169" s="64"/>
      <c r="T169" s="64"/>
      <c r="U169" s="64"/>
      <c r="V169" s="121">
        <v>360460000</v>
      </c>
      <c r="W169" s="122">
        <v>0</v>
      </c>
      <c r="X169" s="64">
        <v>360460000</v>
      </c>
      <c r="Y169" s="121"/>
      <c r="Z169" s="121"/>
      <c r="AA169" s="121"/>
      <c r="AB169" s="121"/>
      <c r="AC169" s="64">
        <v>360460000</v>
      </c>
      <c r="AD169" s="65">
        <v>43785</v>
      </c>
      <c r="AE169" s="65">
        <v>52910</v>
      </c>
      <c r="AF169" s="62">
        <v>25</v>
      </c>
      <c r="AG169" s="119">
        <v>300</v>
      </c>
      <c r="AH169" s="25">
        <v>1201533.3333333333</v>
      </c>
      <c r="AI169" s="78">
        <v>59475887.333333336</v>
      </c>
      <c r="AJ169" s="78">
        <v>300984112.66666669</v>
      </c>
      <c r="AK169" s="27">
        <f t="shared" si="76"/>
        <v>1201533.3333333333</v>
      </c>
      <c r="AL169" s="27">
        <f t="shared" si="80"/>
        <v>1201533.3333333333</v>
      </c>
      <c r="AM169" s="27">
        <f t="shared" si="56"/>
        <v>1201533.3333333333</v>
      </c>
      <c r="AN169" s="27">
        <f t="shared" si="51"/>
        <v>1201533.3333333333</v>
      </c>
      <c r="AO169" s="27">
        <f t="shared" si="52"/>
        <v>1201533.3333333333</v>
      </c>
      <c r="AP169" s="27">
        <f t="shared" si="52"/>
        <v>1201533.3333333333</v>
      </c>
      <c r="AQ169" s="27">
        <f t="shared" si="53"/>
        <v>1201533.3333333333</v>
      </c>
      <c r="AR169" s="27">
        <f t="shared" si="54"/>
        <v>1201533.3333333333</v>
      </c>
      <c r="AS169" s="27"/>
      <c r="AT169" s="27"/>
      <c r="AU169" s="27"/>
      <c r="AV169" s="27"/>
      <c r="AW169" s="27">
        <f t="shared" si="73"/>
        <v>9612266.666666666</v>
      </c>
      <c r="AX169" s="79">
        <f t="shared" si="77"/>
        <v>291371846</v>
      </c>
      <c r="AY169" s="79">
        <f t="shared" si="78"/>
        <v>69088154</v>
      </c>
      <c r="AZ169" s="25">
        <v>1</v>
      </c>
      <c r="BA169" s="62" t="s">
        <v>56</v>
      </c>
      <c r="BB169" s="66">
        <v>0.5</v>
      </c>
      <c r="BC169" s="66">
        <v>0.5</v>
      </c>
      <c r="BD169" s="66"/>
      <c r="BE169" s="67">
        <f t="shared" si="81"/>
        <v>600766.66666666663</v>
      </c>
      <c r="BF169" s="67">
        <f t="shared" si="55"/>
        <v>600766.66666666663</v>
      </c>
      <c r="BG169" s="67">
        <f t="shared" si="79"/>
        <v>0</v>
      </c>
      <c r="BH169" s="66"/>
      <c r="BI169" s="68" t="s">
        <v>57</v>
      </c>
      <c r="BJ169" s="68" t="s">
        <v>58</v>
      </c>
      <c r="BK169" s="68" t="s">
        <v>59</v>
      </c>
      <c r="BL169" s="29"/>
      <c r="BO169" s="35" t="s">
        <v>1799</v>
      </c>
    </row>
    <row r="170" spans="1:68" ht="15" customHeight="1">
      <c r="A170" s="1" t="s">
        <v>43</v>
      </c>
      <c r="C170" s="1" t="str">
        <f t="shared" si="74"/>
        <v>2911</v>
      </c>
      <c r="D170" s="1" t="str">
        <f t="shared" si="75"/>
        <v>1911</v>
      </c>
      <c r="E170" s="19" t="s">
        <v>48</v>
      </c>
      <c r="F170" s="62" t="s">
        <v>49</v>
      </c>
      <c r="G170" s="62">
        <v>2112</v>
      </c>
      <c r="H170" s="62" t="s">
        <v>574</v>
      </c>
      <c r="I170" s="62" t="s">
        <v>575</v>
      </c>
      <c r="J170" s="118">
        <v>1</v>
      </c>
      <c r="K170" s="119" t="s">
        <v>271</v>
      </c>
      <c r="L170" s="62" t="s">
        <v>77</v>
      </c>
      <c r="M170" s="120" t="s">
        <v>576</v>
      </c>
      <c r="N170" s="65">
        <v>43791</v>
      </c>
      <c r="O170" s="24">
        <v>7570</v>
      </c>
      <c r="P170" s="24">
        <v>23250</v>
      </c>
      <c r="Q170" s="64">
        <v>176002500</v>
      </c>
      <c r="R170" s="64"/>
      <c r="S170" s="64"/>
      <c r="T170" s="64">
        <v>745884</v>
      </c>
      <c r="U170" s="64" t="s">
        <v>577</v>
      </c>
      <c r="V170" s="121">
        <v>176748384</v>
      </c>
      <c r="W170" s="122">
        <v>0</v>
      </c>
      <c r="X170" s="64">
        <v>176748384</v>
      </c>
      <c r="Y170" s="121"/>
      <c r="Z170" s="121"/>
      <c r="AA170" s="121"/>
      <c r="AB170" s="121"/>
      <c r="AC170" s="64">
        <v>176748384</v>
      </c>
      <c r="AD170" s="65">
        <v>43799</v>
      </c>
      <c r="AE170" s="65">
        <v>47449</v>
      </c>
      <c r="AF170" s="62">
        <v>10</v>
      </c>
      <c r="AG170" s="119">
        <v>120</v>
      </c>
      <c r="AH170" s="25">
        <v>1472903.2</v>
      </c>
      <c r="AI170" s="78">
        <v>72221346</v>
      </c>
      <c r="AJ170" s="78">
        <v>104527038</v>
      </c>
      <c r="AK170" s="27">
        <f t="shared" si="76"/>
        <v>1472903.2</v>
      </c>
      <c r="AL170" s="27">
        <f t="shared" si="80"/>
        <v>1472903.2</v>
      </c>
      <c r="AM170" s="27">
        <f t="shared" si="56"/>
        <v>1472903.2</v>
      </c>
      <c r="AN170" s="27">
        <f t="shared" si="51"/>
        <v>1472903.2</v>
      </c>
      <c r="AO170" s="27">
        <f t="shared" si="52"/>
        <v>1472903.2</v>
      </c>
      <c r="AP170" s="27">
        <f t="shared" si="52"/>
        <v>1472903.2</v>
      </c>
      <c r="AQ170" s="27">
        <f t="shared" si="53"/>
        <v>1472903.2</v>
      </c>
      <c r="AR170" s="27">
        <f t="shared" si="54"/>
        <v>1472903.2</v>
      </c>
      <c r="AS170" s="27"/>
      <c r="AT170" s="27"/>
      <c r="AU170" s="27"/>
      <c r="AV170" s="27"/>
      <c r="AW170" s="27">
        <f t="shared" si="73"/>
        <v>11783225.599999998</v>
      </c>
      <c r="AX170" s="79">
        <f t="shared" si="77"/>
        <v>92743812.400000006</v>
      </c>
      <c r="AY170" s="79">
        <f t="shared" si="78"/>
        <v>84004571.599999994</v>
      </c>
      <c r="AZ170" s="25">
        <v>1</v>
      </c>
      <c r="BA170" s="62" t="s">
        <v>97</v>
      </c>
      <c r="BB170" s="66">
        <v>1</v>
      </c>
      <c r="BC170" s="66"/>
      <c r="BD170" s="66"/>
      <c r="BE170" s="67">
        <f t="shared" si="81"/>
        <v>1472903.2</v>
      </c>
      <c r="BF170" s="67">
        <f t="shared" si="55"/>
        <v>0</v>
      </c>
      <c r="BG170" s="67">
        <f t="shared" si="79"/>
        <v>0</v>
      </c>
      <c r="BH170" s="66"/>
      <c r="BI170" s="68" t="s">
        <v>84</v>
      </c>
      <c r="BJ170" s="68" t="s">
        <v>85</v>
      </c>
      <c r="BK170" s="68" t="s">
        <v>85</v>
      </c>
      <c r="BL170" s="29"/>
      <c r="BO170" s="35" t="s">
        <v>1801</v>
      </c>
    </row>
    <row r="171" spans="1:68" ht="15" customHeight="1">
      <c r="A171" s="1" t="s">
        <v>43</v>
      </c>
      <c r="C171" s="1" t="str">
        <f t="shared" si="74"/>
        <v>2911</v>
      </c>
      <c r="D171" s="1" t="str">
        <f t="shared" si="75"/>
        <v>1911</v>
      </c>
      <c r="E171" s="19" t="s">
        <v>48</v>
      </c>
      <c r="F171" s="62" t="s">
        <v>49</v>
      </c>
      <c r="G171" s="62">
        <v>2112</v>
      </c>
      <c r="H171" s="62" t="s">
        <v>578</v>
      </c>
      <c r="I171" s="62" t="s">
        <v>579</v>
      </c>
      <c r="J171" s="118">
        <v>1</v>
      </c>
      <c r="K171" s="119" t="s">
        <v>469</v>
      </c>
      <c r="L171" s="62" t="s">
        <v>580</v>
      </c>
      <c r="M171" s="120" t="s">
        <v>581</v>
      </c>
      <c r="N171" s="65">
        <v>43778</v>
      </c>
      <c r="O171" s="24">
        <v>70000</v>
      </c>
      <c r="P171" s="24">
        <v>23254</v>
      </c>
      <c r="Q171" s="64">
        <v>1627843000</v>
      </c>
      <c r="R171" s="64"/>
      <c r="S171" s="64"/>
      <c r="T171" s="64">
        <v>11257805</v>
      </c>
      <c r="U171" s="64" t="s">
        <v>582</v>
      </c>
      <c r="V171" s="121">
        <v>1639100805</v>
      </c>
      <c r="W171" s="122">
        <v>0</v>
      </c>
      <c r="X171" s="64">
        <v>1639100805</v>
      </c>
      <c r="Y171" s="121"/>
      <c r="Z171" s="121"/>
      <c r="AA171" s="121"/>
      <c r="AB171" s="121"/>
      <c r="AC171" s="64">
        <v>1639100805</v>
      </c>
      <c r="AD171" s="65">
        <v>43799</v>
      </c>
      <c r="AE171" s="65">
        <v>47449</v>
      </c>
      <c r="AF171" s="62">
        <v>10</v>
      </c>
      <c r="AG171" s="119">
        <v>120</v>
      </c>
      <c r="AH171" s="25">
        <v>13659173.375</v>
      </c>
      <c r="AI171" s="78">
        <v>669754786.75</v>
      </c>
      <c r="AJ171" s="78">
        <v>969346018.25</v>
      </c>
      <c r="AK171" s="27">
        <f t="shared" si="76"/>
        <v>13659173.375</v>
      </c>
      <c r="AL171" s="27">
        <f t="shared" si="80"/>
        <v>13659173.375</v>
      </c>
      <c r="AM171" s="27">
        <f t="shared" si="56"/>
        <v>13659173.375</v>
      </c>
      <c r="AN171" s="27">
        <f t="shared" si="51"/>
        <v>13659173.375</v>
      </c>
      <c r="AO171" s="27">
        <f t="shared" si="52"/>
        <v>13659173.375</v>
      </c>
      <c r="AP171" s="27">
        <f t="shared" si="52"/>
        <v>13659173.375</v>
      </c>
      <c r="AQ171" s="27">
        <f t="shared" si="53"/>
        <v>13659173.375</v>
      </c>
      <c r="AR171" s="27">
        <f t="shared" si="54"/>
        <v>13659173.375</v>
      </c>
      <c r="AS171" s="27"/>
      <c r="AT171" s="27"/>
      <c r="AU171" s="27"/>
      <c r="AV171" s="27"/>
      <c r="AW171" s="27">
        <f t="shared" si="73"/>
        <v>109273387</v>
      </c>
      <c r="AX171" s="79">
        <f t="shared" si="77"/>
        <v>860072631.25</v>
      </c>
      <c r="AY171" s="79">
        <f t="shared" si="78"/>
        <v>779028173.75</v>
      </c>
      <c r="AZ171" s="25">
        <v>1</v>
      </c>
      <c r="BA171" s="62" t="s">
        <v>97</v>
      </c>
      <c r="BB171" s="66">
        <v>1</v>
      </c>
      <c r="BC171" s="66"/>
      <c r="BD171" s="66"/>
      <c r="BE171" s="67">
        <f t="shared" si="81"/>
        <v>13659173.375</v>
      </c>
      <c r="BF171" s="67">
        <f t="shared" si="55"/>
        <v>0</v>
      </c>
      <c r="BG171" s="67">
        <f t="shared" si="79"/>
        <v>0</v>
      </c>
      <c r="BH171" s="66"/>
      <c r="BI171" s="68" t="s">
        <v>80</v>
      </c>
      <c r="BJ171" s="68" t="s">
        <v>58</v>
      </c>
      <c r="BK171" s="68" t="s">
        <v>159</v>
      </c>
      <c r="BL171" s="29"/>
      <c r="BO171" s="35" t="s">
        <v>1801</v>
      </c>
    </row>
    <row r="172" spans="1:68" ht="15" customHeight="1">
      <c r="A172" s="1" t="s">
        <v>43</v>
      </c>
      <c r="C172" s="1" t="str">
        <f t="shared" si="74"/>
        <v>2611</v>
      </c>
      <c r="D172" s="1" t="str">
        <f t="shared" si="75"/>
        <v>1911</v>
      </c>
      <c r="E172" s="19" t="s">
        <v>48</v>
      </c>
      <c r="F172" s="62" t="s">
        <v>1896</v>
      </c>
      <c r="G172" s="62">
        <v>2112</v>
      </c>
      <c r="H172" s="62" t="s">
        <v>583</v>
      </c>
      <c r="I172" s="62" t="s">
        <v>584</v>
      </c>
      <c r="J172" s="118">
        <v>1</v>
      </c>
      <c r="K172" s="119" t="s">
        <v>469</v>
      </c>
      <c r="L172" s="62" t="s">
        <v>77</v>
      </c>
      <c r="M172" s="120" t="s">
        <v>585</v>
      </c>
      <c r="N172" s="65">
        <v>43781</v>
      </c>
      <c r="O172" s="24">
        <v>93380</v>
      </c>
      <c r="P172" s="24">
        <v>23254</v>
      </c>
      <c r="Q172" s="64">
        <v>2171458520</v>
      </c>
      <c r="R172" s="64"/>
      <c r="S172" s="64"/>
      <c r="T172" s="64">
        <v>25831888</v>
      </c>
      <c r="U172" s="64" t="s">
        <v>586</v>
      </c>
      <c r="V172" s="121">
        <v>2197290408</v>
      </c>
      <c r="W172" s="122">
        <v>0</v>
      </c>
      <c r="X172" s="64">
        <v>2197290408</v>
      </c>
      <c r="Y172" s="121"/>
      <c r="Z172" s="121"/>
      <c r="AA172" s="121"/>
      <c r="AB172" s="121"/>
      <c r="AC172" s="64">
        <v>2197290408</v>
      </c>
      <c r="AD172" s="65">
        <v>43799</v>
      </c>
      <c r="AE172" s="65">
        <v>46354</v>
      </c>
      <c r="AF172" s="62">
        <v>7</v>
      </c>
      <c r="AG172" s="119">
        <v>84</v>
      </c>
      <c r="AH172" s="25">
        <v>26158219.142857142</v>
      </c>
      <c r="AI172" s="78">
        <v>1282624673.4285712</v>
      </c>
      <c r="AJ172" s="78">
        <v>914665734.57142866</v>
      </c>
      <c r="AK172" s="27">
        <f t="shared" si="76"/>
        <v>26158219.142857142</v>
      </c>
      <c r="AL172" s="27">
        <f t="shared" si="80"/>
        <v>26158219.142857142</v>
      </c>
      <c r="AM172" s="27">
        <f t="shared" si="56"/>
        <v>26158219.142857142</v>
      </c>
      <c r="AN172" s="27">
        <f t="shared" ref="AN172:AN233" si="82">+IF(AND(AN$3&gt;=$D172,AN$3&lt;$C172),$AH172,$AJ172-SUM(AL172:AM172))</f>
        <v>26158219.142857142</v>
      </c>
      <c r="AO172" s="27">
        <f t="shared" ref="AO172:AP233" si="83">+IF(AND(AO$3&gt;=$D172,AO$3&lt;$C172),$AH172,$AJ172-SUM(AM172:AN172))</f>
        <v>26158219.142857142</v>
      </c>
      <c r="AP172" s="27">
        <f t="shared" si="83"/>
        <v>26158219.142857142</v>
      </c>
      <c r="AQ172" s="27">
        <f t="shared" ref="AQ172:AQ233" si="84">+IF(AND(AQ$3&gt;=$D172,AQ$3&lt;$C172),$AH172,$AJ172-SUM(AK172:AP172))</f>
        <v>26158219.142857142</v>
      </c>
      <c r="AR172" s="27">
        <f t="shared" ref="AR172:AR233" si="85">+IF(AND(AR$3&gt;=$D172,AR$3&lt;$C172),$AH172,$AJ172-SUM(AL172:AQ172))</f>
        <v>26158219.142857142</v>
      </c>
      <c r="AS172" s="27"/>
      <c r="AT172" s="27"/>
      <c r="AU172" s="27"/>
      <c r="AV172" s="27"/>
      <c r="AW172" s="27">
        <f t="shared" si="73"/>
        <v>209265753.1428571</v>
      </c>
      <c r="AX172" s="79">
        <f t="shared" si="77"/>
        <v>705399981.4285717</v>
      </c>
      <c r="AY172" s="79">
        <f t="shared" si="78"/>
        <v>1491890426.5714283</v>
      </c>
      <c r="AZ172" s="25">
        <v>1</v>
      </c>
      <c r="BA172" s="62" t="s">
        <v>97</v>
      </c>
      <c r="BB172" s="66">
        <v>1</v>
      </c>
      <c r="BC172" s="66"/>
      <c r="BD172" s="66"/>
      <c r="BE172" s="67">
        <f t="shared" si="81"/>
        <v>26158219.142857142</v>
      </c>
      <c r="BF172" s="67">
        <f t="shared" ref="BF172:BF233" si="86">+$AM172*BC172</f>
        <v>0</v>
      </c>
      <c r="BG172" s="67">
        <f t="shared" si="79"/>
        <v>0</v>
      </c>
      <c r="BH172" s="66"/>
      <c r="BI172" s="68" t="s">
        <v>414</v>
      </c>
      <c r="BJ172" s="68" t="s">
        <v>2049</v>
      </c>
      <c r="BK172" s="68" t="s">
        <v>2049</v>
      </c>
      <c r="BL172" s="29"/>
      <c r="BO172" s="35" t="s">
        <v>1805</v>
      </c>
    </row>
    <row r="173" spans="1:68" ht="15" customHeight="1">
      <c r="A173" s="1" t="s">
        <v>43</v>
      </c>
      <c r="C173" s="1" t="str">
        <f t="shared" si="74"/>
        <v>2612</v>
      </c>
      <c r="D173" s="1" t="str">
        <f t="shared" si="75"/>
        <v>1912</v>
      </c>
      <c r="E173" s="19" t="s">
        <v>48</v>
      </c>
      <c r="F173" s="62" t="s">
        <v>394</v>
      </c>
      <c r="G173" s="62">
        <v>2112</v>
      </c>
      <c r="H173" s="62" t="s">
        <v>587</v>
      </c>
      <c r="I173" s="62" t="s">
        <v>588</v>
      </c>
      <c r="J173" s="118">
        <v>1</v>
      </c>
      <c r="K173" s="119" t="s">
        <v>469</v>
      </c>
      <c r="L173" s="62" t="s">
        <v>77</v>
      </c>
      <c r="M173" s="120" t="s">
        <v>589</v>
      </c>
      <c r="N173" s="65">
        <v>43804</v>
      </c>
      <c r="O173" s="24">
        <v>40300</v>
      </c>
      <c r="P173" s="24">
        <v>23223</v>
      </c>
      <c r="Q173" s="64">
        <v>935886900</v>
      </c>
      <c r="R173" s="64">
        <v>0</v>
      </c>
      <c r="S173" s="64"/>
      <c r="T173" s="64">
        <v>9714945</v>
      </c>
      <c r="U173" s="64" t="s">
        <v>590</v>
      </c>
      <c r="V173" s="121">
        <v>945601845</v>
      </c>
      <c r="W173" s="122">
        <v>0</v>
      </c>
      <c r="X173" s="64">
        <v>945601845</v>
      </c>
      <c r="Y173" s="121"/>
      <c r="Z173" s="121"/>
      <c r="AA173" s="121"/>
      <c r="AB173" s="121"/>
      <c r="AC173" s="64">
        <v>945601845</v>
      </c>
      <c r="AD173" s="65">
        <v>43824</v>
      </c>
      <c r="AE173" s="65">
        <v>46379</v>
      </c>
      <c r="AF173" s="62">
        <v>7</v>
      </c>
      <c r="AG173" s="119">
        <v>84</v>
      </c>
      <c r="AH173" s="25">
        <v>11257164.821428571</v>
      </c>
      <c r="AI173" s="78">
        <v>542885858.21428561</v>
      </c>
      <c r="AJ173" s="78">
        <v>402715986.78571433</v>
      </c>
      <c r="AK173" s="27">
        <f t="shared" si="76"/>
        <v>11257164.821428571</v>
      </c>
      <c r="AL173" s="27">
        <f t="shared" si="80"/>
        <v>11257164.821428571</v>
      </c>
      <c r="AM173" s="27">
        <f t="shared" si="56"/>
        <v>11257164.821428571</v>
      </c>
      <c r="AN173" s="27">
        <f t="shared" si="82"/>
        <v>11257164.821428571</v>
      </c>
      <c r="AO173" s="27">
        <f t="shared" si="83"/>
        <v>11257164.821428571</v>
      </c>
      <c r="AP173" s="27">
        <f t="shared" si="83"/>
        <v>11257164.821428571</v>
      </c>
      <c r="AQ173" s="27">
        <f t="shared" si="84"/>
        <v>11257164.821428571</v>
      </c>
      <c r="AR173" s="27">
        <f t="shared" si="85"/>
        <v>11257164.821428571</v>
      </c>
      <c r="AS173" s="27"/>
      <c r="AT173" s="27"/>
      <c r="AU173" s="27"/>
      <c r="AV173" s="27"/>
      <c r="AW173" s="27">
        <f t="shared" si="73"/>
        <v>90057318.571428552</v>
      </c>
      <c r="AX173" s="79">
        <f t="shared" si="77"/>
        <v>312658668.21428585</v>
      </c>
      <c r="AY173" s="79">
        <f t="shared" si="78"/>
        <v>632943176.78571415</v>
      </c>
      <c r="AZ173" s="25">
        <v>1</v>
      </c>
      <c r="BA173" s="62" t="s">
        <v>97</v>
      </c>
      <c r="BB173" s="66">
        <v>1</v>
      </c>
      <c r="BC173" s="66"/>
      <c r="BD173" s="66"/>
      <c r="BE173" s="67">
        <f t="shared" si="81"/>
        <v>11257164.821428571</v>
      </c>
      <c r="BF173" s="67">
        <f t="shared" si="86"/>
        <v>0</v>
      </c>
      <c r="BG173" s="67">
        <f t="shared" si="79"/>
        <v>0</v>
      </c>
      <c r="BH173" s="66"/>
      <c r="BI173" s="68" t="s">
        <v>80</v>
      </c>
      <c r="BJ173" s="68" t="s">
        <v>591</v>
      </c>
      <c r="BK173" s="68" t="s">
        <v>59</v>
      </c>
      <c r="BL173" s="29"/>
      <c r="BO173" s="35" t="s">
        <v>1800</v>
      </c>
    </row>
    <row r="174" spans="1:68" ht="15" customHeight="1">
      <c r="A174" s="1" t="s">
        <v>43</v>
      </c>
      <c r="C174" s="1" t="str">
        <f t="shared" si="74"/>
        <v>2512</v>
      </c>
      <c r="D174" s="1" t="str">
        <f t="shared" si="75"/>
        <v>1912</v>
      </c>
      <c r="E174" s="19" t="s">
        <v>48</v>
      </c>
      <c r="F174" s="62" t="s">
        <v>49</v>
      </c>
      <c r="G174" s="62">
        <v>2112</v>
      </c>
      <c r="H174" s="62" t="s">
        <v>592</v>
      </c>
      <c r="I174" s="62" t="s">
        <v>593</v>
      </c>
      <c r="J174" s="118">
        <v>1</v>
      </c>
      <c r="K174" s="119" t="s">
        <v>271</v>
      </c>
      <c r="L174" s="62" t="s">
        <v>77</v>
      </c>
      <c r="M174" s="120" t="s">
        <v>594</v>
      </c>
      <c r="N174" s="65">
        <v>43810</v>
      </c>
      <c r="O174" s="24">
        <v>1910</v>
      </c>
      <c r="P174" s="24">
        <v>23223</v>
      </c>
      <c r="Q174" s="64">
        <v>44355930</v>
      </c>
      <c r="R174" s="64">
        <v>0</v>
      </c>
      <c r="S174" s="64"/>
      <c r="T174" s="64">
        <v>3917458.75</v>
      </c>
      <c r="U174" s="64" t="s">
        <v>595</v>
      </c>
      <c r="V174" s="121">
        <v>48273389</v>
      </c>
      <c r="W174" s="122">
        <v>0</v>
      </c>
      <c r="X174" s="64">
        <v>48273389</v>
      </c>
      <c r="Y174" s="121"/>
      <c r="Z174" s="121"/>
      <c r="AA174" s="121"/>
      <c r="AB174" s="121"/>
      <c r="AC174" s="64">
        <v>48273389</v>
      </c>
      <c r="AD174" s="65">
        <v>43824</v>
      </c>
      <c r="AE174" s="65">
        <v>46014</v>
      </c>
      <c r="AF174" s="62">
        <v>6</v>
      </c>
      <c r="AG174" s="119">
        <v>72</v>
      </c>
      <c r="AH174" s="25">
        <v>670463.73611111112</v>
      </c>
      <c r="AI174" s="78">
        <v>32333664.361111112</v>
      </c>
      <c r="AJ174" s="78">
        <v>15939724.63888889</v>
      </c>
      <c r="AK174" s="27">
        <f t="shared" si="76"/>
        <v>670463.73611111112</v>
      </c>
      <c r="AL174" s="27">
        <f t="shared" si="80"/>
        <v>670463.73611111112</v>
      </c>
      <c r="AM174" s="27">
        <f t="shared" si="56"/>
        <v>670463.73611111112</v>
      </c>
      <c r="AN174" s="27">
        <f t="shared" si="82"/>
        <v>670463.73611111112</v>
      </c>
      <c r="AO174" s="27">
        <f t="shared" si="83"/>
        <v>670463.73611111112</v>
      </c>
      <c r="AP174" s="27">
        <f t="shared" si="83"/>
        <v>670463.73611111112</v>
      </c>
      <c r="AQ174" s="27">
        <f t="shared" si="84"/>
        <v>670463.73611111112</v>
      </c>
      <c r="AR174" s="27">
        <f t="shared" si="85"/>
        <v>670463.73611111112</v>
      </c>
      <c r="AS174" s="27"/>
      <c r="AT174" s="27"/>
      <c r="AU174" s="27"/>
      <c r="AV174" s="27"/>
      <c r="AW174" s="27">
        <f t="shared" si="73"/>
        <v>5363709.888888889</v>
      </c>
      <c r="AX174" s="79">
        <f t="shared" si="77"/>
        <v>10576014.75</v>
      </c>
      <c r="AY174" s="79">
        <f t="shared" si="78"/>
        <v>37697374.25</v>
      </c>
      <c r="AZ174" s="25">
        <v>1</v>
      </c>
      <c r="BA174" s="62" t="s">
        <v>97</v>
      </c>
      <c r="BB174" s="66">
        <v>1</v>
      </c>
      <c r="BC174" s="66"/>
      <c r="BD174" s="66"/>
      <c r="BE174" s="67">
        <f t="shared" si="81"/>
        <v>670463.73611111112</v>
      </c>
      <c r="BF174" s="67">
        <f t="shared" si="86"/>
        <v>0</v>
      </c>
      <c r="BG174" s="67">
        <f t="shared" si="79"/>
        <v>0</v>
      </c>
      <c r="BH174" s="66"/>
      <c r="BI174" s="68" t="s">
        <v>427</v>
      </c>
      <c r="BJ174" s="68" t="s">
        <v>85</v>
      </c>
      <c r="BK174" s="68" t="s">
        <v>85</v>
      </c>
      <c r="BL174" s="29"/>
      <c r="BO174" s="35" t="s">
        <v>1800</v>
      </c>
      <c r="BP174" s="1" t="s">
        <v>1803</v>
      </c>
    </row>
    <row r="175" spans="1:68" ht="15" customHeight="1">
      <c r="A175" s="1" t="s">
        <v>43</v>
      </c>
      <c r="C175" s="1" t="str">
        <f t="shared" si="74"/>
        <v>2512</v>
      </c>
      <c r="D175" s="1" t="str">
        <f t="shared" si="75"/>
        <v>1912</v>
      </c>
      <c r="E175" s="19" t="s">
        <v>48</v>
      </c>
      <c r="F175" s="62" t="s">
        <v>49</v>
      </c>
      <c r="G175" s="62">
        <v>2112</v>
      </c>
      <c r="H175" s="62" t="s">
        <v>596</v>
      </c>
      <c r="I175" s="62" t="s">
        <v>593</v>
      </c>
      <c r="J175" s="118">
        <v>1</v>
      </c>
      <c r="K175" s="119" t="s">
        <v>271</v>
      </c>
      <c r="L175" s="62" t="s">
        <v>77</v>
      </c>
      <c r="M175" s="120" t="s">
        <v>594</v>
      </c>
      <c r="N175" s="65">
        <v>43810</v>
      </c>
      <c r="O175" s="24">
        <v>1910</v>
      </c>
      <c r="P175" s="24">
        <v>23223</v>
      </c>
      <c r="Q175" s="64">
        <v>44355930</v>
      </c>
      <c r="R175" s="64">
        <v>0</v>
      </c>
      <c r="S175" s="64"/>
      <c r="T175" s="64">
        <v>3917458.75</v>
      </c>
      <c r="U175" s="64" t="s">
        <v>595</v>
      </c>
      <c r="V175" s="121">
        <v>48273389</v>
      </c>
      <c r="W175" s="122">
        <v>0</v>
      </c>
      <c r="X175" s="64">
        <v>48273389</v>
      </c>
      <c r="Y175" s="121"/>
      <c r="Z175" s="121"/>
      <c r="AA175" s="121"/>
      <c r="AB175" s="121"/>
      <c r="AC175" s="64">
        <v>48273389</v>
      </c>
      <c r="AD175" s="65">
        <v>43824</v>
      </c>
      <c r="AE175" s="65">
        <v>46014</v>
      </c>
      <c r="AF175" s="62">
        <v>6</v>
      </c>
      <c r="AG175" s="119">
        <v>72</v>
      </c>
      <c r="AH175" s="25">
        <v>670463.73611111112</v>
      </c>
      <c r="AI175" s="78">
        <v>32333664.361111112</v>
      </c>
      <c r="AJ175" s="78">
        <v>15939724.63888889</v>
      </c>
      <c r="AK175" s="27">
        <f t="shared" si="76"/>
        <v>670463.73611111112</v>
      </c>
      <c r="AL175" s="27">
        <f t="shared" si="80"/>
        <v>670463.73611111112</v>
      </c>
      <c r="AM175" s="27">
        <f t="shared" si="56"/>
        <v>670463.73611111112</v>
      </c>
      <c r="AN175" s="27">
        <f t="shared" si="82"/>
        <v>670463.73611111112</v>
      </c>
      <c r="AO175" s="27">
        <f t="shared" si="83"/>
        <v>670463.73611111112</v>
      </c>
      <c r="AP175" s="27">
        <f t="shared" si="83"/>
        <v>670463.73611111112</v>
      </c>
      <c r="AQ175" s="27">
        <f t="shared" si="84"/>
        <v>670463.73611111112</v>
      </c>
      <c r="AR175" s="27">
        <f t="shared" si="85"/>
        <v>670463.73611111112</v>
      </c>
      <c r="AS175" s="27"/>
      <c r="AT175" s="27"/>
      <c r="AU175" s="27"/>
      <c r="AV175" s="27"/>
      <c r="AW175" s="27">
        <f t="shared" si="73"/>
        <v>5363709.888888889</v>
      </c>
      <c r="AX175" s="79">
        <f t="shared" si="77"/>
        <v>10576014.75</v>
      </c>
      <c r="AY175" s="79">
        <f t="shared" si="78"/>
        <v>37697374.25</v>
      </c>
      <c r="AZ175" s="25">
        <v>1</v>
      </c>
      <c r="BA175" s="62" t="s">
        <v>97</v>
      </c>
      <c r="BB175" s="66">
        <v>1</v>
      </c>
      <c r="BC175" s="66"/>
      <c r="BD175" s="66"/>
      <c r="BE175" s="67">
        <f t="shared" si="81"/>
        <v>670463.73611111112</v>
      </c>
      <c r="BF175" s="67">
        <f t="shared" si="86"/>
        <v>0</v>
      </c>
      <c r="BG175" s="67">
        <f t="shared" si="79"/>
        <v>0</v>
      </c>
      <c r="BH175" s="66"/>
      <c r="BI175" s="68" t="s">
        <v>411</v>
      </c>
      <c r="BJ175" s="68" t="s">
        <v>85</v>
      </c>
      <c r="BK175" s="68" t="s">
        <v>85</v>
      </c>
      <c r="BL175" s="29"/>
      <c r="BO175" s="35" t="s">
        <v>1800</v>
      </c>
      <c r="BP175" s="1" t="s">
        <v>1817</v>
      </c>
    </row>
    <row r="176" spans="1:68" ht="15" customHeight="1">
      <c r="A176" s="1" t="s">
        <v>43</v>
      </c>
      <c r="C176" s="1" t="str">
        <f t="shared" si="74"/>
        <v>2512</v>
      </c>
      <c r="D176" s="1" t="str">
        <f t="shared" si="75"/>
        <v>1912</v>
      </c>
      <c r="E176" s="19" t="s">
        <v>48</v>
      </c>
      <c r="F176" s="62" t="s">
        <v>49</v>
      </c>
      <c r="G176" s="62">
        <v>2112</v>
      </c>
      <c r="H176" s="62" t="s">
        <v>597</v>
      </c>
      <c r="I176" s="62" t="s">
        <v>593</v>
      </c>
      <c r="J176" s="118">
        <v>1</v>
      </c>
      <c r="K176" s="119" t="s">
        <v>271</v>
      </c>
      <c r="L176" s="62" t="s">
        <v>77</v>
      </c>
      <c r="M176" s="120" t="s">
        <v>594</v>
      </c>
      <c r="N176" s="65">
        <v>43810</v>
      </c>
      <c r="O176" s="24">
        <v>1910</v>
      </c>
      <c r="P176" s="24">
        <v>23223</v>
      </c>
      <c r="Q176" s="64">
        <v>44355930</v>
      </c>
      <c r="R176" s="64">
        <v>0</v>
      </c>
      <c r="S176" s="64"/>
      <c r="T176" s="64">
        <v>3917458.75</v>
      </c>
      <c r="U176" s="64" t="s">
        <v>595</v>
      </c>
      <c r="V176" s="121">
        <v>48273389</v>
      </c>
      <c r="W176" s="122">
        <v>0</v>
      </c>
      <c r="X176" s="64">
        <v>48273389</v>
      </c>
      <c r="Y176" s="121"/>
      <c r="Z176" s="121"/>
      <c r="AA176" s="121"/>
      <c r="AB176" s="121"/>
      <c r="AC176" s="64">
        <v>48273389</v>
      </c>
      <c r="AD176" s="65">
        <v>43824</v>
      </c>
      <c r="AE176" s="65">
        <v>46014</v>
      </c>
      <c r="AF176" s="62">
        <v>6</v>
      </c>
      <c r="AG176" s="119">
        <v>72</v>
      </c>
      <c r="AH176" s="25">
        <v>670463.73611111112</v>
      </c>
      <c r="AI176" s="78">
        <v>32333664.361111112</v>
      </c>
      <c r="AJ176" s="78">
        <v>15939724.63888889</v>
      </c>
      <c r="AK176" s="27">
        <f t="shared" si="76"/>
        <v>670463.73611111112</v>
      </c>
      <c r="AL176" s="27">
        <f t="shared" si="80"/>
        <v>670463.73611111112</v>
      </c>
      <c r="AM176" s="27">
        <f t="shared" si="80"/>
        <v>670463.73611111112</v>
      </c>
      <c r="AN176" s="27">
        <f t="shared" si="82"/>
        <v>670463.73611111112</v>
      </c>
      <c r="AO176" s="27">
        <f t="shared" si="83"/>
        <v>670463.73611111112</v>
      </c>
      <c r="AP176" s="27">
        <f t="shared" si="83"/>
        <v>670463.73611111112</v>
      </c>
      <c r="AQ176" s="27">
        <f t="shared" si="84"/>
        <v>670463.73611111112</v>
      </c>
      <c r="AR176" s="27">
        <f t="shared" si="85"/>
        <v>670463.73611111112</v>
      </c>
      <c r="AS176" s="27"/>
      <c r="AT176" s="27"/>
      <c r="AU176" s="27"/>
      <c r="AV176" s="27"/>
      <c r="AW176" s="27">
        <f t="shared" si="73"/>
        <v>5363709.888888889</v>
      </c>
      <c r="AX176" s="79">
        <f t="shared" si="77"/>
        <v>10576014.75</v>
      </c>
      <c r="AY176" s="79">
        <f t="shared" si="78"/>
        <v>37697374.25</v>
      </c>
      <c r="AZ176" s="25">
        <v>1</v>
      </c>
      <c r="BA176" s="62" t="s">
        <v>97</v>
      </c>
      <c r="BB176" s="66">
        <v>1</v>
      </c>
      <c r="BC176" s="66"/>
      <c r="BD176" s="66"/>
      <c r="BE176" s="67">
        <f t="shared" si="81"/>
        <v>670463.73611111112</v>
      </c>
      <c r="BF176" s="67">
        <f t="shared" si="86"/>
        <v>0</v>
      </c>
      <c r="BG176" s="67">
        <f t="shared" si="79"/>
        <v>0</v>
      </c>
      <c r="BH176" s="66"/>
      <c r="BI176" s="68" t="s">
        <v>411</v>
      </c>
      <c r="BJ176" s="68" t="s">
        <v>85</v>
      </c>
      <c r="BK176" s="68" t="s">
        <v>85</v>
      </c>
      <c r="BL176" s="29"/>
      <c r="BO176" s="35" t="s">
        <v>1800</v>
      </c>
      <c r="BP176" s="1" t="s">
        <v>1817</v>
      </c>
    </row>
    <row r="177" spans="1:68" ht="15" customHeight="1">
      <c r="A177" s="1" t="s">
        <v>43</v>
      </c>
      <c r="C177" s="1" t="str">
        <f t="shared" si="74"/>
        <v>2512</v>
      </c>
      <c r="D177" s="1" t="str">
        <f t="shared" si="75"/>
        <v>1912</v>
      </c>
      <c r="E177" s="19" t="s">
        <v>48</v>
      </c>
      <c r="F177" s="62" t="s">
        <v>49</v>
      </c>
      <c r="G177" s="62">
        <v>2112</v>
      </c>
      <c r="H177" s="62" t="s">
        <v>598</v>
      </c>
      <c r="I177" s="62" t="s">
        <v>593</v>
      </c>
      <c r="J177" s="118">
        <v>1</v>
      </c>
      <c r="K177" s="119" t="s">
        <v>271</v>
      </c>
      <c r="L177" s="62" t="s">
        <v>77</v>
      </c>
      <c r="M177" s="120" t="s">
        <v>594</v>
      </c>
      <c r="N177" s="65">
        <v>43810</v>
      </c>
      <c r="O177" s="24">
        <v>1910</v>
      </c>
      <c r="P177" s="24">
        <v>23223</v>
      </c>
      <c r="Q177" s="64">
        <v>44355930</v>
      </c>
      <c r="R177" s="64">
        <v>0</v>
      </c>
      <c r="S177" s="64"/>
      <c r="T177" s="64">
        <v>3917458.75</v>
      </c>
      <c r="U177" s="64" t="s">
        <v>595</v>
      </c>
      <c r="V177" s="121">
        <v>48273389</v>
      </c>
      <c r="W177" s="122">
        <v>0</v>
      </c>
      <c r="X177" s="64">
        <v>48273389</v>
      </c>
      <c r="Y177" s="121"/>
      <c r="Z177" s="121"/>
      <c r="AA177" s="121"/>
      <c r="AB177" s="121"/>
      <c r="AC177" s="64">
        <v>48273389</v>
      </c>
      <c r="AD177" s="65">
        <v>43824</v>
      </c>
      <c r="AE177" s="65">
        <v>46014</v>
      </c>
      <c r="AF177" s="62">
        <v>6</v>
      </c>
      <c r="AG177" s="119">
        <v>72</v>
      </c>
      <c r="AH177" s="25">
        <v>670463.73611111112</v>
      </c>
      <c r="AI177" s="78">
        <v>32333664.361111112</v>
      </c>
      <c r="AJ177" s="78">
        <v>15939724.63888889</v>
      </c>
      <c r="AK177" s="27">
        <f t="shared" si="76"/>
        <v>670463.73611111112</v>
      </c>
      <c r="AL177" s="27">
        <f t="shared" si="80"/>
        <v>670463.73611111112</v>
      </c>
      <c r="AM177" s="27">
        <f t="shared" si="80"/>
        <v>670463.73611111112</v>
      </c>
      <c r="AN177" s="27">
        <f t="shared" si="82"/>
        <v>670463.73611111112</v>
      </c>
      <c r="AO177" s="27">
        <f t="shared" si="83"/>
        <v>670463.73611111112</v>
      </c>
      <c r="AP177" s="27">
        <f t="shared" si="83"/>
        <v>670463.73611111112</v>
      </c>
      <c r="AQ177" s="27">
        <f t="shared" si="84"/>
        <v>670463.73611111112</v>
      </c>
      <c r="AR177" s="27">
        <f t="shared" si="85"/>
        <v>670463.73611111112</v>
      </c>
      <c r="AS177" s="27"/>
      <c r="AT177" s="27"/>
      <c r="AU177" s="27"/>
      <c r="AV177" s="27"/>
      <c r="AW177" s="27">
        <f t="shared" si="73"/>
        <v>5363709.888888889</v>
      </c>
      <c r="AX177" s="79">
        <f t="shared" si="77"/>
        <v>10576014.75</v>
      </c>
      <c r="AY177" s="79">
        <f t="shared" si="78"/>
        <v>37697374.25</v>
      </c>
      <c r="AZ177" s="25">
        <v>1</v>
      </c>
      <c r="BA177" s="62" t="s">
        <v>97</v>
      </c>
      <c r="BB177" s="66">
        <v>1</v>
      </c>
      <c r="BC177" s="66"/>
      <c r="BD177" s="66"/>
      <c r="BE177" s="67">
        <f t="shared" si="81"/>
        <v>670463.73611111112</v>
      </c>
      <c r="BF177" s="67">
        <f t="shared" si="86"/>
        <v>0</v>
      </c>
      <c r="BG177" s="67">
        <f t="shared" si="79"/>
        <v>0</v>
      </c>
      <c r="BH177" s="66"/>
      <c r="BI177" s="68" t="s">
        <v>411</v>
      </c>
      <c r="BJ177" s="68" t="s">
        <v>85</v>
      </c>
      <c r="BK177" s="68" t="s">
        <v>85</v>
      </c>
      <c r="BL177" s="29"/>
      <c r="BO177" s="35" t="s">
        <v>1800</v>
      </c>
      <c r="BP177" s="1" t="s">
        <v>1817</v>
      </c>
    </row>
    <row r="178" spans="1:68" ht="15" customHeight="1">
      <c r="A178" s="1" t="s">
        <v>43</v>
      </c>
      <c r="C178" s="1" t="str">
        <f t="shared" si="74"/>
        <v>2712</v>
      </c>
      <c r="D178" s="1" t="str">
        <f t="shared" si="75"/>
        <v>1912</v>
      </c>
      <c r="E178" s="19" t="s">
        <v>48</v>
      </c>
      <c r="F178" s="62" t="s">
        <v>49</v>
      </c>
      <c r="G178" s="62">
        <v>2114</v>
      </c>
      <c r="H178" s="62" t="s">
        <v>599</v>
      </c>
      <c r="I178" s="62" t="s">
        <v>600</v>
      </c>
      <c r="J178" s="118">
        <v>1</v>
      </c>
      <c r="K178" s="119" t="s">
        <v>271</v>
      </c>
      <c r="L178" s="62" t="s">
        <v>601</v>
      </c>
      <c r="M178" s="120" t="s">
        <v>602</v>
      </c>
      <c r="N178" s="65">
        <v>43812</v>
      </c>
      <c r="O178" s="24">
        <v>2120</v>
      </c>
      <c r="P178" s="24">
        <v>23252</v>
      </c>
      <c r="Q178" s="64">
        <v>49294240</v>
      </c>
      <c r="R178" s="64">
        <v>0</v>
      </c>
      <c r="S178" s="64"/>
      <c r="T178" s="64">
        <v>3041159</v>
      </c>
      <c r="U178" s="64" t="s">
        <v>603</v>
      </c>
      <c r="V178" s="121">
        <v>52335399</v>
      </c>
      <c r="W178" s="122">
        <v>0</v>
      </c>
      <c r="X178" s="64">
        <v>52335399</v>
      </c>
      <c r="Y178" s="121"/>
      <c r="Z178" s="121"/>
      <c r="AA178" s="121"/>
      <c r="AB178" s="121"/>
      <c r="AC178" s="64">
        <v>52335399</v>
      </c>
      <c r="AD178" s="65">
        <v>43824</v>
      </c>
      <c r="AE178" s="65">
        <v>46744</v>
      </c>
      <c r="AF178" s="62">
        <v>8</v>
      </c>
      <c r="AG178" s="119">
        <v>96</v>
      </c>
      <c r="AH178" s="25">
        <v>545160.40625</v>
      </c>
      <c r="AI178" s="78">
        <v>26290785.0625</v>
      </c>
      <c r="AJ178" s="78">
        <v>26044613.9375</v>
      </c>
      <c r="AK178" s="27">
        <f t="shared" si="76"/>
        <v>545160.40625</v>
      </c>
      <c r="AL178" s="27">
        <f t="shared" si="80"/>
        <v>545160.40625</v>
      </c>
      <c r="AM178" s="27">
        <f t="shared" si="80"/>
        <v>545160.40625</v>
      </c>
      <c r="AN178" s="27">
        <f t="shared" si="82"/>
        <v>545160.40625</v>
      </c>
      <c r="AO178" s="27">
        <f t="shared" si="83"/>
        <v>545160.40625</v>
      </c>
      <c r="AP178" s="27">
        <f t="shared" si="83"/>
        <v>545160.40625</v>
      </c>
      <c r="AQ178" s="27">
        <f t="shared" si="84"/>
        <v>545160.40625</v>
      </c>
      <c r="AR178" s="27">
        <f t="shared" si="85"/>
        <v>545160.40625</v>
      </c>
      <c r="AS178" s="27"/>
      <c r="AT178" s="27"/>
      <c r="AU178" s="27"/>
      <c r="AV178" s="27"/>
      <c r="AW178" s="27">
        <f t="shared" si="73"/>
        <v>4361283.25</v>
      </c>
      <c r="AX178" s="79">
        <f t="shared" si="77"/>
        <v>21683330.6875</v>
      </c>
      <c r="AY178" s="79">
        <f t="shared" si="78"/>
        <v>30652068.3125</v>
      </c>
      <c r="AZ178" s="25">
        <v>1</v>
      </c>
      <c r="BA178" s="62" t="s">
        <v>79</v>
      </c>
      <c r="BB178" s="66">
        <v>1</v>
      </c>
      <c r="BC178" s="66"/>
      <c r="BD178" s="66"/>
      <c r="BE178" s="67">
        <f t="shared" si="81"/>
        <v>545160.40625</v>
      </c>
      <c r="BF178" s="67">
        <f t="shared" si="86"/>
        <v>0</v>
      </c>
      <c r="BG178" s="67">
        <f t="shared" si="79"/>
        <v>0</v>
      </c>
      <c r="BH178" s="66"/>
      <c r="BI178" s="68" t="s">
        <v>191</v>
      </c>
      <c r="BJ178" s="68" t="s">
        <v>58</v>
      </c>
      <c r="BK178" s="68" t="s">
        <v>59</v>
      </c>
      <c r="BL178" s="29"/>
      <c r="BO178" s="35" t="s">
        <v>1800</v>
      </c>
      <c r="BP178" s="1" t="s">
        <v>1808</v>
      </c>
    </row>
    <row r="179" spans="1:68" ht="15" customHeight="1">
      <c r="A179" s="1" t="s">
        <v>43</v>
      </c>
      <c r="C179" s="1" t="str">
        <f t="shared" si="74"/>
        <v>2712</v>
      </c>
      <c r="D179" s="1" t="str">
        <f t="shared" si="75"/>
        <v>1912</v>
      </c>
      <c r="E179" s="19" t="s">
        <v>48</v>
      </c>
      <c r="F179" s="62" t="s">
        <v>49</v>
      </c>
      <c r="G179" s="62">
        <v>2114</v>
      </c>
      <c r="H179" s="62" t="s">
        <v>604</v>
      </c>
      <c r="I179" s="62" t="s">
        <v>600</v>
      </c>
      <c r="J179" s="118">
        <v>1</v>
      </c>
      <c r="K179" s="119" t="s">
        <v>271</v>
      </c>
      <c r="L179" s="62" t="s">
        <v>601</v>
      </c>
      <c r="M179" s="120" t="s">
        <v>602</v>
      </c>
      <c r="N179" s="65">
        <v>43812</v>
      </c>
      <c r="O179" s="24">
        <v>2120</v>
      </c>
      <c r="P179" s="24">
        <v>23252</v>
      </c>
      <c r="Q179" s="64">
        <v>49294240</v>
      </c>
      <c r="R179" s="64">
        <v>0</v>
      </c>
      <c r="S179" s="64"/>
      <c r="T179" s="64">
        <v>3041159</v>
      </c>
      <c r="U179" s="64" t="s">
        <v>603</v>
      </c>
      <c r="V179" s="121">
        <v>52335399</v>
      </c>
      <c r="W179" s="122">
        <v>0</v>
      </c>
      <c r="X179" s="64">
        <v>52335399</v>
      </c>
      <c r="Y179" s="121"/>
      <c r="Z179" s="121"/>
      <c r="AA179" s="121"/>
      <c r="AB179" s="121"/>
      <c r="AC179" s="64">
        <v>52335399</v>
      </c>
      <c r="AD179" s="65">
        <v>43824</v>
      </c>
      <c r="AE179" s="65">
        <v>46744</v>
      </c>
      <c r="AF179" s="62">
        <v>8</v>
      </c>
      <c r="AG179" s="119">
        <v>96</v>
      </c>
      <c r="AH179" s="25">
        <v>545160.40625</v>
      </c>
      <c r="AI179" s="78">
        <v>26290785.0625</v>
      </c>
      <c r="AJ179" s="78">
        <v>26044613.9375</v>
      </c>
      <c r="AK179" s="27">
        <f t="shared" si="76"/>
        <v>545160.40625</v>
      </c>
      <c r="AL179" s="27">
        <f t="shared" si="80"/>
        <v>545160.40625</v>
      </c>
      <c r="AM179" s="27">
        <f t="shared" si="80"/>
        <v>545160.40625</v>
      </c>
      <c r="AN179" s="27">
        <f t="shared" si="82"/>
        <v>545160.40625</v>
      </c>
      <c r="AO179" s="27">
        <f t="shared" si="83"/>
        <v>545160.40625</v>
      </c>
      <c r="AP179" s="27">
        <f t="shared" si="83"/>
        <v>545160.40625</v>
      </c>
      <c r="AQ179" s="27">
        <f t="shared" si="84"/>
        <v>545160.40625</v>
      </c>
      <c r="AR179" s="27">
        <f t="shared" si="85"/>
        <v>545160.40625</v>
      </c>
      <c r="AS179" s="27"/>
      <c r="AT179" s="27"/>
      <c r="AU179" s="27"/>
      <c r="AV179" s="27"/>
      <c r="AW179" s="27">
        <f t="shared" si="73"/>
        <v>4361283.25</v>
      </c>
      <c r="AX179" s="79">
        <f t="shared" si="77"/>
        <v>21683330.6875</v>
      </c>
      <c r="AY179" s="79">
        <f t="shared" si="78"/>
        <v>30652068.3125</v>
      </c>
      <c r="AZ179" s="25">
        <v>1</v>
      </c>
      <c r="BA179" s="62" t="s">
        <v>79</v>
      </c>
      <c r="BB179" s="66">
        <v>1</v>
      </c>
      <c r="BC179" s="66"/>
      <c r="BD179" s="66"/>
      <c r="BE179" s="67">
        <f t="shared" si="81"/>
        <v>545160.40625</v>
      </c>
      <c r="BF179" s="67">
        <f t="shared" si="86"/>
        <v>0</v>
      </c>
      <c r="BG179" s="67">
        <f t="shared" si="79"/>
        <v>0</v>
      </c>
      <c r="BH179" s="66"/>
      <c r="BI179" s="68" t="s">
        <v>344</v>
      </c>
      <c r="BJ179" s="68" t="s">
        <v>58</v>
      </c>
      <c r="BK179" s="68" t="s">
        <v>59</v>
      </c>
      <c r="BL179" s="29"/>
      <c r="BO179" s="35" t="s">
        <v>1800</v>
      </c>
      <c r="BP179" s="1" t="s">
        <v>1806</v>
      </c>
    </row>
    <row r="180" spans="1:68" ht="15" customHeight="1">
      <c r="A180" s="1" t="s">
        <v>43</v>
      </c>
      <c r="C180" s="1" t="str">
        <f t="shared" si="74"/>
        <v>2712</v>
      </c>
      <c r="D180" s="1" t="str">
        <f t="shared" si="75"/>
        <v>1912</v>
      </c>
      <c r="E180" s="19" t="s">
        <v>48</v>
      </c>
      <c r="F180" s="62" t="s">
        <v>49</v>
      </c>
      <c r="G180" s="62">
        <v>2114</v>
      </c>
      <c r="H180" s="62" t="s">
        <v>605</v>
      </c>
      <c r="I180" s="62" t="s">
        <v>600</v>
      </c>
      <c r="J180" s="118">
        <v>1</v>
      </c>
      <c r="K180" s="119" t="s">
        <v>271</v>
      </c>
      <c r="L180" s="62" t="s">
        <v>601</v>
      </c>
      <c r="M180" s="120" t="s">
        <v>602</v>
      </c>
      <c r="N180" s="65">
        <v>43812</v>
      </c>
      <c r="O180" s="24">
        <v>2120</v>
      </c>
      <c r="P180" s="24">
        <v>23252</v>
      </c>
      <c r="Q180" s="64">
        <v>49294240</v>
      </c>
      <c r="R180" s="64">
        <v>0</v>
      </c>
      <c r="S180" s="64"/>
      <c r="T180" s="64">
        <v>3041159</v>
      </c>
      <c r="U180" s="64" t="s">
        <v>603</v>
      </c>
      <c r="V180" s="121">
        <v>52335399</v>
      </c>
      <c r="W180" s="122">
        <v>0</v>
      </c>
      <c r="X180" s="64">
        <v>52335399</v>
      </c>
      <c r="Y180" s="121"/>
      <c r="Z180" s="121"/>
      <c r="AA180" s="121"/>
      <c r="AB180" s="121"/>
      <c r="AC180" s="64">
        <v>52335399</v>
      </c>
      <c r="AD180" s="65">
        <v>43824</v>
      </c>
      <c r="AE180" s="65">
        <v>46744</v>
      </c>
      <c r="AF180" s="62">
        <v>8</v>
      </c>
      <c r="AG180" s="119">
        <v>96</v>
      </c>
      <c r="AH180" s="25">
        <v>545160.40625</v>
      </c>
      <c r="AI180" s="78">
        <v>26290785.0625</v>
      </c>
      <c r="AJ180" s="78">
        <v>26044613.9375</v>
      </c>
      <c r="AK180" s="27">
        <f t="shared" si="76"/>
        <v>545160.40625</v>
      </c>
      <c r="AL180" s="27">
        <f t="shared" si="80"/>
        <v>545160.40625</v>
      </c>
      <c r="AM180" s="27">
        <f t="shared" si="80"/>
        <v>545160.40625</v>
      </c>
      <c r="AN180" s="27">
        <f t="shared" si="82"/>
        <v>545160.40625</v>
      </c>
      <c r="AO180" s="27">
        <f t="shared" si="83"/>
        <v>545160.40625</v>
      </c>
      <c r="AP180" s="27">
        <f t="shared" si="83"/>
        <v>545160.40625</v>
      </c>
      <c r="AQ180" s="27">
        <f t="shared" si="84"/>
        <v>545160.40625</v>
      </c>
      <c r="AR180" s="27">
        <f t="shared" si="85"/>
        <v>545160.40625</v>
      </c>
      <c r="AS180" s="27"/>
      <c r="AT180" s="27"/>
      <c r="AU180" s="27"/>
      <c r="AV180" s="27"/>
      <c r="AW180" s="27">
        <f t="shared" si="73"/>
        <v>4361283.25</v>
      </c>
      <c r="AX180" s="79">
        <f t="shared" si="77"/>
        <v>21683330.6875</v>
      </c>
      <c r="AY180" s="79">
        <f t="shared" si="78"/>
        <v>30652068.3125</v>
      </c>
      <c r="AZ180" s="25">
        <v>1</v>
      </c>
      <c r="BA180" s="62" t="s">
        <v>79</v>
      </c>
      <c r="BB180" s="66">
        <v>1</v>
      </c>
      <c r="BC180" s="66"/>
      <c r="BD180" s="66"/>
      <c r="BE180" s="67">
        <f t="shared" si="81"/>
        <v>545160.40625</v>
      </c>
      <c r="BF180" s="67">
        <f t="shared" si="86"/>
        <v>0</v>
      </c>
      <c r="BG180" s="67">
        <f t="shared" si="79"/>
        <v>0</v>
      </c>
      <c r="BH180" s="66"/>
      <c r="BI180" s="68" t="s">
        <v>420</v>
      </c>
      <c r="BJ180" s="68" t="s">
        <v>58</v>
      </c>
      <c r="BK180" s="68" t="s">
        <v>59</v>
      </c>
      <c r="BL180" s="29"/>
      <c r="BO180" s="35" t="s">
        <v>1800</v>
      </c>
      <c r="BP180" s="1" t="s">
        <v>1818</v>
      </c>
    </row>
    <row r="181" spans="1:68" ht="15" customHeight="1">
      <c r="A181" s="1" t="s">
        <v>43</v>
      </c>
      <c r="C181" s="1" t="str">
        <f t="shared" si="74"/>
        <v>2712</v>
      </c>
      <c r="D181" s="1" t="str">
        <f t="shared" si="75"/>
        <v>1912</v>
      </c>
      <c r="E181" s="19" t="s">
        <v>48</v>
      </c>
      <c r="F181" s="62" t="s">
        <v>49</v>
      </c>
      <c r="G181" s="62">
        <v>2112</v>
      </c>
      <c r="H181" s="62" t="s">
        <v>606</v>
      </c>
      <c r="I181" s="62" t="s">
        <v>607</v>
      </c>
      <c r="J181" s="118">
        <v>1</v>
      </c>
      <c r="K181" s="119" t="s">
        <v>271</v>
      </c>
      <c r="L181" s="19" t="s">
        <v>608</v>
      </c>
      <c r="M181" s="120" t="s">
        <v>609</v>
      </c>
      <c r="N181" s="65">
        <v>43822</v>
      </c>
      <c r="O181" s="24">
        <v>6000</v>
      </c>
      <c r="P181" s="24">
        <v>23232</v>
      </c>
      <c r="Q181" s="64">
        <v>139392000</v>
      </c>
      <c r="R181" s="64">
        <v>13866000</v>
      </c>
      <c r="S181" s="64"/>
      <c r="T181" s="64">
        <v>700000</v>
      </c>
      <c r="U181" s="64" t="s">
        <v>610</v>
      </c>
      <c r="V181" s="121">
        <v>153958000</v>
      </c>
      <c r="W181" s="122">
        <v>0</v>
      </c>
      <c r="X181" s="64">
        <v>153958000</v>
      </c>
      <c r="Y181" s="121"/>
      <c r="Z181" s="121"/>
      <c r="AA181" s="121"/>
      <c r="AB181" s="121"/>
      <c r="AC181" s="64">
        <v>153958000</v>
      </c>
      <c r="AD181" s="65">
        <v>43824</v>
      </c>
      <c r="AE181" s="65">
        <v>46744</v>
      </c>
      <c r="AF181" s="62">
        <v>8</v>
      </c>
      <c r="AG181" s="119">
        <v>96</v>
      </c>
      <c r="AH181" s="25">
        <v>1603729.1666666667</v>
      </c>
      <c r="AI181" s="78">
        <v>77341125.666666672</v>
      </c>
      <c r="AJ181" s="78">
        <v>76616874.333333328</v>
      </c>
      <c r="AK181" s="27">
        <f t="shared" si="76"/>
        <v>1603729.1666666667</v>
      </c>
      <c r="AL181" s="27">
        <f t="shared" si="80"/>
        <v>1603729.1666666667</v>
      </c>
      <c r="AM181" s="27">
        <f t="shared" si="80"/>
        <v>1603729.1666666667</v>
      </c>
      <c r="AN181" s="27">
        <f t="shared" si="82"/>
        <v>1603729.1666666667</v>
      </c>
      <c r="AO181" s="27">
        <f t="shared" si="83"/>
        <v>1603729.1666666667</v>
      </c>
      <c r="AP181" s="27">
        <f t="shared" si="83"/>
        <v>1603729.1666666667</v>
      </c>
      <c r="AQ181" s="27">
        <f t="shared" si="84"/>
        <v>1603729.1666666667</v>
      </c>
      <c r="AR181" s="27">
        <f t="shared" si="85"/>
        <v>1603729.1666666667</v>
      </c>
      <c r="AS181" s="27"/>
      <c r="AT181" s="27"/>
      <c r="AU181" s="27"/>
      <c r="AV181" s="27"/>
      <c r="AW181" s="27">
        <f t="shared" si="73"/>
        <v>12829833.333333332</v>
      </c>
      <c r="AX181" s="79">
        <f t="shared" si="77"/>
        <v>63787041</v>
      </c>
      <c r="AY181" s="79">
        <f t="shared" si="78"/>
        <v>90170959</v>
      </c>
      <c r="AZ181" s="25">
        <v>1</v>
      </c>
      <c r="BA181" s="62" t="s">
        <v>97</v>
      </c>
      <c r="BB181" s="66">
        <v>1</v>
      </c>
      <c r="BC181" s="66"/>
      <c r="BD181" s="66"/>
      <c r="BE181" s="67">
        <f t="shared" si="81"/>
        <v>1603729.1666666667</v>
      </c>
      <c r="BF181" s="67">
        <f t="shared" si="86"/>
        <v>0</v>
      </c>
      <c r="BG181" s="67">
        <f t="shared" si="79"/>
        <v>0</v>
      </c>
      <c r="BH181" s="66"/>
      <c r="BI181" s="68" t="s">
        <v>84</v>
      </c>
      <c r="BJ181" s="68" t="s">
        <v>58</v>
      </c>
      <c r="BK181" s="68" t="s">
        <v>159</v>
      </c>
      <c r="BL181" s="29"/>
      <c r="BO181" s="35" t="s">
        <v>1801</v>
      </c>
    </row>
    <row r="182" spans="1:68" ht="15" customHeight="1">
      <c r="A182" s="1" t="s">
        <v>43</v>
      </c>
      <c r="C182" s="1" t="str">
        <f t="shared" si="74"/>
        <v>2712</v>
      </c>
      <c r="D182" s="1" t="str">
        <f t="shared" si="75"/>
        <v>1912</v>
      </c>
      <c r="E182" s="19" t="s">
        <v>48</v>
      </c>
      <c r="F182" s="62" t="s">
        <v>49</v>
      </c>
      <c r="G182" s="62">
        <v>2112</v>
      </c>
      <c r="H182" s="62" t="s">
        <v>611</v>
      </c>
      <c r="I182" s="62" t="s">
        <v>612</v>
      </c>
      <c r="J182" s="118">
        <v>1</v>
      </c>
      <c r="K182" s="119" t="s">
        <v>271</v>
      </c>
      <c r="L182" s="19" t="s">
        <v>608</v>
      </c>
      <c r="M182" s="120" t="s">
        <v>609</v>
      </c>
      <c r="N182" s="65">
        <v>43822</v>
      </c>
      <c r="O182" s="24">
        <v>6000</v>
      </c>
      <c r="P182" s="24">
        <v>23232</v>
      </c>
      <c r="Q182" s="64">
        <v>139392000</v>
      </c>
      <c r="R182" s="64">
        <v>0</v>
      </c>
      <c r="S182" s="64"/>
      <c r="T182" s="64">
        <v>700000</v>
      </c>
      <c r="U182" s="64" t="s">
        <v>610</v>
      </c>
      <c r="V182" s="121">
        <v>140092000</v>
      </c>
      <c r="W182" s="122">
        <v>0</v>
      </c>
      <c r="X182" s="64">
        <v>140092000</v>
      </c>
      <c r="Y182" s="121"/>
      <c r="Z182" s="121"/>
      <c r="AA182" s="121"/>
      <c r="AB182" s="121"/>
      <c r="AC182" s="64">
        <v>140092000</v>
      </c>
      <c r="AD182" s="65">
        <v>43824</v>
      </c>
      <c r="AE182" s="65">
        <v>46744</v>
      </c>
      <c r="AF182" s="62">
        <v>8</v>
      </c>
      <c r="AG182" s="119">
        <v>96</v>
      </c>
      <c r="AH182" s="25">
        <v>1459291.6666666667</v>
      </c>
      <c r="AI182" s="78">
        <v>70375530.666666657</v>
      </c>
      <c r="AJ182" s="78">
        <v>69716469.333333343</v>
      </c>
      <c r="AK182" s="27">
        <f t="shared" si="76"/>
        <v>1459291.6666666667</v>
      </c>
      <c r="AL182" s="27">
        <f t="shared" si="80"/>
        <v>1459291.6666666667</v>
      </c>
      <c r="AM182" s="27">
        <f t="shared" si="80"/>
        <v>1459291.6666666667</v>
      </c>
      <c r="AN182" s="27">
        <f t="shared" si="82"/>
        <v>1459291.6666666667</v>
      </c>
      <c r="AO182" s="27">
        <f t="shared" si="83"/>
        <v>1459291.6666666667</v>
      </c>
      <c r="AP182" s="27">
        <f t="shared" si="83"/>
        <v>1459291.6666666667</v>
      </c>
      <c r="AQ182" s="27">
        <f t="shared" si="84"/>
        <v>1459291.6666666667</v>
      </c>
      <c r="AR182" s="27">
        <f t="shared" si="85"/>
        <v>1459291.6666666667</v>
      </c>
      <c r="AS182" s="27"/>
      <c r="AT182" s="27"/>
      <c r="AU182" s="27"/>
      <c r="AV182" s="27"/>
      <c r="AW182" s="27">
        <f t="shared" si="73"/>
        <v>11674333.333333332</v>
      </c>
      <c r="AX182" s="79">
        <f t="shared" si="77"/>
        <v>58042136.000000015</v>
      </c>
      <c r="AY182" s="79">
        <f t="shared" si="78"/>
        <v>82049863.999999985</v>
      </c>
      <c r="AZ182" s="25">
        <v>1</v>
      </c>
      <c r="BA182" s="62" t="s">
        <v>97</v>
      </c>
      <c r="BB182" s="66">
        <v>1</v>
      </c>
      <c r="BC182" s="66"/>
      <c r="BD182" s="66"/>
      <c r="BE182" s="67">
        <f t="shared" si="81"/>
        <v>1459291.6666666667</v>
      </c>
      <c r="BF182" s="67">
        <f t="shared" si="86"/>
        <v>0</v>
      </c>
      <c r="BG182" s="67">
        <f t="shared" si="79"/>
        <v>0</v>
      </c>
      <c r="BH182" s="66"/>
      <c r="BI182" s="68" t="s">
        <v>84</v>
      </c>
      <c r="BJ182" s="68" t="s">
        <v>58</v>
      </c>
      <c r="BK182" s="68" t="s">
        <v>159</v>
      </c>
      <c r="BL182" s="29"/>
      <c r="BO182" s="35" t="s">
        <v>1801</v>
      </c>
    </row>
    <row r="183" spans="1:68" ht="15" customHeight="1">
      <c r="A183" s="1" t="s">
        <v>43</v>
      </c>
      <c r="C183" s="1" t="str">
        <f t="shared" si="74"/>
        <v>2701</v>
      </c>
      <c r="D183" s="1" t="str">
        <f t="shared" si="75"/>
        <v>2001</v>
      </c>
      <c r="E183" s="19" t="s">
        <v>48</v>
      </c>
      <c r="F183" s="62" t="s">
        <v>394</v>
      </c>
      <c r="G183" s="62">
        <v>2112</v>
      </c>
      <c r="H183" s="62" t="s">
        <v>617</v>
      </c>
      <c r="I183" s="62" t="s">
        <v>618</v>
      </c>
      <c r="J183" s="118">
        <v>1</v>
      </c>
      <c r="K183" s="119" t="s">
        <v>619</v>
      </c>
      <c r="L183" s="62" t="s">
        <v>77</v>
      </c>
      <c r="M183" s="120" t="s">
        <v>620</v>
      </c>
      <c r="N183" s="65">
        <v>43839</v>
      </c>
      <c r="O183" s="24">
        <v>128000</v>
      </c>
      <c r="P183" s="24">
        <v>23230</v>
      </c>
      <c r="Q183" s="64">
        <v>2973440000</v>
      </c>
      <c r="R183" s="64">
        <v>0</v>
      </c>
      <c r="S183" s="64"/>
      <c r="T183" s="130">
        <v>41443318</v>
      </c>
      <c r="U183" s="64" t="s">
        <v>621</v>
      </c>
      <c r="V183" s="121">
        <v>3014883318</v>
      </c>
      <c r="W183" s="122">
        <v>0</v>
      </c>
      <c r="X183" s="64">
        <v>3014883318</v>
      </c>
      <c r="Y183" s="121"/>
      <c r="Z183" s="121"/>
      <c r="AA183" s="121"/>
      <c r="AB183" s="121"/>
      <c r="AC183" s="64">
        <v>3014883318</v>
      </c>
      <c r="AD183" s="65">
        <v>43850</v>
      </c>
      <c r="AE183" s="65">
        <v>46405</v>
      </c>
      <c r="AF183" s="62">
        <v>7</v>
      </c>
      <c r="AG183" s="119">
        <v>84</v>
      </c>
      <c r="AH183" s="25">
        <v>35891468.071428575</v>
      </c>
      <c r="AI183" s="78">
        <v>1700792467.7142859</v>
      </c>
      <c r="AJ183" s="78">
        <v>1314090850.2857141</v>
      </c>
      <c r="AK183" s="27">
        <f t="shared" si="76"/>
        <v>35891468.071428575</v>
      </c>
      <c r="AL183" s="27">
        <f t="shared" si="80"/>
        <v>35891468.071428575</v>
      </c>
      <c r="AM183" s="27">
        <f t="shared" si="80"/>
        <v>35891468.071428575</v>
      </c>
      <c r="AN183" s="27">
        <f t="shared" si="82"/>
        <v>35891468.071428575</v>
      </c>
      <c r="AO183" s="27">
        <f t="shared" si="83"/>
        <v>35891468.071428575</v>
      </c>
      <c r="AP183" s="27">
        <f t="shared" si="83"/>
        <v>35891468.071428575</v>
      </c>
      <c r="AQ183" s="27">
        <f t="shared" si="84"/>
        <v>35891468.071428575</v>
      </c>
      <c r="AR183" s="27">
        <f t="shared" si="85"/>
        <v>35891468.071428575</v>
      </c>
      <c r="AS183" s="27"/>
      <c r="AT183" s="27"/>
      <c r="AU183" s="27"/>
      <c r="AV183" s="27"/>
      <c r="AW183" s="27">
        <f t="shared" si="73"/>
        <v>287131744.5714286</v>
      </c>
      <c r="AX183" s="79">
        <f t="shared" si="77"/>
        <v>1026959105.7142856</v>
      </c>
      <c r="AY183" s="79">
        <f t="shared" si="78"/>
        <v>1987924212.2857144</v>
      </c>
      <c r="AZ183" s="25">
        <v>1</v>
      </c>
      <c r="BA183" s="62" t="s">
        <v>97</v>
      </c>
      <c r="BB183" s="66">
        <v>1</v>
      </c>
      <c r="BC183" s="66"/>
      <c r="BD183" s="66"/>
      <c r="BE183" s="67">
        <f t="shared" si="81"/>
        <v>35891468.071428575</v>
      </c>
      <c r="BF183" s="67">
        <f t="shared" si="86"/>
        <v>0</v>
      </c>
      <c r="BG183" s="67">
        <f t="shared" si="79"/>
        <v>0</v>
      </c>
      <c r="BH183" s="66"/>
      <c r="BI183" s="68" t="s">
        <v>622</v>
      </c>
      <c r="BJ183" s="68" t="s">
        <v>623</v>
      </c>
      <c r="BK183" s="68" t="s">
        <v>624</v>
      </c>
      <c r="BL183" s="29"/>
      <c r="BO183" s="35" t="s">
        <v>1800</v>
      </c>
      <c r="BP183" s="1" t="s">
        <v>1814</v>
      </c>
    </row>
    <row r="184" spans="1:68" ht="15" customHeight="1">
      <c r="A184" s="1" t="s">
        <v>43</v>
      </c>
      <c r="C184" s="1" t="str">
        <f t="shared" si="74"/>
        <v>2802</v>
      </c>
      <c r="D184" s="1" t="str">
        <f t="shared" si="75"/>
        <v>2002</v>
      </c>
      <c r="E184" s="19" t="s">
        <v>48</v>
      </c>
      <c r="F184" s="62" t="s">
        <v>49</v>
      </c>
      <c r="G184" s="62">
        <v>2114</v>
      </c>
      <c r="H184" s="62" t="s">
        <v>625</v>
      </c>
      <c r="I184" s="62" t="s">
        <v>626</v>
      </c>
      <c r="J184" s="118">
        <v>1</v>
      </c>
      <c r="K184" s="119" t="s">
        <v>271</v>
      </c>
      <c r="L184" s="62" t="s">
        <v>601</v>
      </c>
      <c r="M184" s="120" t="s">
        <v>627</v>
      </c>
      <c r="N184" s="65">
        <v>43864</v>
      </c>
      <c r="O184" s="24">
        <v>2050</v>
      </c>
      <c r="P184" s="24">
        <v>23308</v>
      </c>
      <c r="Q184" s="64">
        <v>47781400</v>
      </c>
      <c r="R184" s="64">
        <v>0</v>
      </c>
      <c r="S184" s="64"/>
      <c r="T184" s="64">
        <v>1876191.7142857143</v>
      </c>
      <c r="U184" s="64" t="s">
        <v>628</v>
      </c>
      <c r="V184" s="121">
        <v>49657592</v>
      </c>
      <c r="W184" s="122">
        <v>0</v>
      </c>
      <c r="X184" s="64">
        <v>49657592</v>
      </c>
      <c r="Y184" s="121"/>
      <c r="Z184" s="121"/>
      <c r="AA184" s="121"/>
      <c r="AB184" s="121"/>
      <c r="AC184" s="64">
        <v>49657592</v>
      </c>
      <c r="AD184" s="65">
        <v>43864</v>
      </c>
      <c r="AE184" s="65">
        <v>46784</v>
      </c>
      <c r="AF184" s="62">
        <v>8</v>
      </c>
      <c r="AG184" s="119">
        <v>96</v>
      </c>
      <c r="AH184" s="25">
        <v>517266.58333333331</v>
      </c>
      <c r="AI184" s="78">
        <v>24275870.833333332</v>
      </c>
      <c r="AJ184" s="78">
        <v>25381721.166666668</v>
      </c>
      <c r="AK184" s="27">
        <f t="shared" si="76"/>
        <v>517266.58333333331</v>
      </c>
      <c r="AL184" s="27">
        <f t="shared" si="80"/>
        <v>517266.58333333331</v>
      </c>
      <c r="AM184" s="27">
        <f t="shared" si="80"/>
        <v>517266.58333333331</v>
      </c>
      <c r="AN184" s="27">
        <f t="shared" si="82"/>
        <v>517266.58333333331</v>
      </c>
      <c r="AO184" s="27">
        <f t="shared" si="83"/>
        <v>517266.58333333331</v>
      </c>
      <c r="AP184" s="27">
        <f t="shared" si="83"/>
        <v>517266.58333333331</v>
      </c>
      <c r="AQ184" s="27">
        <f t="shared" si="84"/>
        <v>517266.58333333331</v>
      </c>
      <c r="AR184" s="27">
        <f t="shared" si="85"/>
        <v>517266.58333333331</v>
      </c>
      <c r="AS184" s="27"/>
      <c r="AT184" s="27"/>
      <c r="AU184" s="27"/>
      <c r="AV184" s="27"/>
      <c r="AW184" s="27">
        <f t="shared" si="73"/>
        <v>4138132.666666667</v>
      </c>
      <c r="AX184" s="79">
        <f t="shared" si="77"/>
        <v>21243588.5</v>
      </c>
      <c r="AY184" s="79">
        <f t="shared" si="78"/>
        <v>28414003.5</v>
      </c>
      <c r="AZ184" s="25">
        <v>1</v>
      </c>
      <c r="BA184" s="62" t="s">
        <v>79</v>
      </c>
      <c r="BB184" s="66">
        <v>1</v>
      </c>
      <c r="BC184" s="66"/>
      <c r="BD184" s="66"/>
      <c r="BE184" s="67">
        <f t="shared" si="81"/>
        <v>517266.58333333331</v>
      </c>
      <c r="BF184" s="67">
        <f t="shared" si="86"/>
        <v>0</v>
      </c>
      <c r="BG184" s="67">
        <f t="shared" si="79"/>
        <v>0</v>
      </c>
      <c r="BH184" s="66"/>
      <c r="BI184" s="68" t="s">
        <v>477</v>
      </c>
      <c r="BJ184" s="68" t="s">
        <v>58</v>
      </c>
      <c r="BK184" s="68" t="s">
        <v>59</v>
      </c>
      <c r="BL184" s="29"/>
      <c r="BO184" s="35" t="s">
        <v>1800</v>
      </c>
      <c r="BP184" s="1" t="s">
        <v>1809</v>
      </c>
    </row>
    <row r="185" spans="1:68" ht="15" customHeight="1">
      <c r="A185" s="1" t="s">
        <v>43</v>
      </c>
      <c r="C185" s="1" t="str">
        <f t="shared" si="74"/>
        <v>2802</v>
      </c>
      <c r="D185" s="1" t="str">
        <f t="shared" si="75"/>
        <v>2002</v>
      </c>
      <c r="E185" s="19" t="s">
        <v>48</v>
      </c>
      <c r="F185" s="62" t="s">
        <v>49</v>
      </c>
      <c r="G185" s="62">
        <v>2114</v>
      </c>
      <c r="H185" s="62" t="s">
        <v>629</v>
      </c>
      <c r="I185" s="62" t="s">
        <v>626</v>
      </c>
      <c r="J185" s="118">
        <v>1</v>
      </c>
      <c r="K185" s="119" t="s">
        <v>271</v>
      </c>
      <c r="L185" s="62" t="s">
        <v>601</v>
      </c>
      <c r="M185" s="120" t="s">
        <v>627</v>
      </c>
      <c r="N185" s="65">
        <v>43864</v>
      </c>
      <c r="O185" s="24">
        <v>2050</v>
      </c>
      <c r="P185" s="24">
        <v>23308</v>
      </c>
      <c r="Q185" s="64">
        <v>47781400</v>
      </c>
      <c r="R185" s="64">
        <v>0</v>
      </c>
      <c r="S185" s="64"/>
      <c r="T185" s="64">
        <v>1876191.7142857143</v>
      </c>
      <c r="U185" s="64" t="s">
        <v>628</v>
      </c>
      <c r="V185" s="121">
        <v>49657592</v>
      </c>
      <c r="W185" s="122">
        <v>0</v>
      </c>
      <c r="X185" s="64">
        <v>49657592</v>
      </c>
      <c r="Y185" s="121"/>
      <c r="Z185" s="121"/>
      <c r="AA185" s="121"/>
      <c r="AB185" s="121"/>
      <c r="AC185" s="64">
        <v>49657592</v>
      </c>
      <c r="AD185" s="65">
        <v>43864</v>
      </c>
      <c r="AE185" s="65">
        <v>46784</v>
      </c>
      <c r="AF185" s="62">
        <v>8</v>
      </c>
      <c r="AG185" s="119">
        <v>96</v>
      </c>
      <c r="AH185" s="25">
        <v>517266.58333333331</v>
      </c>
      <c r="AI185" s="78">
        <v>24275870.833333332</v>
      </c>
      <c r="AJ185" s="78">
        <v>25381721.166666668</v>
      </c>
      <c r="AK185" s="27">
        <f t="shared" si="76"/>
        <v>517266.58333333331</v>
      </c>
      <c r="AL185" s="27">
        <f t="shared" si="80"/>
        <v>517266.58333333331</v>
      </c>
      <c r="AM185" s="27">
        <f t="shared" si="80"/>
        <v>517266.58333333331</v>
      </c>
      <c r="AN185" s="27">
        <f t="shared" si="82"/>
        <v>517266.58333333331</v>
      </c>
      <c r="AO185" s="27">
        <f t="shared" si="83"/>
        <v>517266.58333333331</v>
      </c>
      <c r="AP185" s="27">
        <f t="shared" si="83"/>
        <v>517266.58333333331</v>
      </c>
      <c r="AQ185" s="27">
        <f t="shared" si="84"/>
        <v>517266.58333333331</v>
      </c>
      <c r="AR185" s="27">
        <f t="shared" si="85"/>
        <v>517266.58333333331</v>
      </c>
      <c r="AS185" s="27"/>
      <c r="AT185" s="27"/>
      <c r="AU185" s="27"/>
      <c r="AV185" s="27"/>
      <c r="AW185" s="27">
        <f t="shared" si="73"/>
        <v>4138132.666666667</v>
      </c>
      <c r="AX185" s="79">
        <f t="shared" si="77"/>
        <v>21243588.5</v>
      </c>
      <c r="AY185" s="79">
        <f t="shared" si="78"/>
        <v>28414003.5</v>
      </c>
      <c r="AZ185" s="25">
        <v>1</v>
      </c>
      <c r="BA185" s="62" t="s">
        <v>79</v>
      </c>
      <c r="BB185" s="66">
        <v>1</v>
      </c>
      <c r="BC185" s="66"/>
      <c r="BD185" s="66"/>
      <c r="BE185" s="67">
        <f t="shared" si="81"/>
        <v>517266.58333333331</v>
      </c>
      <c r="BF185" s="67">
        <f t="shared" si="86"/>
        <v>0</v>
      </c>
      <c r="BG185" s="67">
        <f t="shared" si="79"/>
        <v>0</v>
      </c>
      <c r="BH185" s="66"/>
      <c r="BI185" s="68" t="s">
        <v>480</v>
      </c>
      <c r="BJ185" s="68" t="s">
        <v>58</v>
      </c>
      <c r="BK185" s="68" t="s">
        <v>59</v>
      </c>
      <c r="BL185" s="29"/>
      <c r="BO185" s="35" t="s">
        <v>1800</v>
      </c>
      <c r="BP185" s="1" t="s">
        <v>1811</v>
      </c>
    </row>
    <row r="186" spans="1:68" ht="15" customHeight="1">
      <c r="A186" s="1" t="s">
        <v>43</v>
      </c>
      <c r="C186" s="1" t="str">
        <f t="shared" si="74"/>
        <v>2802</v>
      </c>
      <c r="D186" s="1" t="str">
        <f t="shared" si="75"/>
        <v>2002</v>
      </c>
      <c r="E186" s="19" t="s">
        <v>48</v>
      </c>
      <c r="F186" s="62" t="s">
        <v>49</v>
      </c>
      <c r="G186" s="62">
        <v>2114</v>
      </c>
      <c r="H186" s="62" t="s">
        <v>630</v>
      </c>
      <c r="I186" s="62" t="s">
        <v>626</v>
      </c>
      <c r="J186" s="118">
        <v>1</v>
      </c>
      <c r="K186" s="119" t="s">
        <v>271</v>
      </c>
      <c r="L186" s="62" t="s">
        <v>601</v>
      </c>
      <c r="M186" s="120" t="s">
        <v>627</v>
      </c>
      <c r="N186" s="65">
        <v>43864</v>
      </c>
      <c r="O186" s="24">
        <v>2050</v>
      </c>
      <c r="P186" s="24">
        <v>23308</v>
      </c>
      <c r="Q186" s="64">
        <v>47781400</v>
      </c>
      <c r="R186" s="64">
        <v>0</v>
      </c>
      <c r="S186" s="64"/>
      <c r="T186" s="64">
        <v>1876191.7142857143</v>
      </c>
      <c r="U186" s="64" t="s">
        <v>628</v>
      </c>
      <c r="V186" s="121">
        <v>49657592</v>
      </c>
      <c r="W186" s="122">
        <v>0</v>
      </c>
      <c r="X186" s="64">
        <v>49657592</v>
      </c>
      <c r="Y186" s="121"/>
      <c r="Z186" s="121"/>
      <c r="AA186" s="121"/>
      <c r="AB186" s="121"/>
      <c r="AC186" s="64">
        <v>49657592</v>
      </c>
      <c r="AD186" s="65">
        <v>43864</v>
      </c>
      <c r="AE186" s="65">
        <v>46784</v>
      </c>
      <c r="AF186" s="62">
        <v>8</v>
      </c>
      <c r="AG186" s="119">
        <v>96</v>
      </c>
      <c r="AH186" s="25">
        <v>517266.58333333331</v>
      </c>
      <c r="AI186" s="78">
        <v>24275870.833333332</v>
      </c>
      <c r="AJ186" s="78">
        <v>25381721.166666668</v>
      </c>
      <c r="AK186" s="27">
        <f t="shared" si="76"/>
        <v>517266.58333333331</v>
      </c>
      <c r="AL186" s="27">
        <f t="shared" si="80"/>
        <v>517266.58333333331</v>
      </c>
      <c r="AM186" s="27">
        <f t="shared" si="80"/>
        <v>517266.58333333331</v>
      </c>
      <c r="AN186" s="27">
        <f t="shared" si="82"/>
        <v>517266.58333333331</v>
      </c>
      <c r="AO186" s="27">
        <f t="shared" si="83"/>
        <v>517266.58333333331</v>
      </c>
      <c r="AP186" s="27">
        <f t="shared" si="83"/>
        <v>517266.58333333331</v>
      </c>
      <c r="AQ186" s="27">
        <f t="shared" si="84"/>
        <v>517266.58333333331</v>
      </c>
      <c r="AR186" s="27">
        <f t="shared" si="85"/>
        <v>517266.58333333331</v>
      </c>
      <c r="AS186" s="27"/>
      <c r="AT186" s="27"/>
      <c r="AU186" s="27"/>
      <c r="AV186" s="27"/>
      <c r="AW186" s="27">
        <f t="shared" si="73"/>
        <v>4138132.666666667</v>
      </c>
      <c r="AX186" s="79">
        <f t="shared" si="77"/>
        <v>21243588.5</v>
      </c>
      <c r="AY186" s="79">
        <f t="shared" si="78"/>
        <v>28414003.5</v>
      </c>
      <c r="AZ186" s="25">
        <v>1</v>
      </c>
      <c r="BA186" s="62" t="s">
        <v>79</v>
      </c>
      <c r="BB186" s="66">
        <v>1</v>
      </c>
      <c r="BC186" s="66"/>
      <c r="BD186" s="66"/>
      <c r="BE186" s="67">
        <f t="shared" si="81"/>
        <v>517266.58333333331</v>
      </c>
      <c r="BF186" s="67">
        <f t="shared" si="86"/>
        <v>0</v>
      </c>
      <c r="BG186" s="67">
        <f t="shared" si="79"/>
        <v>0</v>
      </c>
      <c r="BH186" s="66"/>
      <c r="BI186" s="68" t="s">
        <v>498</v>
      </c>
      <c r="BJ186" s="68" t="s">
        <v>58</v>
      </c>
      <c r="BK186" s="68" t="s">
        <v>59</v>
      </c>
      <c r="BL186" s="29"/>
      <c r="BO186" s="35" t="s">
        <v>1800</v>
      </c>
      <c r="BP186" s="1" t="s">
        <v>1815</v>
      </c>
    </row>
    <row r="187" spans="1:68" ht="15" customHeight="1">
      <c r="A187" s="1" t="s">
        <v>43</v>
      </c>
      <c r="C187" s="1" t="str">
        <f t="shared" si="74"/>
        <v>2802</v>
      </c>
      <c r="D187" s="1" t="str">
        <f t="shared" si="75"/>
        <v>2002</v>
      </c>
      <c r="E187" s="19" t="s">
        <v>48</v>
      </c>
      <c r="F187" s="62" t="s">
        <v>49</v>
      </c>
      <c r="G187" s="62">
        <v>2114</v>
      </c>
      <c r="H187" s="62" t="s">
        <v>631</v>
      </c>
      <c r="I187" s="62" t="s">
        <v>626</v>
      </c>
      <c r="J187" s="118">
        <v>1</v>
      </c>
      <c r="K187" s="119" t="s">
        <v>271</v>
      </c>
      <c r="L187" s="62" t="s">
        <v>601</v>
      </c>
      <c r="M187" s="120" t="s">
        <v>627</v>
      </c>
      <c r="N187" s="65">
        <v>43864</v>
      </c>
      <c r="O187" s="24">
        <v>2050</v>
      </c>
      <c r="P187" s="24">
        <v>23308</v>
      </c>
      <c r="Q187" s="64">
        <v>47781400</v>
      </c>
      <c r="R187" s="64">
        <v>0</v>
      </c>
      <c r="S187" s="64"/>
      <c r="T187" s="64">
        <v>1876191.7142857143</v>
      </c>
      <c r="U187" s="64" t="s">
        <v>628</v>
      </c>
      <c r="V187" s="121">
        <v>49657592</v>
      </c>
      <c r="W187" s="122">
        <v>0</v>
      </c>
      <c r="X187" s="64">
        <v>49657592</v>
      </c>
      <c r="Y187" s="121"/>
      <c r="Z187" s="121"/>
      <c r="AA187" s="121"/>
      <c r="AB187" s="121"/>
      <c r="AC187" s="64">
        <v>49657592</v>
      </c>
      <c r="AD187" s="65">
        <v>43864</v>
      </c>
      <c r="AE187" s="65">
        <v>46784</v>
      </c>
      <c r="AF187" s="62">
        <v>8</v>
      </c>
      <c r="AG187" s="119">
        <v>96</v>
      </c>
      <c r="AH187" s="25">
        <v>517266.58333333331</v>
      </c>
      <c r="AI187" s="78">
        <v>24275870.833333332</v>
      </c>
      <c r="AJ187" s="78">
        <v>25381721.166666668</v>
      </c>
      <c r="AK187" s="27">
        <f t="shared" si="76"/>
        <v>517266.58333333331</v>
      </c>
      <c r="AL187" s="27">
        <f t="shared" si="80"/>
        <v>517266.58333333331</v>
      </c>
      <c r="AM187" s="27">
        <f t="shared" si="80"/>
        <v>517266.58333333331</v>
      </c>
      <c r="AN187" s="27">
        <f t="shared" si="82"/>
        <v>517266.58333333331</v>
      </c>
      <c r="AO187" s="27">
        <f t="shared" si="83"/>
        <v>517266.58333333331</v>
      </c>
      <c r="AP187" s="27">
        <f t="shared" si="83"/>
        <v>517266.58333333331</v>
      </c>
      <c r="AQ187" s="27">
        <f t="shared" si="84"/>
        <v>517266.58333333331</v>
      </c>
      <c r="AR187" s="27">
        <f t="shared" si="85"/>
        <v>517266.58333333331</v>
      </c>
      <c r="AS187" s="27"/>
      <c r="AT187" s="27"/>
      <c r="AU187" s="27"/>
      <c r="AV187" s="27"/>
      <c r="AW187" s="27">
        <f t="shared" si="73"/>
        <v>4138132.666666667</v>
      </c>
      <c r="AX187" s="79">
        <f t="shared" si="77"/>
        <v>21243588.5</v>
      </c>
      <c r="AY187" s="79">
        <f t="shared" si="78"/>
        <v>28414003.5</v>
      </c>
      <c r="AZ187" s="25">
        <v>1</v>
      </c>
      <c r="BA187" s="62" t="s">
        <v>79</v>
      </c>
      <c r="BB187" s="66">
        <v>1</v>
      </c>
      <c r="BC187" s="66"/>
      <c r="BD187" s="66"/>
      <c r="BE187" s="67">
        <f t="shared" si="81"/>
        <v>517266.58333333331</v>
      </c>
      <c r="BF187" s="67">
        <f t="shared" si="86"/>
        <v>0</v>
      </c>
      <c r="BG187" s="67">
        <f t="shared" si="79"/>
        <v>0</v>
      </c>
      <c r="BH187" s="66"/>
      <c r="BI187" s="68" t="s">
        <v>632</v>
      </c>
      <c r="BJ187" s="68" t="s">
        <v>58</v>
      </c>
      <c r="BK187" s="68" t="s">
        <v>59</v>
      </c>
      <c r="BL187" s="29"/>
      <c r="BO187" s="35" t="s">
        <v>1800</v>
      </c>
      <c r="BP187" s="1" t="s">
        <v>1803</v>
      </c>
    </row>
    <row r="188" spans="1:68" ht="15" customHeight="1">
      <c r="A188" s="1" t="s">
        <v>43</v>
      </c>
      <c r="C188" s="1" t="str">
        <f t="shared" si="74"/>
        <v>2802</v>
      </c>
      <c r="D188" s="1" t="str">
        <f t="shared" si="75"/>
        <v>2002</v>
      </c>
      <c r="E188" s="19" t="s">
        <v>48</v>
      </c>
      <c r="F188" s="62" t="s">
        <v>49</v>
      </c>
      <c r="G188" s="62">
        <v>2114</v>
      </c>
      <c r="H188" s="62" t="s">
        <v>633</v>
      </c>
      <c r="I188" s="62" t="s">
        <v>626</v>
      </c>
      <c r="J188" s="118">
        <v>1</v>
      </c>
      <c r="K188" s="119" t="s">
        <v>271</v>
      </c>
      <c r="L188" s="62" t="s">
        <v>601</v>
      </c>
      <c r="M188" s="120" t="s">
        <v>627</v>
      </c>
      <c r="N188" s="65">
        <v>43864</v>
      </c>
      <c r="O188" s="24">
        <v>2050</v>
      </c>
      <c r="P188" s="24">
        <v>23308</v>
      </c>
      <c r="Q188" s="64">
        <v>47781400</v>
      </c>
      <c r="R188" s="64">
        <v>0</v>
      </c>
      <c r="S188" s="64"/>
      <c r="T188" s="64">
        <v>1876191.7142857143</v>
      </c>
      <c r="U188" s="64" t="s">
        <v>628</v>
      </c>
      <c r="V188" s="121">
        <v>49657592</v>
      </c>
      <c r="W188" s="122">
        <v>0</v>
      </c>
      <c r="X188" s="64">
        <v>49657592</v>
      </c>
      <c r="Y188" s="121"/>
      <c r="Z188" s="121"/>
      <c r="AA188" s="121"/>
      <c r="AB188" s="121"/>
      <c r="AC188" s="64">
        <v>49657592</v>
      </c>
      <c r="AD188" s="65">
        <v>43864</v>
      </c>
      <c r="AE188" s="65">
        <v>46784</v>
      </c>
      <c r="AF188" s="62">
        <v>8</v>
      </c>
      <c r="AG188" s="119">
        <v>96</v>
      </c>
      <c r="AH188" s="25">
        <v>517266.58333333331</v>
      </c>
      <c r="AI188" s="78">
        <v>24275870.833333332</v>
      </c>
      <c r="AJ188" s="78">
        <v>25381721.166666668</v>
      </c>
      <c r="AK188" s="27">
        <f t="shared" si="76"/>
        <v>517266.58333333331</v>
      </c>
      <c r="AL188" s="27">
        <f t="shared" si="80"/>
        <v>517266.58333333331</v>
      </c>
      <c r="AM188" s="27">
        <f t="shared" si="80"/>
        <v>517266.58333333331</v>
      </c>
      <c r="AN188" s="27">
        <f t="shared" si="82"/>
        <v>517266.58333333331</v>
      </c>
      <c r="AO188" s="27">
        <f t="shared" si="83"/>
        <v>517266.58333333331</v>
      </c>
      <c r="AP188" s="27">
        <f t="shared" si="83"/>
        <v>517266.58333333331</v>
      </c>
      <c r="AQ188" s="27">
        <f t="shared" si="84"/>
        <v>517266.58333333331</v>
      </c>
      <c r="AR188" s="27">
        <f t="shared" si="85"/>
        <v>517266.58333333331</v>
      </c>
      <c r="AS188" s="27"/>
      <c r="AT188" s="27"/>
      <c r="AU188" s="27"/>
      <c r="AV188" s="27"/>
      <c r="AW188" s="27">
        <f t="shared" si="73"/>
        <v>4138132.666666667</v>
      </c>
      <c r="AX188" s="79">
        <f t="shared" si="77"/>
        <v>21243588.5</v>
      </c>
      <c r="AY188" s="79">
        <f t="shared" si="78"/>
        <v>28414003.5</v>
      </c>
      <c r="AZ188" s="25">
        <v>1</v>
      </c>
      <c r="BA188" s="62" t="s">
        <v>79</v>
      </c>
      <c r="BB188" s="66">
        <v>1</v>
      </c>
      <c r="BC188" s="66"/>
      <c r="BD188" s="66"/>
      <c r="BE188" s="67">
        <f t="shared" si="81"/>
        <v>517266.58333333331</v>
      </c>
      <c r="BF188" s="67">
        <f t="shared" si="86"/>
        <v>0</v>
      </c>
      <c r="BG188" s="67">
        <f t="shared" si="79"/>
        <v>0</v>
      </c>
      <c r="BH188" s="66"/>
      <c r="BI188" s="68" t="s">
        <v>411</v>
      </c>
      <c r="BJ188" s="68" t="s">
        <v>58</v>
      </c>
      <c r="BK188" s="68" t="s">
        <v>59</v>
      </c>
      <c r="BL188" s="29"/>
      <c r="BO188" s="35" t="s">
        <v>1800</v>
      </c>
      <c r="BP188" s="1" t="s">
        <v>1817</v>
      </c>
    </row>
    <row r="189" spans="1:68" ht="15" customHeight="1">
      <c r="A189" s="1" t="s">
        <v>43</v>
      </c>
      <c r="C189" s="1" t="str">
        <f t="shared" si="74"/>
        <v>2802</v>
      </c>
      <c r="D189" s="1" t="str">
        <f t="shared" si="75"/>
        <v>2002</v>
      </c>
      <c r="E189" s="19" t="s">
        <v>48</v>
      </c>
      <c r="F189" s="62" t="s">
        <v>49</v>
      </c>
      <c r="G189" s="62">
        <v>2114</v>
      </c>
      <c r="H189" s="62" t="s">
        <v>634</v>
      </c>
      <c r="I189" s="62" t="s">
        <v>626</v>
      </c>
      <c r="J189" s="118">
        <v>1</v>
      </c>
      <c r="K189" s="119" t="s">
        <v>271</v>
      </c>
      <c r="L189" s="62" t="s">
        <v>601</v>
      </c>
      <c r="M189" s="120" t="s">
        <v>627</v>
      </c>
      <c r="N189" s="65">
        <v>43864</v>
      </c>
      <c r="O189" s="24">
        <v>2050</v>
      </c>
      <c r="P189" s="24">
        <v>23308</v>
      </c>
      <c r="Q189" s="64">
        <v>47781400</v>
      </c>
      <c r="R189" s="64">
        <v>0</v>
      </c>
      <c r="S189" s="64"/>
      <c r="T189" s="64">
        <v>1876191.7142857143</v>
      </c>
      <c r="U189" s="64" t="s">
        <v>628</v>
      </c>
      <c r="V189" s="121">
        <v>49657592</v>
      </c>
      <c r="W189" s="122">
        <v>0</v>
      </c>
      <c r="X189" s="64">
        <v>49657592</v>
      </c>
      <c r="Y189" s="121"/>
      <c r="Z189" s="121"/>
      <c r="AA189" s="121"/>
      <c r="AB189" s="121"/>
      <c r="AC189" s="64">
        <v>49657592</v>
      </c>
      <c r="AD189" s="65">
        <v>43864</v>
      </c>
      <c r="AE189" s="65">
        <v>46784</v>
      </c>
      <c r="AF189" s="62">
        <v>8</v>
      </c>
      <c r="AG189" s="119">
        <v>96</v>
      </c>
      <c r="AH189" s="25">
        <v>517266.58333333331</v>
      </c>
      <c r="AI189" s="78">
        <v>24275870.833333332</v>
      </c>
      <c r="AJ189" s="78">
        <v>25381721.166666668</v>
      </c>
      <c r="AK189" s="27">
        <f t="shared" si="76"/>
        <v>517266.58333333331</v>
      </c>
      <c r="AL189" s="27">
        <f t="shared" si="80"/>
        <v>517266.58333333331</v>
      </c>
      <c r="AM189" s="27">
        <f t="shared" si="80"/>
        <v>517266.58333333331</v>
      </c>
      <c r="AN189" s="27">
        <f t="shared" si="82"/>
        <v>517266.58333333331</v>
      </c>
      <c r="AO189" s="27">
        <f t="shared" si="83"/>
        <v>517266.58333333331</v>
      </c>
      <c r="AP189" s="27">
        <f t="shared" si="83"/>
        <v>517266.58333333331</v>
      </c>
      <c r="AQ189" s="27">
        <f t="shared" si="84"/>
        <v>517266.58333333331</v>
      </c>
      <c r="AR189" s="27">
        <f t="shared" si="85"/>
        <v>517266.58333333331</v>
      </c>
      <c r="AS189" s="27"/>
      <c r="AT189" s="27"/>
      <c r="AU189" s="27"/>
      <c r="AV189" s="27"/>
      <c r="AW189" s="27">
        <f t="shared" si="73"/>
        <v>4138132.666666667</v>
      </c>
      <c r="AX189" s="79">
        <f t="shared" si="77"/>
        <v>21243588.5</v>
      </c>
      <c r="AY189" s="79">
        <f t="shared" si="78"/>
        <v>28414003.5</v>
      </c>
      <c r="AZ189" s="25">
        <v>1</v>
      </c>
      <c r="BA189" s="62" t="s">
        <v>79</v>
      </c>
      <c r="BB189" s="66">
        <v>1</v>
      </c>
      <c r="BC189" s="66"/>
      <c r="BD189" s="66"/>
      <c r="BE189" s="67">
        <f t="shared" si="81"/>
        <v>517266.58333333331</v>
      </c>
      <c r="BF189" s="67">
        <f t="shared" si="86"/>
        <v>0</v>
      </c>
      <c r="BG189" s="67">
        <f t="shared" si="79"/>
        <v>0</v>
      </c>
      <c r="BH189" s="66"/>
      <c r="BI189" s="68" t="s">
        <v>414</v>
      </c>
      <c r="BJ189" s="68" t="s">
        <v>58</v>
      </c>
      <c r="BK189" s="68" t="s">
        <v>59</v>
      </c>
      <c r="BL189" s="29"/>
      <c r="BO189" s="35" t="s">
        <v>1800</v>
      </c>
      <c r="BP189" s="1" t="s">
        <v>1812</v>
      </c>
    </row>
    <row r="190" spans="1:68" ht="15" customHeight="1">
      <c r="A190" s="1" t="s">
        <v>43</v>
      </c>
      <c r="C190" s="1" t="str">
        <f t="shared" si="74"/>
        <v>2802</v>
      </c>
      <c r="D190" s="1" t="str">
        <f t="shared" si="75"/>
        <v>2002</v>
      </c>
      <c r="E190" s="19" t="s">
        <v>48</v>
      </c>
      <c r="F190" s="62" t="s">
        <v>49</v>
      </c>
      <c r="G190" s="62">
        <v>2114</v>
      </c>
      <c r="H190" s="62" t="s">
        <v>635</v>
      </c>
      <c r="I190" s="62" t="s">
        <v>626</v>
      </c>
      <c r="J190" s="118">
        <v>1</v>
      </c>
      <c r="K190" s="119" t="s">
        <v>271</v>
      </c>
      <c r="L190" s="62" t="s">
        <v>601</v>
      </c>
      <c r="M190" s="120" t="s">
        <v>627</v>
      </c>
      <c r="N190" s="65">
        <v>43864</v>
      </c>
      <c r="O190" s="24">
        <v>2050</v>
      </c>
      <c r="P190" s="24">
        <v>23308</v>
      </c>
      <c r="Q190" s="64">
        <v>47781400</v>
      </c>
      <c r="R190" s="64">
        <v>0</v>
      </c>
      <c r="S190" s="64"/>
      <c r="T190" s="64">
        <v>1876191.7142857143</v>
      </c>
      <c r="U190" s="64" t="s">
        <v>628</v>
      </c>
      <c r="V190" s="121">
        <v>49657592</v>
      </c>
      <c r="W190" s="122">
        <v>0</v>
      </c>
      <c r="X190" s="64">
        <v>49657592</v>
      </c>
      <c r="Y190" s="121"/>
      <c r="Z190" s="121"/>
      <c r="AA190" s="121"/>
      <c r="AB190" s="121"/>
      <c r="AC190" s="64">
        <v>49657592</v>
      </c>
      <c r="AD190" s="65">
        <v>43864</v>
      </c>
      <c r="AE190" s="65">
        <v>46784</v>
      </c>
      <c r="AF190" s="62">
        <v>8</v>
      </c>
      <c r="AG190" s="119">
        <v>96</v>
      </c>
      <c r="AH190" s="25">
        <v>517266.58333333331</v>
      </c>
      <c r="AI190" s="78">
        <v>24275870.833333332</v>
      </c>
      <c r="AJ190" s="78">
        <v>25381721.166666668</v>
      </c>
      <c r="AK190" s="27">
        <f t="shared" si="76"/>
        <v>517266.58333333331</v>
      </c>
      <c r="AL190" s="27">
        <f t="shared" si="80"/>
        <v>517266.58333333331</v>
      </c>
      <c r="AM190" s="27">
        <f t="shared" si="80"/>
        <v>517266.58333333331</v>
      </c>
      <c r="AN190" s="27">
        <f t="shared" si="82"/>
        <v>517266.58333333331</v>
      </c>
      <c r="AO190" s="27">
        <f t="shared" si="83"/>
        <v>517266.58333333331</v>
      </c>
      <c r="AP190" s="27">
        <f t="shared" si="83"/>
        <v>517266.58333333331</v>
      </c>
      <c r="AQ190" s="27">
        <f t="shared" si="84"/>
        <v>517266.58333333331</v>
      </c>
      <c r="AR190" s="27">
        <f t="shared" si="85"/>
        <v>517266.58333333331</v>
      </c>
      <c r="AS190" s="27"/>
      <c r="AT190" s="27"/>
      <c r="AU190" s="27"/>
      <c r="AV190" s="27"/>
      <c r="AW190" s="27">
        <f t="shared" si="73"/>
        <v>4138132.666666667</v>
      </c>
      <c r="AX190" s="79">
        <f t="shared" si="77"/>
        <v>21243588.5</v>
      </c>
      <c r="AY190" s="79">
        <f t="shared" si="78"/>
        <v>28414003.5</v>
      </c>
      <c r="AZ190" s="25">
        <v>1</v>
      </c>
      <c r="BA190" s="62" t="s">
        <v>79</v>
      </c>
      <c r="BB190" s="66">
        <v>1</v>
      </c>
      <c r="BC190" s="66"/>
      <c r="BD190" s="66"/>
      <c r="BE190" s="67">
        <f t="shared" si="81"/>
        <v>517266.58333333331</v>
      </c>
      <c r="BF190" s="67">
        <f t="shared" si="86"/>
        <v>0</v>
      </c>
      <c r="BG190" s="67">
        <f t="shared" si="79"/>
        <v>0</v>
      </c>
      <c r="BH190" s="66"/>
      <c r="BI190" s="68" t="s">
        <v>242</v>
      </c>
      <c r="BJ190" s="68" t="s">
        <v>58</v>
      </c>
      <c r="BK190" s="68" t="s">
        <v>59</v>
      </c>
      <c r="BL190" s="29"/>
      <c r="BO190" s="35" t="s">
        <v>1800</v>
      </c>
      <c r="BP190" s="1" t="s">
        <v>1819</v>
      </c>
    </row>
    <row r="191" spans="1:68" ht="15" customHeight="1">
      <c r="A191" s="1" t="s">
        <v>43</v>
      </c>
      <c r="C191" s="1" t="str">
        <f t="shared" si="74"/>
        <v>3005</v>
      </c>
      <c r="D191" s="1" t="str">
        <f t="shared" si="75"/>
        <v>2005</v>
      </c>
      <c r="E191" s="19" t="s">
        <v>48</v>
      </c>
      <c r="F191" s="62" t="s">
        <v>515</v>
      </c>
      <c r="G191" s="62">
        <v>2112</v>
      </c>
      <c r="H191" s="62" t="s">
        <v>636</v>
      </c>
      <c r="I191" s="62" t="s">
        <v>637</v>
      </c>
      <c r="J191" s="118">
        <v>1</v>
      </c>
      <c r="K191" s="119" t="s">
        <v>619</v>
      </c>
      <c r="L191" s="62" t="s">
        <v>638</v>
      </c>
      <c r="M191" s="120" t="s">
        <v>639</v>
      </c>
      <c r="N191" s="65">
        <v>43882</v>
      </c>
      <c r="O191" s="24"/>
      <c r="P191" s="24"/>
      <c r="Q191" s="64">
        <v>470000000</v>
      </c>
      <c r="R191" s="64"/>
      <c r="S191" s="64"/>
      <c r="T191" s="64"/>
      <c r="U191" s="64"/>
      <c r="V191" s="121">
        <v>470000000</v>
      </c>
      <c r="W191" s="122">
        <v>0</v>
      </c>
      <c r="X191" s="64">
        <v>470000000</v>
      </c>
      <c r="Y191" s="121"/>
      <c r="Z191" s="121"/>
      <c r="AA191" s="121"/>
      <c r="AB191" s="121"/>
      <c r="AC191" s="64">
        <v>470000000</v>
      </c>
      <c r="AD191" s="65">
        <v>43956</v>
      </c>
      <c r="AE191" s="65">
        <v>47606</v>
      </c>
      <c r="AF191" s="62">
        <v>10</v>
      </c>
      <c r="AG191" s="119">
        <v>120</v>
      </c>
      <c r="AH191" s="25">
        <v>3916666.6666666665</v>
      </c>
      <c r="AI191" s="78">
        <v>171827967.66666666</v>
      </c>
      <c r="AJ191" s="78">
        <v>298172032.33333331</v>
      </c>
      <c r="AK191" s="27">
        <f t="shared" si="76"/>
        <v>3916666.6666666665</v>
      </c>
      <c r="AL191" s="27">
        <f t="shared" si="80"/>
        <v>3916666.6666666665</v>
      </c>
      <c r="AM191" s="27">
        <f t="shared" si="80"/>
        <v>3916666.6666666665</v>
      </c>
      <c r="AN191" s="27">
        <f t="shared" si="82"/>
        <v>3916666.6666666665</v>
      </c>
      <c r="AO191" s="27">
        <f t="shared" si="83"/>
        <v>3916666.6666666665</v>
      </c>
      <c r="AP191" s="27">
        <f t="shared" si="83"/>
        <v>3916666.6666666665</v>
      </c>
      <c r="AQ191" s="27">
        <f t="shared" si="84"/>
        <v>3916666.6666666665</v>
      </c>
      <c r="AR191" s="27">
        <f t="shared" si="85"/>
        <v>3916666.6666666665</v>
      </c>
      <c r="AS191" s="27"/>
      <c r="AT191" s="27"/>
      <c r="AU191" s="27"/>
      <c r="AV191" s="27"/>
      <c r="AW191" s="27">
        <f t="shared" si="73"/>
        <v>31333333.333333336</v>
      </c>
      <c r="AX191" s="79">
        <f t="shared" si="77"/>
        <v>266838699.00000003</v>
      </c>
      <c r="AY191" s="79">
        <f t="shared" si="78"/>
        <v>203161301</v>
      </c>
      <c r="AZ191" s="25">
        <v>1</v>
      </c>
      <c r="BA191" s="62" t="s">
        <v>97</v>
      </c>
      <c r="BB191" s="66">
        <v>1</v>
      </c>
      <c r="BC191" s="66"/>
      <c r="BD191" s="66"/>
      <c r="BE191" s="67">
        <f t="shared" si="81"/>
        <v>3916666.6666666665</v>
      </c>
      <c r="BF191" s="67">
        <f t="shared" si="86"/>
        <v>0</v>
      </c>
      <c r="BG191" s="67">
        <f t="shared" si="79"/>
        <v>0</v>
      </c>
      <c r="BH191" s="66"/>
      <c r="BI191" s="68" t="s">
        <v>242</v>
      </c>
      <c r="BJ191" s="68" t="s">
        <v>591</v>
      </c>
      <c r="BK191" s="68" t="s">
        <v>59</v>
      </c>
      <c r="BL191" s="29"/>
      <c r="BO191" s="35" t="s">
        <v>1805</v>
      </c>
    </row>
    <row r="192" spans="1:68" ht="15" customHeight="1">
      <c r="A192" s="1" t="s">
        <v>43</v>
      </c>
      <c r="C192" s="1" t="str">
        <f t="shared" si="74"/>
        <v>2512</v>
      </c>
      <c r="D192" s="1" t="str">
        <f t="shared" si="75"/>
        <v>2012</v>
      </c>
      <c r="E192" s="19" t="s">
        <v>48</v>
      </c>
      <c r="F192" s="62" t="s">
        <v>1896</v>
      </c>
      <c r="G192" s="62">
        <v>2112</v>
      </c>
      <c r="H192" s="62" t="s">
        <v>640</v>
      </c>
      <c r="I192" s="62" t="s">
        <v>641</v>
      </c>
      <c r="J192" s="118">
        <v>1</v>
      </c>
      <c r="K192" s="119" t="s">
        <v>271</v>
      </c>
      <c r="L192" s="62" t="s">
        <v>642</v>
      </c>
      <c r="M192" s="120" t="s">
        <v>643</v>
      </c>
      <c r="N192" s="65">
        <v>43921</v>
      </c>
      <c r="O192" s="24"/>
      <c r="P192" s="24"/>
      <c r="Q192" s="64">
        <v>38600000</v>
      </c>
      <c r="R192" s="64"/>
      <c r="S192" s="64"/>
      <c r="T192" s="64"/>
      <c r="U192" s="64"/>
      <c r="V192" s="121">
        <v>38600000</v>
      </c>
      <c r="W192" s="122">
        <v>0</v>
      </c>
      <c r="X192" s="64">
        <v>38600000</v>
      </c>
      <c r="Y192" s="121"/>
      <c r="Z192" s="121"/>
      <c r="AA192" s="121"/>
      <c r="AB192" s="121"/>
      <c r="AC192" s="64">
        <v>38600000</v>
      </c>
      <c r="AD192" s="65">
        <v>44169</v>
      </c>
      <c r="AE192" s="65">
        <v>45994</v>
      </c>
      <c r="AF192" s="62">
        <v>5</v>
      </c>
      <c r="AG192" s="119">
        <v>60</v>
      </c>
      <c r="AH192" s="25">
        <v>643333.33333333337</v>
      </c>
      <c r="AI192" s="78">
        <v>23741066.333333332</v>
      </c>
      <c r="AJ192" s="78">
        <v>14858933.666666668</v>
      </c>
      <c r="AK192" s="27">
        <f t="shared" si="76"/>
        <v>643333.33333333337</v>
      </c>
      <c r="AL192" s="27">
        <f t="shared" si="80"/>
        <v>643333.33333333337</v>
      </c>
      <c r="AM192" s="27">
        <f t="shared" si="80"/>
        <v>643333.33333333337</v>
      </c>
      <c r="AN192" s="27">
        <f t="shared" si="82"/>
        <v>643333.33333333337</v>
      </c>
      <c r="AO192" s="27">
        <f t="shared" si="83"/>
        <v>643333.33333333337</v>
      </c>
      <c r="AP192" s="27">
        <f t="shared" si="83"/>
        <v>643333.33333333337</v>
      </c>
      <c r="AQ192" s="27">
        <f t="shared" si="84"/>
        <v>643333.33333333337</v>
      </c>
      <c r="AR192" s="27">
        <f t="shared" si="85"/>
        <v>643333.33333333337</v>
      </c>
      <c r="AS192" s="27"/>
      <c r="AT192" s="27"/>
      <c r="AU192" s="27"/>
      <c r="AV192" s="27"/>
      <c r="AW192" s="27">
        <f t="shared" si="73"/>
        <v>5146666.666666667</v>
      </c>
      <c r="AX192" s="79">
        <f t="shared" si="77"/>
        <v>9712267</v>
      </c>
      <c r="AY192" s="79">
        <f t="shared" si="78"/>
        <v>28887733</v>
      </c>
      <c r="AZ192" s="25">
        <v>1</v>
      </c>
      <c r="BA192" s="62" t="s">
        <v>97</v>
      </c>
      <c r="BB192" s="66">
        <v>1</v>
      </c>
      <c r="BC192" s="66"/>
      <c r="BD192" s="66"/>
      <c r="BE192" s="67">
        <f t="shared" si="81"/>
        <v>643333.33333333337</v>
      </c>
      <c r="BF192" s="67">
        <f t="shared" si="86"/>
        <v>0</v>
      </c>
      <c r="BG192" s="67">
        <f t="shared" si="79"/>
        <v>0</v>
      </c>
      <c r="BH192" s="66"/>
      <c r="BI192" s="68" t="s">
        <v>242</v>
      </c>
      <c r="BJ192" s="68" t="s">
        <v>1989</v>
      </c>
      <c r="BK192" s="68" t="s">
        <v>1929</v>
      </c>
      <c r="BL192" s="29"/>
      <c r="BO192" s="35" t="s">
        <v>1805</v>
      </c>
    </row>
    <row r="193" spans="1:68" ht="15" customHeight="1">
      <c r="A193" s="1" t="s">
        <v>43</v>
      </c>
      <c r="C193" s="1" t="str">
        <f t="shared" si="74"/>
        <v>2803</v>
      </c>
      <c r="D193" s="1" t="str">
        <f t="shared" si="75"/>
        <v>2003</v>
      </c>
      <c r="E193" s="19" t="s">
        <v>48</v>
      </c>
      <c r="F193" s="62" t="s">
        <v>49</v>
      </c>
      <c r="G193" s="62">
        <v>2112</v>
      </c>
      <c r="H193" s="62" t="s">
        <v>645</v>
      </c>
      <c r="I193" s="62" t="s">
        <v>646</v>
      </c>
      <c r="J193" s="118">
        <v>1</v>
      </c>
      <c r="K193" s="119" t="s">
        <v>271</v>
      </c>
      <c r="L193" s="62" t="s">
        <v>77</v>
      </c>
      <c r="M193" s="120" t="s">
        <v>647</v>
      </c>
      <c r="N193" s="65">
        <v>43901</v>
      </c>
      <c r="O193" s="24">
        <v>1651.97</v>
      </c>
      <c r="P193" s="24">
        <v>23242</v>
      </c>
      <c r="Q193" s="64">
        <v>38395086.740000002</v>
      </c>
      <c r="R193" s="64">
        <v>5735227</v>
      </c>
      <c r="S193" s="64"/>
      <c r="T193" s="64">
        <v>186924.69</v>
      </c>
      <c r="U193" s="64" t="s">
        <v>648</v>
      </c>
      <c r="V193" s="121">
        <v>44317238</v>
      </c>
      <c r="W193" s="122">
        <v>0</v>
      </c>
      <c r="X193" s="64">
        <v>44317238</v>
      </c>
      <c r="Y193" s="121"/>
      <c r="Z193" s="121"/>
      <c r="AA193" s="121"/>
      <c r="AB193" s="121"/>
      <c r="AC193" s="64">
        <v>44317238</v>
      </c>
      <c r="AD193" s="65">
        <v>43920</v>
      </c>
      <c r="AE193" s="65">
        <v>46840</v>
      </c>
      <c r="AF193" s="62">
        <v>8</v>
      </c>
      <c r="AG193" s="119">
        <v>96</v>
      </c>
      <c r="AH193" s="25">
        <v>461637.89583333331</v>
      </c>
      <c r="AI193" s="78">
        <v>20803491.958333332</v>
      </c>
      <c r="AJ193" s="78">
        <v>23513746.041666668</v>
      </c>
      <c r="AK193" s="27">
        <f t="shared" si="76"/>
        <v>461637.89583333331</v>
      </c>
      <c r="AL193" s="27">
        <f t="shared" si="80"/>
        <v>461637.89583333331</v>
      </c>
      <c r="AM193" s="27">
        <f t="shared" si="80"/>
        <v>461637.89583333331</v>
      </c>
      <c r="AN193" s="27">
        <f t="shared" si="82"/>
        <v>461637.89583333331</v>
      </c>
      <c r="AO193" s="27">
        <f t="shared" si="83"/>
        <v>461637.89583333331</v>
      </c>
      <c r="AP193" s="27">
        <f t="shared" si="83"/>
        <v>461637.89583333331</v>
      </c>
      <c r="AQ193" s="27">
        <f t="shared" si="84"/>
        <v>461637.89583333331</v>
      </c>
      <c r="AR193" s="27">
        <f t="shared" si="85"/>
        <v>461637.89583333331</v>
      </c>
      <c r="AS193" s="27"/>
      <c r="AT193" s="27"/>
      <c r="AU193" s="27"/>
      <c r="AV193" s="27"/>
      <c r="AW193" s="27">
        <f t="shared" si="73"/>
        <v>3693103.166666667</v>
      </c>
      <c r="AX193" s="79">
        <f t="shared" si="77"/>
        <v>19820642.875</v>
      </c>
      <c r="AY193" s="79">
        <f t="shared" si="78"/>
        <v>24496595.125</v>
      </c>
      <c r="AZ193" s="25">
        <v>1</v>
      </c>
      <c r="BA193" s="62" t="s">
        <v>97</v>
      </c>
      <c r="BB193" s="66">
        <v>1</v>
      </c>
      <c r="BC193" s="66"/>
      <c r="BD193" s="66"/>
      <c r="BE193" s="67">
        <f t="shared" si="81"/>
        <v>461637.89583333331</v>
      </c>
      <c r="BF193" s="67">
        <f t="shared" si="86"/>
        <v>0</v>
      </c>
      <c r="BG193" s="67">
        <f t="shared" si="79"/>
        <v>0</v>
      </c>
      <c r="BH193" s="66"/>
      <c r="BI193" s="68" t="s">
        <v>80</v>
      </c>
      <c r="BJ193" s="68" t="s">
        <v>121</v>
      </c>
      <c r="BK193" s="68" t="s">
        <v>121</v>
      </c>
      <c r="BL193" s="29"/>
      <c r="BO193" s="35" t="s">
        <v>1804</v>
      </c>
    </row>
    <row r="194" spans="1:68" ht="15" customHeight="1">
      <c r="A194" s="1" t="s">
        <v>43</v>
      </c>
      <c r="C194" s="1" t="str">
        <f t="shared" si="74"/>
        <v>2703</v>
      </c>
      <c r="D194" s="1" t="str">
        <f t="shared" si="75"/>
        <v>2003</v>
      </c>
      <c r="E194" s="19" t="s">
        <v>48</v>
      </c>
      <c r="F194" s="62" t="s">
        <v>649</v>
      </c>
      <c r="G194" s="62">
        <v>2112</v>
      </c>
      <c r="H194" s="62" t="s">
        <v>650</v>
      </c>
      <c r="I194" s="62" t="s">
        <v>651</v>
      </c>
      <c r="J194" s="118">
        <v>1</v>
      </c>
      <c r="K194" s="119" t="s">
        <v>271</v>
      </c>
      <c r="L194" s="62" t="s">
        <v>77</v>
      </c>
      <c r="M194" s="120" t="s">
        <v>652</v>
      </c>
      <c r="N194" s="65">
        <v>43913</v>
      </c>
      <c r="O194" s="24">
        <v>1700</v>
      </c>
      <c r="P194" s="24">
        <v>23287</v>
      </c>
      <c r="Q194" s="64">
        <v>39587900</v>
      </c>
      <c r="R194" s="64">
        <v>0</v>
      </c>
      <c r="S194" s="64"/>
      <c r="T194" s="64">
        <v>791489.34</v>
      </c>
      <c r="U194" s="64" t="s">
        <v>653</v>
      </c>
      <c r="V194" s="121">
        <v>40379389</v>
      </c>
      <c r="W194" s="122">
        <v>0</v>
      </c>
      <c r="X194" s="64">
        <v>40379389</v>
      </c>
      <c r="Y194" s="121"/>
      <c r="Z194" s="121"/>
      <c r="AA194" s="121"/>
      <c r="AB194" s="121"/>
      <c r="AC194" s="64">
        <v>40379389</v>
      </c>
      <c r="AD194" s="65">
        <v>43920</v>
      </c>
      <c r="AE194" s="65">
        <v>46475</v>
      </c>
      <c r="AF194" s="62">
        <v>7</v>
      </c>
      <c r="AG194" s="119">
        <v>84</v>
      </c>
      <c r="AH194" s="25">
        <v>480707.01190476189</v>
      </c>
      <c r="AI194" s="78">
        <v>21662828.119047619</v>
      </c>
      <c r="AJ194" s="78">
        <v>18716560.880952381</v>
      </c>
      <c r="AK194" s="27">
        <f t="shared" si="76"/>
        <v>480707.01190476189</v>
      </c>
      <c r="AL194" s="27">
        <f t="shared" si="80"/>
        <v>480707.01190476189</v>
      </c>
      <c r="AM194" s="27">
        <f t="shared" si="80"/>
        <v>480707.01190476189</v>
      </c>
      <c r="AN194" s="27">
        <f t="shared" si="82"/>
        <v>480707.01190476189</v>
      </c>
      <c r="AO194" s="27">
        <f t="shared" si="83"/>
        <v>480707.01190476189</v>
      </c>
      <c r="AP194" s="27">
        <f t="shared" si="83"/>
        <v>480707.01190476189</v>
      </c>
      <c r="AQ194" s="27">
        <f t="shared" si="84"/>
        <v>480707.01190476189</v>
      </c>
      <c r="AR194" s="27">
        <f t="shared" si="85"/>
        <v>480707.01190476189</v>
      </c>
      <c r="AS194" s="27"/>
      <c r="AT194" s="27"/>
      <c r="AU194" s="27"/>
      <c r="AV194" s="27"/>
      <c r="AW194" s="27">
        <f t="shared" si="73"/>
        <v>3845656.0952380961</v>
      </c>
      <c r="AX194" s="79">
        <f t="shared" si="77"/>
        <v>14870904.785714284</v>
      </c>
      <c r="AY194" s="79">
        <f t="shared" si="78"/>
        <v>25508484.214285716</v>
      </c>
      <c r="AZ194" s="25">
        <v>1</v>
      </c>
      <c r="BA194" s="62" t="s">
        <v>97</v>
      </c>
      <c r="BB194" s="66">
        <v>1</v>
      </c>
      <c r="BC194" s="66"/>
      <c r="BD194" s="66"/>
      <c r="BE194" s="67">
        <f t="shared" si="81"/>
        <v>480707.01190476189</v>
      </c>
      <c r="BF194" s="67">
        <f t="shared" si="86"/>
        <v>0</v>
      </c>
      <c r="BG194" s="67">
        <f t="shared" si="79"/>
        <v>0</v>
      </c>
      <c r="BH194" s="66" t="s">
        <v>1707</v>
      </c>
      <c r="BI194" s="68"/>
      <c r="BJ194" s="68" t="s">
        <v>117</v>
      </c>
      <c r="BK194" s="68" t="s">
        <v>117</v>
      </c>
      <c r="BL194" s="29"/>
      <c r="BM194" s="1" t="s">
        <v>1887</v>
      </c>
      <c r="BO194" s="35" t="s">
        <v>1807</v>
      </c>
    </row>
    <row r="195" spans="1:68" ht="15" customHeight="1">
      <c r="A195" s="1" t="s">
        <v>43</v>
      </c>
      <c r="C195" s="1" t="str">
        <f t="shared" si="74"/>
        <v>2704</v>
      </c>
      <c r="D195" s="1" t="str">
        <f t="shared" si="75"/>
        <v>2004</v>
      </c>
      <c r="E195" s="19" t="s">
        <v>48</v>
      </c>
      <c r="F195" s="62" t="s">
        <v>1896</v>
      </c>
      <c r="G195" s="62">
        <v>2112</v>
      </c>
      <c r="H195" s="62" t="s">
        <v>654</v>
      </c>
      <c r="I195" s="62" t="s">
        <v>655</v>
      </c>
      <c r="J195" s="118">
        <v>1</v>
      </c>
      <c r="K195" s="119" t="s">
        <v>271</v>
      </c>
      <c r="L195" s="62" t="s">
        <v>77</v>
      </c>
      <c r="M195" s="120" t="s">
        <v>652</v>
      </c>
      <c r="N195" s="65">
        <v>43913</v>
      </c>
      <c r="O195" s="24">
        <v>1500</v>
      </c>
      <c r="P195" s="24">
        <v>23287</v>
      </c>
      <c r="Q195" s="64">
        <v>34930500</v>
      </c>
      <c r="R195" s="64">
        <v>700050</v>
      </c>
      <c r="S195" s="64"/>
      <c r="T195" s="64">
        <v>698372.95</v>
      </c>
      <c r="U195" s="64" t="s">
        <v>653</v>
      </c>
      <c r="V195" s="121">
        <v>36328923</v>
      </c>
      <c r="W195" s="122">
        <v>0</v>
      </c>
      <c r="X195" s="64">
        <v>36328923</v>
      </c>
      <c r="Y195" s="121"/>
      <c r="Z195" s="121"/>
      <c r="AA195" s="121"/>
      <c r="AB195" s="121"/>
      <c r="AC195" s="64">
        <v>36328923</v>
      </c>
      <c r="AD195" s="65">
        <v>43936</v>
      </c>
      <c r="AE195" s="65">
        <v>46491</v>
      </c>
      <c r="AF195" s="62">
        <v>7</v>
      </c>
      <c r="AG195" s="119">
        <v>84</v>
      </c>
      <c r="AH195" s="25">
        <v>432487.17857142858</v>
      </c>
      <c r="AI195" s="78">
        <v>19260089.785714284</v>
      </c>
      <c r="AJ195" s="78">
        <v>17068833.214285716</v>
      </c>
      <c r="AK195" s="27">
        <f t="shared" si="76"/>
        <v>432487.17857142858</v>
      </c>
      <c r="AL195" s="27">
        <f t="shared" si="80"/>
        <v>432487.17857142858</v>
      </c>
      <c r="AM195" s="27">
        <f t="shared" si="80"/>
        <v>432487.17857142858</v>
      </c>
      <c r="AN195" s="27">
        <f t="shared" si="82"/>
        <v>432487.17857142858</v>
      </c>
      <c r="AO195" s="27">
        <f t="shared" si="83"/>
        <v>432487.17857142858</v>
      </c>
      <c r="AP195" s="27">
        <f t="shared" si="83"/>
        <v>432487.17857142858</v>
      </c>
      <c r="AQ195" s="27">
        <f t="shared" si="84"/>
        <v>432487.17857142858</v>
      </c>
      <c r="AR195" s="27">
        <f t="shared" si="85"/>
        <v>432487.17857142858</v>
      </c>
      <c r="AS195" s="27"/>
      <c r="AT195" s="27"/>
      <c r="AU195" s="27"/>
      <c r="AV195" s="27"/>
      <c r="AW195" s="27">
        <f t="shared" si="73"/>
        <v>3459897.4285714286</v>
      </c>
      <c r="AX195" s="79">
        <f t="shared" si="77"/>
        <v>13608935.785714287</v>
      </c>
      <c r="AY195" s="79">
        <f t="shared" si="78"/>
        <v>22719987.214285713</v>
      </c>
      <c r="AZ195" s="25">
        <v>1</v>
      </c>
      <c r="BA195" s="62" t="s">
        <v>97</v>
      </c>
      <c r="BB195" s="66">
        <v>1</v>
      </c>
      <c r="BC195" s="66"/>
      <c r="BD195" s="66"/>
      <c r="BE195" s="67">
        <f t="shared" si="81"/>
        <v>432487.17857142858</v>
      </c>
      <c r="BF195" s="67">
        <f t="shared" si="86"/>
        <v>0</v>
      </c>
      <c r="BG195" s="67">
        <f t="shared" si="79"/>
        <v>0</v>
      </c>
      <c r="BH195" s="66"/>
      <c r="BI195" s="68" t="s">
        <v>188</v>
      </c>
      <c r="BJ195" s="68" t="s">
        <v>2049</v>
      </c>
      <c r="BK195" s="68" t="s">
        <v>2049</v>
      </c>
      <c r="BL195" s="29"/>
      <c r="BO195" s="35" t="s">
        <v>1805</v>
      </c>
    </row>
    <row r="196" spans="1:68" ht="15" customHeight="1">
      <c r="A196" s="1" t="s">
        <v>43</v>
      </c>
      <c r="C196" s="1" t="str">
        <f t="shared" si="74"/>
        <v>2704</v>
      </c>
      <c r="D196" s="1" t="str">
        <f t="shared" si="75"/>
        <v>2004</v>
      </c>
      <c r="E196" s="19" t="s">
        <v>48</v>
      </c>
      <c r="F196" s="62" t="s">
        <v>2186</v>
      </c>
      <c r="G196" s="62">
        <v>2112</v>
      </c>
      <c r="H196" s="62" t="s">
        <v>656</v>
      </c>
      <c r="I196" s="62" t="s">
        <v>657</v>
      </c>
      <c r="J196" s="118">
        <v>1</v>
      </c>
      <c r="K196" s="119" t="s">
        <v>271</v>
      </c>
      <c r="L196" s="62" t="s">
        <v>77</v>
      </c>
      <c r="M196" s="120" t="s">
        <v>652</v>
      </c>
      <c r="N196" s="65">
        <v>43913</v>
      </c>
      <c r="O196" s="24">
        <v>1500</v>
      </c>
      <c r="P196" s="24">
        <v>23287</v>
      </c>
      <c r="Q196" s="64">
        <v>34930500</v>
      </c>
      <c r="R196" s="64">
        <v>0</v>
      </c>
      <c r="S196" s="64"/>
      <c r="T196" s="64">
        <v>698372.95</v>
      </c>
      <c r="U196" s="64" t="s">
        <v>653</v>
      </c>
      <c r="V196" s="121">
        <v>35628873</v>
      </c>
      <c r="W196" s="122">
        <v>0</v>
      </c>
      <c r="X196" s="64">
        <v>35628873</v>
      </c>
      <c r="Y196" s="121"/>
      <c r="Z196" s="121"/>
      <c r="AA196" s="121"/>
      <c r="AB196" s="121"/>
      <c r="AC196" s="64">
        <v>35628873</v>
      </c>
      <c r="AD196" s="65">
        <v>43936</v>
      </c>
      <c r="AE196" s="65">
        <v>46491</v>
      </c>
      <c r="AF196" s="62">
        <v>7</v>
      </c>
      <c r="AG196" s="119">
        <v>84</v>
      </c>
      <c r="AH196" s="25">
        <v>424153.25</v>
      </c>
      <c r="AI196" s="78">
        <v>18888949.5</v>
      </c>
      <c r="AJ196" s="78">
        <v>16739923.5</v>
      </c>
      <c r="AK196" s="27">
        <f t="shared" si="76"/>
        <v>424153.25</v>
      </c>
      <c r="AL196" s="27">
        <f t="shared" si="80"/>
        <v>424153.25</v>
      </c>
      <c r="AM196" s="27">
        <f t="shared" si="80"/>
        <v>424153.25</v>
      </c>
      <c r="AN196" s="27">
        <f t="shared" si="82"/>
        <v>424153.25</v>
      </c>
      <c r="AO196" s="27">
        <f t="shared" si="83"/>
        <v>424153.25</v>
      </c>
      <c r="AP196" s="27">
        <f t="shared" si="83"/>
        <v>424153.25</v>
      </c>
      <c r="AQ196" s="27">
        <f t="shared" si="84"/>
        <v>424153.25</v>
      </c>
      <c r="AR196" s="27">
        <f t="shared" si="85"/>
        <v>424153.25</v>
      </c>
      <c r="AS196" s="27"/>
      <c r="AT196" s="27"/>
      <c r="AU196" s="27"/>
      <c r="AV196" s="27"/>
      <c r="AW196" s="27">
        <f t="shared" si="73"/>
        <v>3393226</v>
      </c>
      <c r="AX196" s="79">
        <f t="shared" si="77"/>
        <v>13346697.5</v>
      </c>
      <c r="AY196" s="79">
        <f t="shared" si="78"/>
        <v>22282175.5</v>
      </c>
      <c r="AZ196" s="25">
        <v>1</v>
      </c>
      <c r="BA196" s="62" t="s">
        <v>97</v>
      </c>
      <c r="BB196" s="66">
        <v>1</v>
      </c>
      <c r="BC196" s="66"/>
      <c r="BD196" s="66"/>
      <c r="BE196" s="67">
        <f t="shared" si="81"/>
        <v>424153.25</v>
      </c>
      <c r="BF196" s="67">
        <f t="shared" si="86"/>
        <v>0</v>
      </c>
      <c r="BG196" s="67">
        <f t="shared" si="79"/>
        <v>0</v>
      </c>
      <c r="BH196" s="66"/>
      <c r="BI196" s="68" t="s">
        <v>188</v>
      </c>
      <c r="BJ196" s="68" t="s">
        <v>124</v>
      </c>
      <c r="BK196" s="68" t="s">
        <v>124</v>
      </c>
      <c r="BL196" s="29"/>
      <c r="BO196" s="35" t="s">
        <v>1804</v>
      </c>
    </row>
    <row r="197" spans="1:68" ht="15" customHeight="1">
      <c r="A197" s="1" t="s">
        <v>43</v>
      </c>
      <c r="C197" s="1" t="str">
        <f t="shared" si="74"/>
        <v>2503</v>
      </c>
      <c r="D197" s="1" t="str">
        <f t="shared" si="75"/>
        <v>2003</v>
      </c>
      <c r="E197" s="19" t="s">
        <v>48</v>
      </c>
      <c r="F197" s="62" t="s">
        <v>1896</v>
      </c>
      <c r="G197" s="62">
        <v>2112</v>
      </c>
      <c r="H197" s="62" t="s">
        <v>658</v>
      </c>
      <c r="I197" s="62" t="s">
        <v>659</v>
      </c>
      <c r="J197" s="118">
        <v>1</v>
      </c>
      <c r="K197" s="119" t="s">
        <v>271</v>
      </c>
      <c r="L197" s="62" t="s">
        <v>77</v>
      </c>
      <c r="M197" s="120" t="s">
        <v>652</v>
      </c>
      <c r="N197" s="65">
        <v>43913</v>
      </c>
      <c r="O197" s="24">
        <v>1700</v>
      </c>
      <c r="P197" s="24">
        <v>23287</v>
      </c>
      <c r="Q197" s="64">
        <v>39587900</v>
      </c>
      <c r="R197" s="64">
        <v>0</v>
      </c>
      <c r="S197" s="64"/>
      <c r="T197" s="64">
        <v>791489.34</v>
      </c>
      <c r="U197" s="64" t="s">
        <v>653</v>
      </c>
      <c r="V197" s="121">
        <v>40379389</v>
      </c>
      <c r="W197" s="122">
        <v>0</v>
      </c>
      <c r="X197" s="64">
        <v>40379389</v>
      </c>
      <c r="Y197" s="121"/>
      <c r="Z197" s="121"/>
      <c r="AA197" s="121"/>
      <c r="AB197" s="121"/>
      <c r="AC197" s="64">
        <v>40379389</v>
      </c>
      <c r="AD197" s="65">
        <v>43920</v>
      </c>
      <c r="AE197" s="65">
        <v>45745</v>
      </c>
      <c r="AF197" s="62">
        <v>5</v>
      </c>
      <c r="AG197" s="119">
        <v>60</v>
      </c>
      <c r="AH197" s="25">
        <v>672989.81666666665</v>
      </c>
      <c r="AI197" s="78">
        <v>30327967.166666664</v>
      </c>
      <c r="AJ197" s="78">
        <v>10051421.833333336</v>
      </c>
      <c r="AK197" s="27">
        <f t="shared" si="76"/>
        <v>672989.81666666665</v>
      </c>
      <c r="AL197" s="27">
        <f t="shared" si="80"/>
        <v>672989.81666666665</v>
      </c>
      <c r="AM197" s="27">
        <f t="shared" si="80"/>
        <v>672989.81666666665</v>
      </c>
      <c r="AN197" s="27">
        <f t="shared" si="82"/>
        <v>672989.81666666665</v>
      </c>
      <c r="AO197" s="27">
        <f t="shared" si="83"/>
        <v>672989.81666666665</v>
      </c>
      <c r="AP197" s="27">
        <f t="shared" si="83"/>
        <v>672989.81666666665</v>
      </c>
      <c r="AQ197" s="27">
        <f t="shared" si="84"/>
        <v>672989.81666666665</v>
      </c>
      <c r="AR197" s="27">
        <f t="shared" si="85"/>
        <v>672989.81666666665</v>
      </c>
      <c r="AS197" s="27"/>
      <c r="AT197" s="27"/>
      <c r="AU197" s="27"/>
      <c r="AV197" s="27"/>
      <c r="AW197" s="27">
        <f t="shared" si="73"/>
        <v>5383918.5333333323</v>
      </c>
      <c r="AX197" s="79">
        <f t="shared" si="77"/>
        <v>4667503.3000000035</v>
      </c>
      <c r="AY197" s="79">
        <f t="shared" si="78"/>
        <v>35711885.699999996</v>
      </c>
      <c r="AZ197" s="25">
        <v>1</v>
      </c>
      <c r="BA197" s="62" t="s">
        <v>97</v>
      </c>
      <c r="BB197" s="66">
        <v>1</v>
      </c>
      <c r="BC197" s="66"/>
      <c r="BD197" s="66"/>
      <c r="BE197" s="67">
        <f t="shared" si="81"/>
        <v>672989.81666666665</v>
      </c>
      <c r="BF197" s="67">
        <f t="shared" si="86"/>
        <v>0</v>
      </c>
      <c r="BG197" s="67">
        <f t="shared" si="79"/>
        <v>0</v>
      </c>
      <c r="BH197" s="66"/>
      <c r="BI197" s="68" t="s">
        <v>188</v>
      </c>
      <c r="BJ197" s="68" t="s">
        <v>1930</v>
      </c>
      <c r="BK197" s="68" t="s">
        <v>1930</v>
      </c>
      <c r="BL197" s="29"/>
      <c r="BO197" s="35" t="s">
        <v>1805</v>
      </c>
    </row>
    <row r="198" spans="1:68" ht="15" customHeight="1">
      <c r="A198" s="1" t="s">
        <v>43</v>
      </c>
      <c r="C198" s="1" t="str">
        <f t="shared" si="74"/>
        <v>2709</v>
      </c>
      <c r="D198" s="1" t="str">
        <f t="shared" si="75"/>
        <v>2009</v>
      </c>
      <c r="E198" s="19" t="s">
        <v>48</v>
      </c>
      <c r="F198" s="62" t="s">
        <v>515</v>
      </c>
      <c r="G198" s="62">
        <v>2112</v>
      </c>
      <c r="H198" s="62" t="s">
        <v>660</v>
      </c>
      <c r="I198" s="62" t="s">
        <v>661</v>
      </c>
      <c r="J198" s="118">
        <v>1</v>
      </c>
      <c r="K198" s="119" t="s">
        <v>271</v>
      </c>
      <c r="L198" s="62" t="s">
        <v>77</v>
      </c>
      <c r="M198" s="120" t="s">
        <v>652</v>
      </c>
      <c r="N198" s="65">
        <v>43913</v>
      </c>
      <c r="O198" s="24">
        <v>20000</v>
      </c>
      <c r="P198" s="24">
        <v>23287</v>
      </c>
      <c r="Q198" s="64">
        <v>465740000</v>
      </c>
      <c r="R198" s="64">
        <v>14001000</v>
      </c>
      <c r="S198" s="64"/>
      <c r="T198" s="64">
        <v>9311639.25</v>
      </c>
      <c r="U198" s="64" t="s">
        <v>653</v>
      </c>
      <c r="V198" s="121">
        <v>489052639</v>
      </c>
      <c r="W198" s="122">
        <v>0</v>
      </c>
      <c r="X198" s="64">
        <v>489052639</v>
      </c>
      <c r="Y198" s="121"/>
      <c r="Z198" s="121"/>
      <c r="AA198" s="121"/>
      <c r="AB198" s="121"/>
      <c r="AC198" s="64">
        <v>489052639</v>
      </c>
      <c r="AD198" s="65">
        <v>44084</v>
      </c>
      <c r="AE198" s="65">
        <v>46639</v>
      </c>
      <c r="AF198" s="62">
        <v>7</v>
      </c>
      <c r="AG198" s="119">
        <v>84</v>
      </c>
      <c r="AH198" s="25">
        <v>5822055.2261904757</v>
      </c>
      <c r="AI198" s="78">
        <v>231135586.26190478</v>
      </c>
      <c r="AJ198" s="78">
        <v>257917052.73809522</v>
      </c>
      <c r="AK198" s="27">
        <f t="shared" si="76"/>
        <v>5822055.2261904757</v>
      </c>
      <c r="AL198" s="27">
        <f t="shared" si="80"/>
        <v>5822055.2261904757</v>
      </c>
      <c r="AM198" s="27">
        <f t="shared" si="80"/>
        <v>5822055.2261904757</v>
      </c>
      <c r="AN198" s="27">
        <f t="shared" si="82"/>
        <v>5822055.2261904757</v>
      </c>
      <c r="AO198" s="27">
        <f t="shared" si="83"/>
        <v>5822055.2261904757</v>
      </c>
      <c r="AP198" s="27">
        <f t="shared" si="83"/>
        <v>5822055.2261904757</v>
      </c>
      <c r="AQ198" s="27">
        <f t="shared" si="84"/>
        <v>5822055.2261904757</v>
      </c>
      <c r="AR198" s="27">
        <f t="shared" si="85"/>
        <v>5822055.2261904757</v>
      </c>
      <c r="AS198" s="27"/>
      <c r="AT198" s="27"/>
      <c r="AU198" s="27"/>
      <c r="AV198" s="27"/>
      <c r="AW198" s="27">
        <f t="shared" si="73"/>
        <v>46576441.809523813</v>
      </c>
      <c r="AX198" s="79">
        <f t="shared" si="77"/>
        <v>211340610.9285714</v>
      </c>
      <c r="AY198" s="79">
        <f t="shared" si="78"/>
        <v>277712028.0714286</v>
      </c>
      <c r="AZ198" s="25">
        <v>1</v>
      </c>
      <c r="BA198" s="62" t="s">
        <v>97</v>
      </c>
      <c r="BB198" s="66">
        <v>1</v>
      </c>
      <c r="BC198" s="66"/>
      <c r="BD198" s="66"/>
      <c r="BE198" s="67">
        <f t="shared" si="81"/>
        <v>5822055.2261904757</v>
      </c>
      <c r="BF198" s="67">
        <f t="shared" si="86"/>
        <v>0</v>
      </c>
      <c r="BG198" s="67">
        <f t="shared" si="79"/>
        <v>0</v>
      </c>
      <c r="BH198" s="66"/>
      <c r="BI198" s="68" t="s">
        <v>242</v>
      </c>
      <c r="BJ198" s="68" t="s">
        <v>662</v>
      </c>
      <c r="BK198" s="68" t="s">
        <v>121</v>
      </c>
      <c r="BL198" s="29"/>
      <c r="BO198" s="35" t="s">
        <v>1801</v>
      </c>
    </row>
    <row r="199" spans="1:68" ht="15" customHeight="1">
      <c r="A199" s="1" t="s">
        <v>43</v>
      </c>
      <c r="C199" s="1" t="str">
        <f t="shared" si="74"/>
        <v>2710</v>
      </c>
      <c r="D199" s="1" t="str">
        <f t="shared" si="75"/>
        <v>2010</v>
      </c>
      <c r="E199" s="19" t="s">
        <v>48</v>
      </c>
      <c r="F199" s="62" t="s">
        <v>1896</v>
      </c>
      <c r="G199" s="62">
        <v>2112</v>
      </c>
      <c r="H199" s="62" t="s">
        <v>665</v>
      </c>
      <c r="I199" s="62" t="s">
        <v>666</v>
      </c>
      <c r="J199" s="118">
        <v>1</v>
      </c>
      <c r="K199" s="119" t="s">
        <v>271</v>
      </c>
      <c r="L199" s="62" t="s">
        <v>77</v>
      </c>
      <c r="M199" s="120" t="s">
        <v>652</v>
      </c>
      <c r="N199" s="65">
        <v>43913</v>
      </c>
      <c r="O199" s="24">
        <v>20000</v>
      </c>
      <c r="P199" s="24">
        <v>23287</v>
      </c>
      <c r="Q199" s="64">
        <v>465740000</v>
      </c>
      <c r="R199" s="64">
        <v>0</v>
      </c>
      <c r="S199" s="64"/>
      <c r="T199" s="64">
        <v>9311639.25</v>
      </c>
      <c r="U199" s="64" t="s">
        <v>653</v>
      </c>
      <c r="V199" s="121">
        <v>475051639</v>
      </c>
      <c r="W199" s="122">
        <v>0</v>
      </c>
      <c r="X199" s="64">
        <v>475051639</v>
      </c>
      <c r="Y199" s="121"/>
      <c r="Z199" s="121"/>
      <c r="AA199" s="121"/>
      <c r="AB199" s="121"/>
      <c r="AC199" s="64">
        <v>475051639</v>
      </c>
      <c r="AD199" s="65">
        <v>44113</v>
      </c>
      <c r="AE199" s="65">
        <v>46668</v>
      </c>
      <c r="AF199" s="62">
        <v>7</v>
      </c>
      <c r="AG199" s="119">
        <v>84</v>
      </c>
      <c r="AH199" s="25">
        <v>5655376.6547619049</v>
      </c>
      <c r="AI199" s="78">
        <v>219100247.54761904</v>
      </c>
      <c r="AJ199" s="78">
        <v>255951391.45238096</v>
      </c>
      <c r="AK199" s="27">
        <f t="shared" si="76"/>
        <v>5655376.6547619049</v>
      </c>
      <c r="AL199" s="27">
        <f t="shared" si="80"/>
        <v>5655376.6547619049</v>
      </c>
      <c r="AM199" s="27">
        <f t="shared" si="80"/>
        <v>5655376.6547619049</v>
      </c>
      <c r="AN199" s="27">
        <f t="shared" si="82"/>
        <v>5655376.6547619049</v>
      </c>
      <c r="AO199" s="27">
        <f t="shared" si="83"/>
        <v>5655376.6547619049</v>
      </c>
      <c r="AP199" s="27">
        <f t="shared" si="83"/>
        <v>5655376.6547619049</v>
      </c>
      <c r="AQ199" s="27">
        <f t="shared" si="84"/>
        <v>5655376.6547619049</v>
      </c>
      <c r="AR199" s="27">
        <f t="shared" si="85"/>
        <v>5655376.6547619049</v>
      </c>
      <c r="AS199" s="27"/>
      <c r="AT199" s="27"/>
      <c r="AU199" s="27"/>
      <c r="AV199" s="27"/>
      <c r="AW199" s="27">
        <f t="shared" si="73"/>
        <v>45243013.238095231</v>
      </c>
      <c r="AX199" s="79">
        <f t="shared" si="77"/>
        <v>210708378.21428573</v>
      </c>
      <c r="AY199" s="79">
        <f t="shared" si="78"/>
        <v>264343260.78571427</v>
      </c>
      <c r="AZ199" s="25">
        <v>1</v>
      </c>
      <c r="BA199" s="62" t="s">
        <v>97</v>
      </c>
      <c r="BB199" s="66">
        <v>1</v>
      </c>
      <c r="BC199" s="66"/>
      <c r="BD199" s="66"/>
      <c r="BE199" s="67">
        <f t="shared" si="81"/>
        <v>5655376.6547619049</v>
      </c>
      <c r="BF199" s="67">
        <f t="shared" si="86"/>
        <v>0</v>
      </c>
      <c r="BG199" s="67">
        <f t="shared" si="79"/>
        <v>0</v>
      </c>
      <c r="BH199" s="66"/>
      <c r="BI199" s="68" t="s">
        <v>242</v>
      </c>
      <c r="BJ199" s="68" t="s">
        <v>1979</v>
      </c>
      <c r="BK199" s="68" t="s">
        <v>1979</v>
      </c>
      <c r="BL199" s="29"/>
      <c r="BO199" s="35" t="s">
        <v>1805</v>
      </c>
    </row>
    <row r="200" spans="1:68" ht="15" customHeight="1">
      <c r="A200" s="1" t="s">
        <v>43</v>
      </c>
      <c r="C200" s="1" t="str">
        <f t="shared" si="74"/>
        <v>2709</v>
      </c>
      <c r="D200" s="1" t="str">
        <f t="shared" si="75"/>
        <v>2009</v>
      </c>
      <c r="E200" s="19" t="s">
        <v>48</v>
      </c>
      <c r="F200" s="62" t="s">
        <v>49</v>
      </c>
      <c r="G200" s="62">
        <v>2112</v>
      </c>
      <c r="H200" s="62" t="s">
        <v>667</v>
      </c>
      <c r="I200" s="62" t="s">
        <v>668</v>
      </c>
      <c r="J200" s="118">
        <v>1</v>
      </c>
      <c r="K200" s="119" t="s">
        <v>271</v>
      </c>
      <c r="L200" s="62" t="s">
        <v>77</v>
      </c>
      <c r="M200" s="120" t="s">
        <v>652</v>
      </c>
      <c r="N200" s="65">
        <v>43913</v>
      </c>
      <c r="O200" s="24">
        <v>7430</v>
      </c>
      <c r="P200" s="24">
        <v>23287</v>
      </c>
      <c r="Q200" s="64">
        <v>173022410</v>
      </c>
      <c r="R200" s="64">
        <v>0</v>
      </c>
      <c r="S200" s="64"/>
      <c r="T200" s="64">
        <v>3459273.9800000004</v>
      </c>
      <c r="U200" s="64" t="s">
        <v>653</v>
      </c>
      <c r="V200" s="121">
        <v>176481684</v>
      </c>
      <c r="W200" s="122">
        <v>0</v>
      </c>
      <c r="X200" s="64">
        <v>176481684</v>
      </c>
      <c r="Y200" s="121"/>
      <c r="Z200" s="121"/>
      <c r="AA200" s="121"/>
      <c r="AB200" s="121"/>
      <c r="AC200" s="64">
        <v>176481684</v>
      </c>
      <c r="AD200" s="65">
        <v>44086</v>
      </c>
      <c r="AE200" s="65">
        <v>46641</v>
      </c>
      <c r="AF200" s="62">
        <v>7</v>
      </c>
      <c r="AG200" s="119">
        <v>84</v>
      </c>
      <c r="AH200" s="25">
        <v>2100972.4285714286</v>
      </c>
      <c r="AI200" s="78">
        <v>83268528.285714298</v>
      </c>
      <c r="AJ200" s="78">
        <v>93213155.714285702</v>
      </c>
      <c r="AK200" s="27">
        <f t="shared" si="76"/>
        <v>2100972.4285714286</v>
      </c>
      <c r="AL200" s="27">
        <f t="shared" si="80"/>
        <v>2100972.4285714286</v>
      </c>
      <c r="AM200" s="27">
        <f t="shared" si="80"/>
        <v>2100972.4285714286</v>
      </c>
      <c r="AN200" s="27">
        <f t="shared" si="82"/>
        <v>2100972.4285714286</v>
      </c>
      <c r="AO200" s="27">
        <f t="shared" si="83"/>
        <v>2100972.4285714286</v>
      </c>
      <c r="AP200" s="27">
        <f t="shared" si="83"/>
        <v>2100972.4285714286</v>
      </c>
      <c r="AQ200" s="27">
        <f t="shared" si="84"/>
        <v>2100972.4285714286</v>
      </c>
      <c r="AR200" s="27">
        <f t="shared" si="85"/>
        <v>2100972.4285714286</v>
      </c>
      <c r="AS200" s="27"/>
      <c r="AT200" s="27"/>
      <c r="AU200" s="27"/>
      <c r="AV200" s="27"/>
      <c r="AW200" s="27">
        <f t="shared" ref="AW200:AW261" si="87">+SUM(AK200:AV200)</f>
        <v>16807779.428571429</v>
      </c>
      <c r="AX200" s="79">
        <f t="shared" si="77"/>
        <v>76405376.285714269</v>
      </c>
      <c r="AY200" s="79">
        <f t="shared" si="78"/>
        <v>100076307.71428573</v>
      </c>
      <c r="AZ200" s="25">
        <v>1</v>
      </c>
      <c r="BA200" s="62" t="s">
        <v>97</v>
      </c>
      <c r="BB200" s="66">
        <v>1</v>
      </c>
      <c r="BC200" s="66"/>
      <c r="BD200" s="66"/>
      <c r="BE200" s="67">
        <f t="shared" si="81"/>
        <v>2100972.4285714286</v>
      </c>
      <c r="BF200" s="67">
        <f t="shared" si="86"/>
        <v>0</v>
      </c>
      <c r="BG200" s="67">
        <f t="shared" si="79"/>
        <v>0</v>
      </c>
      <c r="BH200" s="66"/>
      <c r="BI200" s="68">
        <v>0</v>
      </c>
      <c r="BJ200" s="68" t="s">
        <v>58</v>
      </c>
      <c r="BK200" s="68" t="s">
        <v>59</v>
      </c>
      <c r="BL200" s="29"/>
      <c r="BO200" s="35" t="s">
        <v>1801</v>
      </c>
    </row>
    <row r="201" spans="1:68" ht="15" customHeight="1">
      <c r="A201" s="1" t="s">
        <v>43</v>
      </c>
      <c r="C201" s="1" t="str">
        <f t="shared" ref="C201:C262" si="88">+RIGHT(YEAR(AE201),2)&amp;IF(LEN(MONTH(AE201))=2,MONTH(AE201),"0"&amp;MONTH(AE201))</f>
        <v>2509</v>
      </c>
      <c r="D201" s="1" t="str">
        <f t="shared" ref="D201:D262" si="89">+RIGHT(YEAR(AD201),2)&amp;IF(LEN(MONTH(AD201))=2,MONTH(AD201),"0"&amp;MONTH(AD201))</f>
        <v>2009</v>
      </c>
      <c r="E201" s="19" t="s">
        <v>48</v>
      </c>
      <c r="F201" s="62" t="s">
        <v>1896</v>
      </c>
      <c r="G201" s="62">
        <v>2112</v>
      </c>
      <c r="H201" s="62" t="s">
        <v>669</v>
      </c>
      <c r="I201" s="62" t="s">
        <v>670</v>
      </c>
      <c r="J201" s="118">
        <v>1</v>
      </c>
      <c r="K201" s="119" t="s">
        <v>271</v>
      </c>
      <c r="L201" s="62" t="s">
        <v>77</v>
      </c>
      <c r="M201" s="120" t="s">
        <v>652</v>
      </c>
      <c r="N201" s="65">
        <v>43913</v>
      </c>
      <c r="O201" s="24">
        <v>1420</v>
      </c>
      <c r="P201" s="24">
        <v>23287</v>
      </c>
      <c r="Q201" s="64">
        <v>33067540</v>
      </c>
      <c r="R201" s="64">
        <v>0</v>
      </c>
      <c r="S201" s="64"/>
      <c r="T201" s="64">
        <v>661126.39</v>
      </c>
      <c r="U201" s="64" t="s">
        <v>653</v>
      </c>
      <c r="V201" s="121">
        <v>33728666</v>
      </c>
      <c r="W201" s="122">
        <v>0</v>
      </c>
      <c r="X201" s="64">
        <v>33728666</v>
      </c>
      <c r="Y201" s="121"/>
      <c r="Z201" s="121"/>
      <c r="AA201" s="121"/>
      <c r="AB201" s="121"/>
      <c r="AC201" s="64">
        <v>33728666</v>
      </c>
      <c r="AD201" s="65">
        <v>44087</v>
      </c>
      <c r="AE201" s="65">
        <v>45912</v>
      </c>
      <c r="AF201" s="62">
        <v>5</v>
      </c>
      <c r="AG201" s="119">
        <v>60</v>
      </c>
      <c r="AH201" s="25">
        <v>562144.43333333335</v>
      </c>
      <c r="AI201" s="78">
        <v>22260907.333333336</v>
      </c>
      <c r="AJ201" s="78">
        <v>11467758.666666664</v>
      </c>
      <c r="AK201" s="27">
        <f t="shared" ref="AK201:AK262" si="90">+IF(AND(AK$3&gt;=$D201,AK$3&lt;$C201),$AH201,$AJ201)</f>
        <v>562144.43333333335</v>
      </c>
      <c r="AL201" s="27">
        <f t="shared" si="80"/>
        <v>562144.43333333335</v>
      </c>
      <c r="AM201" s="27">
        <f t="shared" si="80"/>
        <v>562144.43333333335</v>
      </c>
      <c r="AN201" s="27">
        <f t="shared" si="82"/>
        <v>562144.43333333335</v>
      </c>
      <c r="AO201" s="27">
        <f t="shared" si="83"/>
        <v>562144.43333333335</v>
      </c>
      <c r="AP201" s="27">
        <f t="shared" si="83"/>
        <v>562144.43333333335</v>
      </c>
      <c r="AQ201" s="27">
        <f t="shared" si="84"/>
        <v>562144.43333333335</v>
      </c>
      <c r="AR201" s="27">
        <f t="shared" si="85"/>
        <v>562144.43333333335</v>
      </c>
      <c r="AS201" s="27"/>
      <c r="AT201" s="27"/>
      <c r="AU201" s="27"/>
      <c r="AV201" s="27"/>
      <c r="AW201" s="27">
        <f t="shared" si="87"/>
        <v>4497155.4666666677</v>
      </c>
      <c r="AX201" s="79">
        <f t="shared" ref="AX201:AX262" si="91">AC201-AI201-AW201</f>
        <v>6970603.1999999965</v>
      </c>
      <c r="AY201" s="79">
        <f t="shared" ref="AY201:AY262" si="92">AW201+AI201</f>
        <v>26758062.800000004</v>
      </c>
      <c r="AZ201" s="25">
        <v>1</v>
      </c>
      <c r="BA201" s="62" t="s">
        <v>97</v>
      </c>
      <c r="BB201" s="66">
        <v>1</v>
      </c>
      <c r="BC201" s="66"/>
      <c r="BD201" s="66"/>
      <c r="BE201" s="67">
        <f t="shared" si="81"/>
        <v>562144.43333333335</v>
      </c>
      <c r="BF201" s="67">
        <f t="shared" si="86"/>
        <v>0</v>
      </c>
      <c r="BG201" s="67">
        <f t="shared" si="79"/>
        <v>0</v>
      </c>
      <c r="BH201" s="66"/>
      <c r="BI201" s="68" t="s">
        <v>671</v>
      </c>
      <c r="BJ201" s="68" t="s">
        <v>1929</v>
      </c>
      <c r="BK201" s="68" t="s">
        <v>1989</v>
      </c>
      <c r="BL201" s="29"/>
      <c r="BO201" s="35" t="s">
        <v>1804</v>
      </c>
    </row>
    <row r="202" spans="1:68" ht="15" customHeight="1">
      <c r="A202" s="1" t="s">
        <v>43</v>
      </c>
      <c r="C202" s="1" t="str">
        <f t="shared" si="88"/>
        <v>3003</v>
      </c>
      <c r="D202" s="1" t="str">
        <f t="shared" si="89"/>
        <v>2003</v>
      </c>
      <c r="E202" s="19" t="s">
        <v>48</v>
      </c>
      <c r="F202" s="62" t="s">
        <v>1896</v>
      </c>
      <c r="G202" s="62">
        <v>2112</v>
      </c>
      <c r="H202" s="62" t="s">
        <v>672</v>
      </c>
      <c r="I202" s="62" t="s">
        <v>673</v>
      </c>
      <c r="J202" s="118">
        <v>1</v>
      </c>
      <c r="K202" s="119" t="s">
        <v>619</v>
      </c>
      <c r="L202" s="62" t="s">
        <v>77</v>
      </c>
      <c r="M202" s="120" t="s">
        <v>674</v>
      </c>
      <c r="N202" s="65">
        <v>43914</v>
      </c>
      <c r="O202" s="24">
        <v>143000</v>
      </c>
      <c r="P202" s="24">
        <v>23368</v>
      </c>
      <c r="Q202" s="64">
        <v>3341624000</v>
      </c>
      <c r="R202" s="64">
        <v>0</v>
      </c>
      <c r="S202" s="64"/>
      <c r="T202" s="64">
        <v>3500000</v>
      </c>
      <c r="U202" s="64" t="s">
        <v>675</v>
      </c>
      <c r="V202" s="121">
        <v>3345124000</v>
      </c>
      <c r="W202" s="122">
        <v>0</v>
      </c>
      <c r="X202" s="64">
        <v>3345124000</v>
      </c>
      <c r="Y202" s="121"/>
      <c r="Z202" s="121"/>
      <c r="AA202" s="121"/>
      <c r="AB202" s="121"/>
      <c r="AC202" s="64">
        <v>3345124000</v>
      </c>
      <c r="AD202" s="65">
        <v>43920</v>
      </c>
      <c r="AE202" s="65">
        <v>47570</v>
      </c>
      <c r="AF202" s="62">
        <v>10</v>
      </c>
      <c r="AG202" s="119">
        <v>120</v>
      </c>
      <c r="AH202" s="25">
        <v>27876033.333333332</v>
      </c>
      <c r="AI202" s="78">
        <v>1256219942.3333333</v>
      </c>
      <c r="AJ202" s="78">
        <v>2088904057.6666667</v>
      </c>
      <c r="AK202" s="27">
        <f t="shared" si="90"/>
        <v>27876033.333333332</v>
      </c>
      <c r="AL202" s="27">
        <f t="shared" si="80"/>
        <v>27876033.333333332</v>
      </c>
      <c r="AM202" s="27">
        <f t="shared" si="80"/>
        <v>27876033.333333332</v>
      </c>
      <c r="AN202" s="27">
        <f t="shared" si="82"/>
        <v>27876033.333333332</v>
      </c>
      <c r="AO202" s="27">
        <f t="shared" si="83"/>
        <v>27876033.333333332</v>
      </c>
      <c r="AP202" s="27">
        <f t="shared" si="83"/>
        <v>27876033.333333332</v>
      </c>
      <c r="AQ202" s="27">
        <f t="shared" si="84"/>
        <v>27876033.333333332</v>
      </c>
      <c r="AR202" s="27">
        <f t="shared" si="85"/>
        <v>27876033.333333332</v>
      </c>
      <c r="AS202" s="27"/>
      <c r="AT202" s="27"/>
      <c r="AU202" s="27"/>
      <c r="AV202" s="27"/>
      <c r="AW202" s="27">
        <f t="shared" si="87"/>
        <v>223008266.66666669</v>
      </c>
      <c r="AX202" s="79">
        <f t="shared" si="91"/>
        <v>1865895791</v>
      </c>
      <c r="AY202" s="79">
        <f t="shared" si="92"/>
        <v>1479228209</v>
      </c>
      <c r="AZ202" s="25">
        <v>1</v>
      </c>
      <c r="BA202" s="62" t="s">
        <v>97</v>
      </c>
      <c r="BB202" s="66">
        <v>1</v>
      </c>
      <c r="BC202" s="66"/>
      <c r="BD202" s="66"/>
      <c r="BE202" s="67">
        <f t="shared" si="81"/>
        <v>27876033.333333332</v>
      </c>
      <c r="BF202" s="67">
        <f t="shared" si="86"/>
        <v>0</v>
      </c>
      <c r="BG202" s="67">
        <f t="shared" si="79"/>
        <v>0</v>
      </c>
      <c r="BH202" s="66"/>
      <c r="BI202" s="68" t="s">
        <v>80</v>
      </c>
      <c r="BJ202" s="68" t="s">
        <v>1979</v>
      </c>
      <c r="BK202" s="68" t="s">
        <v>1979</v>
      </c>
      <c r="BL202" s="29"/>
      <c r="BO202" s="35" t="s">
        <v>1801</v>
      </c>
      <c r="BP202" s="1" t="s">
        <v>1813</v>
      </c>
    </row>
    <row r="203" spans="1:68" ht="15" customHeight="1">
      <c r="A203" s="1" t="s">
        <v>43</v>
      </c>
      <c r="C203" s="1" t="str">
        <f t="shared" si="88"/>
        <v>2906</v>
      </c>
      <c r="D203" s="1" t="str">
        <f t="shared" si="89"/>
        <v>2106</v>
      </c>
      <c r="E203" s="19" t="s">
        <v>48</v>
      </c>
      <c r="F203" s="62" t="s">
        <v>515</v>
      </c>
      <c r="G203" s="62">
        <v>2112</v>
      </c>
      <c r="H203" s="62" t="s">
        <v>676</v>
      </c>
      <c r="I203" s="62" t="s">
        <v>677</v>
      </c>
      <c r="J203" s="118">
        <v>1</v>
      </c>
      <c r="K203" s="119" t="s">
        <v>619</v>
      </c>
      <c r="L203" s="62" t="s">
        <v>77</v>
      </c>
      <c r="M203" s="120" t="s">
        <v>678</v>
      </c>
      <c r="N203" s="65">
        <v>43916</v>
      </c>
      <c r="O203" s="24">
        <v>2450</v>
      </c>
      <c r="P203" s="24">
        <v>23665</v>
      </c>
      <c r="Q203" s="64">
        <v>57979250</v>
      </c>
      <c r="R203" s="64">
        <v>2858538</v>
      </c>
      <c r="S203" s="64"/>
      <c r="T203" s="64">
        <v>901932.99</v>
      </c>
      <c r="U203" s="64" t="s">
        <v>679</v>
      </c>
      <c r="V203" s="121">
        <v>61739721</v>
      </c>
      <c r="W203" s="122">
        <v>0</v>
      </c>
      <c r="X203" s="64">
        <v>61739721</v>
      </c>
      <c r="Y203" s="121"/>
      <c r="Z203" s="121"/>
      <c r="AA203" s="121"/>
      <c r="AB203" s="121"/>
      <c r="AC203" s="64">
        <v>61739721</v>
      </c>
      <c r="AD203" s="65">
        <v>44367</v>
      </c>
      <c r="AE203" s="65">
        <v>47287</v>
      </c>
      <c r="AF203" s="62">
        <v>8</v>
      </c>
      <c r="AG203" s="119">
        <v>96</v>
      </c>
      <c r="AH203" s="25">
        <v>643122.09375</v>
      </c>
      <c r="AI203" s="78">
        <v>19529472.337499999</v>
      </c>
      <c r="AJ203" s="78">
        <v>42210248.662500001</v>
      </c>
      <c r="AK203" s="27">
        <f t="shared" si="90"/>
        <v>643122.09375</v>
      </c>
      <c r="AL203" s="27">
        <f t="shared" si="80"/>
        <v>643122.09375</v>
      </c>
      <c r="AM203" s="27">
        <f t="shared" si="80"/>
        <v>643122.09375</v>
      </c>
      <c r="AN203" s="27">
        <f t="shared" si="82"/>
        <v>643122.09375</v>
      </c>
      <c r="AO203" s="27">
        <f t="shared" si="83"/>
        <v>643122.09375</v>
      </c>
      <c r="AP203" s="27">
        <f t="shared" si="83"/>
        <v>643122.09375</v>
      </c>
      <c r="AQ203" s="27">
        <f t="shared" si="84"/>
        <v>643122.09375</v>
      </c>
      <c r="AR203" s="27">
        <f t="shared" si="85"/>
        <v>643122.09375</v>
      </c>
      <c r="AS203" s="27"/>
      <c r="AT203" s="27"/>
      <c r="AU203" s="27"/>
      <c r="AV203" s="27"/>
      <c r="AW203" s="27">
        <f t="shared" si="87"/>
        <v>5144976.75</v>
      </c>
      <c r="AX203" s="79">
        <f t="shared" si="91"/>
        <v>37065271.912500001</v>
      </c>
      <c r="AY203" s="79">
        <f t="shared" si="92"/>
        <v>24674449.087499999</v>
      </c>
      <c r="AZ203" s="25">
        <v>1</v>
      </c>
      <c r="BA203" s="62" t="s">
        <v>97</v>
      </c>
      <c r="BB203" s="66">
        <v>1</v>
      </c>
      <c r="BC203" s="66"/>
      <c r="BD203" s="66"/>
      <c r="BE203" s="67">
        <f t="shared" si="81"/>
        <v>643122.09375</v>
      </c>
      <c r="BF203" s="67">
        <f t="shared" si="86"/>
        <v>0</v>
      </c>
      <c r="BG203" s="67">
        <f t="shared" si="79"/>
        <v>0</v>
      </c>
      <c r="BH203" s="66"/>
      <c r="BI203" s="68" t="s">
        <v>242</v>
      </c>
      <c r="BJ203" s="68" t="s">
        <v>399</v>
      </c>
      <c r="BK203" s="68" t="s">
        <v>98</v>
      </c>
      <c r="BL203" s="29"/>
      <c r="BO203" s="35" t="s">
        <v>1801</v>
      </c>
    </row>
    <row r="204" spans="1:68" ht="15" customHeight="1">
      <c r="A204" s="1" t="s">
        <v>43</v>
      </c>
      <c r="C204" s="1" t="str">
        <f t="shared" si="88"/>
        <v>2804</v>
      </c>
      <c r="D204" s="1" t="str">
        <f t="shared" si="89"/>
        <v>2004</v>
      </c>
      <c r="E204" s="19" t="s">
        <v>48</v>
      </c>
      <c r="F204" s="62" t="s">
        <v>1896</v>
      </c>
      <c r="G204" s="62">
        <v>2112</v>
      </c>
      <c r="H204" s="62" t="s">
        <v>680</v>
      </c>
      <c r="I204" s="62" t="s">
        <v>681</v>
      </c>
      <c r="J204" s="118">
        <v>1</v>
      </c>
      <c r="K204" s="119" t="s">
        <v>619</v>
      </c>
      <c r="L204" s="62" t="s">
        <v>77</v>
      </c>
      <c r="M204" s="120" t="s">
        <v>678</v>
      </c>
      <c r="N204" s="65">
        <v>43916</v>
      </c>
      <c r="O204" s="24">
        <v>25500</v>
      </c>
      <c r="P204" s="24">
        <v>23665</v>
      </c>
      <c r="Q204" s="64">
        <v>603457500</v>
      </c>
      <c r="R204" s="64">
        <v>0</v>
      </c>
      <c r="S204" s="64"/>
      <c r="T204" s="64">
        <v>9387465.8399999999</v>
      </c>
      <c r="U204" s="64" t="s">
        <v>679</v>
      </c>
      <c r="V204" s="121">
        <v>612844966</v>
      </c>
      <c r="W204" s="122">
        <v>0</v>
      </c>
      <c r="X204" s="64">
        <v>612844966</v>
      </c>
      <c r="Y204" s="121"/>
      <c r="Z204" s="121"/>
      <c r="AA204" s="121"/>
      <c r="AB204" s="121"/>
      <c r="AC204" s="64">
        <v>612844966</v>
      </c>
      <c r="AD204" s="65">
        <v>43946</v>
      </c>
      <c r="AE204" s="65">
        <v>46866</v>
      </c>
      <c r="AF204" s="62">
        <v>8</v>
      </c>
      <c r="AG204" s="119">
        <v>96</v>
      </c>
      <c r="AH204" s="25">
        <v>6383801.729166667</v>
      </c>
      <c r="AI204" s="78">
        <v>282164045.29166669</v>
      </c>
      <c r="AJ204" s="78">
        <v>330680920.70833331</v>
      </c>
      <c r="AK204" s="27">
        <f t="shared" si="90"/>
        <v>6383801.729166667</v>
      </c>
      <c r="AL204" s="27">
        <f t="shared" si="80"/>
        <v>6383801.729166667</v>
      </c>
      <c r="AM204" s="27">
        <f t="shared" si="80"/>
        <v>6383801.729166667</v>
      </c>
      <c r="AN204" s="27">
        <f t="shared" si="82"/>
        <v>6383801.729166667</v>
      </c>
      <c r="AO204" s="27">
        <f t="shared" si="83"/>
        <v>6383801.729166667</v>
      </c>
      <c r="AP204" s="27">
        <f t="shared" si="83"/>
        <v>6383801.729166667</v>
      </c>
      <c r="AQ204" s="27">
        <f t="shared" si="84"/>
        <v>6383801.729166667</v>
      </c>
      <c r="AR204" s="27">
        <f t="shared" si="85"/>
        <v>6383801.729166667</v>
      </c>
      <c r="AS204" s="27"/>
      <c r="AT204" s="27"/>
      <c r="AU204" s="27"/>
      <c r="AV204" s="27"/>
      <c r="AW204" s="27">
        <f t="shared" si="87"/>
        <v>51070413.833333328</v>
      </c>
      <c r="AX204" s="79">
        <f t="shared" si="91"/>
        <v>279610506.875</v>
      </c>
      <c r="AY204" s="79">
        <f t="shared" si="92"/>
        <v>333234459.125</v>
      </c>
      <c r="AZ204" s="25">
        <v>1</v>
      </c>
      <c r="BA204" s="62" t="s">
        <v>97</v>
      </c>
      <c r="BB204" s="66">
        <v>1</v>
      </c>
      <c r="BC204" s="66"/>
      <c r="BD204" s="66"/>
      <c r="BE204" s="67">
        <f t="shared" si="81"/>
        <v>6383801.729166667</v>
      </c>
      <c r="BF204" s="67">
        <f t="shared" si="86"/>
        <v>0</v>
      </c>
      <c r="BG204" s="67">
        <f t="shared" ref="BG204:BG265" si="93">+$AL204*BD204</f>
        <v>0</v>
      </c>
      <c r="BH204" s="66"/>
      <c r="BI204" s="68" t="s">
        <v>188</v>
      </c>
      <c r="BJ204" s="68" t="s">
        <v>1930</v>
      </c>
      <c r="BK204" s="68" t="s">
        <v>1930</v>
      </c>
      <c r="BL204" s="29"/>
      <c r="BO204" s="35" t="s">
        <v>1805</v>
      </c>
    </row>
    <row r="205" spans="1:68" ht="15" customHeight="1">
      <c r="A205" s="1" t="s">
        <v>43</v>
      </c>
      <c r="C205" s="1" t="str">
        <f t="shared" si="88"/>
        <v>2704</v>
      </c>
      <c r="D205" s="1" t="str">
        <f t="shared" si="89"/>
        <v>2004</v>
      </c>
      <c r="E205" s="19" t="s">
        <v>48</v>
      </c>
      <c r="F205" s="62" t="s">
        <v>1923</v>
      </c>
      <c r="G205" s="62">
        <v>2112</v>
      </c>
      <c r="H205" s="62" t="s">
        <v>682</v>
      </c>
      <c r="I205" s="62" t="s">
        <v>683</v>
      </c>
      <c r="J205" s="118">
        <v>1</v>
      </c>
      <c r="K205" s="119" t="s">
        <v>619</v>
      </c>
      <c r="L205" s="62" t="s">
        <v>77</v>
      </c>
      <c r="M205" s="120" t="s">
        <v>678</v>
      </c>
      <c r="N205" s="65">
        <v>43916</v>
      </c>
      <c r="O205" s="24">
        <v>25700</v>
      </c>
      <c r="P205" s="24">
        <v>23665</v>
      </c>
      <c r="Q205" s="64">
        <v>608190500</v>
      </c>
      <c r="R205" s="64">
        <v>0</v>
      </c>
      <c r="S205" s="64"/>
      <c r="T205" s="64">
        <v>9461093.0199999996</v>
      </c>
      <c r="U205" s="64" t="s">
        <v>679</v>
      </c>
      <c r="V205" s="121">
        <v>617651593</v>
      </c>
      <c r="W205" s="122">
        <v>0</v>
      </c>
      <c r="X205" s="64">
        <v>617651593</v>
      </c>
      <c r="Y205" s="121"/>
      <c r="Z205" s="121"/>
      <c r="AA205" s="121"/>
      <c r="AB205" s="121"/>
      <c r="AC205" s="64">
        <v>617651593</v>
      </c>
      <c r="AD205" s="65">
        <v>43941</v>
      </c>
      <c r="AE205" s="65">
        <v>46496</v>
      </c>
      <c r="AF205" s="62">
        <v>7</v>
      </c>
      <c r="AG205" s="119">
        <v>84</v>
      </c>
      <c r="AH205" s="25">
        <v>7352995.1547619049</v>
      </c>
      <c r="AI205" s="78">
        <v>326227879.54761904</v>
      </c>
      <c r="AJ205" s="78">
        <v>291423713.45238096</v>
      </c>
      <c r="AK205" s="27">
        <f t="shared" si="90"/>
        <v>7352995.1547619049</v>
      </c>
      <c r="AL205" s="27">
        <f t="shared" si="80"/>
        <v>7352995.1547619049</v>
      </c>
      <c r="AM205" s="27">
        <f t="shared" si="80"/>
        <v>7352995.1547619049</v>
      </c>
      <c r="AN205" s="27">
        <f t="shared" si="82"/>
        <v>7352995.1547619049</v>
      </c>
      <c r="AO205" s="27">
        <f t="shared" si="83"/>
        <v>7352995.1547619049</v>
      </c>
      <c r="AP205" s="27">
        <f t="shared" si="83"/>
        <v>7352995.1547619049</v>
      </c>
      <c r="AQ205" s="27">
        <f t="shared" si="84"/>
        <v>7352995.1547619049</v>
      </c>
      <c r="AR205" s="27">
        <f t="shared" si="85"/>
        <v>7352995.1547619049</v>
      </c>
      <c r="AS205" s="27"/>
      <c r="AT205" s="27"/>
      <c r="AU205" s="27"/>
      <c r="AV205" s="27"/>
      <c r="AW205" s="27">
        <f t="shared" si="87"/>
        <v>58823961.238095231</v>
      </c>
      <c r="AX205" s="79">
        <f t="shared" si="91"/>
        <v>232599752.21428573</v>
      </c>
      <c r="AY205" s="79">
        <f t="shared" si="92"/>
        <v>385051840.78571427</v>
      </c>
      <c r="AZ205" s="25">
        <v>1</v>
      </c>
      <c r="BA205" s="62" t="s">
        <v>97</v>
      </c>
      <c r="BB205" s="66">
        <v>1</v>
      </c>
      <c r="BC205" s="66"/>
      <c r="BD205" s="66"/>
      <c r="BE205" s="67">
        <f t="shared" si="81"/>
        <v>7352995.1547619049</v>
      </c>
      <c r="BF205" s="67">
        <f t="shared" si="86"/>
        <v>0</v>
      </c>
      <c r="BG205" s="67">
        <f t="shared" si="93"/>
        <v>0</v>
      </c>
      <c r="BH205" s="66"/>
      <c r="BI205" s="68" t="s">
        <v>188</v>
      </c>
      <c r="BJ205" s="68" t="s">
        <v>2049</v>
      </c>
      <c r="BK205" s="68" t="s">
        <v>2049</v>
      </c>
      <c r="BL205" s="29"/>
      <c r="BO205" s="35" t="s">
        <v>1805</v>
      </c>
    </row>
    <row r="206" spans="1:68" ht="15" customHeight="1">
      <c r="A206" s="1" t="s">
        <v>43</v>
      </c>
      <c r="C206" s="1" t="str">
        <f t="shared" si="88"/>
        <v>2704</v>
      </c>
      <c r="D206" s="1" t="str">
        <f t="shared" si="89"/>
        <v>2004</v>
      </c>
      <c r="E206" s="19" t="s">
        <v>48</v>
      </c>
      <c r="F206" s="62" t="s">
        <v>49</v>
      </c>
      <c r="G206" s="62">
        <v>2112</v>
      </c>
      <c r="H206" s="62" t="s">
        <v>684</v>
      </c>
      <c r="I206" s="62" t="s">
        <v>685</v>
      </c>
      <c r="J206" s="118">
        <v>1</v>
      </c>
      <c r="K206" s="119" t="s">
        <v>619</v>
      </c>
      <c r="L206" s="62" t="s">
        <v>77</v>
      </c>
      <c r="M206" s="120" t="s">
        <v>678</v>
      </c>
      <c r="N206" s="65">
        <v>43916</v>
      </c>
      <c r="O206" s="24">
        <v>1500</v>
      </c>
      <c r="P206" s="24">
        <v>23665</v>
      </c>
      <c r="Q206" s="64">
        <v>35497500</v>
      </c>
      <c r="R206" s="64">
        <v>0</v>
      </c>
      <c r="S206" s="64"/>
      <c r="T206" s="64">
        <v>552203.87666666671</v>
      </c>
      <c r="U206" s="64" t="s">
        <v>679</v>
      </c>
      <c r="V206" s="121">
        <v>36049704</v>
      </c>
      <c r="W206" s="122">
        <v>0</v>
      </c>
      <c r="X206" s="64">
        <v>36049704</v>
      </c>
      <c r="Y206" s="121"/>
      <c r="Z206" s="121"/>
      <c r="AA206" s="121"/>
      <c r="AB206" s="121"/>
      <c r="AC206" s="64">
        <v>36049704</v>
      </c>
      <c r="AD206" s="65">
        <v>43936</v>
      </c>
      <c r="AE206" s="65">
        <v>46491</v>
      </c>
      <c r="AF206" s="62">
        <v>7</v>
      </c>
      <c r="AG206" s="119">
        <v>84</v>
      </c>
      <c r="AH206" s="25">
        <v>429163.14285714284</v>
      </c>
      <c r="AI206" s="78">
        <v>19112060.428571425</v>
      </c>
      <c r="AJ206" s="78">
        <v>16937643.571428575</v>
      </c>
      <c r="AK206" s="27">
        <f t="shared" si="90"/>
        <v>429163.14285714284</v>
      </c>
      <c r="AL206" s="27">
        <f t="shared" si="80"/>
        <v>429163.14285714284</v>
      </c>
      <c r="AM206" s="27">
        <f t="shared" si="80"/>
        <v>429163.14285714284</v>
      </c>
      <c r="AN206" s="27">
        <f t="shared" si="82"/>
        <v>429163.14285714284</v>
      </c>
      <c r="AO206" s="27">
        <f t="shared" si="83"/>
        <v>429163.14285714284</v>
      </c>
      <c r="AP206" s="27">
        <f t="shared" si="83"/>
        <v>429163.14285714284</v>
      </c>
      <c r="AQ206" s="27">
        <f t="shared" si="84"/>
        <v>429163.14285714284</v>
      </c>
      <c r="AR206" s="27">
        <f t="shared" si="85"/>
        <v>429163.14285714284</v>
      </c>
      <c r="AS206" s="27"/>
      <c r="AT206" s="27"/>
      <c r="AU206" s="27"/>
      <c r="AV206" s="27"/>
      <c r="AW206" s="27">
        <f t="shared" si="87"/>
        <v>3433305.1428571423</v>
      </c>
      <c r="AX206" s="79">
        <f t="shared" si="91"/>
        <v>13504338.428571433</v>
      </c>
      <c r="AY206" s="79">
        <f t="shared" si="92"/>
        <v>22545365.571428567</v>
      </c>
      <c r="AZ206" s="25">
        <v>1</v>
      </c>
      <c r="BA206" s="62" t="s">
        <v>97</v>
      </c>
      <c r="BB206" s="66">
        <v>1</v>
      </c>
      <c r="BC206" s="66"/>
      <c r="BD206" s="66"/>
      <c r="BE206" s="67">
        <f t="shared" si="81"/>
        <v>429163.14285714284</v>
      </c>
      <c r="BF206" s="67">
        <f t="shared" si="86"/>
        <v>0</v>
      </c>
      <c r="BG206" s="67">
        <f t="shared" si="93"/>
        <v>0</v>
      </c>
      <c r="BH206" s="66"/>
      <c r="BI206" s="68" t="s">
        <v>411</v>
      </c>
      <c r="BJ206" s="68" t="s">
        <v>85</v>
      </c>
      <c r="BK206" s="68" t="s">
        <v>85</v>
      </c>
      <c r="BL206" s="29"/>
      <c r="BO206" s="35" t="s">
        <v>1800</v>
      </c>
      <c r="BP206" s="1" t="s">
        <v>1817</v>
      </c>
    </row>
    <row r="207" spans="1:68" ht="15" customHeight="1">
      <c r="A207" s="1" t="s">
        <v>43</v>
      </c>
      <c r="C207" s="1" t="str">
        <f t="shared" si="88"/>
        <v>2704</v>
      </c>
      <c r="D207" s="1" t="str">
        <f t="shared" si="89"/>
        <v>2004</v>
      </c>
      <c r="E207" s="19" t="s">
        <v>48</v>
      </c>
      <c r="F207" s="62" t="s">
        <v>49</v>
      </c>
      <c r="G207" s="62">
        <v>2112</v>
      </c>
      <c r="H207" s="62" t="s">
        <v>686</v>
      </c>
      <c r="I207" s="62" t="s">
        <v>685</v>
      </c>
      <c r="J207" s="118">
        <v>1</v>
      </c>
      <c r="K207" s="119" t="s">
        <v>619</v>
      </c>
      <c r="L207" s="62" t="s">
        <v>77</v>
      </c>
      <c r="M207" s="120" t="s">
        <v>678</v>
      </c>
      <c r="N207" s="65">
        <v>43916</v>
      </c>
      <c r="O207" s="24">
        <v>1500</v>
      </c>
      <c r="P207" s="24">
        <v>23665</v>
      </c>
      <c r="Q207" s="64">
        <v>35497500</v>
      </c>
      <c r="R207" s="64">
        <v>0</v>
      </c>
      <c r="S207" s="64"/>
      <c r="T207" s="64">
        <v>552203.87666666671</v>
      </c>
      <c r="U207" s="64" t="s">
        <v>679</v>
      </c>
      <c r="V207" s="121">
        <v>36049704</v>
      </c>
      <c r="W207" s="122">
        <v>0</v>
      </c>
      <c r="X207" s="64">
        <v>36049704</v>
      </c>
      <c r="Y207" s="121"/>
      <c r="Z207" s="121"/>
      <c r="AA207" s="121"/>
      <c r="AB207" s="121"/>
      <c r="AC207" s="64">
        <v>36049704</v>
      </c>
      <c r="AD207" s="65">
        <v>43936</v>
      </c>
      <c r="AE207" s="65">
        <v>46491</v>
      </c>
      <c r="AF207" s="62">
        <v>7</v>
      </c>
      <c r="AG207" s="119">
        <v>84</v>
      </c>
      <c r="AH207" s="25">
        <v>429163.14285714284</v>
      </c>
      <c r="AI207" s="78">
        <v>19112060.428571425</v>
      </c>
      <c r="AJ207" s="78">
        <v>16937643.571428575</v>
      </c>
      <c r="AK207" s="27">
        <f t="shared" si="90"/>
        <v>429163.14285714284</v>
      </c>
      <c r="AL207" s="27">
        <f t="shared" ref="AL207:AM268" si="94">+IF(AND(AL$3&gt;=$D207,AL$3&lt;$C207),$AH207,$AJ207-SUM(AJ207:AK207))</f>
        <v>429163.14285714284</v>
      </c>
      <c r="AM207" s="27">
        <f t="shared" si="94"/>
        <v>429163.14285714284</v>
      </c>
      <c r="AN207" s="27">
        <f t="shared" si="82"/>
        <v>429163.14285714284</v>
      </c>
      <c r="AO207" s="27">
        <f t="shared" si="83"/>
        <v>429163.14285714284</v>
      </c>
      <c r="AP207" s="27">
        <f t="shared" si="83"/>
        <v>429163.14285714284</v>
      </c>
      <c r="AQ207" s="27">
        <f t="shared" si="84"/>
        <v>429163.14285714284</v>
      </c>
      <c r="AR207" s="27">
        <f t="shared" si="85"/>
        <v>429163.14285714284</v>
      </c>
      <c r="AS207" s="27"/>
      <c r="AT207" s="27"/>
      <c r="AU207" s="27"/>
      <c r="AV207" s="27"/>
      <c r="AW207" s="27">
        <f t="shared" si="87"/>
        <v>3433305.1428571423</v>
      </c>
      <c r="AX207" s="79">
        <f t="shared" si="91"/>
        <v>13504338.428571433</v>
      </c>
      <c r="AY207" s="79">
        <f t="shared" si="92"/>
        <v>22545365.571428567</v>
      </c>
      <c r="AZ207" s="25">
        <v>1</v>
      </c>
      <c r="BA207" s="62" t="s">
        <v>97</v>
      </c>
      <c r="BB207" s="66">
        <v>1</v>
      </c>
      <c r="BC207" s="66"/>
      <c r="BD207" s="66"/>
      <c r="BE207" s="67">
        <f t="shared" si="81"/>
        <v>429163.14285714284</v>
      </c>
      <c r="BF207" s="67">
        <f t="shared" si="86"/>
        <v>0</v>
      </c>
      <c r="BG207" s="67">
        <f t="shared" si="93"/>
        <v>0</v>
      </c>
      <c r="BH207" s="66"/>
      <c r="BI207" s="68" t="s">
        <v>414</v>
      </c>
      <c r="BJ207" s="68" t="s">
        <v>85</v>
      </c>
      <c r="BK207" s="68" t="s">
        <v>85</v>
      </c>
      <c r="BL207" s="29"/>
      <c r="BO207" s="35" t="s">
        <v>1801</v>
      </c>
      <c r="BP207" s="1" t="s">
        <v>1813</v>
      </c>
    </row>
    <row r="208" spans="1:68" ht="15" customHeight="1">
      <c r="A208" s="1" t="s">
        <v>43</v>
      </c>
      <c r="C208" s="1" t="str">
        <f t="shared" si="88"/>
        <v>2704</v>
      </c>
      <c r="D208" s="1" t="str">
        <f t="shared" si="89"/>
        <v>2004</v>
      </c>
      <c r="E208" s="19" t="s">
        <v>48</v>
      </c>
      <c r="F208" s="62" t="s">
        <v>49</v>
      </c>
      <c r="G208" s="62">
        <v>2112</v>
      </c>
      <c r="H208" s="62" t="s">
        <v>687</v>
      </c>
      <c r="I208" s="62" t="s">
        <v>685</v>
      </c>
      <c r="J208" s="118">
        <v>1</v>
      </c>
      <c r="K208" s="119" t="s">
        <v>619</v>
      </c>
      <c r="L208" s="62" t="s">
        <v>77</v>
      </c>
      <c r="M208" s="120" t="s">
        <v>678</v>
      </c>
      <c r="N208" s="65">
        <v>43916</v>
      </c>
      <c r="O208" s="24">
        <v>1500</v>
      </c>
      <c r="P208" s="24">
        <v>23665</v>
      </c>
      <c r="Q208" s="64">
        <v>35497500</v>
      </c>
      <c r="R208" s="64">
        <v>0</v>
      </c>
      <c r="S208" s="64"/>
      <c r="T208" s="64">
        <v>552203.87666666671</v>
      </c>
      <c r="U208" s="64" t="s">
        <v>679</v>
      </c>
      <c r="V208" s="121">
        <v>36049704</v>
      </c>
      <c r="W208" s="122">
        <v>0</v>
      </c>
      <c r="X208" s="64">
        <v>36049704</v>
      </c>
      <c r="Y208" s="121"/>
      <c r="Z208" s="121"/>
      <c r="AA208" s="121"/>
      <c r="AB208" s="121"/>
      <c r="AC208" s="64">
        <v>36049704</v>
      </c>
      <c r="AD208" s="65">
        <v>43936</v>
      </c>
      <c r="AE208" s="65">
        <v>46491</v>
      </c>
      <c r="AF208" s="62">
        <v>7</v>
      </c>
      <c r="AG208" s="119">
        <v>84</v>
      </c>
      <c r="AH208" s="25">
        <v>429163.14285714284</v>
      </c>
      <c r="AI208" s="78">
        <v>19112060.428571425</v>
      </c>
      <c r="AJ208" s="78">
        <v>16937643.571428575</v>
      </c>
      <c r="AK208" s="27">
        <f t="shared" si="90"/>
        <v>429163.14285714284</v>
      </c>
      <c r="AL208" s="27">
        <f t="shared" si="94"/>
        <v>429163.14285714284</v>
      </c>
      <c r="AM208" s="27">
        <f t="shared" si="94"/>
        <v>429163.14285714284</v>
      </c>
      <c r="AN208" s="27">
        <f t="shared" si="82"/>
        <v>429163.14285714284</v>
      </c>
      <c r="AO208" s="27">
        <f t="shared" si="83"/>
        <v>429163.14285714284</v>
      </c>
      <c r="AP208" s="27">
        <f t="shared" si="83"/>
        <v>429163.14285714284</v>
      </c>
      <c r="AQ208" s="27">
        <f t="shared" si="84"/>
        <v>429163.14285714284</v>
      </c>
      <c r="AR208" s="27">
        <f t="shared" si="85"/>
        <v>429163.14285714284</v>
      </c>
      <c r="AS208" s="27"/>
      <c r="AT208" s="27"/>
      <c r="AU208" s="27"/>
      <c r="AV208" s="27"/>
      <c r="AW208" s="27">
        <f t="shared" si="87"/>
        <v>3433305.1428571423</v>
      </c>
      <c r="AX208" s="79">
        <f t="shared" si="91"/>
        <v>13504338.428571433</v>
      </c>
      <c r="AY208" s="79">
        <f t="shared" si="92"/>
        <v>22545365.571428567</v>
      </c>
      <c r="AZ208" s="25">
        <v>1</v>
      </c>
      <c r="BA208" s="62" t="s">
        <v>97</v>
      </c>
      <c r="BB208" s="66">
        <v>1</v>
      </c>
      <c r="BC208" s="66"/>
      <c r="BD208" s="66"/>
      <c r="BE208" s="67">
        <f t="shared" si="81"/>
        <v>429163.14285714284</v>
      </c>
      <c r="BF208" s="67">
        <f t="shared" si="86"/>
        <v>0</v>
      </c>
      <c r="BG208" s="67">
        <f t="shared" si="93"/>
        <v>0</v>
      </c>
      <c r="BH208" s="66"/>
      <c r="BI208" s="68" t="s">
        <v>414</v>
      </c>
      <c r="BJ208" s="68" t="s">
        <v>85</v>
      </c>
      <c r="BK208" s="68" t="s">
        <v>85</v>
      </c>
      <c r="BL208" s="29"/>
      <c r="BO208" s="35" t="s">
        <v>1800</v>
      </c>
      <c r="BP208" s="1" t="s">
        <v>1814</v>
      </c>
    </row>
    <row r="209" spans="1:68" ht="15" customHeight="1">
      <c r="A209" s="1" t="s">
        <v>43</v>
      </c>
      <c r="C209" s="1" t="str">
        <f t="shared" si="88"/>
        <v>2704</v>
      </c>
      <c r="D209" s="1" t="str">
        <f t="shared" si="89"/>
        <v>2004</v>
      </c>
      <c r="E209" s="19" t="s">
        <v>48</v>
      </c>
      <c r="F209" s="62" t="s">
        <v>49</v>
      </c>
      <c r="G209" s="62">
        <v>2112</v>
      </c>
      <c r="H209" s="62" t="s">
        <v>688</v>
      </c>
      <c r="I209" s="62" t="s">
        <v>689</v>
      </c>
      <c r="J209" s="118">
        <v>1</v>
      </c>
      <c r="K209" s="119" t="s">
        <v>619</v>
      </c>
      <c r="L209" s="62" t="s">
        <v>77</v>
      </c>
      <c r="M209" s="120" t="s">
        <v>678</v>
      </c>
      <c r="N209" s="65">
        <v>43916</v>
      </c>
      <c r="O209" s="24">
        <v>1500</v>
      </c>
      <c r="P209" s="24">
        <v>23665</v>
      </c>
      <c r="Q209" s="64">
        <v>35497500</v>
      </c>
      <c r="R209" s="64">
        <v>0</v>
      </c>
      <c r="S209" s="64"/>
      <c r="T209" s="64">
        <v>552203.87363636354</v>
      </c>
      <c r="U209" s="64" t="s">
        <v>679</v>
      </c>
      <c r="V209" s="121">
        <v>36049704</v>
      </c>
      <c r="W209" s="122">
        <v>0</v>
      </c>
      <c r="X209" s="64">
        <v>36049704</v>
      </c>
      <c r="Y209" s="121"/>
      <c r="Z209" s="121"/>
      <c r="AA209" s="121"/>
      <c r="AB209" s="121"/>
      <c r="AC209" s="64">
        <v>36049704</v>
      </c>
      <c r="AD209" s="65">
        <v>43936</v>
      </c>
      <c r="AE209" s="65">
        <v>46491</v>
      </c>
      <c r="AF209" s="62">
        <v>7</v>
      </c>
      <c r="AG209" s="119">
        <v>84</v>
      </c>
      <c r="AH209" s="25">
        <v>429163.14285714284</v>
      </c>
      <c r="AI209" s="78">
        <v>19112060.428571425</v>
      </c>
      <c r="AJ209" s="78">
        <v>16937643.571428575</v>
      </c>
      <c r="AK209" s="27">
        <f t="shared" si="90"/>
        <v>429163.14285714284</v>
      </c>
      <c r="AL209" s="27">
        <f t="shared" si="94"/>
        <v>429163.14285714284</v>
      </c>
      <c r="AM209" s="27">
        <f t="shared" si="94"/>
        <v>429163.14285714284</v>
      </c>
      <c r="AN209" s="27">
        <f t="shared" si="82"/>
        <v>429163.14285714284</v>
      </c>
      <c r="AO209" s="27">
        <f t="shared" si="83"/>
        <v>429163.14285714284</v>
      </c>
      <c r="AP209" s="27">
        <f t="shared" si="83"/>
        <v>429163.14285714284</v>
      </c>
      <c r="AQ209" s="27">
        <f t="shared" si="84"/>
        <v>429163.14285714284</v>
      </c>
      <c r="AR209" s="27">
        <f t="shared" si="85"/>
        <v>429163.14285714284</v>
      </c>
      <c r="AS209" s="27"/>
      <c r="AT209" s="27"/>
      <c r="AU209" s="27"/>
      <c r="AV209" s="27"/>
      <c r="AW209" s="27">
        <f t="shared" si="87"/>
        <v>3433305.1428571423</v>
      </c>
      <c r="AX209" s="79">
        <f t="shared" si="91"/>
        <v>13504338.428571433</v>
      </c>
      <c r="AY209" s="79">
        <f t="shared" si="92"/>
        <v>22545365.571428567</v>
      </c>
      <c r="AZ209" s="25">
        <v>1</v>
      </c>
      <c r="BA209" s="62" t="s">
        <v>97</v>
      </c>
      <c r="BB209" s="66">
        <v>1</v>
      </c>
      <c r="BC209" s="66"/>
      <c r="BD209" s="66"/>
      <c r="BE209" s="67">
        <f t="shared" si="81"/>
        <v>429163.14285714284</v>
      </c>
      <c r="BF209" s="67">
        <f t="shared" si="86"/>
        <v>0</v>
      </c>
      <c r="BG209" s="67">
        <f t="shared" si="93"/>
        <v>0</v>
      </c>
      <c r="BH209" s="66"/>
      <c r="BI209" s="68" t="s">
        <v>414</v>
      </c>
      <c r="BJ209" s="68" t="s">
        <v>85</v>
      </c>
      <c r="BK209" s="68" t="s">
        <v>85</v>
      </c>
      <c r="BL209" s="29"/>
      <c r="BO209" s="35" t="s">
        <v>1801</v>
      </c>
      <c r="BP209" s="1" t="s">
        <v>1813</v>
      </c>
    </row>
    <row r="210" spans="1:68" ht="15" customHeight="1">
      <c r="A210" s="1" t="s">
        <v>43</v>
      </c>
      <c r="C210" s="1" t="str">
        <f t="shared" si="88"/>
        <v>2704</v>
      </c>
      <c r="D210" s="1" t="str">
        <f t="shared" si="89"/>
        <v>2004</v>
      </c>
      <c r="E210" s="19" t="s">
        <v>48</v>
      </c>
      <c r="F210" s="62" t="s">
        <v>1896</v>
      </c>
      <c r="G210" s="62">
        <v>2112</v>
      </c>
      <c r="H210" s="62" t="s">
        <v>690</v>
      </c>
      <c r="I210" s="62" t="s">
        <v>689</v>
      </c>
      <c r="J210" s="118">
        <v>1</v>
      </c>
      <c r="K210" s="119" t="s">
        <v>619</v>
      </c>
      <c r="L210" s="62" t="s">
        <v>77</v>
      </c>
      <c r="M210" s="120" t="s">
        <v>678</v>
      </c>
      <c r="N210" s="65">
        <v>43916</v>
      </c>
      <c r="O210" s="24">
        <v>1500</v>
      </c>
      <c r="P210" s="24">
        <v>23665</v>
      </c>
      <c r="Q210" s="64">
        <v>35497500</v>
      </c>
      <c r="R210" s="64">
        <v>0</v>
      </c>
      <c r="S210" s="64"/>
      <c r="T210" s="64">
        <v>552203.87363636354</v>
      </c>
      <c r="U210" s="64" t="s">
        <v>679</v>
      </c>
      <c r="V210" s="121">
        <v>36049704</v>
      </c>
      <c r="W210" s="122">
        <v>0</v>
      </c>
      <c r="X210" s="64">
        <v>36049704</v>
      </c>
      <c r="Y210" s="121"/>
      <c r="Z210" s="121"/>
      <c r="AA210" s="121"/>
      <c r="AB210" s="121"/>
      <c r="AC210" s="64">
        <v>36049704</v>
      </c>
      <c r="AD210" s="65">
        <v>43936</v>
      </c>
      <c r="AE210" s="65">
        <v>46491</v>
      </c>
      <c r="AF210" s="62">
        <v>7</v>
      </c>
      <c r="AG210" s="119">
        <v>84</v>
      </c>
      <c r="AH210" s="25">
        <v>429163.14285714284</v>
      </c>
      <c r="AI210" s="78">
        <v>19112060.428571425</v>
      </c>
      <c r="AJ210" s="78">
        <v>16937643.571428575</v>
      </c>
      <c r="AK210" s="27">
        <f t="shared" si="90"/>
        <v>429163.14285714284</v>
      </c>
      <c r="AL210" s="27">
        <f t="shared" si="94"/>
        <v>429163.14285714284</v>
      </c>
      <c r="AM210" s="27">
        <f t="shared" si="94"/>
        <v>429163.14285714284</v>
      </c>
      <c r="AN210" s="27">
        <f t="shared" si="82"/>
        <v>429163.14285714284</v>
      </c>
      <c r="AO210" s="27">
        <f t="shared" si="83"/>
        <v>429163.14285714284</v>
      </c>
      <c r="AP210" s="27">
        <f t="shared" si="83"/>
        <v>429163.14285714284</v>
      </c>
      <c r="AQ210" s="27">
        <f t="shared" si="84"/>
        <v>429163.14285714284</v>
      </c>
      <c r="AR210" s="27">
        <f t="shared" si="85"/>
        <v>429163.14285714284</v>
      </c>
      <c r="AS210" s="27"/>
      <c r="AT210" s="27"/>
      <c r="AU210" s="27"/>
      <c r="AV210" s="27"/>
      <c r="AW210" s="27">
        <f t="shared" si="87"/>
        <v>3433305.1428571423</v>
      </c>
      <c r="AX210" s="79">
        <f t="shared" si="91"/>
        <v>13504338.428571433</v>
      </c>
      <c r="AY210" s="79">
        <f t="shared" si="92"/>
        <v>22545365.571428567</v>
      </c>
      <c r="AZ210" s="25">
        <v>1</v>
      </c>
      <c r="BA210" s="62" t="s">
        <v>97</v>
      </c>
      <c r="BB210" s="66">
        <v>1</v>
      </c>
      <c r="BC210" s="66"/>
      <c r="BD210" s="66"/>
      <c r="BE210" s="67">
        <f t="shared" si="81"/>
        <v>429163.14285714284</v>
      </c>
      <c r="BF210" s="67">
        <f t="shared" si="86"/>
        <v>0</v>
      </c>
      <c r="BG210" s="67">
        <f t="shared" si="93"/>
        <v>0</v>
      </c>
      <c r="BH210" s="66"/>
      <c r="BI210" s="68" t="s">
        <v>414</v>
      </c>
      <c r="BJ210" s="68" t="s">
        <v>1980</v>
      </c>
      <c r="BK210" s="68" t="s">
        <v>1980</v>
      </c>
      <c r="BL210" s="29"/>
      <c r="BO210" s="35" t="s">
        <v>1801</v>
      </c>
      <c r="BP210" s="1" t="s">
        <v>1813</v>
      </c>
    </row>
    <row r="211" spans="1:68" ht="15" customHeight="1">
      <c r="A211" s="1" t="s">
        <v>43</v>
      </c>
      <c r="C211" s="1" t="str">
        <f t="shared" si="88"/>
        <v>2704</v>
      </c>
      <c r="D211" s="1" t="str">
        <f t="shared" si="89"/>
        <v>2004</v>
      </c>
      <c r="E211" s="19" t="s">
        <v>48</v>
      </c>
      <c r="F211" s="62" t="s">
        <v>49</v>
      </c>
      <c r="G211" s="62">
        <v>2112</v>
      </c>
      <c r="H211" s="62" t="s">
        <v>691</v>
      </c>
      <c r="I211" s="62" t="s">
        <v>689</v>
      </c>
      <c r="J211" s="118">
        <v>1</v>
      </c>
      <c r="K211" s="119" t="s">
        <v>619</v>
      </c>
      <c r="L211" s="62" t="s">
        <v>77</v>
      </c>
      <c r="M211" s="120" t="s">
        <v>678</v>
      </c>
      <c r="N211" s="65">
        <v>43916</v>
      </c>
      <c r="O211" s="24">
        <v>1500</v>
      </c>
      <c r="P211" s="24">
        <v>23665</v>
      </c>
      <c r="Q211" s="64">
        <v>35497500</v>
      </c>
      <c r="R211" s="64">
        <v>0</v>
      </c>
      <c r="S211" s="64"/>
      <c r="T211" s="64">
        <v>552203.87363636354</v>
      </c>
      <c r="U211" s="64" t="s">
        <v>679</v>
      </c>
      <c r="V211" s="121">
        <v>36049704</v>
      </c>
      <c r="W211" s="122">
        <v>0</v>
      </c>
      <c r="X211" s="64">
        <v>36049704</v>
      </c>
      <c r="Y211" s="121"/>
      <c r="Z211" s="121"/>
      <c r="AA211" s="121"/>
      <c r="AB211" s="121"/>
      <c r="AC211" s="64">
        <v>36049704</v>
      </c>
      <c r="AD211" s="65">
        <v>43936</v>
      </c>
      <c r="AE211" s="65">
        <v>46491</v>
      </c>
      <c r="AF211" s="62">
        <v>7</v>
      </c>
      <c r="AG211" s="119">
        <v>84</v>
      </c>
      <c r="AH211" s="25">
        <v>429163.14285714284</v>
      </c>
      <c r="AI211" s="78">
        <v>19112060.428571425</v>
      </c>
      <c r="AJ211" s="78">
        <v>16937643.571428575</v>
      </c>
      <c r="AK211" s="27">
        <f t="shared" si="90"/>
        <v>429163.14285714284</v>
      </c>
      <c r="AL211" s="27">
        <f t="shared" si="94"/>
        <v>429163.14285714284</v>
      </c>
      <c r="AM211" s="27">
        <f t="shared" si="94"/>
        <v>429163.14285714284</v>
      </c>
      <c r="AN211" s="27">
        <f t="shared" si="82"/>
        <v>429163.14285714284</v>
      </c>
      <c r="AO211" s="27">
        <f t="shared" si="83"/>
        <v>429163.14285714284</v>
      </c>
      <c r="AP211" s="27">
        <f t="shared" si="83"/>
        <v>429163.14285714284</v>
      </c>
      <c r="AQ211" s="27">
        <f t="shared" si="84"/>
        <v>429163.14285714284</v>
      </c>
      <c r="AR211" s="27">
        <f t="shared" si="85"/>
        <v>429163.14285714284</v>
      </c>
      <c r="AS211" s="27"/>
      <c r="AT211" s="27"/>
      <c r="AU211" s="27"/>
      <c r="AV211" s="27"/>
      <c r="AW211" s="27">
        <f t="shared" si="87"/>
        <v>3433305.1428571423</v>
      </c>
      <c r="AX211" s="79">
        <f t="shared" si="91"/>
        <v>13504338.428571433</v>
      </c>
      <c r="AY211" s="79">
        <f t="shared" si="92"/>
        <v>22545365.571428567</v>
      </c>
      <c r="AZ211" s="25">
        <v>1</v>
      </c>
      <c r="BA211" s="62" t="s">
        <v>97</v>
      </c>
      <c r="BB211" s="66">
        <v>1</v>
      </c>
      <c r="BC211" s="66"/>
      <c r="BD211" s="66"/>
      <c r="BE211" s="67">
        <f t="shared" si="81"/>
        <v>429163.14285714284</v>
      </c>
      <c r="BF211" s="67">
        <f t="shared" si="86"/>
        <v>0</v>
      </c>
      <c r="BG211" s="67">
        <f t="shared" si="93"/>
        <v>0</v>
      </c>
      <c r="BH211" s="66"/>
      <c r="BI211" s="68" t="s">
        <v>498</v>
      </c>
      <c r="BJ211" s="68" t="s">
        <v>85</v>
      </c>
      <c r="BK211" s="68" t="s">
        <v>85</v>
      </c>
      <c r="BL211" s="29"/>
      <c r="BO211" s="35" t="s">
        <v>1800</v>
      </c>
      <c r="BP211" s="1" t="s">
        <v>1815</v>
      </c>
    </row>
    <row r="212" spans="1:68" ht="15" customHeight="1">
      <c r="A212" s="1" t="s">
        <v>43</v>
      </c>
      <c r="C212" s="1" t="str">
        <f t="shared" si="88"/>
        <v>2704</v>
      </c>
      <c r="D212" s="1" t="str">
        <f t="shared" si="89"/>
        <v>2004</v>
      </c>
      <c r="E212" s="19" t="s">
        <v>48</v>
      </c>
      <c r="F212" s="62" t="s">
        <v>49</v>
      </c>
      <c r="G212" s="62">
        <v>2112</v>
      </c>
      <c r="H212" s="62" t="s">
        <v>692</v>
      </c>
      <c r="I212" s="62" t="s">
        <v>689</v>
      </c>
      <c r="J212" s="118">
        <v>1</v>
      </c>
      <c r="K212" s="119" t="s">
        <v>619</v>
      </c>
      <c r="L212" s="62" t="s">
        <v>77</v>
      </c>
      <c r="M212" s="120" t="s">
        <v>678</v>
      </c>
      <c r="N212" s="65">
        <v>43916</v>
      </c>
      <c r="O212" s="24">
        <v>1500</v>
      </c>
      <c r="P212" s="24">
        <v>23665</v>
      </c>
      <c r="Q212" s="64">
        <v>35497500</v>
      </c>
      <c r="R212" s="64">
        <v>0</v>
      </c>
      <c r="S212" s="64"/>
      <c r="T212" s="64">
        <v>552203.87363636354</v>
      </c>
      <c r="U212" s="64" t="s">
        <v>679</v>
      </c>
      <c r="V212" s="121">
        <v>36049704</v>
      </c>
      <c r="W212" s="122">
        <v>0</v>
      </c>
      <c r="X212" s="64">
        <v>36049704</v>
      </c>
      <c r="Y212" s="121"/>
      <c r="Z212" s="121"/>
      <c r="AA212" s="121"/>
      <c r="AB212" s="121"/>
      <c r="AC212" s="64">
        <v>36049704</v>
      </c>
      <c r="AD212" s="65">
        <v>43936</v>
      </c>
      <c r="AE212" s="65">
        <v>46491</v>
      </c>
      <c r="AF212" s="62">
        <v>7</v>
      </c>
      <c r="AG212" s="119">
        <v>84</v>
      </c>
      <c r="AH212" s="25">
        <v>429163.14285714284</v>
      </c>
      <c r="AI212" s="78">
        <v>19112060.428571425</v>
      </c>
      <c r="AJ212" s="78">
        <v>16937643.571428575</v>
      </c>
      <c r="AK212" s="27">
        <f t="shared" si="90"/>
        <v>429163.14285714284</v>
      </c>
      <c r="AL212" s="27">
        <f t="shared" si="94"/>
        <v>429163.14285714284</v>
      </c>
      <c r="AM212" s="27">
        <f t="shared" si="94"/>
        <v>429163.14285714284</v>
      </c>
      <c r="AN212" s="27">
        <f t="shared" si="82"/>
        <v>429163.14285714284</v>
      </c>
      <c r="AO212" s="27">
        <f t="shared" si="83"/>
        <v>429163.14285714284</v>
      </c>
      <c r="AP212" s="27">
        <f t="shared" si="83"/>
        <v>429163.14285714284</v>
      </c>
      <c r="AQ212" s="27">
        <f t="shared" si="84"/>
        <v>429163.14285714284</v>
      </c>
      <c r="AR212" s="27">
        <f t="shared" si="85"/>
        <v>429163.14285714284</v>
      </c>
      <c r="AS212" s="27"/>
      <c r="AT212" s="27"/>
      <c r="AU212" s="27"/>
      <c r="AV212" s="27"/>
      <c r="AW212" s="27">
        <f t="shared" si="87"/>
        <v>3433305.1428571423</v>
      </c>
      <c r="AX212" s="79">
        <f t="shared" si="91"/>
        <v>13504338.428571433</v>
      </c>
      <c r="AY212" s="79">
        <f t="shared" si="92"/>
        <v>22545365.571428567</v>
      </c>
      <c r="AZ212" s="25">
        <v>1</v>
      </c>
      <c r="BA212" s="62" t="s">
        <v>97</v>
      </c>
      <c r="BB212" s="66">
        <v>1</v>
      </c>
      <c r="BC212" s="66"/>
      <c r="BD212" s="66"/>
      <c r="BE212" s="67">
        <f t="shared" si="81"/>
        <v>429163.14285714284</v>
      </c>
      <c r="BF212" s="67">
        <f t="shared" si="86"/>
        <v>0</v>
      </c>
      <c r="BG212" s="67">
        <f t="shared" si="93"/>
        <v>0</v>
      </c>
      <c r="BH212" s="66"/>
      <c r="BI212" s="68" t="s">
        <v>498</v>
      </c>
      <c r="BJ212" s="68" t="s">
        <v>85</v>
      </c>
      <c r="BK212" s="68" t="s">
        <v>85</v>
      </c>
      <c r="BL212" s="29"/>
      <c r="BO212" s="35" t="s">
        <v>1800</v>
      </c>
      <c r="BP212" s="1" t="s">
        <v>1815</v>
      </c>
    </row>
    <row r="213" spans="1:68" ht="15" customHeight="1">
      <c r="A213" s="1" t="s">
        <v>43</v>
      </c>
      <c r="C213" s="1" t="str">
        <f t="shared" si="88"/>
        <v>2704</v>
      </c>
      <c r="D213" s="1" t="str">
        <f t="shared" si="89"/>
        <v>2004</v>
      </c>
      <c r="E213" s="19" t="s">
        <v>48</v>
      </c>
      <c r="F213" s="62" t="s">
        <v>49</v>
      </c>
      <c r="G213" s="62">
        <v>2112</v>
      </c>
      <c r="H213" s="62" t="s">
        <v>693</v>
      </c>
      <c r="I213" s="62" t="s">
        <v>689</v>
      </c>
      <c r="J213" s="118">
        <v>1</v>
      </c>
      <c r="K213" s="119" t="s">
        <v>619</v>
      </c>
      <c r="L213" s="62" t="s">
        <v>77</v>
      </c>
      <c r="M213" s="120" t="s">
        <v>678</v>
      </c>
      <c r="N213" s="65">
        <v>43916</v>
      </c>
      <c r="O213" s="24">
        <v>1500</v>
      </c>
      <c r="P213" s="24">
        <v>23665</v>
      </c>
      <c r="Q213" s="64">
        <v>35497500</v>
      </c>
      <c r="R213" s="64">
        <v>0</v>
      </c>
      <c r="S213" s="64"/>
      <c r="T213" s="64">
        <v>552203.87363636354</v>
      </c>
      <c r="U213" s="64" t="s">
        <v>679</v>
      </c>
      <c r="V213" s="121">
        <v>36049704</v>
      </c>
      <c r="W213" s="122">
        <v>0</v>
      </c>
      <c r="X213" s="64">
        <v>36049704</v>
      </c>
      <c r="Y213" s="121"/>
      <c r="Z213" s="121"/>
      <c r="AA213" s="121"/>
      <c r="AB213" s="121"/>
      <c r="AC213" s="64">
        <v>36049704</v>
      </c>
      <c r="AD213" s="65">
        <v>43936</v>
      </c>
      <c r="AE213" s="65">
        <v>46491</v>
      </c>
      <c r="AF213" s="62">
        <v>7</v>
      </c>
      <c r="AG213" s="119">
        <v>84</v>
      </c>
      <c r="AH213" s="25">
        <v>429163.14285714284</v>
      </c>
      <c r="AI213" s="78">
        <v>19112060.428571425</v>
      </c>
      <c r="AJ213" s="78">
        <v>16937643.571428575</v>
      </c>
      <c r="AK213" s="27">
        <f t="shared" si="90"/>
        <v>429163.14285714284</v>
      </c>
      <c r="AL213" s="27">
        <f t="shared" si="94"/>
        <v>429163.14285714284</v>
      </c>
      <c r="AM213" s="27">
        <f t="shared" si="94"/>
        <v>429163.14285714284</v>
      </c>
      <c r="AN213" s="27">
        <f t="shared" si="82"/>
        <v>429163.14285714284</v>
      </c>
      <c r="AO213" s="27">
        <f t="shared" si="83"/>
        <v>429163.14285714284</v>
      </c>
      <c r="AP213" s="27">
        <f t="shared" si="83"/>
        <v>429163.14285714284</v>
      </c>
      <c r="AQ213" s="27">
        <f t="shared" si="84"/>
        <v>429163.14285714284</v>
      </c>
      <c r="AR213" s="27">
        <f t="shared" si="85"/>
        <v>429163.14285714284</v>
      </c>
      <c r="AS213" s="27"/>
      <c r="AT213" s="27"/>
      <c r="AU213" s="27"/>
      <c r="AV213" s="27"/>
      <c r="AW213" s="27">
        <f t="shared" si="87"/>
        <v>3433305.1428571423</v>
      </c>
      <c r="AX213" s="79">
        <f t="shared" si="91"/>
        <v>13504338.428571433</v>
      </c>
      <c r="AY213" s="79">
        <f t="shared" si="92"/>
        <v>22545365.571428567</v>
      </c>
      <c r="AZ213" s="25">
        <v>1</v>
      </c>
      <c r="BA213" s="62" t="s">
        <v>97</v>
      </c>
      <c r="BB213" s="66">
        <v>1</v>
      </c>
      <c r="BC213" s="66"/>
      <c r="BD213" s="66"/>
      <c r="BE213" s="67">
        <f t="shared" si="81"/>
        <v>429163.14285714284</v>
      </c>
      <c r="BF213" s="67">
        <f t="shared" si="86"/>
        <v>0</v>
      </c>
      <c r="BG213" s="67">
        <f t="shared" si="93"/>
        <v>0</v>
      </c>
      <c r="BH213" s="66"/>
      <c r="BI213" s="68" t="s">
        <v>498</v>
      </c>
      <c r="BJ213" s="68" t="s">
        <v>85</v>
      </c>
      <c r="BK213" s="68" t="s">
        <v>85</v>
      </c>
      <c r="BL213" s="29"/>
      <c r="BO213" s="35" t="s">
        <v>1800</v>
      </c>
      <c r="BP213" s="1" t="s">
        <v>1815</v>
      </c>
    </row>
    <row r="214" spans="1:68" ht="15" customHeight="1">
      <c r="A214" s="1" t="s">
        <v>43</v>
      </c>
      <c r="C214" s="1" t="str">
        <f t="shared" si="88"/>
        <v>2606</v>
      </c>
      <c r="D214" s="1" t="str">
        <f t="shared" si="89"/>
        <v>2006</v>
      </c>
      <c r="E214" s="19" t="s">
        <v>48</v>
      </c>
      <c r="F214" s="62" t="s">
        <v>49</v>
      </c>
      <c r="G214" s="62">
        <v>2112</v>
      </c>
      <c r="H214" s="62" t="s">
        <v>694</v>
      </c>
      <c r="I214" s="62" t="s">
        <v>689</v>
      </c>
      <c r="J214" s="118">
        <v>1</v>
      </c>
      <c r="K214" s="119" t="s">
        <v>619</v>
      </c>
      <c r="L214" s="62" t="s">
        <v>77</v>
      </c>
      <c r="M214" s="120" t="s">
        <v>678</v>
      </c>
      <c r="N214" s="65">
        <v>43916</v>
      </c>
      <c r="O214" s="24">
        <v>1500</v>
      </c>
      <c r="P214" s="24">
        <v>23665</v>
      </c>
      <c r="Q214" s="64">
        <v>35497500</v>
      </c>
      <c r="R214" s="64">
        <v>0</v>
      </c>
      <c r="S214" s="64"/>
      <c r="T214" s="64">
        <v>552203.87363636354</v>
      </c>
      <c r="U214" s="64" t="s">
        <v>679</v>
      </c>
      <c r="V214" s="121">
        <v>36049704</v>
      </c>
      <c r="W214" s="122">
        <v>0</v>
      </c>
      <c r="X214" s="64">
        <v>36049704</v>
      </c>
      <c r="Y214" s="121"/>
      <c r="Z214" s="121"/>
      <c r="AA214" s="121"/>
      <c r="AB214" s="121"/>
      <c r="AC214" s="64">
        <v>36049704</v>
      </c>
      <c r="AD214" s="63">
        <v>44007</v>
      </c>
      <c r="AE214" s="65">
        <v>46197</v>
      </c>
      <c r="AF214" s="62">
        <v>6</v>
      </c>
      <c r="AG214" s="119">
        <v>72</v>
      </c>
      <c r="AH214" s="25">
        <v>500690.33333333331</v>
      </c>
      <c r="AI214" s="78">
        <v>21129121.333333332</v>
      </c>
      <c r="AJ214" s="78">
        <v>14920582.666666668</v>
      </c>
      <c r="AK214" s="27">
        <f t="shared" si="90"/>
        <v>500690.33333333331</v>
      </c>
      <c r="AL214" s="27">
        <f t="shared" si="94"/>
        <v>500690.33333333331</v>
      </c>
      <c r="AM214" s="27">
        <f t="shared" si="94"/>
        <v>500690.33333333331</v>
      </c>
      <c r="AN214" s="27">
        <f t="shared" si="82"/>
        <v>500690.33333333331</v>
      </c>
      <c r="AO214" s="27">
        <f t="shared" si="83"/>
        <v>500690.33333333331</v>
      </c>
      <c r="AP214" s="27">
        <f t="shared" si="83"/>
        <v>500690.33333333331</v>
      </c>
      <c r="AQ214" s="27">
        <f t="shared" si="84"/>
        <v>500690.33333333331</v>
      </c>
      <c r="AR214" s="27">
        <f t="shared" si="85"/>
        <v>500690.33333333331</v>
      </c>
      <c r="AS214" s="27"/>
      <c r="AT214" s="27"/>
      <c r="AU214" s="27"/>
      <c r="AV214" s="27"/>
      <c r="AW214" s="27">
        <f t="shared" si="87"/>
        <v>4005522.666666667</v>
      </c>
      <c r="AX214" s="79">
        <f t="shared" si="91"/>
        <v>10915060</v>
      </c>
      <c r="AY214" s="79">
        <f t="shared" si="92"/>
        <v>25134644</v>
      </c>
      <c r="AZ214" s="25">
        <v>1</v>
      </c>
      <c r="BA214" s="62" t="s">
        <v>97</v>
      </c>
      <c r="BB214" s="66">
        <v>1</v>
      </c>
      <c r="BC214" s="66"/>
      <c r="BD214" s="66"/>
      <c r="BE214" s="67">
        <f t="shared" si="81"/>
        <v>500690.33333333331</v>
      </c>
      <c r="BF214" s="67">
        <f t="shared" si="86"/>
        <v>0</v>
      </c>
      <c r="BG214" s="67">
        <f t="shared" si="93"/>
        <v>0</v>
      </c>
      <c r="BH214" s="66"/>
      <c r="BI214" s="68" t="s">
        <v>695</v>
      </c>
      <c r="BJ214" s="68" t="s">
        <v>85</v>
      </c>
      <c r="BK214" s="68" t="s">
        <v>85</v>
      </c>
      <c r="BL214" s="29"/>
      <c r="BO214" s="35" t="s">
        <v>1801</v>
      </c>
      <c r="BP214" s="1" t="s">
        <v>1813</v>
      </c>
    </row>
    <row r="215" spans="1:68" ht="15" customHeight="1">
      <c r="A215" s="1" t="s">
        <v>43</v>
      </c>
      <c r="C215" s="1" t="str">
        <f t="shared" si="88"/>
        <v>2606</v>
      </c>
      <c r="D215" s="1" t="str">
        <f t="shared" si="89"/>
        <v>2006</v>
      </c>
      <c r="E215" s="19" t="s">
        <v>48</v>
      </c>
      <c r="F215" s="62" t="s">
        <v>49</v>
      </c>
      <c r="G215" s="62">
        <v>2112</v>
      </c>
      <c r="H215" s="62" t="s">
        <v>696</v>
      </c>
      <c r="I215" s="62" t="s">
        <v>689</v>
      </c>
      <c r="J215" s="118">
        <v>1</v>
      </c>
      <c r="K215" s="119" t="s">
        <v>619</v>
      </c>
      <c r="L215" s="62" t="s">
        <v>77</v>
      </c>
      <c r="M215" s="120" t="s">
        <v>678</v>
      </c>
      <c r="N215" s="65">
        <v>43916</v>
      </c>
      <c r="O215" s="24">
        <v>1500</v>
      </c>
      <c r="P215" s="24">
        <v>23665</v>
      </c>
      <c r="Q215" s="64">
        <v>35497500</v>
      </c>
      <c r="R215" s="64">
        <v>0</v>
      </c>
      <c r="S215" s="64"/>
      <c r="T215" s="64">
        <v>552203.87363636354</v>
      </c>
      <c r="U215" s="64" t="s">
        <v>679</v>
      </c>
      <c r="V215" s="121">
        <v>36049704</v>
      </c>
      <c r="W215" s="122">
        <v>0</v>
      </c>
      <c r="X215" s="64">
        <v>36049704</v>
      </c>
      <c r="Y215" s="121"/>
      <c r="Z215" s="121"/>
      <c r="AA215" s="121"/>
      <c r="AB215" s="121"/>
      <c r="AC215" s="64">
        <v>36049704</v>
      </c>
      <c r="AD215" s="63">
        <v>44007</v>
      </c>
      <c r="AE215" s="65">
        <v>46197</v>
      </c>
      <c r="AF215" s="62">
        <v>6</v>
      </c>
      <c r="AG215" s="119">
        <v>72</v>
      </c>
      <c r="AH215" s="25">
        <v>500690.33333333331</v>
      </c>
      <c r="AI215" s="78">
        <v>21129121.333333332</v>
      </c>
      <c r="AJ215" s="78">
        <v>14920582.666666668</v>
      </c>
      <c r="AK215" s="27">
        <f t="shared" si="90"/>
        <v>500690.33333333331</v>
      </c>
      <c r="AL215" s="27">
        <f t="shared" si="94"/>
        <v>500690.33333333331</v>
      </c>
      <c r="AM215" s="27">
        <f t="shared" si="94"/>
        <v>500690.33333333331</v>
      </c>
      <c r="AN215" s="27">
        <f t="shared" si="82"/>
        <v>500690.33333333331</v>
      </c>
      <c r="AO215" s="27">
        <f t="shared" si="83"/>
        <v>500690.33333333331</v>
      </c>
      <c r="AP215" s="27">
        <f t="shared" si="83"/>
        <v>500690.33333333331</v>
      </c>
      <c r="AQ215" s="27">
        <f t="shared" si="84"/>
        <v>500690.33333333331</v>
      </c>
      <c r="AR215" s="27">
        <f t="shared" si="85"/>
        <v>500690.33333333331</v>
      </c>
      <c r="AS215" s="27"/>
      <c r="AT215" s="27"/>
      <c r="AU215" s="27"/>
      <c r="AV215" s="27"/>
      <c r="AW215" s="27">
        <f t="shared" si="87"/>
        <v>4005522.666666667</v>
      </c>
      <c r="AX215" s="79">
        <f t="shared" si="91"/>
        <v>10915060</v>
      </c>
      <c r="AY215" s="79">
        <f t="shared" si="92"/>
        <v>25134644</v>
      </c>
      <c r="AZ215" s="25">
        <v>1</v>
      </c>
      <c r="BA215" s="62" t="s">
        <v>97</v>
      </c>
      <c r="BB215" s="66">
        <v>1</v>
      </c>
      <c r="BC215" s="66"/>
      <c r="BD215" s="66"/>
      <c r="BE215" s="67">
        <f t="shared" si="81"/>
        <v>500690.33333333331</v>
      </c>
      <c r="BF215" s="67">
        <f t="shared" si="86"/>
        <v>0</v>
      </c>
      <c r="BG215" s="67">
        <f t="shared" si="93"/>
        <v>0</v>
      </c>
      <c r="BH215" s="66"/>
      <c r="BI215" s="68" t="s">
        <v>695</v>
      </c>
      <c r="BJ215" s="68" t="s">
        <v>85</v>
      </c>
      <c r="BK215" s="68" t="s">
        <v>85</v>
      </c>
      <c r="BL215" s="29"/>
      <c r="BO215" s="35" t="s">
        <v>1801</v>
      </c>
      <c r="BP215" s="1" t="s">
        <v>1813</v>
      </c>
    </row>
    <row r="216" spans="1:68" ht="15" customHeight="1">
      <c r="A216" s="1" t="s">
        <v>43</v>
      </c>
      <c r="C216" s="1" t="str">
        <f t="shared" si="88"/>
        <v>2606</v>
      </c>
      <c r="D216" s="1" t="str">
        <f t="shared" si="89"/>
        <v>2006</v>
      </c>
      <c r="E216" s="19" t="s">
        <v>48</v>
      </c>
      <c r="F216" s="62" t="s">
        <v>49</v>
      </c>
      <c r="G216" s="62">
        <v>2112</v>
      </c>
      <c r="H216" s="62" t="s">
        <v>697</v>
      </c>
      <c r="I216" s="62" t="s">
        <v>689</v>
      </c>
      <c r="J216" s="118">
        <v>1</v>
      </c>
      <c r="K216" s="119" t="s">
        <v>619</v>
      </c>
      <c r="L216" s="62" t="s">
        <v>77</v>
      </c>
      <c r="M216" s="120" t="s">
        <v>678</v>
      </c>
      <c r="N216" s="65">
        <v>43916</v>
      </c>
      <c r="O216" s="24">
        <v>1500</v>
      </c>
      <c r="P216" s="24">
        <v>23665</v>
      </c>
      <c r="Q216" s="64">
        <v>35497500</v>
      </c>
      <c r="R216" s="64">
        <v>0</v>
      </c>
      <c r="S216" s="64"/>
      <c r="T216" s="64">
        <v>552203.87363636354</v>
      </c>
      <c r="U216" s="64" t="s">
        <v>679</v>
      </c>
      <c r="V216" s="121">
        <v>36049704</v>
      </c>
      <c r="W216" s="122">
        <v>0</v>
      </c>
      <c r="X216" s="64">
        <v>36049704</v>
      </c>
      <c r="Y216" s="121"/>
      <c r="Z216" s="121"/>
      <c r="AA216" s="121"/>
      <c r="AB216" s="121"/>
      <c r="AC216" s="64">
        <v>36049704</v>
      </c>
      <c r="AD216" s="63">
        <v>44007</v>
      </c>
      <c r="AE216" s="65">
        <v>46197</v>
      </c>
      <c r="AF216" s="62">
        <v>6</v>
      </c>
      <c r="AG216" s="119">
        <v>72</v>
      </c>
      <c r="AH216" s="25">
        <v>500690.33333333331</v>
      </c>
      <c r="AI216" s="78">
        <v>21129121.333333332</v>
      </c>
      <c r="AJ216" s="78">
        <v>14920582.666666668</v>
      </c>
      <c r="AK216" s="27">
        <f t="shared" si="90"/>
        <v>500690.33333333331</v>
      </c>
      <c r="AL216" s="27">
        <f t="shared" si="94"/>
        <v>500690.33333333331</v>
      </c>
      <c r="AM216" s="27">
        <f t="shared" si="94"/>
        <v>500690.33333333331</v>
      </c>
      <c r="AN216" s="27">
        <f t="shared" si="82"/>
        <v>500690.33333333331</v>
      </c>
      <c r="AO216" s="27">
        <f t="shared" si="83"/>
        <v>500690.33333333331</v>
      </c>
      <c r="AP216" s="27">
        <f t="shared" si="83"/>
        <v>500690.33333333331</v>
      </c>
      <c r="AQ216" s="27">
        <f t="shared" si="84"/>
        <v>500690.33333333331</v>
      </c>
      <c r="AR216" s="27">
        <f t="shared" si="85"/>
        <v>500690.33333333331</v>
      </c>
      <c r="AS216" s="27"/>
      <c r="AT216" s="27"/>
      <c r="AU216" s="27"/>
      <c r="AV216" s="27"/>
      <c r="AW216" s="27">
        <f t="shared" si="87"/>
        <v>4005522.666666667</v>
      </c>
      <c r="AX216" s="79">
        <f t="shared" si="91"/>
        <v>10915060</v>
      </c>
      <c r="AY216" s="79">
        <f t="shared" si="92"/>
        <v>25134644</v>
      </c>
      <c r="AZ216" s="25">
        <v>1</v>
      </c>
      <c r="BA216" s="62" t="s">
        <v>97</v>
      </c>
      <c r="BB216" s="66">
        <v>1</v>
      </c>
      <c r="BC216" s="66"/>
      <c r="BD216" s="66"/>
      <c r="BE216" s="67">
        <f t="shared" si="81"/>
        <v>500690.33333333331</v>
      </c>
      <c r="BF216" s="67">
        <f t="shared" si="86"/>
        <v>0</v>
      </c>
      <c r="BG216" s="67">
        <f t="shared" si="93"/>
        <v>0</v>
      </c>
      <c r="BH216" s="66"/>
      <c r="BI216" s="68" t="s">
        <v>695</v>
      </c>
      <c r="BJ216" s="68" t="s">
        <v>85</v>
      </c>
      <c r="BK216" s="68" t="s">
        <v>85</v>
      </c>
      <c r="BL216" s="29"/>
      <c r="BO216" s="35" t="s">
        <v>1801</v>
      </c>
      <c r="BP216" s="1" t="s">
        <v>1813</v>
      </c>
    </row>
    <row r="217" spans="1:68" ht="15" customHeight="1">
      <c r="A217" s="1" t="s">
        <v>43</v>
      </c>
      <c r="C217" s="1" t="str">
        <f t="shared" si="88"/>
        <v>2607</v>
      </c>
      <c r="D217" s="1" t="str">
        <f t="shared" si="89"/>
        <v>2007</v>
      </c>
      <c r="E217" s="19" t="s">
        <v>48</v>
      </c>
      <c r="F217" s="62" t="s">
        <v>49</v>
      </c>
      <c r="G217" s="66">
        <v>2112</v>
      </c>
      <c r="H217" s="66" t="s">
        <v>698</v>
      </c>
      <c r="I217" s="66" t="s">
        <v>689</v>
      </c>
      <c r="J217" s="118">
        <v>1</v>
      </c>
      <c r="K217" s="119" t="s">
        <v>619</v>
      </c>
      <c r="L217" s="62" t="s">
        <v>77</v>
      </c>
      <c r="M217" s="135" t="s">
        <v>678</v>
      </c>
      <c r="N217" s="65">
        <v>43916</v>
      </c>
      <c r="O217" s="24">
        <v>1500</v>
      </c>
      <c r="P217" s="24">
        <v>23665</v>
      </c>
      <c r="Q217" s="64">
        <v>35497500</v>
      </c>
      <c r="R217" s="64">
        <v>0</v>
      </c>
      <c r="S217" s="64"/>
      <c r="T217" s="64">
        <v>552203.87363636354</v>
      </c>
      <c r="U217" s="64" t="s">
        <v>679</v>
      </c>
      <c r="V217" s="121">
        <v>36049704</v>
      </c>
      <c r="W217" s="122">
        <v>0</v>
      </c>
      <c r="X217" s="64">
        <v>36049704</v>
      </c>
      <c r="Y217" s="121"/>
      <c r="Z217" s="121"/>
      <c r="AA217" s="121"/>
      <c r="AB217" s="121"/>
      <c r="AC217" s="64">
        <v>36049704</v>
      </c>
      <c r="AD217" s="65">
        <v>44037</v>
      </c>
      <c r="AE217" s="65">
        <v>46227</v>
      </c>
      <c r="AF217" s="66">
        <v>6</v>
      </c>
      <c r="AG217" s="119">
        <v>72</v>
      </c>
      <c r="AH217" s="25">
        <v>500690.33333333331</v>
      </c>
      <c r="AI217" s="78">
        <v>20641352.333333332</v>
      </c>
      <c r="AJ217" s="78">
        <v>15408351.666666668</v>
      </c>
      <c r="AK217" s="27">
        <f t="shared" si="90"/>
        <v>500690.33333333331</v>
      </c>
      <c r="AL217" s="27">
        <f t="shared" si="94"/>
        <v>500690.33333333331</v>
      </c>
      <c r="AM217" s="27">
        <f t="shared" si="94"/>
        <v>500690.33333333331</v>
      </c>
      <c r="AN217" s="27">
        <f t="shared" si="82"/>
        <v>500690.33333333331</v>
      </c>
      <c r="AO217" s="27">
        <f t="shared" si="83"/>
        <v>500690.33333333331</v>
      </c>
      <c r="AP217" s="27">
        <f t="shared" si="83"/>
        <v>500690.33333333331</v>
      </c>
      <c r="AQ217" s="27">
        <f t="shared" si="84"/>
        <v>500690.33333333331</v>
      </c>
      <c r="AR217" s="27">
        <f t="shared" si="85"/>
        <v>500690.33333333331</v>
      </c>
      <c r="AS217" s="27"/>
      <c r="AT217" s="27"/>
      <c r="AU217" s="27"/>
      <c r="AV217" s="27"/>
      <c r="AW217" s="27">
        <f t="shared" si="87"/>
        <v>4005522.666666667</v>
      </c>
      <c r="AX217" s="79">
        <f t="shared" si="91"/>
        <v>11402829</v>
      </c>
      <c r="AY217" s="79">
        <f t="shared" si="92"/>
        <v>24646875</v>
      </c>
      <c r="AZ217" s="25">
        <v>1</v>
      </c>
      <c r="BA217" s="66" t="s">
        <v>97</v>
      </c>
      <c r="BB217" s="66">
        <v>1</v>
      </c>
      <c r="BC217" s="66"/>
      <c r="BD217" s="66"/>
      <c r="BE217" s="67">
        <f t="shared" si="81"/>
        <v>500690.33333333331</v>
      </c>
      <c r="BF217" s="67">
        <f t="shared" si="86"/>
        <v>0</v>
      </c>
      <c r="BG217" s="67">
        <f t="shared" si="93"/>
        <v>0</v>
      </c>
      <c r="BH217" s="66"/>
      <c r="BI217" s="68" t="s">
        <v>695</v>
      </c>
      <c r="BJ217" s="68" t="s">
        <v>85</v>
      </c>
      <c r="BK217" s="68" t="s">
        <v>85</v>
      </c>
      <c r="BL217" s="29"/>
      <c r="BO217" s="35" t="s">
        <v>1801</v>
      </c>
      <c r="BP217" s="1" t="s">
        <v>1813</v>
      </c>
    </row>
    <row r="218" spans="1:68" ht="15" customHeight="1">
      <c r="A218" s="1" t="s">
        <v>43</v>
      </c>
      <c r="C218" s="1" t="str">
        <f t="shared" si="88"/>
        <v>2607</v>
      </c>
      <c r="D218" s="1" t="str">
        <f t="shared" si="89"/>
        <v>2007</v>
      </c>
      <c r="E218" s="19" t="s">
        <v>48</v>
      </c>
      <c r="F218" s="62" t="s">
        <v>49</v>
      </c>
      <c r="G218" s="66">
        <v>2112</v>
      </c>
      <c r="H218" s="66" t="s">
        <v>699</v>
      </c>
      <c r="I218" s="66" t="s">
        <v>689</v>
      </c>
      <c r="J218" s="118">
        <v>1</v>
      </c>
      <c r="K218" s="119" t="s">
        <v>619</v>
      </c>
      <c r="L218" s="62" t="s">
        <v>77</v>
      </c>
      <c r="M218" s="135" t="s">
        <v>678</v>
      </c>
      <c r="N218" s="65">
        <v>43916</v>
      </c>
      <c r="O218" s="24">
        <v>1500</v>
      </c>
      <c r="P218" s="24">
        <v>23665</v>
      </c>
      <c r="Q218" s="64">
        <v>35497500</v>
      </c>
      <c r="R218" s="64">
        <v>0</v>
      </c>
      <c r="S218" s="64"/>
      <c r="T218" s="64">
        <v>552203.87363636354</v>
      </c>
      <c r="U218" s="64" t="s">
        <v>679</v>
      </c>
      <c r="V218" s="121">
        <v>36049704</v>
      </c>
      <c r="W218" s="122">
        <v>0</v>
      </c>
      <c r="X218" s="64">
        <v>36049704</v>
      </c>
      <c r="Y218" s="121"/>
      <c r="Z218" s="121"/>
      <c r="AA218" s="121"/>
      <c r="AB218" s="121"/>
      <c r="AC218" s="64">
        <v>36049704</v>
      </c>
      <c r="AD218" s="65">
        <v>44037</v>
      </c>
      <c r="AE218" s="65">
        <v>46227</v>
      </c>
      <c r="AF218" s="66">
        <v>6</v>
      </c>
      <c r="AG218" s="119">
        <v>72</v>
      </c>
      <c r="AH218" s="25">
        <v>500690.33333333331</v>
      </c>
      <c r="AI218" s="78">
        <v>20641352.333333332</v>
      </c>
      <c r="AJ218" s="78">
        <v>15408351.666666668</v>
      </c>
      <c r="AK218" s="27">
        <f t="shared" si="90"/>
        <v>500690.33333333331</v>
      </c>
      <c r="AL218" s="27">
        <f t="shared" si="94"/>
        <v>500690.33333333331</v>
      </c>
      <c r="AM218" s="27">
        <f t="shared" si="94"/>
        <v>500690.33333333331</v>
      </c>
      <c r="AN218" s="27">
        <f t="shared" si="82"/>
        <v>500690.33333333331</v>
      </c>
      <c r="AO218" s="27">
        <f t="shared" si="83"/>
        <v>500690.33333333331</v>
      </c>
      <c r="AP218" s="27">
        <f t="shared" si="83"/>
        <v>500690.33333333331</v>
      </c>
      <c r="AQ218" s="27">
        <f t="shared" si="84"/>
        <v>500690.33333333331</v>
      </c>
      <c r="AR218" s="27">
        <f t="shared" si="85"/>
        <v>500690.33333333331</v>
      </c>
      <c r="AS218" s="27"/>
      <c r="AT218" s="27"/>
      <c r="AU218" s="27"/>
      <c r="AV218" s="27"/>
      <c r="AW218" s="27">
        <f t="shared" si="87"/>
        <v>4005522.666666667</v>
      </c>
      <c r="AX218" s="79">
        <f t="shared" si="91"/>
        <v>11402829</v>
      </c>
      <c r="AY218" s="79">
        <f t="shared" si="92"/>
        <v>24646875</v>
      </c>
      <c r="AZ218" s="25">
        <v>1</v>
      </c>
      <c r="BA218" s="66" t="s">
        <v>97</v>
      </c>
      <c r="BB218" s="66">
        <v>1</v>
      </c>
      <c r="BC218" s="66"/>
      <c r="BD218" s="66"/>
      <c r="BE218" s="67">
        <f t="shared" si="81"/>
        <v>500690.33333333331</v>
      </c>
      <c r="BF218" s="67">
        <f t="shared" si="86"/>
        <v>0</v>
      </c>
      <c r="BG218" s="67">
        <f t="shared" si="93"/>
        <v>0</v>
      </c>
      <c r="BH218" s="66"/>
      <c r="BI218" s="68" t="s">
        <v>695</v>
      </c>
      <c r="BJ218" s="68" t="s">
        <v>85</v>
      </c>
      <c r="BK218" s="68" t="s">
        <v>85</v>
      </c>
      <c r="BL218" s="29"/>
      <c r="BO218" s="35" t="s">
        <v>1801</v>
      </c>
      <c r="BP218" s="1" t="s">
        <v>1813</v>
      </c>
    </row>
    <row r="219" spans="1:68" ht="15" customHeight="1">
      <c r="A219" s="1" t="s">
        <v>43</v>
      </c>
      <c r="C219" s="1" t="str">
        <f t="shared" si="88"/>
        <v>2607</v>
      </c>
      <c r="D219" s="1" t="str">
        <f t="shared" si="89"/>
        <v>2007</v>
      </c>
      <c r="E219" s="19" t="s">
        <v>48</v>
      </c>
      <c r="F219" s="62" t="s">
        <v>49</v>
      </c>
      <c r="G219" s="66">
        <v>2112</v>
      </c>
      <c r="H219" s="66" t="s">
        <v>700</v>
      </c>
      <c r="I219" s="66" t="s">
        <v>689</v>
      </c>
      <c r="J219" s="118">
        <v>1</v>
      </c>
      <c r="K219" s="119" t="s">
        <v>619</v>
      </c>
      <c r="L219" s="62" t="s">
        <v>77</v>
      </c>
      <c r="M219" s="135" t="s">
        <v>678</v>
      </c>
      <c r="N219" s="65">
        <v>43916</v>
      </c>
      <c r="O219" s="24">
        <v>1500</v>
      </c>
      <c r="P219" s="24">
        <v>23665</v>
      </c>
      <c r="Q219" s="64">
        <v>35497500</v>
      </c>
      <c r="R219" s="64">
        <v>0</v>
      </c>
      <c r="S219" s="64"/>
      <c r="T219" s="64">
        <v>552203.87363636354</v>
      </c>
      <c r="U219" s="64" t="s">
        <v>679</v>
      </c>
      <c r="V219" s="121">
        <v>36049704</v>
      </c>
      <c r="W219" s="122">
        <v>0</v>
      </c>
      <c r="X219" s="64">
        <v>36049704</v>
      </c>
      <c r="Y219" s="121"/>
      <c r="Z219" s="121"/>
      <c r="AA219" s="121"/>
      <c r="AB219" s="121"/>
      <c r="AC219" s="64">
        <v>36049704</v>
      </c>
      <c r="AD219" s="65">
        <v>44037</v>
      </c>
      <c r="AE219" s="65">
        <v>46227</v>
      </c>
      <c r="AF219" s="66">
        <v>6</v>
      </c>
      <c r="AG219" s="119">
        <v>72</v>
      </c>
      <c r="AH219" s="25">
        <v>500690.33333333331</v>
      </c>
      <c r="AI219" s="78">
        <v>20641352.333333332</v>
      </c>
      <c r="AJ219" s="78">
        <v>15408351.666666668</v>
      </c>
      <c r="AK219" s="27">
        <f t="shared" si="90"/>
        <v>500690.33333333331</v>
      </c>
      <c r="AL219" s="27">
        <f t="shared" si="94"/>
        <v>500690.33333333331</v>
      </c>
      <c r="AM219" s="27">
        <f t="shared" si="94"/>
        <v>500690.33333333331</v>
      </c>
      <c r="AN219" s="27">
        <f t="shared" si="82"/>
        <v>500690.33333333331</v>
      </c>
      <c r="AO219" s="27">
        <f t="shared" si="83"/>
        <v>500690.33333333331</v>
      </c>
      <c r="AP219" s="27">
        <f t="shared" si="83"/>
        <v>500690.33333333331</v>
      </c>
      <c r="AQ219" s="27">
        <f t="shared" si="84"/>
        <v>500690.33333333331</v>
      </c>
      <c r="AR219" s="27">
        <f t="shared" si="85"/>
        <v>500690.33333333331</v>
      </c>
      <c r="AS219" s="27"/>
      <c r="AT219" s="27"/>
      <c r="AU219" s="27"/>
      <c r="AV219" s="27"/>
      <c r="AW219" s="27">
        <f t="shared" si="87"/>
        <v>4005522.666666667</v>
      </c>
      <c r="AX219" s="79">
        <f t="shared" si="91"/>
        <v>11402829</v>
      </c>
      <c r="AY219" s="79">
        <f t="shared" si="92"/>
        <v>24646875</v>
      </c>
      <c r="AZ219" s="25">
        <v>1</v>
      </c>
      <c r="BA219" s="66" t="s">
        <v>97</v>
      </c>
      <c r="BB219" s="66">
        <v>1</v>
      </c>
      <c r="BC219" s="66"/>
      <c r="BD219" s="66"/>
      <c r="BE219" s="67">
        <f t="shared" si="81"/>
        <v>500690.33333333331</v>
      </c>
      <c r="BF219" s="67">
        <f t="shared" si="86"/>
        <v>0</v>
      </c>
      <c r="BG219" s="67">
        <f t="shared" si="93"/>
        <v>0</v>
      </c>
      <c r="BH219" s="66"/>
      <c r="BI219" s="68" t="s">
        <v>695</v>
      </c>
      <c r="BJ219" s="68" t="s">
        <v>85</v>
      </c>
      <c r="BK219" s="68" t="s">
        <v>85</v>
      </c>
      <c r="BL219" s="29"/>
      <c r="BO219" s="35" t="s">
        <v>1801</v>
      </c>
      <c r="BP219" s="1" t="s">
        <v>1813</v>
      </c>
    </row>
    <row r="220" spans="1:68" ht="15" customHeight="1">
      <c r="A220" s="1" t="s">
        <v>43</v>
      </c>
      <c r="C220" s="1" t="str">
        <f t="shared" si="88"/>
        <v>2704</v>
      </c>
      <c r="D220" s="1" t="str">
        <f t="shared" si="89"/>
        <v>2004</v>
      </c>
      <c r="E220" s="19" t="s">
        <v>48</v>
      </c>
      <c r="F220" s="62" t="s">
        <v>1896</v>
      </c>
      <c r="G220" s="62">
        <v>2112</v>
      </c>
      <c r="H220" s="62" t="s">
        <v>701</v>
      </c>
      <c r="I220" s="62" t="s">
        <v>702</v>
      </c>
      <c r="J220" s="118">
        <v>1</v>
      </c>
      <c r="K220" s="119" t="s">
        <v>619</v>
      </c>
      <c r="L220" s="62" t="s">
        <v>77</v>
      </c>
      <c r="M220" s="120" t="s">
        <v>678</v>
      </c>
      <c r="N220" s="65">
        <v>43916</v>
      </c>
      <c r="O220" s="24">
        <v>25000</v>
      </c>
      <c r="P220" s="24">
        <v>23665</v>
      </c>
      <c r="Q220" s="64">
        <v>591625000</v>
      </c>
      <c r="R220" s="64">
        <v>0</v>
      </c>
      <c r="S220" s="64"/>
      <c r="T220" s="64">
        <v>9203397.870000001</v>
      </c>
      <c r="U220" s="64" t="s">
        <v>679</v>
      </c>
      <c r="V220" s="121">
        <v>600828398</v>
      </c>
      <c r="W220" s="122">
        <v>0</v>
      </c>
      <c r="X220" s="64">
        <v>600828398</v>
      </c>
      <c r="Y220" s="121"/>
      <c r="Z220" s="121"/>
      <c r="AA220" s="121"/>
      <c r="AB220" s="121"/>
      <c r="AC220" s="64">
        <v>600828398</v>
      </c>
      <c r="AD220" s="65">
        <v>43936</v>
      </c>
      <c r="AE220" s="65">
        <v>46491</v>
      </c>
      <c r="AF220" s="62">
        <v>7</v>
      </c>
      <c r="AG220" s="119">
        <v>84</v>
      </c>
      <c r="AH220" s="25">
        <v>7152719.0238095243</v>
      </c>
      <c r="AI220" s="78">
        <v>318534419.23809522</v>
      </c>
      <c r="AJ220" s="78">
        <v>282293978.76190478</v>
      </c>
      <c r="AK220" s="27">
        <f t="shared" si="90"/>
        <v>7152719.0238095243</v>
      </c>
      <c r="AL220" s="27">
        <f t="shared" si="94"/>
        <v>7152719.0238095243</v>
      </c>
      <c r="AM220" s="27">
        <f t="shared" si="94"/>
        <v>7152719.0238095243</v>
      </c>
      <c r="AN220" s="27">
        <f t="shared" si="82"/>
        <v>7152719.0238095243</v>
      </c>
      <c r="AO220" s="27">
        <f t="shared" si="83"/>
        <v>7152719.0238095243</v>
      </c>
      <c r="AP220" s="27">
        <f t="shared" si="83"/>
        <v>7152719.0238095243</v>
      </c>
      <c r="AQ220" s="27">
        <f t="shared" si="84"/>
        <v>7152719.0238095243</v>
      </c>
      <c r="AR220" s="27">
        <f t="shared" si="85"/>
        <v>7152719.0238095243</v>
      </c>
      <c r="AS220" s="27"/>
      <c r="AT220" s="27"/>
      <c r="AU220" s="27"/>
      <c r="AV220" s="27"/>
      <c r="AW220" s="27">
        <f t="shared" si="87"/>
        <v>57221752.190476187</v>
      </c>
      <c r="AX220" s="79">
        <f t="shared" si="91"/>
        <v>225072226.5714286</v>
      </c>
      <c r="AY220" s="79">
        <f t="shared" si="92"/>
        <v>375756171.4285714</v>
      </c>
      <c r="AZ220" s="25">
        <v>1</v>
      </c>
      <c r="BA220" s="62" t="s">
        <v>97</v>
      </c>
      <c r="BB220" s="66">
        <v>1</v>
      </c>
      <c r="BC220" s="66"/>
      <c r="BD220" s="66"/>
      <c r="BE220" s="67">
        <f t="shared" si="81"/>
        <v>7152719.0238095243</v>
      </c>
      <c r="BF220" s="67">
        <f t="shared" si="86"/>
        <v>0</v>
      </c>
      <c r="BG220" s="67">
        <f t="shared" si="93"/>
        <v>0</v>
      </c>
      <c r="BH220" s="66"/>
      <c r="BI220" s="68" t="s">
        <v>562</v>
      </c>
      <c r="BJ220" s="68" t="s">
        <v>1989</v>
      </c>
      <c r="BK220" s="68" t="s">
        <v>1929</v>
      </c>
      <c r="BL220" s="29"/>
      <c r="BO220" s="35" t="s">
        <v>1804</v>
      </c>
    </row>
    <row r="221" spans="1:68" ht="15" customHeight="1">
      <c r="A221" s="1" t="s">
        <v>43</v>
      </c>
      <c r="C221" s="1" t="str">
        <f t="shared" si="88"/>
        <v>2704</v>
      </c>
      <c r="D221" s="1" t="str">
        <f t="shared" si="89"/>
        <v>2004</v>
      </c>
      <c r="E221" s="19" t="s">
        <v>48</v>
      </c>
      <c r="F221" s="62" t="s">
        <v>1896</v>
      </c>
      <c r="G221" s="62">
        <v>2112</v>
      </c>
      <c r="H221" s="62" t="s">
        <v>703</v>
      </c>
      <c r="I221" s="62" t="s">
        <v>704</v>
      </c>
      <c r="J221" s="118">
        <v>1</v>
      </c>
      <c r="K221" s="119" t="s">
        <v>619</v>
      </c>
      <c r="L221" s="62" t="s">
        <v>77</v>
      </c>
      <c r="M221" s="120" t="s">
        <v>678</v>
      </c>
      <c r="N221" s="65">
        <v>43916</v>
      </c>
      <c r="O221" s="24">
        <v>27000</v>
      </c>
      <c r="P221" s="24">
        <v>23665</v>
      </c>
      <c r="Q221" s="64">
        <v>638955000</v>
      </c>
      <c r="R221" s="64">
        <v>0</v>
      </c>
      <c r="S221" s="64"/>
      <c r="T221" s="64">
        <v>9939669.7199999988</v>
      </c>
      <c r="U221" s="64" t="s">
        <v>679</v>
      </c>
      <c r="V221" s="121">
        <v>648894670</v>
      </c>
      <c r="W221" s="122">
        <v>0</v>
      </c>
      <c r="X221" s="64">
        <v>648894670</v>
      </c>
      <c r="Y221" s="121"/>
      <c r="Z221" s="121"/>
      <c r="AA221" s="121"/>
      <c r="AB221" s="121"/>
      <c r="AC221" s="64">
        <v>648894670</v>
      </c>
      <c r="AD221" s="65">
        <v>43936</v>
      </c>
      <c r="AE221" s="65">
        <v>46491</v>
      </c>
      <c r="AF221" s="62">
        <v>7</v>
      </c>
      <c r="AG221" s="119">
        <v>84</v>
      </c>
      <c r="AH221" s="25">
        <v>7724936.5476190476</v>
      </c>
      <c r="AI221" s="78">
        <v>344017189.47619045</v>
      </c>
      <c r="AJ221" s="78">
        <v>304877480.52380955</v>
      </c>
      <c r="AK221" s="27">
        <f t="shared" si="90"/>
        <v>7724936.5476190476</v>
      </c>
      <c r="AL221" s="27">
        <f t="shared" si="94"/>
        <v>7724936.5476190476</v>
      </c>
      <c r="AM221" s="27">
        <f t="shared" si="94"/>
        <v>7724936.5476190476</v>
      </c>
      <c r="AN221" s="27">
        <f t="shared" si="82"/>
        <v>7724936.5476190476</v>
      </c>
      <c r="AO221" s="27">
        <f t="shared" si="83"/>
        <v>7724936.5476190476</v>
      </c>
      <c r="AP221" s="27">
        <f t="shared" si="83"/>
        <v>7724936.5476190476</v>
      </c>
      <c r="AQ221" s="27">
        <f t="shared" si="84"/>
        <v>7724936.5476190476</v>
      </c>
      <c r="AR221" s="27">
        <f t="shared" si="85"/>
        <v>7724936.5476190476</v>
      </c>
      <c r="AS221" s="27"/>
      <c r="AT221" s="27"/>
      <c r="AU221" s="27"/>
      <c r="AV221" s="27"/>
      <c r="AW221" s="27">
        <f t="shared" si="87"/>
        <v>61799492.380952373</v>
      </c>
      <c r="AX221" s="79">
        <f t="shared" si="91"/>
        <v>243077988.14285719</v>
      </c>
      <c r="AY221" s="79">
        <f t="shared" si="92"/>
        <v>405816681.85714281</v>
      </c>
      <c r="AZ221" s="25">
        <v>1</v>
      </c>
      <c r="BA221" s="62" t="s">
        <v>79</v>
      </c>
      <c r="BB221" s="66">
        <v>1</v>
      </c>
      <c r="BC221" s="66"/>
      <c r="BD221" s="66"/>
      <c r="BE221" s="67">
        <f t="shared" si="81"/>
        <v>7724936.5476190476</v>
      </c>
      <c r="BF221" s="67">
        <f t="shared" si="86"/>
        <v>0</v>
      </c>
      <c r="BG221" s="67">
        <f t="shared" si="93"/>
        <v>0</v>
      </c>
      <c r="BH221" s="66"/>
      <c r="BI221" s="68" t="s">
        <v>446</v>
      </c>
      <c r="BJ221" s="68" t="s">
        <v>1929</v>
      </c>
      <c r="BK221" s="68" t="s">
        <v>1989</v>
      </c>
      <c r="BL221" s="29"/>
      <c r="BO221" s="35" t="s">
        <v>1804</v>
      </c>
    </row>
    <row r="222" spans="1:68" ht="15" customHeight="1">
      <c r="A222" s="1" t="s">
        <v>43</v>
      </c>
      <c r="C222" s="1" t="str">
        <f t="shared" si="88"/>
        <v>2705</v>
      </c>
      <c r="D222" s="1" t="str">
        <f t="shared" si="89"/>
        <v>2005</v>
      </c>
      <c r="E222" s="19" t="s">
        <v>48</v>
      </c>
      <c r="F222" s="62" t="s">
        <v>1896</v>
      </c>
      <c r="G222" s="62">
        <v>2112</v>
      </c>
      <c r="H222" s="62" t="s">
        <v>705</v>
      </c>
      <c r="I222" s="62" t="s">
        <v>706</v>
      </c>
      <c r="J222" s="118">
        <v>1</v>
      </c>
      <c r="K222" s="119" t="s">
        <v>619</v>
      </c>
      <c r="L222" s="62" t="s">
        <v>77</v>
      </c>
      <c r="M222" s="120" t="s">
        <v>678</v>
      </c>
      <c r="N222" s="65">
        <v>43916</v>
      </c>
      <c r="O222" s="24">
        <v>40500</v>
      </c>
      <c r="P222" s="24">
        <v>23665</v>
      </c>
      <c r="Q222" s="64">
        <v>958432500</v>
      </c>
      <c r="R222" s="64">
        <v>0</v>
      </c>
      <c r="S222" s="64"/>
      <c r="T222" s="64">
        <v>14909504.58</v>
      </c>
      <c r="U222" s="64" t="s">
        <v>679</v>
      </c>
      <c r="V222" s="121">
        <v>973342005</v>
      </c>
      <c r="W222" s="122">
        <v>0</v>
      </c>
      <c r="X222" s="64">
        <v>973342005</v>
      </c>
      <c r="Y222" s="121"/>
      <c r="Z222" s="121"/>
      <c r="AA222" s="121"/>
      <c r="AB222" s="121"/>
      <c r="AC222" s="64">
        <v>973342005</v>
      </c>
      <c r="AD222" s="65">
        <v>43976</v>
      </c>
      <c r="AE222" s="65">
        <v>46531</v>
      </c>
      <c r="AF222" s="62">
        <v>7</v>
      </c>
      <c r="AG222" s="119">
        <v>84</v>
      </c>
      <c r="AH222" s="25">
        <v>11587404.821428571</v>
      </c>
      <c r="AI222" s="78">
        <v>500874924.21428567</v>
      </c>
      <c r="AJ222" s="78">
        <v>472467080.78571433</v>
      </c>
      <c r="AK222" s="27">
        <f t="shared" si="90"/>
        <v>11587404.821428571</v>
      </c>
      <c r="AL222" s="27">
        <f t="shared" si="94"/>
        <v>11587404.821428571</v>
      </c>
      <c r="AM222" s="27">
        <f t="shared" si="94"/>
        <v>11587404.821428571</v>
      </c>
      <c r="AN222" s="27">
        <f t="shared" si="82"/>
        <v>11587404.821428571</v>
      </c>
      <c r="AO222" s="27">
        <f t="shared" si="83"/>
        <v>11587404.821428571</v>
      </c>
      <c r="AP222" s="27">
        <f t="shared" si="83"/>
        <v>11587404.821428571</v>
      </c>
      <c r="AQ222" s="27">
        <f t="shared" si="84"/>
        <v>11587404.821428571</v>
      </c>
      <c r="AR222" s="27">
        <f t="shared" si="85"/>
        <v>11587404.821428571</v>
      </c>
      <c r="AS222" s="27"/>
      <c r="AT222" s="27"/>
      <c r="AU222" s="27"/>
      <c r="AV222" s="27"/>
      <c r="AW222" s="27">
        <f t="shared" si="87"/>
        <v>92699238.571428552</v>
      </c>
      <c r="AX222" s="79">
        <f t="shared" si="91"/>
        <v>379767842.21428579</v>
      </c>
      <c r="AY222" s="79">
        <f t="shared" si="92"/>
        <v>593574162.78571427</v>
      </c>
      <c r="AZ222" s="25">
        <v>1</v>
      </c>
      <c r="BA222" s="62" t="s">
        <v>79</v>
      </c>
      <c r="BB222" s="66">
        <v>1</v>
      </c>
      <c r="BC222" s="66"/>
      <c r="BD222" s="66"/>
      <c r="BE222" s="67">
        <f t="shared" si="81"/>
        <v>11587404.821428571</v>
      </c>
      <c r="BF222" s="67">
        <f t="shared" si="86"/>
        <v>0</v>
      </c>
      <c r="BG222" s="67">
        <f t="shared" si="93"/>
        <v>0</v>
      </c>
      <c r="BH222" s="66"/>
      <c r="BI222" s="68" t="s">
        <v>446</v>
      </c>
      <c r="BJ222" s="68" t="s">
        <v>1929</v>
      </c>
      <c r="BK222" s="68" t="s">
        <v>1989</v>
      </c>
      <c r="BL222" s="29"/>
      <c r="BO222" s="35" t="s">
        <v>1804</v>
      </c>
    </row>
    <row r="223" spans="1:68" ht="15" customHeight="1">
      <c r="A223" s="1" t="s">
        <v>43</v>
      </c>
      <c r="C223" s="1" t="str">
        <f t="shared" si="88"/>
        <v>2705</v>
      </c>
      <c r="D223" s="1" t="str">
        <f t="shared" si="89"/>
        <v>2005</v>
      </c>
      <c r="E223" s="19" t="s">
        <v>48</v>
      </c>
      <c r="F223" s="62" t="s">
        <v>1896</v>
      </c>
      <c r="G223" s="62">
        <v>2112</v>
      </c>
      <c r="H223" s="62" t="s">
        <v>707</v>
      </c>
      <c r="I223" s="62" t="s">
        <v>708</v>
      </c>
      <c r="J223" s="118">
        <v>1</v>
      </c>
      <c r="K223" s="119" t="s">
        <v>619</v>
      </c>
      <c r="L223" s="62" t="s">
        <v>77</v>
      </c>
      <c r="M223" s="120" t="s">
        <v>678</v>
      </c>
      <c r="N223" s="65">
        <v>43916</v>
      </c>
      <c r="O223" s="24">
        <v>40500</v>
      </c>
      <c r="P223" s="24">
        <v>23665</v>
      </c>
      <c r="Q223" s="64">
        <v>958432500</v>
      </c>
      <c r="R223" s="64">
        <v>0</v>
      </c>
      <c r="S223" s="64"/>
      <c r="T223" s="64">
        <v>14909504.58</v>
      </c>
      <c r="U223" s="64" t="s">
        <v>679</v>
      </c>
      <c r="V223" s="121">
        <v>973342005</v>
      </c>
      <c r="W223" s="122">
        <v>0</v>
      </c>
      <c r="X223" s="64">
        <v>973342005</v>
      </c>
      <c r="Y223" s="121"/>
      <c r="Z223" s="121"/>
      <c r="AA223" s="121"/>
      <c r="AB223" s="121"/>
      <c r="AC223" s="64">
        <v>973342005</v>
      </c>
      <c r="AD223" s="65">
        <v>43976</v>
      </c>
      <c r="AE223" s="65">
        <v>46531</v>
      </c>
      <c r="AF223" s="62">
        <v>7</v>
      </c>
      <c r="AG223" s="119">
        <v>84</v>
      </c>
      <c r="AH223" s="25">
        <v>11587404.821428571</v>
      </c>
      <c r="AI223" s="78">
        <v>500874924.21428567</v>
      </c>
      <c r="AJ223" s="78">
        <v>472467080.78571433</v>
      </c>
      <c r="AK223" s="27">
        <f t="shared" si="90"/>
        <v>11587404.821428571</v>
      </c>
      <c r="AL223" s="27">
        <f t="shared" si="94"/>
        <v>11587404.821428571</v>
      </c>
      <c r="AM223" s="27">
        <f t="shared" si="94"/>
        <v>11587404.821428571</v>
      </c>
      <c r="AN223" s="27">
        <f t="shared" si="82"/>
        <v>11587404.821428571</v>
      </c>
      <c r="AO223" s="27">
        <f t="shared" si="83"/>
        <v>11587404.821428571</v>
      </c>
      <c r="AP223" s="27">
        <f t="shared" si="83"/>
        <v>11587404.821428571</v>
      </c>
      <c r="AQ223" s="27">
        <f t="shared" si="84"/>
        <v>11587404.821428571</v>
      </c>
      <c r="AR223" s="27">
        <f t="shared" si="85"/>
        <v>11587404.821428571</v>
      </c>
      <c r="AS223" s="27"/>
      <c r="AT223" s="27"/>
      <c r="AU223" s="27"/>
      <c r="AV223" s="27"/>
      <c r="AW223" s="27">
        <f t="shared" si="87"/>
        <v>92699238.571428552</v>
      </c>
      <c r="AX223" s="79">
        <f t="shared" si="91"/>
        <v>379767842.21428579</v>
      </c>
      <c r="AY223" s="79">
        <f t="shared" si="92"/>
        <v>593574162.78571427</v>
      </c>
      <c r="AZ223" s="25">
        <v>1</v>
      </c>
      <c r="BA223" s="62" t="s">
        <v>79</v>
      </c>
      <c r="BB223" s="66">
        <v>1</v>
      </c>
      <c r="BC223" s="66"/>
      <c r="BD223" s="66"/>
      <c r="BE223" s="67">
        <f t="shared" si="81"/>
        <v>11587404.821428571</v>
      </c>
      <c r="BF223" s="67">
        <f t="shared" si="86"/>
        <v>0</v>
      </c>
      <c r="BG223" s="67">
        <f t="shared" si="93"/>
        <v>0</v>
      </c>
      <c r="BH223" s="66"/>
      <c r="BI223" s="68" t="s">
        <v>446</v>
      </c>
      <c r="BJ223" s="68" t="s">
        <v>1929</v>
      </c>
      <c r="BK223" s="68" t="s">
        <v>1989</v>
      </c>
      <c r="BL223" s="29"/>
      <c r="BO223" s="35" t="s">
        <v>1804</v>
      </c>
    </row>
    <row r="224" spans="1:68" ht="15" customHeight="1">
      <c r="A224" s="1" t="s">
        <v>43</v>
      </c>
      <c r="C224" s="1" t="str">
        <f t="shared" si="88"/>
        <v>3005</v>
      </c>
      <c r="D224" s="1" t="str">
        <f t="shared" si="89"/>
        <v>2005</v>
      </c>
      <c r="E224" s="19" t="s">
        <v>48</v>
      </c>
      <c r="F224" s="62" t="s">
        <v>515</v>
      </c>
      <c r="G224" s="62">
        <v>2114</v>
      </c>
      <c r="H224" s="62" t="s">
        <v>709</v>
      </c>
      <c r="I224" s="62" t="s">
        <v>710</v>
      </c>
      <c r="J224" s="118">
        <v>1</v>
      </c>
      <c r="K224" s="119" t="s">
        <v>271</v>
      </c>
      <c r="L224" s="62" t="s">
        <v>77</v>
      </c>
      <c r="M224" s="120" t="s">
        <v>711</v>
      </c>
      <c r="N224" s="65">
        <v>43916</v>
      </c>
      <c r="O224" s="24">
        <v>4400</v>
      </c>
      <c r="P224" s="24">
        <v>23240</v>
      </c>
      <c r="Q224" s="64">
        <v>102256000</v>
      </c>
      <c r="R224" s="64">
        <v>12320880</v>
      </c>
      <c r="S224" s="64"/>
      <c r="T224" s="64">
        <v>1737079.0899999999</v>
      </c>
      <c r="U224" s="64" t="s">
        <v>712</v>
      </c>
      <c r="V224" s="121">
        <v>116313959</v>
      </c>
      <c r="W224" s="122">
        <v>0</v>
      </c>
      <c r="X224" s="64">
        <v>116313959</v>
      </c>
      <c r="Y224" s="121"/>
      <c r="Z224" s="121"/>
      <c r="AA224" s="121"/>
      <c r="AB224" s="121"/>
      <c r="AC224" s="64">
        <v>116313959</v>
      </c>
      <c r="AD224" s="65">
        <v>43971</v>
      </c>
      <c r="AE224" s="65">
        <v>47621</v>
      </c>
      <c r="AF224" s="62">
        <v>10</v>
      </c>
      <c r="AG224" s="119">
        <v>120</v>
      </c>
      <c r="AH224" s="25">
        <v>969282.9916666667</v>
      </c>
      <c r="AI224" s="78">
        <v>42054374.916666672</v>
      </c>
      <c r="AJ224" s="78">
        <v>74259584.083333328</v>
      </c>
      <c r="AK224" s="27">
        <f t="shared" si="90"/>
        <v>969282.9916666667</v>
      </c>
      <c r="AL224" s="27">
        <f t="shared" si="94"/>
        <v>969282.9916666667</v>
      </c>
      <c r="AM224" s="27">
        <f t="shared" si="94"/>
        <v>969282.9916666667</v>
      </c>
      <c r="AN224" s="27">
        <f t="shared" si="82"/>
        <v>969282.9916666667</v>
      </c>
      <c r="AO224" s="27">
        <f t="shared" si="83"/>
        <v>969282.9916666667</v>
      </c>
      <c r="AP224" s="27">
        <f t="shared" si="83"/>
        <v>969282.9916666667</v>
      </c>
      <c r="AQ224" s="27">
        <f t="shared" si="84"/>
        <v>969282.9916666667</v>
      </c>
      <c r="AR224" s="27">
        <f t="shared" si="85"/>
        <v>969282.9916666667</v>
      </c>
      <c r="AS224" s="27"/>
      <c r="AT224" s="27"/>
      <c r="AU224" s="27"/>
      <c r="AV224" s="27"/>
      <c r="AW224" s="27">
        <f t="shared" si="87"/>
        <v>7754263.9333333354</v>
      </c>
      <c r="AX224" s="79">
        <f t="shared" si="91"/>
        <v>66505320.149999991</v>
      </c>
      <c r="AY224" s="79">
        <f t="shared" si="92"/>
        <v>49808638.850000009</v>
      </c>
      <c r="AZ224" s="25">
        <v>1</v>
      </c>
      <c r="BA224" s="62" t="s">
        <v>79</v>
      </c>
      <c r="BB224" s="66">
        <v>1</v>
      </c>
      <c r="BC224" s="66"/>
      <c r="BD224" s="66"/>
      <c r="BE224" s="67">
        <f t="shared" si="81"/>
        <v>969282.9916666667</v>
      </c>
      <c r="BF224" s="67">
        <f t="shared" si="86"/>
        <v>0</v>
      </c>
      <c r="BG224" s="67">
        <f t="shared" si="93"/>
        <v>0</v>
      </c>
      <c r="BH224" s="66"/>
      <c r="BI224" s="68" t="s">
        <v>713</v>
      </c>
      <c r="BJ224" s="68" t="s">
        <v>591</v>
      </c>
      <c r="BK224" s="68" t="s">
        <v>59</v>
      </c>
      <c r="BL224" s="29"/>
      <c r="BO224" s="35" t="s">
        <v>1802</v>
      </c>
    </row>
    <row r="225" spans="1:67" ht="15" customHeight="1">
      <c r="A225" s="1" t="s">
        <v>43</v>
      </c>
      <c r="C225" s="1" t="str">
        <f t="shared" si="88"/>
        <v>2710</v>
      </c>
      <c r="D225" s="1" t="str">
        <f t="shared" si="89"/>
        <v>2010</v>
      </c>
      <c r="E225" s="19" t="s">
        <v>48</v>
      </c>
      <c r="F225" s="62" t="s">
        <v>515</v>
      </c>
      <c r="G225" s="62">
        <v>2112</v>
      </c>
      <c r="H225" s="62" t="s">
        <v>714</v>
      </c>
      <c r="I225" s="62" t="s">
        <v>715</v>
      </c>
      <c r="J225" s="118">
        <v>1</v>
      </c>
      <c r="K225" s="119" t="s">
        <v>271</v>
      </c>
      <c r="L225" s="62" t="s">
        <v>77</v>
      </c>
      <c r="M225" s="120" t="s">
        <v>711</v>
      </c>
      <c r="N225" s="65">
        <v>43916</v>
      </c>
      <c r="O225" s="24">
        <v>2800</v>
      </c>
      <c r="P225" s="24">
        <v>23240</v>
      </c>
      <c r="Q225" s="64">
        <v>65072000</v>
      </c>
      <c r="R225" s="64">
        <v>6533800</v>
      </c>
      <c r="S225" s="64"/>
      <c r="T225" s="64">
        <v>1105413.96</v>
      </c>
      <c r="U225" s="64" t="s">
        <v>712</v>
      </c>
      <c r="V225" s="121">
        <v>72711214</v>
      </c>
      <c r="W225" s="122">
        <v>0</v>
      </c>
      <c r="X225" s="64">
        <v>72711214</v>
      </c>
      <c r="Y225" s="121"/>
      <c r="Z225" s="121"/>
      <c r="AA225" s="121"/>
      <c r="AB225" s="121"/>
      <c r="AC225" s="64">
        <v>72711214</v>
      </c>
      <c r="AD225" s="65">
        <v>44114</v>
      </c>
      <c r="AE225" s="65">
        <v>46669</v>
      </c>
      <c r="AF225" s="62">
        <v>7</v>
      </c>
      <c r="AG225" s="119">
        <v>84</v>
      </c>
      <c r="AH225" s="25">
        <v>865609.69047619053</v>
      </c>
      <c r="AI225" s="78">
        <v>33507480.904761903</v>
      </c>
      <c r="AJ225" s="78">
        <v>39203733.095238097</v>
      </c>
      <c r="AK225" s="27">
        <f t="shared" si="90"/>
        <v>865609.69047619053</v>
      </c>
      <c r="AL225" s="27">
        <f t="shared" si="94"/>
        <v>865609.69047619053</v>
      </c>
      <c r="AM225" s="27">
        <f t="shared" si="94"/>
        <v>865609.69047619053</v>
      </c>
      <c r="AN225" s="27">
        <f t="shared" si="82"/>
        <v>865609.69047619053</v>
      </c>
      <c r="AO225" s="27">
        <f t="shared" si="83"/>
        <v>865609.69047619053</v>
      </c>
      <c r="AP225" s="27">
        <f t="shared" si="83"/>
        <v>865609.69047619053</v>
      </c>
      <c r="AQ225" s="27">
        <f t="shared" si="84"/>
        <v>865609.69047619053</v>
      </c>
      <c r="AR225" s="27">
        <f t="shared" si="85"/>
        <v>865609.69047619053</v>
      </c>
      <c r="AS225" s="27"/>
      <c r="AT225" s="27"/>
      <c r="AU225" s="27"/>
      <c r="AV225" s="27"/>
      <c r="AW225" s="27">
        <f t="shared" si="87"/>
        <v>6924877.5238095233</v>
      </c>
      <c r="AX225" s="79">
        <f t="shared" si="91"/>
        <v>32278855.571428575</v>
      </c>
      <c r="AY225" s="79">
        <f t="shared" si="92"/>
        <v>40432358.428571425</v>
      </c>
      <c r="AZ225" s="25">
        <v>1</v>
      </c>
      <c r="BA225" s="62" t="s">
        <v>97</v>
      </c>
      <c r="BB225" s="66">
        <v>1</v>
      </c>
      <c r="BC225" s="66"/>
      <c r="BD225" s="66"/>
      <c r="BE225" s="67">
        <f t="shared" si="81"/>
        <v>865609.69047619053</v>
      </c>
      <c r="BF225" s="67">
        <f t="shared" si="86"/>
        <v>0</v>
      </c>
      <c r="BG225" s="67">
        <f t="shared" si="93"/>
        <v>0</v>
      </c>
      <c r="BH225" s="66"/>
      <c r="BI225" s="68" t="s">
        <v>146</v>
      </c>
      <c r="BJ225" s="68" t="s">
        <v>716</v>
      </c>
      <c r="BK225" s="68" t="s">
        <v>85</v>
      </c>
      <c r="BL225" s="29"/>
      <c r="BO225" s="35" t="s">
        <v>1804</v>
      </c>
    </row>
    <row r="226" spans="1:67" ht="15" customHeight="1">
      <c r="A226" s="1" t="s">
        <v>43</v>
      </c>
      <c r="C226" s="1" t="str">
        <f t="shared" si="88"/>
        <v>2710</v>
      </c>
      <c r="D226" s="1" t="str">
        <f t="shared" si="89"/>
        <v>2010</v>
      </c>
      <c r="E226" s="19" t="s">
        <v>48</v>
      </c>
      <c r="F226" s="62" t="s">
        <v>515</v>
      </c>
      <c r="G226" s="62">
        <v>2112</v>
      </c>
      <c r="H226" s="62" t="s">
        <v>717</v>
      </c>
      <c r="I226" s="62" t="s">
        <v>715</v>
      </c>
      <c r="J226" s="118">
        <v>1</v>
      </c>
      <c r="K226" s="119" t="s">
        <v>271</v>
      </c>
      <c r="L226" s="62" t="s">
        <v>77</v>
      </c>
      <c r="M226" s="120" t="s">
        <v>711</v>
      </c>
      <c r="N226" s="65">
        <v>43916</v>
      </c>
      <c r="O226" s="24">
        <v>2800</v>
      </c>
      <c r="P226" s="24">
        <v>23240</v>
      </c>
      <c r="Q226" s="64">
        <v>65072000</v>
      </c>
      <c r="R226" s="64">
        <v>6533800</v>
      </c>
      <c r="S226" s="64"/>
      <c r="T226" s="64">
        <v>1105413.96</v>
      </c>
      <c r="U226" s="64" t="s">
        <v>712</v>
      </c>
      <c r="V226" s="121">
        <v>72711214</v>
      </c>
      <c r="W226" s="122">
        <v>0</v>
      </c>
      <c r="X226" s="64">
        <v>72711214</v>
      </c>
      <c r="Y226" s="121"/>
      <c r="Z226" s="121"/>
      <c r="AA226" s="121"/>
      <c r="AB226" s="121"/>
      <c r="AC226" s="64">
        <v>72711214</v>
      </c>
      <c r="AD226" s="65">
        <v>44114</v>
      </c>
      <c r="AE226" s="65">
        <v>46669</v>
      </c>
      <c r="AF226" s="62">
        <v>7</v>
      </c>
      <c r="AG226" s="119">
        <v>84</v>
      </c>
      <c r="AH226" s="25">
        <v>865609.69047619053</v>
      </c>
      <c r="AI226" s="78">
        <v>33507480.904761903</v>
      </c>
      <c r="AJ226" s="78">
        <v>39203733.095238097</v>
      </c>
      <c r="AK226" s="27">
        <f t="shared" si="90"/>
        <v>865609.69047619053</v>
      </c>
      <c r="AL226" s="27">
        <f t="shared" si="94"/>
        <v>865609.69047619053</v>
      </c>
      <c r="AM226" s="27">
        <f t="shared" si="94"/>
        <v>865609.69047619053</v>
      </c>
      <c r="AN226" s="27">
        <f t="shared" si="82"/>
        <v>865609.69047619053</v>
      </c>
      <c r="AO226" s="27">
        <f t="shared" si="83"/>
        <v>865609.69047619053</v>
      </c>
      <c r="AP226" s="27">
        <f t="shared" si="83"/>
        <v>865609.69047619053</v>
      </c>
      <c r="AQ226" s="27">
        <f t="shared" si="84"/>
        <v>865609.69047619053</v>
      </c>
      <c r="AR226" s="27">
        <f t="shared" si="85"/>
        <v>865609.69047619053</v>
      </c>
      <c r="AS226" s="27"/>
      <c r="AT226" s="27"/>
      <c r="AU226" s="27"/>
      <c r="AV226" s="27"/>
      <c r="AW226" s="27">
        <f t="shared" si="87"/>
        <v>6924877.5238095233</v>
      </c>
      <c r="AX226" s="79">
        <f t="shared" si="91"/>
        <v>32278855.571428575</v>
      </c>
      <c r="AY226" s="79">
        <f t="shared" si="92"/>
        <v>40432358.428571425</v>
      </c>
      <c r="AZ226" s="25">
        <v>1</v>
      </c>
      <c r="BA226" s="62" t="s">
        <v>97</v>
      </c>
      <c r="BB226" s="66">
        <v>1</v>
      </c>
      <c r="BC226" s="66"/>
      <c r="BD226" s="66"/>
      <c r="BE226" s="67">
        <f t="shared" si="81"/>
        <v>865609.69047619053</v>
      </c>
      <c r="BF226" s="67">
        <f t="shared" si="86"/>
        <v>0</v>
      </c>
      <c r="BG226" s="67">
        <f t="shared" si="93"/>
        <v>0</v>
      </c>
      <c r="BH226" s="66"/>
      <c r="BI226" s="68" t="s">
        <v>146</v>
      </c>
      <c r="BJ226" s="68" t="s">
        <v>716</v>
      </c>
      <c r="BK226" s="68" t="s">
        <v>85</v>
      </c>
      <c r="BL226" s="29"/>
      <c r="BO226" s="35" t="s">
        <v>1804</v>
      </c>
    </row>
    <row r="227" spans="1:67" ht="15" customHeight="1">
      <c r="A227" s="1" t="s">
        <v>43</v>
      </c>
      <c r="C227" s="1" t="str">
        <f t="shared" si="88"/>
        <v>3010</v>
      </c>
      <c r="D227" s="1" t="str">
        <f t="shared" si="89"/>
        <v>2010</v>
      </c>
      <c r="E227" s="19" t="s">
        <v>48</v>
      </c>
      <c r="F227" s="62" t="s">
        <v>515</v>
      </c>
      <c r="G227" s="62">
        <v>2112</v>
      </c>
      <c r="H227" s="62" t="s">
        <v>718</v>
      </c>
      <c r="I227" s="62" t="s">
        <v>719</v>
      </c>
      <c r="J227" s="118">
        <v>1</v>
      </c>
      <c r="K227" s="119" t="s">
        <v>271</v>
      </c>
      <c r="L227" s="62" t="s">
        <v>77</v>
      </c>
      <c r="M227" s="120" t="s">
        <v>711</v>
      </c>
      <c r="N227" s="65">
        <v>43916</v>
      </c>
      <c r="O227" s="24">
        <v>5400</v>
      </c>
      <c r="P227" s="24">
        <v>23240</v>
      </c>
      <c r="Q227" s="64">
        <v>125496000</v>
      </c>
      <c r="R227" s="64">
        <v>50025573</v>
      </c>
      <c r="S227" s="64"/>
      <c r="T227" s="64">
        <v>2131869.7999999998</v>
      </c>
      <c r="U227" s="64" t="s">
        <v>712</v>
      </c>
      <c r="V227" s="121">
        <v>177653443</v>
      </c>
      <c r="W227" s="122">
        <v>0</v>
      </c>
      <c r="X227" s="64">
        <v>177653443</v>
      </c>
      <c r="Y227" s="121"/>
      <c r="Z227" s="121"/>
      <c r="AA227" s="121"/>
      <c r="AB227" s="121"/>
      <c r="AC227" s="64">
        <v>177653443</v>
      </c>
      <c r="AD227" s="65">
        <v>44109</v>
      </c>
      <c r="AE227" s="65">
        <v>47759</v>
      </c>
      <c r="AF227" s="62">
        <v>10</v>
      </c>
      <c r="AG227" s="119">
        <v>120</v>
      </c>
      <c r="AH227" s="25">
        <v>1480445.3583333334</v>
      </c>
      <c r="AI227" s="78">
        <v>57546333.583333343</v>
      </c>
      <c r="AJ227" s="78">
        <v>120107109.41666666</v>
      </c>
      <c r="AK227" s="27">
        <f t="shared" si="90"/>
        <v>1480445.3583333334</v>
      </c>
      <c r="AL227" s="27">
        <f t="shared" si="94"/>
        <v>1480445.3583333334</v>
      </c>
      <c r="AM227" s="27">
        <f t="shared" si="94"/>
        <v>1480445.3583333334</v>
      </c>
      <c r="AN227" s="27">
        <f t="shared" si="82"/>
        <v>1480445.3583333334</v>
      </c>
      <c r="AO227" s="27">
        <f t="shared" si="83"/>
        <v>1480445.3583333334</v>
      </c>
      <c r="AP227" s="27">
        <f t="shared" si="83"/>
        <v>1480445.3583333334</v>
      </c>
      <c r="AQ227" s="27">
        <f t="shared" si="84"/>
        <v>1480445.3583333334</v>
      </c>
      <c r="AR227" s="27">
        <f t="shared" si="85"/>
        <v>1480445.3583333334</v>
      </c>
      <c r="AS227" s="27"/>
      <c r="AT227" s="27"/>
      <c r="AU227" s="27"/>
      <c r="AV227" s="27"/>
      <c r="AW227" s="27">
        <f t="shared" si="87"/>
        <v>11843562.866666667</v>
      </c>
      <c r="AX227" s="79">
        <f t="shared" si="91"/>
        <v>108263546.54999998</v>
      </c>
      <c r="AY227" s="79">
        <f t="shared" si="92"/>
        <v>69389896.450000018</v>
      </c>
      <c r="AZ227" s="25">
        <v>1</v>
      </c>
      <c r="BA227" s="62" t="s">
        <v>97</v>
      </c>
      <c r="BB227" s="66">
        <v>1</v>
      </c>
      <c r="BC227" s="66"/>
      <c r="BD227" s="66"/>
      <c r="BE227" s="67">
        <f t="shared" ref="BE227:BE288" si="95">+$AP227*BB227</f>
        <v>1480445.3583333334</v>
      </c>
      <c r="BF227" s="67">
        <f t="shared" si="86"/>
        <v>0</v>
      </c>
      <c r="BG227" s="67">
        <f t="shared" si="93"/>
        <v>0</v>
      </c>
      <c r="BH227" s="66"/>
      <c r="BI227" s="68" t="s">
        <v>720</v>
      </c>
      <c r="BJ227" s="68" t="s">
        <v>644</v>
      </c>
      <c r="BK227" s="68" t="s">
        <v>644</v>
      </c>
      <c r="BL227" s="29"/>
      <c r="BO227" s="35" t="s">
        <v>1804</v>
      </c>
    </row>
    <row r="228" spans="1:67" ht="15" customHeight="1">
      <c r="A228" s="1" t="s">
        <v>43</v>
      </c>
      <c r="C228" s="1" t="str">
        <f t="shared" si="88"/>
        <v>3010</v>
      </c>
      <c r="D228" s="1" t="str">
        <f t="shared" si="89"/>
        <v>2010</v>
      </c>
      <c r="E228" s="19" t="s">
        <v>48</v>
      </c>
      <c r="F228" s="62" t="s">
        <v>515</v>
      </c>
      <c r="G228" s="62">
        <v>2112</v>
      </c>
      <c r="H228" s="62" t="s">
        <v>721</v>
      </c>
      <c r="I228" s="62" t="s">
        <v>719</v>
      </c>
      <c r="J228" s="118">
        <v>1</v>
      </c>
      <c r="K228" s="119" t="s">
        <v>271</v>
      </c>
      <c r="L228" s="62" t="s">
        <v>77</v>
      </c>
      <c r="M228" s="120" t="s">
        <v>711</v>
      </c>
      <c r="N228" s="65">
        <v>43916</v>
      </c>
      <c r="O228" s="24">
        <v>5400</v>
      </c>
      <c r="P228" s="24">
        <v>23240</v>
      </c>
      <c r="Q228" s="64">
        <v>125496000</v>
      </c>
      <c r="R228" s="64">
        <v>50025573</v>
      </c>
      <c r="S228" s="64"/>
      <c r="T228" s="64">
        <v>2131869.7999999998</v>
      </c>
      <c r="U228" s="64" t="s">
        <v>712</v>
      </c>
      <c r="V228" s="121">
        <v>177653443</v>
      </c>
      <c r="W228" s="122">
        <v>0</v>
      </c>
      <c r="X228" s="64">
        <v>177653443</v>
      </c>
      <c r="Y228" s="121"/>
      <c r="Z228" s="121"/>
      <c r="AA228" s="121"/>
      <c r="AB228" s="121"/>
      <c r="AC228" s="64">
        <v>177653443</v>
      </c>
      <c r="AD228" s="65">
        <v>44109</v>
      </c>
      <c r="AE228" s="65">
        <v>47759</v>
      </c>
      <c r="AF228" s="62">
        <v>10</v>
      </c>
      <c r="AG228" s="119">
        <v>120</v>
      </c>
      <c r="AH228" s="25">
        <v>1480445.3583333334</v>
      </c>
      <c r="AI228" s="78">
        <v>57546333.583333343</v>
      </c>
      <c r="AJ228" s="78">
        <v>120107109.41666666</v>
      </c>
      <c r="AK228" s="27">
        <f t="shared" si="90"/>
        <v>1480445.3583333334</v>
      </c>
      <c r="AL228" s="27">
        <f t="shared" si="94"/>
        <v>1480445.3583333334</v>
      </c>
      <c r="AM228" s="27">
        <f t="shared" si="94"/>
        <v>1480445.3583333334</v>
      </c>
      <c r="AN228" s="27">
        <f t="shared" si="82"/>
        <v>1480445.3583333334</v>
      </c>
      <c r="AO228" s="27">
        <f t="shared" si="83"/>
        <v>1480445.3583333334</v>
      </c>
      <c r="AP228" s="27">
        <f t="shared" si="83"/>
        <v>1480445.3583333334</v>
      </c>
      <c r="AQ228" s="27">
        <f t="shared" si="84"/>
        <v>1480445.3583333334</v>
      </c>
      <c r="AR228" s="27">
        <f t="shared" si="85"/>
        <v>1480445.3583333334</v>
      </c>
      <c r="AS228" s="27"/>
      <c r="AT228" s="27"/>
      <c r="AU228" s="27"/>
      <c r="AV228" s="27"/>
      <c r="AW228" s="27">
        <f t="shared" si="87"/>
        <v>11843562.866666667</v>
      </c>
      <c r="AX228" s="79">
        <f t="shared" si="91"/>
        <v>108263546.54999998</v>
      </c>
      <c r="AY228" s="79">
        <f t="shared" si="92"/>
        <v>69389896.450000018</v>
      </c>
      <c r="AZ228" s="25">
        <v>1</v>
      </c>
      <c r="BA228" s="62" t="s">
        <v>97</v>
      </c>
      <c r="BB228" s="66">
        <v>1</v>
      </c>
      <c r="BC228" s="66"/>
      <c r="BD228" s="66"/>
      <c r="BE228" s="67">
        <f t="shared" si="95"/>
        <v>1480445.3583333334</v>
      </c>
      <c r="BF228" s="67">
        <f t="shared" si="86"/>
        <v>0</v>
      </c>
      <c r="BG228" s="67">
        <f t="shared" si="93"/>
        <v>0</v>
      </c>
      <c r="BH228" s="66"/>
      <c r="BI228" s="68" t="s">
        <v>722</v>
      </c>
      <c r="BJ228" s="68" t="s">
        <v>644</v>
      </c>
      <c r="BK228" s="68" t="s">
        <v>644</v>
      </c>
      <c r="BL228" s="29"/>
      <c r="BO228" s="35" t="s">
        <v>1804</v>
      </c>
    </row>
    <row r="229" spans="1:67" ht="15" customHeight="1">
      <c r="A229" s="1" t="s">
        <v>43</v>
      </c>
      <c r="C229" s="1" t="str">
        <f t="shared" si="88"/>
        <v>2906</v>
      </c>
      <c r="D229" s="1" t="str">
        <f t="shared" si="89"/>
        <v>2106</v>
      </c>
      <c r="E229" s="19" t="s">
        <v>48</v>
      </c>
      <c r="F229" s="62" t="s">
        <v>1896</v>
      </c>
      <c r="G229" s="62">
        <v>2112</v>
      </c>
      <c r="H229" s="62" t="s">
        <v>723</v>
      </c>
      <c r="I229" s="62" t="s">
        <v>724</v>
      </c>
      <c r="J229" s="118">
        <v>1</v>
      </c>
      <c r="K229" s="119" t="s">
        <v>271</v>
      </c>
      <c r="L229" s="62" t="s">
        <v>77</v>
      </c>
      <c r="M229" s="120" t="s">
        <v>711</v>
      </c>
      <c r="N229" s="65">
        <v>43916</v>
      </c>
      <c r="O229" s="24">
        <v>5200</v>
      </c>
      <c r="P229" s="24">
        <v>23240</v>
      </c>
      <c r="Q229" s="64">
        <v>120848000</v>
      </c>
      <c r="R229" s="64">
        <v>0</v>
      </c>
      <c r="S229" s="64"/>
      <c r="T229" s="64">
        <v>2052911.66</v>
      </c>
      <c r="U229" s="64" t="s">
        <v>712</v>
      </c>
      <c r="V229" s="121">
        <v>122900912</v>
      </c>
      <c r="W229" s="122">
        <v>0</v>
      </c>
      <c r="X229" s="64">
        <v>122900912</v>
      </c>
      <c r="Y229" s="121"/>
      <c r="Z229" s="121"/>
      <c r="AA229" s="121"/>
      <c r="AB229" s="121"/>
      <c r="AC229" s="64">
        <v>122900912</v>
      </c>
      <c r="AD229" s="65">
        <v>44365</v>
      </c>
      <c r="AE229" s="65">
        <v>47285</v>
      </c>
      <c r="AF229" s="62">
        <v>8</v>
      </c>
      <c r="AG229" s="119">
        <v>96</v>
      </c>
      <c r="AH229" s="25">
        <v>1280217.8333333333</v>
      </c>
      <c r="AI229" s="78">
        <v>38961299.466666661</v>
      </c>
      <c r="AJ229" s="78">
        <v>83939612.533333331</v>
      </c>
      <c r="AK229" s="27">
        <f t="shared" si="90"/>
        <v>1280217.8333333333</v>
      </c>
      <c r="AL229" s="27">
        <f t="shared" si="94"/>
        <v>1280217.8333333333</v>
      </c>
      <c r="AM229" s="27">
        <f t="shared" si="94"/>
        <v>1280217.8333333333</v>
      </c>
      <c r="AN229" s="27">
        <f t="shared" si="82"/>
        <v>1280217.8333333333</v>
      </c>
      <c r="AO229" s="27">
        <f t="shared" si="83"/>
        <v>1280217.8333333333</v>
      </c>
      <c r="AP229" s="27">
        <f t="shared" si="83"/>
        <v>1280217.8333333333</v>
      </c>
      <c r="AQ229" s="27">
        <f t="shared" si="84"/>
        <v>1280217.8333333333</v>
      </c>
      <c r="AR229" s="27">
        <f t="shared" si="85"/>
        <v>1280217.8333333333</v>
      </c>
      <c r="AS229" s="27"/>
      <c r="AT229" s="27"/>
      <c r="AU229" s="27"/>
      <c r="AV229" s="27"/>
      <c r="AW229" s="27">
        <f t="shared" si="87"/>
        <v>10241742.666666666</v>
      </c>
      <c r="AX229" s="79">
        <f t="shared" si="91"/>
        <v>73697869.86666666</v>
      </c>
      <c r="AY229" s="79">
        <f t="shared" si="92"/>
        <v>49203042.133333325</v>
      </c>
      <c r="AZ229" s="25">
        <v>1</v>
      </c>
      <c r="BA229" s="62" t="s">
        <v>97</v>
      </c>
      <c r="BB229" s="66">
        <v>1</v>
      </c>
      <c r="BC229" s="66"/>
      <c r="BD229" s="66"/>
      <c r="BE229" s="67">
        <f t="shared" si="95"/>
        <v>1280217.8333333333</v>
      </c>
      <c r="BF229" s="67">
        <f t="shared" si="86"/>
        <v>0</v>
      </c>
      <c r="BG229" s="67">
        <f t="shared" si="93"/>
        <v>0</v>
      </c>
      <c r="BH229" s="66"/>
      <c r="BI229" s="68" t="s">
        <v>188</v>
      </c>
      <c r="BJ229" s="68" t="s">
        <v>1980</v>
      </c>
      <c r="BK229" s="68" t="s">
        <v>1980</v>
      </c>
      <c r="BL229" s="29"/>
      <c r="BO229" s="35" t="s">
        <v>1805</v>
      </c>
    </row>
    <row r="230" spans="1:67" ht="15" customHeight="1">
      <c r="A230" s="1" t="s">
        <v>43</v>
      </c>
      <c r="C230" s="1" t="str">
        <f t="shared" si="88"/>
        <v>2705</v>
      </c>
      <c r="D230" s="1" t="str">
        <f t="shared" si="89"/>
        <v>2005</v>
      </c>
      <c r="E230" s="19" t="s">
        <v>48</v>
      </c>
      <c r="F230" s="62" t="s">
        <v>1896</v>
      </c>
      <c r="G230" s="62">
        <v>2112</v>
      </c>
      <c r="H230" s="62" t="s">
        <v>726</v>
      </c>
      <c r="I230" s="62" t="s">
        <v>727</v>
      </c>
      <c r="J230" s="136">
        <v>1</v>
      </c>
      <c r="K230" s="119" t="s">
        <v>271</v>
      </c>
      <c r="L230" s="62" t="s">
        <v>77</v>
      </c>
      <c r="M230" s="120" t="s">
        <v>711</v>
      </c>
      <c r="N230" s="65">
        <v>43916</v>
      </c>
      <c r="O230" s="24">
        <v>9500</v>
      </c>
      <c r="P230" s="64">
        <v>23240</v>
      </c>
      <c r="Q230" s="64">
        <v>220780000</v>
      </c>
      <c r="R230" s="64">
        <v>0</v>
      </c>
      <c r="S230" s="130"/>
      <c r="T230" s="64">
        <v>3750511.6799999997</v>
      </c>
      <c r="U230" s="121" t="s">
        <v>712</v>
      </c>
      <c r="V230" s="121">
        <v>224530512</v>
      </c>
      <c r="W230" s="122">
        <v>0</v>
      </c>
      <c r="X230" s="64">
        <v>224530512</v>
      </c>
      <c r="Y230" s="121"/>
      <c r="Z230" s="121"/>
      <c r="AA230" s="121"/>
      <c r="AB230" s="121"/>
      <c r="AC230" s="64">
        <v>224530512</v>
      </c>
      <c r="AD230" s="65">
        <v>43976</v>
      </c>
      <c r="AE230" s="65">
        <v>46531</v>
      </c>
      <c r="AF230" s="62">
        <v>7</v>
      </c>
      <c r="AG230" s="119">
        <v>84</v>
      </c>
      <c r="AH230" s="25">
        <v>2672982.2857142859</v>
      </c>
      <c r="AI230" s="78">
        <v>115541805.85714287</v>
      </c>
      <c r="AJ230" s="78">
        <v>108988706.14285713</v>
      </c>
      <c r="AK230" s="27">
        <f t="shared" si="90"/>
        <v>2672982.2857142859</v>
      </c>
      <c r="AL230" s="27">
        <f t="shared" si="94"/>
        <v>2672982.2857142859</v>
      </c>
      <c r="AM230" s="27">
        <f t="shared" si="94"/>
        <v>2672982.2857142859</v>
      </c>
      <c r="AN230" s="27">
        <f t="shared" si="82"/>
        <v>2672982.2857142859</v>
      </c>
      <c r="AO230" s="27">
        <f t="shared" si="83"/>
        <v>2672982.2857142859</v>
      </c>
      <c r="AP230" s="27">
        <f t="shared" si="83"/>
        <v>2672982.2857142859</v>
      </c>
      <c r="AQ230" s="27">
        <f t="shared" si="84"/>
        <v>2672982.2857142859</v>
      </c>
      <c r="AR230" s="27">
        <f t="shared" si="85"/>
        <v>2672982.2857142859</v>
      </c>
      <c r="AS230" s="27"/>
      <c r="AT230" s="27"/>
      <c r="AU230" s="27"/>
      <c r="AV230" s="27"/>
      <c r="AW230" s="27">
        <f t="shared" si="87"/>
        <v>21383858.285714287</v>
      </c>
      <c r="AX230" s="79">
        <f t="shared" si="91"/>
        <v>87604847.857142851</v>
      </c>
      <c r="AY230" s="79">
        <f t="shared" si="92"/>
        <v>136925664.14285716</v>
      </c>
      <c r="AZ230" s="25">
        <v>1</v>
      </c>
      <c r="BA230" s="62" t="s">
        <v>97</v>
      </c>
      <c r="BB230" s="66">
        <v>1</v>
      </c>
      <c r="BC230" s="66"/>
      <c r="BD230" s="66"/>
      <c r="BE230" s="67">
        <f t="shared" si="95"/>
        <v>2672982.2857142859</v>
      </c>
      <c r="BF230" s="67">
        <f t="shared" si="86"/>
        <v>0</v>
      </c>
      <c r="BG230" s="67">
        <f t="shared" si="93"/>
        <v>0</v>
      </c>
      <c r="BH230" s="66"/>
      <c r="BI230" s="68" t="s">
        <v>188</v>
      </c>
      <c r="BJ230" s="68" t="s">
        <v>1980</v>
      </c>
      <c r="BK230" s="68" t="s">
        <v>1980</v>
      </c>
      <c r="BL230" s="29"/>
      <c r="BO230" s="35" t="s">
        <v>1805</v>
      </c>
    </row>
    <row r="231" spans="1:67" ht="15" customHeight="1">
      <c r="A231" s="1" t="s">
        <v>43</v>
      </c>
      <c r="C231" s="1" t="str">
        <f t="shared" si="88"/>
        <v>2710</v>
      </c>
      <c r="D231" s="1" t="str">
        <f t="shared" si="89"/>
        <v>2010</v>
      </c>
      <c r="E231" s="19" t="s">
        <v>48</v>
      </c>
      <c r="F231" s="62" t="s">
        <v>515</v>
      </c>
      <c r="G231" s="62">
        <v>2112</v>
      </c>
      <c r="H231" s="62" t="s">
        <v>728</v>
      </c>
      <c r="I231" s="62" t="s">
        <v>729</v>
      </c>
      <c r="J231" s="118">
        <v>1</v>
      </c>
      <c r="K231" s="119" t="s">
        <v>271</v>
      </c>
      <c r="L231" s="62" t="s">
        <v>77</v>
      </c>
      <c r="M231" s="120" t="s">
        <v>711</v>
      </c>
      <c r="N231" s="65">
        <v>43916</v>
      </c>
      <c r="O231" s="24">
        <v>25000</v>
      </c>
      <c r="P231" s="24">
        <v>23240</v>
      </c>
      <c r="Q231" s="64">
        <v>581000000</v>
      </c>
      <c r="R231" s="64">
        <v>0</v>
      </c>
      <c r="S231" s="64"/>
      <c r="T231" s="64">
        <v>9869767.5699999984</v>
      </c>
      <c r="U231" s="64" t="s">
        <v>712</v>
      </c>
      <c r="V231" s="121">
        <v>590869768</v>
      </c>
      <c r="W231" s="122">
        <v>0</v>
      </c>
      <c r="X231" s="64">
        <v>590869768</v>
      </c>
      <c r="Y231" s="121"/>
      <c r="Z231" s="121"/>
      <c r="AA231" s="121"/>
      <c r="AB231" s="121"/>
      <c r="AC231" s="64">
        <v>590869768</v>
      </c>
      <c r="AD231" s="65">
        <v>44109</v>
      </c>
      <c r="AE231" s="65">
        <v>46664</v>
      </c>
      <c r="AF231" s="62">
        <v>7</v>
      </c>
      <c r="AG231" s="119">
        <v>84</v>
      </c>
      <c r="AH231" s="25">
        <v>7034163.9047619049</v>
      </c>
      <c r="AI231" s="78">
        <v>273424761.04761904</v>
      </c>
      <c r="AJ231" s="78">
        <v>317445006.95238096</v>
      </c>
      <c r="AK231" s="27">
        <f t="shared" si="90"/>
        <v>7034163.9047619049</v>
      </c>
      <c r="AL231" s="27">
        <f t="shared" si="94"/>
        <v>7034163.9047619049</v>
      </c>
      <c r="AM231" s="27">
        <f t="shared" si="94"/>
        <v>7034163.9047619049</v>
      </c>
      <c r="AN231" s="27">
        <f t="shared" si="82"/>
        <v>7034163.9047619049</v>
      </c>
      <c r="AO231" s="27">
        <f t="shared" si="83"/>
        <v>7034163.9047619049</v>
      </c>
      <c r="AP231" s="27">
        <f t="shared" si="83"/>
        <v>7034163.9047619049</v>
      </c>
      <c r="AQ231" s="27">
        <f t="shared" si="84"/>
        <v>7034163.9047619049</v>
      </c>
      <c r="AR231" s="27">
        <f t="shared" si="85"/>
        <v>7034163.9047619049</v>
      </c>
      <c r="AS231" s="27"/>
      <c r="AT231" s="27"/>
      <c r="AU231" s="27"/>
      <c r="AV231" s="27"/>
      <c r="AW231" s="27">
        <f t="shared" si="87"/>
        <v>56273311.238095231</v>
      </c>
      <c r="AX231" s="79">
        <f t="shared" si="91"/>
        <v>261171695.71428573</v>
      </c>
      <c r="AY231" s="79">
        <f t="shared" si="92"/>
        <v>329698072.28571427</v>
      </c>
      <c r="AZ231" s="25">
        <v>1</v>
      </c>
      <c r="BA231" s="62" t="s">
        <v>97</v>
      </c>
      <c r="BB231" s="66">
        <v>1</v>
      </c>
      <c r="BC231" s="66"/>
      <c r="BD231" s="66"/>
      <c r="BE231" s="67">
        <f t="shared" si="95"/>
        <v>7034163.9047619049</v>
      </c>
      <c r="BF231" s="67">
        <f t="shared" si="86"/>
        <v>0</v>
      </c>
      <c r="BG231" s="67">
        <f t="shared" si="93"/>
        <v>0</v>
      </c>
      <c r="BH231" s="66"/>
      <c r="BI231" s="68" t="s">
        <v>713</v>
      </c>
      <c r="BJ231" s="68" t="s">
        <v>644</v>
      </c>
      <c r="BK231" s="68" t="s">
        <v>644</v>
      </c>
      <c r="BL231" s="29"/>
      <c r="BO231" s="35" t="s">
        <v>1802</v>
      </c>
    </row>
    <row r="232" spans="1:67" ht="15" customHeight="1">
      <c r="A232" s="1" t="s">
        <v>43</v>
      </c>
      <c r="C232" s="1" t="str">
        <f t="shared" si="88"/>
        <v>2710</v>
      </c>
      <c r="D232" s="1" t="str">
        <f t="shared" si="89"/>
        <v>2010</v>
      </c>
      <c r="E232" s="19" t="s">
        <v>48</v>
      </c>
      <c r="F232" s="62" t="s">
        <v>515</v>
      </c>
      <c r="G232" s="62">
        <v>2112</v>
      </c>
      <c r="H232" s="62" t="s">
        <v>730</v>
      </c>
      <c r="I232" s="62" t="s">
        <v>731</v>
      </c>
      <c r="J232" s="118">
        <v>1</v>
      </c>
      <c r="K232" s="119" t="s">
        <v>271</v>
      </c>
      <c r="L232" s="62" t="s">
        <v>77</v>
      </c>
      <c r="M232" s="120" t="s">
        <v>711</v>
      </c>
      <c r="N232" s="65">
        <v>43916</v>
      </c>
      <c r="O232" s="24">
        <v>25000</v>
      </c>
      <c r="P232" s="24">
        <v>23240</v>
      </c>
      <c r="Q232" s="64">
        <v>581000000</v>
      </c>
      <c r="R232" s="64">
        <v>0</v>
      </c>
      <c r="S232" s="64"/>
      <c r="T232" s="64">
        <v>9869767.5699999984</v>
      </c>
      <c r="U232" s="64" t="s">
        <v>712</v>
      </c>
      <c r="V232" s="121">
        <v>590869768</v>
      </c>
      <c r="W232" s="122">
        <v>0</v>
      </c>
      <c r="X232" s="64">
        <v>590869768</v>
      </c>
      <c r="Y232" s="121"/>
      <c r="Z232" s="121"/>
      <c r="AA232" s="121"/>
      <c r="AB232" s="121"/>
      <c r="AC232" s="64">
        <v>590869768</v>
      </c>
      <c r="AD232" s="65">
        <v>44109</v>
      </c>
      <c r="AE232" s="65">
        <v>46664</v>
      </c>
      <c r="AF232" s="62">
        <v>7</v>
      </c>
      <c r="AG232" s="119">
        <v>84</v>
      </c>
      <c r="AH232" s="25">
        <v>7034163.9047619049</v>
      </c>
      <c r="AI232" s="78">
        <v>273424761.04761904</v>
      </c>
      <c r="AJ232" s="78">
        <v>317445006.95238096</v>
      </c>
      <c r="AK232" s="27">
        <f t="shared" si="90"/>
        <v>7034163.9047619049</v>
      </c>
      <c r="AL232" s="27">
        <f t="shared" si="94"/>
        <v>7034163.9047619049</v>
      </c>
      <c r="AM232" s="27">
        <f t="shared" si="94"/>
        <v>7034163.9047619049</v>
      </c>
      <c r="AN232" s="27">
        <f t="shared" si="82"/>
        <v>7034163.9047619049</v>
      </c>
      <c r="AO232" s="27">
        <f t="shared" si="83"/>
        <v>7034163.9047619049</v>
      </c>
      <c r="AP232" s="27">
        <f t="shared" si="83"/>
        <v>7034163.9047619049</v>
      </c>
      <c r="AQ232" s="27">
        <f t="shared" si="84"/>
        <v>7034163.9047619049</v>
      </c>
      <c r="AR232" s="27">
        <f t="shared" si="85"/>
        <v>7034163.9047619049</v>
      </c>
      <c r="AS232" s="27"/>
      <c r="AT232" s="27"/>
      <c r="AU232" s="27"/>
      <c r="AV232" s="27"/>
      <c r="AW232" s="27">
        <f t="shared" si="87"/>
        <v>56273311.238095231</v>
      </c>
      <c r="AX232" s="79">
        <f t="shared" si="91"/>
        <v>261171695.71428573</v>
      </c>
      <c r="AY232" s="79">
        <f t="shared" si="92"/>
        <v>329698072.28571427</v>
      </c>
      <c r="AZ232" s="25">
        <v>1</v>
      </c>
      <c r="BA232" s="62" t="s">
        <v>97</v>
      </c>
      <c r="BB232" s="66">
        <v>1</v>
      </c>
      <c r="BC232" s="66"/>
      <c r="BD232" s="66"/>
      <c r="BE232" s="67">
        <f t="shared" si="95"/>
        <v>7034163.9047619049</v>
      </c>
      <c r="BF232" s="67">
        <f t="shared" si="86"/>
        <v>0</v>
      </c>
      <c r="BG232" s="67">
        <f t="shared" si="93"/>
        <v>0</v>
      </c>
      <c r="BH232" s="66"/>
      <c r="BI232" s="68" t="s">
        <v>713</v>
      </c>
      <c r="BJ232" s="68" t="s">
        <v>644</v>
      </c>
      <c r="BK232" s="68" t="s">
        <v>644</v>
      </c>
      <c r="BL232" s="29"/>
      <c r="BO232" s="35" t="s">
        <v>1802</v>
      </c>
    </row>
    <row r="233" spans="1:67" ht="15" customHeight="1">
      <c r="A233" s="1" t="s">
        <v>43</v>
      </c>
      <c r="C233" s="1" t="str">
        <f t="shared" si="88"/>
        <v>2809</v>
      </c>
      <c r="D233" s="1" t="str">
        <f t="shared" si="89"/>
        <v>2009</v>
      </c>
      <c r="E233" s="19" t="s">
        <v>48</v>
      </c>
      <c r="F233" s="62" t="s">
        <v>1896</v>
      </c>
      <c r="G233" s="62">
        <v>2112</v>
      </c>
      <c r="H233" s="62" t="s">
        <v>732</v>
      </c>
      <c r="I233" s="62" t="s">
        <v>733</v>
      </c>
      <c r="J233" s="118">
        <v>1</v>
      </c>
      <c r="K233" s="119" t="s">
        <v>271</v>
      </c>
      <c r="L233" s="62" t="s">
        <v>77</v>
      </c>
      <c r="M233" s="120" t="s">
        <v>711</v>
      </c>
      <c r="N233" s="65">
        <v>43916</v>
      </c>
      <c r="O233" s="24">
        <v>74400</v>
      </c>
      <c r="P233" s="24">
        <v>23240</v>
      </c>
      <c r="Q233" s="64">
        <v>1729056000</v>
      </c>
      <c r="R233" s="64">
        <v>0</v>
      </c>
      <c r="S233" s="64"/>
      <c r="T233" s="64">
        <v>29372428.329999998</v>
      </c>
      <c r="U233" s="64" t="s">
        <v>712</v>
      </c>
      <c r="V233" s="121">
        <v>1758428428</v>
      </c>
      <c r="W233" s="122">
        <v>0</v>
      </c>
      <c r="X233" s="64">
        <v>1758428428</v>
      </c>
      <c r="Y233" s="121"/>
      <c r="Z233" s="121"/>
      <c r="AA233" s="121"/>
      <c r="AB233" s="121"/>
      <c r="AC233" s="64">
        <v>1758428428</v>
      </c>
      <c r="AD233" s="65">
        <v>44084</v>
      </c>
      <c r="AE233" s="65">
        <v>47004</v>
      </c>
      <c r="AF233" s="62">
        <v>8</v>
      </c>
      <c r="AG233" s="119">
        <v>96</v>
      </c>
      <c r="AH233" s="25">
        <v>18316962.791666668</v>
      </c>
      <c r="AI233" s="78">
        <v>727183428.91666663</v>
      </c>
      <c r="AJ233" s="78">
        <v>1031244999.0833334</v>
      </c>
      <c r="AK233" s="27">
        <f t="shared" si="90"/>
        <v>18316962.791666668</v>
      </c>
      <c r="AL233" s="27">
        <f t="shared" si="94"/>
        <v>18316962.791666668</v>
      </c>
      <c r="AM233" s="27">
        <f t="shared" si="94"/>
        <v>18316962.791666668</v>
      </c>
      <c r="AN233" s="27">
        <f t="shared" si="82"/>
        <v>18316962.791666668</v>
      </c>
      <c r="AO233" s="27">
        <f t="shared" si="83"/>
        <v>18316962.791666668</v>
      </c>
      <c r="AP233" s="27">
        <f t="shared" si="83"/>
        <v>18316962.791666668</v>
      </c>
      <c r="AQ233" s="27">
        <f t="shared" si="84"/>
        <v>18316962.791666668</v>
      </c>
      <c r="AR233" s="27">
        <f t="shared" si="85"/>
        <v>18316962.791666668</v>
      </c>
      <c r="AS233" s="27"/>
      <c r="AT233" s="27"/>
      <c r="AU233" s="27"/>
      <c r="AV233" s="27"/>
      <c r="AW233" s="27">
        <f t="shared" si="87"/>
        <v>146535702.33333334</v>
      </c>
      <c r="AX233" s="79">
        <f t="shared" si="91"/>
        <v>884709296.75</v>
      </c>
      <c r="AY233" s="79">
        <f t="shared" si="92"/>
        <v>873719131.25</v>
      </c>
      <c r="AZ233" s="25">
        <v>1</v>
      </c>
      <c r="BA233" s="62" t="s">
        <v>97</v>
      </c>
      <c r="BB233" s="66">
        <v>1</v>
      </c>
      <c r="BC233" s="66"/>
      <c r="BD233" s="66"/>
      <c r="BE233" s="67">
        <f t="shared" si="95"/>
        <v>18316962.791666668</v>
      </c>
      <c r="BF233" s="67">
        <f t="shared" si="86"/>
        <v>0</v>
      </c>
      <c r="BG233" s="67">
        <f t="shared" si="93"/>
        <v>0</v>
      </c>
      <c r="BH233" s="66"/>
      <c r="BI233" s="68" t="s">
        <v>242</v>
      </c>
      <c r="BJ233" s="68" t="s">
        <v>1979</v>
      </c>
      <c r="BK233" s="68" t="s">
        <v>1979</v>
      </c>
      <c r="BL233" s="29"/>
      <c r="BO233" s="35" t="s">
        <v>1805</v>
      </c>
    </row>
    <row r="234" spans="1:67" ht="15" customHeight="1">
      <c r="A234" s="1" t="s">
        <v>43</v>
      </c>
      <c r="C234" s="1" t="str">
        <f t="shared" si="88"/>
        <v>3010</v>
      </c>
      <c r="D234" s="1" t="str">
        <f t="shared" si="89"/>
        <v>2010</v>
      </c>
      <c r="E234" s="19" t="s">
        <v>48</v>
      </c>
      <c r="F234" s="62" t="s">
        <v>515</v>
      </c>
      <c r="G234" s="62">
        <v>2112</v>
      </c>
      <c r="H234" s="62" t="s">
        <v>734</v>
      </c>
      <c r="I234" s="62" t="s">
        <v>735</v>
      </c>
      <c r="J234" s="118">
        <v>1</v>
      </c>
      <c r="K234" s="119" t="s">
        <v>271</v>
      </c>
      <c r="L234" s="62" t="s">
        <v>77</v>
      </c>
      <c r="M234" s="120" t="s">
        <v>711</v>
      </c>
      <c r="N234" s="65">
        <v>43916</v>
      </c>
      <c r="O234" s="24">
        <v>10000</v>
      </c>
      <c r="P234" s="24">
        <v>23240</v>
      </c>
      <c r="Q234" s="64">
        <v>232400000</v>
      </c>
      <c r="R234" s="64">
        <v>0</v>
      </c>
      <c r="S234" s="64"/>
      <c r="T234" s="64">
        <v>3947907.03</v>
      </c>
      <c r="U234" s="64" t="s">
        <v>712</v>
      </c>
      <c r="V234" s="121">
        <v>236347907</v>
      </c>
      <c r="W234" s="122">
        <v>0</v>
      </c>
      <c r="X234" s="64">
        <v>236347907</v>
      </c>
      <c r="Y234" s="121"/>
      <c r="Z234" s="121"/>
      <c r="AA234" s="121"/>
      <c r="AB234" s="121"/>
      <c r="AC234" s="64">
        <v>236347907</v>
      </c>
      <c r="AD234" s="65">
        <v>44109</v>
      </c>
      <c r="AE234" s="65">
        <v>47759</v>
      </c>
      <c r="AF234" s="62">
        <v>10</v>
      </c>
      <c r="AG234" s="119">
        <v>120</v>
      </c>
      <c r="AH234" s="25">
        <v>1969565.8916666666</v>
      </c>
      <c r="AI234" s="78">
        <v>76558934.916666657</v>
      </c>
      <c r="AJ234" s="78">
        <v>159788972.08333334</v>
      </c>
      <c r="AK234" s="27">
        <f t="shared" si="90"/>
        <v>1969565.8916666666</v>
      </c>
      <c r="AL234" s="27">
        <f t="shared" si="94"/>
        <v>1969565.8916666666</v>
      </c>
      <c r="AM234" s="27">
        <f t="shared" si="94"/>
        <v>1969565.8916666666</v>
      </c>
      <c r="AN234" s="27">
        <f t="shared" ref="AN234:AN295" si="96">+IF(AND(AN$3&gt;=$D234,AN$3&lt;$C234),$AH234,$AJ234-SUM(AL234:AM234))</f>
        <v>1969565.8916666666</v>
      </c>
      <c r="AO234" s="27">
        <f t="shared" ref="AO234:AP295" si="97">+IF(AND(AO$3&gt;=$D234,AO$3&lt;$C234),$AH234,$AJ234-SUM(AM234:AN234))</f>
        <v>1969565.8916666666</v>
      </c>
      <c r="AP234" s="27">
        <f t="shared" si="97"/>
        <v>1969565.8916666666</v>
      </c>
      <c r="AQ234" s="27">
        <f t="shared" ref="AQ234:AQ295" si="98">+IF(AND(AQ$3&gt;=$D234,AQ$3&lt;$C234),$AH234,$AJ234-SUM(AK234:AP234))</f>
        <v>1969565.8916666666</v>
      </c>
      <c r="AR234" s="27">
        <f t="shared" ref="AR234:AR295" si="99">+IF(AND(AR$3&gt;=$D234,AR$3&lt;$C234),$AH234,$AJ234-SUM(AL234:AQ234))</f>
        <v>1969565.8916666666</v>
      </c>
      <c r="AS234" s="27"/>
      <c r="AT234" s="27"/>
      <c r="AU234" s="27"/>
      <c r="AV234" s="27"/>
      <c r="AW234" s="27">
        <f t="shared" si="87"/>
        <v>15756527.133333329</v>
      </c>
      <c r="AX234" s="79">
        <f t="shared" si="91"/>
        <v>144032444.95000002</v>
      </c>
      <c r="AY234" s="79">
        <f t="shared" si="92"/>
        <v>92315462.049999982</v>
      </c>
      <c r="AZ234" s="25">
        <v>1</v>
      </c>
      <c r="BA234" s="62" t="s">
        <v>97</v>
      </c>
      <c r="BB234" s="66">
        <v>1</v>
      </c>
      <c r="BC234" s="66"/>
      <c r="BD234" s="66"/>
      <c r="BE234" s="67">
        <f t="shared" si="95"/>
        <v>1969565.8916666666</v>
      </c>
      <c r="BF234" s="67">
        <f t="shared" ref="BF234:BF295" si="100">+$AM234*BC234</f>
        <v>0</v>
      </c>
      <c r="BG234" s="67">
        <f t="shared" si="93"/>
        <v>0</v>
      </c>
      <c r="BH234" s="66" t="s">
        <v>736</v>
      </c>
      <c r="BI234" s="68" t="s">
        <v>737</v>
      </c>
      <c r="BJ234" s="68" t="s">
        <v>644</v>
      </c>
      <c r="BK234" s="68" t="s">
        <v>644</v>
      </c>
      <c r="BL234" s="29"/>
      <c r="BO234" s="35" t="s">
        <v>1802</v>
      </c>
    </row>
    <row r="235" spans="1:67" ht="15" customHeight="1">
      <c r="A235" s="1" t="s">
        <v>43</v>
      </c>
      <c r="C235" s="1" t="str">
        <f t="shared" si="88"/>
        <v>3004</v>
      </c>
      <c r="D235" s="1" t="str">
        <f t="shared" si="89"/>
        <v>2004</v>
      </c>
      <c r="E235" s="19" t="s">
        <v>48</v>
      </c>
      <c r="F235" s="62" t="s">
        <v>1896</v>
      </c>
      <c r="G235" s="62">
        <v>2112</v>
      </c>
      <c r="H235" s="62" t="s">
        <v>738</v>
      </c>
      <c r="I235" s="62" t="s">
        <v>739</v>
      </c>
      <c r="J235" s="118">
        <v>1</v>
      </c>
      <c r="K235" s="119" t="s">
        <v>271</v>
      </c>
      <c r="L235" s="62" t="s">
        <v>77</v>
      </c>
      <c r="M235" s="120" t="s">
        <v>711</v>
      </c>
      <c r="N235" s="65">
        <v>43916</v>
      </c>
      <c r="O235" s="24">
        <v>33000</v>
      </c>
      <c r="P235" s="24">
        <v>23240</v>
      </c>
      <c r="Q235" s="64">
        <v>766920000</v>
      </c>
      <c r="R235" s="64">
        <v>0</v>
      </c>
      <c r="S235" s="64"/>
      <c r="T235" s="64">
        <v>13028093.209999999</v>
      </c>
      <c r="U235" s="64" t="s">
        <v>712</v>
      </c>
      <c r="V235" s="121">
        <v>779948093</v>
      </c>
      <c r="W235" s="122">
        <v>0</v>
      </c>
      <c r="X235" s="64">
        <v>779948093</v>
      </c>
      <c r="Y235" s="121"/>
      <c r="Z235" s="121"/>
      <c r="AA235" s="121"/>
      <c r="AB235" s="121"/>
      <c r="AC235" s="64">
        <v>779948093</v>
      </c>
      <c r="AD235" s="65">
        <v>43936</v>
      </c>
      <c r="AE235" s="65">
        <v>47586</v>
      </c>
      <c r="AF235" s="62">
        <v>10</v>
      </c>
      <c r="AG235" s="119">
        <v>120</v>
      </c>
      <c r="AH235" s="25">
        <v>6499567.4416666664</v>
      </c>
      <c r="AI235" s="78">
        <v>289447388.41666663</v>
      </c>
      <c r="AJ235" s="78">
        <v>490500704.58333337</v>
      </c>
      <c r="AK235" s="27">
        <f t="shared" si="90"/>
        <v>6499567.4416666664</v>
      </c>
      <c r="AL235" s="27">
        <f t="shared" si="94"/>
        <v>6499567.4416666664</v>
      </c>
      <c r="AM235" s="27">
        <f t="shared" si="94"/>
        <v>6499567.4416666664</v>
      </c>
      <c r="AN235" s="27">
        <f t="shared" si="96"/>
        <v>6499567.4416666664</v>
      </c>
      <c r="AO235" s="27">
        <f t="shared" si="97"/>
        <v>6499567.4416666664</v>
      </c>
      <c r="AP235" s="27">
        <f t="shared" si="97"/>
        <v>6499567.4416666664</v>
      </c>
      <c r="AQ235" s="27">
        <f t="shared" si="98"/>
        <v>6499567.4416666664</v>
      </c>
      <c r="AR235" s="27">
        <f t="shared" si="99"/>
        <v>6499567.4416666664</v>
      </c>
      <c r="AS235" s="27"/>
      <c r="AT235" s="27"/>
      <c r="AU235" s="27"/>
      <c r="AV235" s="27"/>
      <c r="AW235" s="27">
        <f t="shared" si="87"/>
        <v>51996539.533333331</v>
      </c>
      <c r="AX235" s="79">
        <f t="shared" si="91"/>
        <v>438504165.05000007</v>
      </c>
      <c r="AY235" s="79">
        <f t="shared" si="92"/>
        <v>341443927.94999993</v>
      </c>
      <c r="AZ235" s="25">
        <v>1</v>
      </c>
      <c r="BA235" s="62" t="s">
        <v>97</v>
      </c>
      <c r="BB235" s="66">
        <v>1</v>
      </c>
      <c r="BC235" s="66"/>
      <c r="BD235" s="66"/>
      <c r="BE235" s="67">
        <f t="shared" si="95"/>
        <v>6499567.4416666664</v>
      </c>
      <c r="BF235" s="67">
        <f t="shared" si="100"/>
        <v>0</v>
      </c>
      <c r="BG235" s="67">
        <f t="shared" si="93"/>
        <v>0</v>
      </c>
      <c r="BH235" s="66"/>
      <c r="BI235" s="68" t="s">
        <v>446</v>
      </c>
      <c r="BJ235" s="68" t="s">
        <v>1989</v>
      </c>
      <c r="BK235" s="68" t="s">
        <v>1929</v>
      </c>
      <c r="BL235" s="29"/>
      <c r="BO235" s="35" t="s">
        <v>1804</v>
      </c>
    </row>
    <row r="236" spans="1:67" ht="15" customHeight="1">
      <c r="A236" s="1" t="s">
        <v>43</v>
      </c>
      <c r="C236" s="1" t="str">
        <f t="shared" si="88"/>
        <v>3005</v>
      </c>
      <c r="D236" s="1" t="str">
        <f t="shared" si="89"/>
        <v>2005</v>
      </c>
      <c r="E236" s="19" t="s">
        <v>48</v>
      </c>
      <c r="F236" s="62" t="s">
        <v>1896</v>
      </c>
      <c r="G236" s="62">
        <v>2112</v>
      </c>
      <c r="H236" s="62" t="s">
        <v>740</v>
      </c>
      <c r="I236" s="62" t="s">
        <v>741</v>
      </c>
      <c r="J236" s="118">
        <v>1</v>
      </c>
      <c r="K236" s="119" t="s">
        <v>619</v>
      </c>
      <c r="L236" s="62" t="s">
        <v>742</v>
      </c>
      <c r="M236" s="120" t="s">
        <v>743</v>
      </c>
      <c r="N236" s="65">
        <v>43922</v>
      </c>
      <c r="O236" s="24">
        <v>64000</v>
      </c>
      <c r="P236" s="24">
        <v>23289</v>
      </c>
      <c r="Q236" s="64">
        <v>1490496000</v>
      </c>
      <c r="R236" s="64"/>
      <c r="S236" s="64"/>
      <c r="T236" s="64">
        <v>21298500</v>
      </c>
      <c r="U236" s="64" t="s">
        <v>744</v>
      </c>
      <c r="V236" s="121">
        <v>1511794500</v>
      </c>
      <c r="W236" s="122">
        <v>0</v>
      </c>
      <c r="X236" s="64">
        <v>1511794500</v>
      </c>
      <c r="Y236" s="121"/>
      <c r="Z236" s="121"/>
      <c r="AA236" s="121"/>
      <c r="AB236" s="121"/>
      <c r="AC236" s="64">
        <v>1511794500</v>
      </c>
      <c r="AD236" s="65">
        <v>43971</v>
      </c>
      <c r="AE236" s="65">
        <v>47621</v>
      </c>
      <c r="AF236" s="62">
        <v>10</v>
      </c>
      <c r="AG236" s="119">
        <v>120</v>
      </c>
      <c r="AH236" s="25">
        <v>12598287.5</v>
      </c>
      <c r="AI236" s="78">
        <v>546603135</v>
      </c>
      <c r="AJ236" s="78">
        <v>965191365</v>
      </c>
      <c r="AK236" s="27">
        <f t="shared" si="90"/>
        <v>12598287.5</v>
      </c>
      <c r="AL236" s="27">
        <f t="shared" si="94"/>
        <v>12598287.5</v>
      </c>
      <c r="AM236" s="27">
        <f t="shared" si="94"/>
        <v>12598287.5</v>
      </c>
      <c r="AN236" s="27">
        <f t="shared" si="96"/>
        <v>12598287.5</v>
      </c>
      <c r="AO236" s="27">
        <f t="shared" si="97"/>
        <v>12598287.5</v>
      </c>
      <c r="AP236" s="27">
        <f t="shared" si="97"/>
        <v>12598287.5</v>
      </c>
      <c r="AQ236" s="27">
        <f t="shared" si="98"/>
        <v>12598287.5</v>
      </c>
      <c r="AR236" s="27">
        <f t="shared" si="99"/>
        <v>12598287.5</v>
      </c>
      <c r="AS236" s="27"/>
      <c r="AT236" s="27"/>
      <c r="AU236" s="27"/>
      <c r="AV236" s="27"/>
      <c r="AW236" s="27">
        <f t="shared" si="87"/>
        <v>100786300</v>
      </c>
      <c r="AX236" s="79">
        <f t="shared" si="91"/>
        <v>864405065</v>
      </c>
      <c r="AY236" s="79">
        <f t="shared" si="92"/>
        <v>647389435</v>
      </c>
      <c r="AZ236" s="25">
        <v>1</v>
      </c>
      <c r="BA236" s="62" t="s">
        <v>97</v>
      </c>
      <c r="BB236" s="66">
        <v>1</v>
      </c>
      <c r="BC236" s="66"/>
      <c r="BD236" s="66"/>
      <c r="BE236" s="67">
        <f t="shared" si="95"/>
        <v>12598287.5</v>
      </c>
      <c r="BF236" s="67">
        <f t="shared" si="100"/>
        <v>0</v>
      </c>
      <c r="BG236" s="67">
        <f t="shared" si="93"/>
        <v>0</v>
      </c>
      <c r="BH236" s="66"/>
      <c r="BI236" s="68" t="s">
        <v>188</v>
      </c>
      <c r="BJ236" s="68" t="s">
        <v>1980</v>
      </c>
      <c r="BK236" s="68" t="s">
        <v>1980</v>
      </c>
      <c r="BL236" s="29"/>
      <c r="BO236" s="35" t="s">
        <v>1805</v>
      </c>
    </row>
    <row r="237" spans="1:67" ht="15" customHeight="1">
      <c r="A237" s="1" t="s">
        <v>43</v>
      </c>
      <c r="C237" s="1" t="str">
        <f t="shared" si="88"/>
        <v>3012</v>
      </c>
      <c r="D237" s="1" t="str">
        <f t="shared" si="89"/>
        <v>2012</v>
      </c>
      <c r="E237" s="19" t="s">
        <v>48</v>
      </c>
      <c r="F237" s="62" t="s">
        <v>515</v>
      </c>
      <c r="G237" s="62">
        <v>2112</v>
      </c>
      <c r="H237" s="62" t="s">
        <v>745</v>
      </c>
      <c r="I237" s="62" t="s">
        <v>746</v>
      </c>
      <c r="J237" s="118">
        <v>1</v>
      </c>
      <c r="K237" s="119" t="s">
        <v>619</v>
      </c>
      <c r="L237" s="62" t="s">
        <v>77</v>
      </c>
      <c r="M237" s="120" t="s">
        <v>747</v>
      </c>
      <c r="N237" s="65">
        <v>43929</v>
      </c>
      <c r="O237" s="24">
        <v>890000</v>
      </c>
      <c r="P237" s="24">
        <v>23480</v>
      </c>
      <c r="Q237" s="64">
        <v>20897200000</v>
      </c>
      <c r="R237" s="64"/>
      <c r="S237" s="64"/>
      <c r="T237" s="64">
        <v>140571100</v>
      </c>
      <c r="U237" s="64" t="s">
        <v>748</v>
      </c>
      <c r="V237" s="121">
        <v>21037771100</v>
      </c>
      <c r="W237" s="122">
        <v>0</v>
      </c>
      <c r="X237" s="64">
        <v>21037771100</v>
      </c>
      <c r="Y237" s="121"/>
      <c r="Z237" s="121"/>
      <c r="AA237" s="121"/>
      <c r="AB237" s="121"/>
      <c r="AC237" s="64">
        <v>21037771100</v>
      </c>
      <c r="AD237" s="65">
        <v>44185</v>
      </c>
      <c r="AE237" s="65">
        <v>47835</v>
      </c>
      <c r="AF237" s="62">
        <v>10</v>
      </c>
      <c r="AG237" s="119">
        <v>120</v>
      </c>
      <c r="AH237" s="25">
        <v>175314759.16666666</v>
      </c>
      <c r="AI237" s="78">
        <v>6379195103.666667</v>
      </c>
      <c r="AJ237" s="78">
        <v>14658575996.333332</v>
      </c>
      <c r="AK237" s="27">
        <f t="shared" si="90"/>
        <v>175314759.16666666</v>
      </c>
      <c r="AL237" s="27">
        <f t="shared" si="94"/>
        <v>175314759.16666666</v>
      </c>
      <c r="AM237" s="27">
        <f t="shared" si="94"/>
        <v>175314759.16666666</v>
      </c>
      <c r="AN237" s="27">
        <f t="shared" si="96"/>
        <v>175314759.16666666</v>
      </c>
      <c r="AO237" s="27">
        <f t="shared" si="97"/>
        <v>175314759.16666666</v>
      </c>
      <c r="AP237" s="27">
        <f t="shared" si="97"/>
        <v>175314759.16666666</v>
      </c>
      <c r="AQ237" s="27">
        <f t="shared" si="98"/>
        <v>175314759.16666666</v>
      </c>
      <c r="AR237" s="27">
        <f t="shared" si="99"/>
        <v>175314759.16666666</v>
      </c>
      <c r="AS237" s="27"/>
      <c r="AT237" s="27"/>
      <c r="AU237" s="27"/>
      <c r="AV237" s="27"/>
      <c r="AW237" s="27">
        <f t="shared" si="87"/>
        <v>1402518073.3333333</v>
      </c>
      <c r="AX237" s="79">
        <f t="shared" si="91"/>
        <v>13256057922.999998</v>
      </c>
      <c r="AY237" s="79">
        <f t="shared" si="92"/>
        <v>7781713177</v>
      </c>
      <c r="AZ237" s="25">
        <v>1</v>
      </c>
      <c r="BA237" s="62" t="s">
        <v>97</v>
      </c>
      <c r="BB237" s="66">
        <v>1</v>
      </c>
      <c r="BC237" s="66"/>
      <c r="BD237" s="66"/>
      <c r="BE237" s="67">
        <f t="shared" si="95"/>
        <v>175314759.16666666</v>
      </c>
      <c r="BF237" s="67">
        <f t="shared" si="100"/>
        <v>0</v>
      </c>
      <c r="BG237" s="67">
        <f t="shared" si="93"/>
        <v>0</v>
      </c>
      <c r="BH237" s="66"/>
      <c r="BI237" s="68" t="s">
        <v>713</v>
      </c>
      <c r="BJ237" s="68" t="s">
        <v>644</v>
      </c>
      <c r="BK237" s="68" t="s">
        <v>644</v>
      </c>
      <c r="BL237" s="29"/>
      <c r="BO237" s="35" t="s">
        <v>1802</v>
      </c>
    </row>
    <row r="238" spans="1:67" ht="15" customHeight="1">
      <c r="A238" s="1" t="s">
        <v>43</v>
      </c>
      <c r="C238" s="1" t="str">
        <f t="shared" si="88"/>
        <v>2705</v>
      </c>
      <c r="D238" s="1" t="str">
        <f t="shared" si="89"/>
        <v>2005</v>
      </c>
      <c r="E238" s="19" t="s">
        <v>48</v>
      </c>
      <c r="F238" s="62" t="s">
        <v>1896</v>
      </c>
      <c r="G238" s="62">
        <v>2112</v>
      </c>
      <c r="H238" s="62" t="s">
        <v>756</v>
      </c>
      <c r="I238" s="62" t="s">
        <v>757</v>
      </c>
      <c r="J238" s="118">
        <v>1</v>
      </c>
      <c r="K238" s="119" t="s">
        <v>619</v>
      </c>
      <c r="L238" s="62" t="s">
        <v>77</v>
      </c>
      <c r="M238" s="120" t="s">
        <v>751</v>
      </c>
      <c r="N238" s="65">
        <v>43929</v>
      </c>
      <c r="O238" s="24">
        <v>47000</v>
      </c>
      <c r="P238" s="24">
        <v>23525</v>
      </c>
      <c r="Q238" s="64">
        <v>1105675000</v>
      </c>
      <c r="R238" s="64"/>
      <c r="S238" s="64"/>
      <c r="T238" s="64">
        <v>99030452</v>
      </c>
      <c r="U238" s="64" t="s">
        <v>752</v>
      </c>
      <c r="V238" s="121">
        <v>1204705452</v>
      </c>
      <c r="W238" s="122">
        <v>0</v>
      </c>
      <c r="X238" s="64">
        <v>1204705452</v>
      </c>
      <c r="Y238" s="121"/>
      <c r="Z238" s="121"/>
      <c r="AA238" s="121"/>
      <c r="AB238" s="121"/>
      <c r="AC238" s="64">
        <v>1204705452</v>
      </c>
      <c r="AD238" s="65">
        <v>43976</v>
      </c>
      <c r="AE238" s="65">
        <v>46531</v>
      </c>
      <c r="AF238" s="62">
        <v>7</v>
      </c>
      <c r="AG238" s="119">
        <v>84</v>
      </c>
      <c r="AH238" s="25">
        <v>14341731.571428571</v>
      </c>
      <c r="AI238" s="78">
        <v>619932927.71428561</v>
      </c>
      <c r="AJ238" s="78">
        <v>584772524.28571439</v>
      </c>
      <c r="AK238" s="27">
        <f t="shared" si="90"/>
        <v>14341731.571428571</v>
      </c>
      <c r="AL238" s="27">
        <f t="shared" si="94"/>
        <v>14341731.571428571</v>
      </c>
      <c r="AM238" s="27">
        <f t="shared" si="94"/>
        <v>14341731.571428571</v>
      </c>
      <c r="AN238" s="27">
        <f t="shared" si="96"/>
        <v>14341731.571428571</v>
      </c>
      <c r="AO238" s="27">
        <f t="shared" si="97"/>
        <v>14341731.571428571</v>
      </c>
      <c r="AP238" s="27">
        <f t="shared" si="97"/>
        <v>14341731.571428571</v>
      </c>
      <c r="AQ238" s="27">
        <f t="shared" si="98"/>
        <v>14341731.571428571</v>
      </c>
      <c r="AR238" s="27">
        <f t="shared" si="99"/>
        <v>14341731.571428571</v>
      </c>
      <c r="AS238" s="27"/>
      <c r="AT238" s="27"/>
      <c r="AU238" s="27"/>
      <c r="AV238" s="27"/>
      <c r="AW238" s="27">
        <f t="shared" si="87"/>
        <v>114733852.57142855</v>
      </c>
      <c r="AX238" s="79">
        <f t="shared" si="91"/>
        <v>470038671.71428585</v>
      </c>
      <c r="AY238" s="79">
        <f t="shared" si="92"/>
        <v>734666780.28571415</v>
      </c>
      <c r="AZ238" s="25">
        <v>1</v>
      </c>
      <c r="BA238" s="62" t="s">
        <v>97</v>
      </c>
      <c r="BB238" s="66">
        <v>1</v>
      </c>
      <c r="BC238" s="66"/>
      <c r="BD238" s="66"/>
      <c r="BE238" s="67">
        <f t="shared" si="95"/>
        <v>14341731.571428571</v>
      </c>
      <c r="BF238" s="67">
        <f t="shared" si="100"/>
        <v>0</v>
      </c>
      <c r="BG238" s="67">
        <f t="shared" si="93"/>
        <v>0</v>
      </c>
      <c r="BH238" s="66"/>
      <c r="BI238" s="68" t="s">
        <v>446</v>
      </c>
      <c r="BJ238" s="68" t="s">
        <v>1980</v>
      </c>
      <c r="BK238" s="68" t="s">
        <v>1980</v>
      </c>
      <c r="BL238" s="29"/>
      <c r="BO238" s="35" t="s">
        <v>1804</v>
      </c>
    </row>
    <row r="239" spans="1:67" ht="15" customHeight="1">
      <c r="A239" s="1" t="s">
        <v>43</v>
      </c>
      <c r="C239" s="1" t="str">
        <f t="shared" si="88"/>
        <v>3010</v>
      </c>
      <c r="D239" s="1" t="str">
        <f t="shared" si="89"/>
        <v>2011</v>
      </c>
      <c r="E239" s="19" t="s">
        <v>48</v>
      </c>
      <c r="F239" s="62" t="s">
        <v>515</v>
      </c>
      <c r="G239" s="62">
        <v>2112</v>
      </c>
      <c r="H239" s="62" t="s">
        <v>758</v>
      </c>
      <c r="I239" s="62" t="s">
        <v>759</v>
      </c>
      <c r="J239" s="118">
        <v>1</v>
      </c>
      <c r="K239" s="119" t="s">
        <v>619</v>
      </c>
      <c r="L239" s="62" t="s">
        <v>760</v>
      </c>
      <c r="M239" s="120" t="s">
        <v>761</v>
      </c>
      <c r="N239" s="65">
        <v>43938</v>
      </c>
      <c r="O239" s="24">
        <v>70000</v>
      </c>
      <c r="P239" s="24">
        <v>23471.599999999999</v>
      </c>
      <c r="Q239" s="64">
        <v>1643012000</v>
      </c>
      <c r="R239" s="64">
        <v>164408400</v>
      </c>
      <c r="S239" s="64"/>
      <c r="T239" s="64">
        <v>47774206</v>
      </c>
      <c r="U239" s="64" t="s">
        <v>762</v>
      </c>
      <c r="V239" s="121">
        <v>1855194606</v>
      </c>
      <c r="W239" s="122">
        <v>0</v>
      </c>
      <c r="X239" s="64">
        <v>1855194606</v>
      </c>
      <c r="Y239" s="121"/>
      <c r="Z239" s="121"/>
      <c r="AA239" s="121"/>
      <c r="AB239" s="121"/>
      <c r="AC239" s="64">
        <v>1855194606</v>
      </c>
      <c r="AD239" s="65">
        <v>44136</v>
      </c>
      <c r="AE239" s="65">
        <v>47786</v>
      </c>
      <c r="AF239" s="62">
        <v>10</v>
      </c>
      <c r="AG239" s="119">
        <v>120</v>
      </c>
      <c r="AH239" s="25">
        <v>15459955.050000001</v>
      </c>
      <c r="AI239" s="78">
        <v>587478290.5</v>
      </c>
      <c r="AJ239" s="78">
        <v>1267716315.5</v>
      </c>
      <c r="AK239" s="27">
        <f t="shared" si="90"/>
        <v>15459955.050000001</v>
      </c>
      <c r="AL239" s="27">
        <f t="shared" si="94"/>
        <v>15459955.050000001</v>
      </c>
      <c r="AM239" s="27">
        <f t="shared" si="94"/>
        <v>15459955.050000001</v>
      </c>
      <c r="AN239" s="27">
        <f t="shared" si="96"/>
        <v>15459955.050000001</v>
      </c>
      <c r="AO239" s="27">
        <f t="shared" si="97"/>
        <v>15459955.050000001</v>
      </c>
      <c r="AP239" s="27">
        <f t="shared" si="97"/>
        <v>15459955.050000001</v>
      </c>
      <c r="AQ239" s="27">
        <f t="shared" si="98"/>
        <v>15459955.050000001</v>
      </c>
      <c r="AR239" s="27">
        <f t="shared" si="99"/>
        <v>15459955.050000001</v>
      </c>
      <c r="AS239" s="27"/>
      <c r="AT239" s="27"/>
      <c r="AU239" s="27"/>
      <c r="AV239" s="27"/>
      <c r="AW239" s="27">
        <f t="shared" si="87"/>
        <v>123679640.39999999</v>
      </c>
      <c r="AX239" s="79">
        <f t="shared" si="91"/>
        <v>1144036675.0999999</v>
      </c>
      <c r="AY239" s="79">
        <f t="shared" si="92"/>
        <v>711157930.89999998</v>
      </c>
      <c r="AZ239" s="25">
        <v>1</v>
      </c>
      <c r="BA239" s="62" t="s">
        <v>97</v>
      </c>
      <c r="BB239" s="66">
        <v>1</v>
      </c>
      <c r="BC239" s="66"/>
      <c r="BD239" s="66"/>
      <c r="BE239" s="67">
        <f t="shared" si="95"/>
        <v>15459955.050000001</v>
      </c>
      <c r="BF239" s="67">
        <f t="shared" si="100"/>
        <v>0</v>
      </c>
      <c r="BG239" s="67">
        <f t="shared" si="93"/>
        <v>0</v>
      </c>
      <c r="BH239" s="66"/>
      <c r="BI239" s="68" t="s">
        <v>80</v>
      </c>
      <c r="BJ239" s="68" t="s">
        <v>58</v>
      </c>
      <c r="BK239" s="68" t="s">
        <v>59</v>
      </c>
      <c r="BL239" s="29"/>
      <c r="BO239" s="35" t="s">
        <v>1804</v>
      </c>
    </row>
    <row r="240" spans="1:67" ht="15" customHeight="1">
      <c r="A240" s="1" t="s">
        <v>43</v>
      </c>
      <c r="C240" s="1" t="str">
        <f t="shared" si="88"/>
        <v>2705</v>
      </c>
      <c r="D240" s="1" t="str">
        <f t="shared" si="89"/>
        <v>2005</v>
      </c>
      <c r="E240" s="19" t="s">
        <v>48</v>
      </c>
      <c r="F240" s="62" t="s">
        <v>1896</v>
      </c>
      <c r="G240" s="62">
        <v>2112</v>
      </c>
      <c r="H240" s="62" t="s">
        <v>763</v>
      </c>
      <c r="I240" s="62" t="s">
        <v>764</v>
      </c>
      <c r="J240" s="118">
        <v>1</v>
      </c>
      <c r="K240" s="119" t="s">
        <v>271</v>
      </c>
      <c r="L240" s="62" t="s">
        <v>765</v>
      </c>
      <c r="M240" s="120" t="s">
        <v>766</v>
      </c>
      <c r="N240" s="65">
        <v>43938</v>
      </c>
      <c r="O240" s="24"/>
      <c r="P240" s="24"/>
      <c r="Q240" s="64">
        <v>119735000</v>
      </c>
      <c r="R240" s="64"/>
      <c r="S240" s="64"/>
      <c r="T240" s="64"/>
      <c r="U240" s="64"/>
      <c r="V240" s="121">
        <v>119735000</v>
      </c>
      <c r="W240" s="122">
        <v>0</v>
      </c>
      <c r="X240" s="64">
        <v>119735000</v>
      </c>
      <c r="Y240" s="121"/>
      <c r="Z240" s="121"/>
      <c r="AA240" s="121"/>
      <c r="AB240" s="121"/>
      <c r="AC240" s="64">
        <v>119735000</v>
      </c>
      <c r="AD240" s="65">
        <v>43976</v>
      </c>
      <c r="AE240" s="65">
        <v>46531</v>
      </c>
      <c r="AF240" s="62">
        <v>7</v>
      </c>
      <c r="AG240" s="119">
        <v>84</v>
      </c>
      <c r="AH240" s="25">
        <v>1425416.6666666667</v>
      </c>
      <c r="AI240" s="78">
        <v>61614795.666666664</v>
      </c>
      <c r="AJ240" s="78">
        <v>58120204.333333336</v>
      </c>
      <c r="AK240" s="27">
        <f t="shared" si="90"/>
        <v>1425416.6666666667</v>
      </c>
      <c r="AL240" s="27">
        <f t="shared" si="94"/>
        <v>1425416.6666666667</v>
      </c>
      <c r="AM240" s="27">
        <f t="shared" si="94"/>
        <v>1425416.6666666667</v>
      </c>
      <c r="AN240" s="27">
        <f t="shared" si="96"/>
        <v>1425416.6666666667</v>
      </c>
      <c r="AO240" s="27">
        <f t="shared" si="97"/>
        <v>1425416.6666666667</v>
      </c>
      <c r="AP240" s="27">
        <f t="shared" si="97"/>
        <v>1425416.6666666667</v>
      </c>
      <c r="AQ240" s="27">
        <f t="shared" si="98"/>
        <v>1425416.6666666667</v>
      </c>
      <c r="AR240" s="27">
        <f t="shared" si="99"/>
        <v>1425416.6666666667</v>
      </c>
      <c r="AS240" s="27"/>
      <c r="AT240" s="27"/>
      <c r="AU240" s="27"/>
      <c r="AV240" s="27"/>
      <c r="AW240" s="27">
        <f t="shared" si="87"/>
        <v>11403333.333333332</v>
      </c>
      <c r="AX240" s="79">
        <f t="shared" si="91"/>
        <v>46716871</v>
      </c>
      <c r="AY240" s="79">
        <f t="shared" si="92"/>
        <v>73018129</v>
      </c>
      <c r="AZ240" s="25">
        <v>1</v>
      </c>
      <c r="BA240" s="62" t="s">
        <v>97</v>
      </c>
      <c r="BB240" s="66">
        <v>1</v>
      </c>
      <c r="BC240" s="66"/>
      <c r="BD240" s="66"/>
      <c r="BE240" s="67">
        <f t="shared" si="95"/>
        <v>1425416.6666666667</v>
      </c>
      <c r="BF240" s="67">
        <f t="shared" si="100"/>
        <v>0</v>
      </c>
      <c r="BG240" s="67">
        <f t="shared" si="93"/>
        <v>0</v>
      </c>
      <c r="BH240" s="66" t="s">
        <v>1662</v>
      </c>
      <c r="BI240" s="68" t="s">
        <v>107</v>
      </c>
      <c r="BJ240" s="68" t="s">
        <v>1980</v>
      </c>
      <c r="BK240" s="68" t="s">
        <v>1980</v>
      </c>
      <c r="BL240" s="29"/>
      <c r="BO240" s="35" t="s">
        <v>1804</v>
      </c>
    </row>
    <row r="241" spans="1:68" ht="15" customHeight="1">
      <c r="A241" s="1" t="s">
        <v>43</v>
      </c>
      <c r="C241" s="1" t="str">
        <f t="shared" si="88"/>
        <v>2705</v>
      </c>
      <c r="D241" s="1" t="str">
        <f t="shared" si="89"/>
        <v>2005</v>
      </c>
      <c r="E241" s="19" t="s">
        <v>48</v>
      </c>
      <c r="F241" s="62" t="s">
        <v>49</v>
      </c>
      <c r="G241" s="62">
        <v>2114</v>
      </c>
      <c r="H241" s="62" t="s">
        <v>767</v>
      </c>
      <c r="I241" s="62" t="s">
        <v>768</v>
      </c>
      <c r="J241" s="118">
        <v>1</v>
      </c>
      <c r="K241" s="119" t="s">
        <v>619</v>
      </c>
      <c r="L241" s="62" t="s">
        <v>769</v>
      </c>
      <c r="M241" s="120" t="s">
        <v>770</v>
      </c>
      <c r="N241" s="65">
        <v>43946</v>
      </c>
      <c r="O241" s="24"/>
      <c r="P241" s="24"/>
      <c r="Q241" s="64">
        <v>43151000</v>
      </c>
      <c r="R241" s="64"/>
      <c r="S241" s="64"/>
      <c r="T241" s="64"/>
      <c r="U241" s="64"/>
      <c r="V241" s="121">
        <v>43151000</v>
      </c>
      <c r="W241" s="122">
        <v>0</v>
      </c>
      <c r="X241" s="64">
        <v>43151000</v>
      </c>
      <c r="Y241" s="121"/>
      <c r="Z241" s="121"/>
      <c r="AA241" s="121"/>
      <c r="AB241" s="121"/>
      <c r="AC241" s="64">
        <v>43151000</v>
      </c>
      <c r="AD241" s="65">
        <v>43961</v>
      </c>
      <c r="AE241" s="65">
        <v>46516</v>
      </c>
      <c r="AF241" s="62">
        <v>7</v>
      </c>
      <c r="AG241" s="119">
        <v>84</v>
      </c>
      <c r="AH241" s="25">
        <v>513702.38095238095</v>
      </c>
      <c r="AI241" s="78">
        <v>22453752.80952381</v>
      </c>
      <c r="AJ241" s="78">
        <v>20697247.19047619</v>
      </c>
      <c r="AK241" s="27">
        <f t="shared" si="90"/>
        <v>513702.38095238095</v>
      </c>
      <c r="AL241" s="27">
        <f t="shared" si="94"/>
        <v>513702.38095238095</v>
      </c>
      <c r="AM241" s="27">
        <f t="shared" si="94"/>
        <v>513702.38095238095</v>
      </c>
      <c r="AN241" s="27">
        <f t="shared" si="96"/>
        <v>513702.38095238095</v>
      </c>
      <c r="AO241" s="27">
        <f t="shared" si="97"/>
        <v>513702.38095238095</v>
      </c>
      <c r="AP241" s="27">
        <f t="shared" si="97"/>
        <v>513702.38095238095</v>
      </c>
      <c r="AQ241" s="27">
        <f t="shared" si="98"/>
        <v>513702.38095238095</v>
      </c>
      <c r="AR241" s="27">
        <f t="shared" si="99"/>
        <v>513702.38095238095</v>
      </c>
      <c r="AS241" s="27"/>
      <c r="AT241" s="27"/>
      <c r="AU241" s="27"/>
      <c r="AV241" s="27"/>
      <c r="AW241" s="27">
        <f t="shared" si="87"/>
        <v>4109619.047619048</v>
      </c>
      <c r="AX241" s="79">
        <f t="shared" si="91"/>
        <v>16587628.142857142</v>
      </c>
      <c r="AY241" s="79">
        <f t="shared" si="92"/>
        <v>26563371.857142858</v>
      </c>
      <c r="AZ241" s="25">
        <v>1</v>
      </c>
      <c r="BA241" s="62" t="s">
        <v>79</v>
      </c>
      <c r="BB241" s="66">
        <v>1</v>
      </c>
      <c r="BC241" s="66"/>
      <c r="BD241" s="66"/>
      <c r="BE241" s="67">
        <f t="shared" si="95"/>
        <v>513702.38095238095</v>
      </c>
      <c r="BF241" s="67">
        <f t="shared" si="100"/>
        <v>0</v>
      </c>
      <c r="BG241" s="67">
        <f t="shared" si="93"/>
        <v>0</v>
      </c>
      <c r="BH241" s="66"/>
      <c r="BI241" s="68" t="s">
        <v>326</v>
      </c>
      <c r="BJ241" s="68" t="s">
        <v>85</v>
      </c>
      <c r="BK241" s="68" t="s">
        <v>85</v>
      </c>
      <c r="BL241" s="29"/>
      <c r="BO241" s="35" t="s">
        <v>1801</v>
      </c>
    </row>
    <row r="242" spans="1:68" ht="15" customHeight="1">
      <c r="A242" s="1" t="s">
        <v>43</v>
      </c>
      <c r="C242" s="1" t="str">
        <f t="shared" si="88"/>
        <v>2705</v>
      </c>
      <c r="D242" s="1" t="str">
        <f t="shared" si="89"/>
        <v>2005</v>
      </c>
      <c r="E242" s="19" t="s">
        <v>48</v>
      </c>
      <c r="F242" s="62" t="s">
        <v>515</v>
      </c>
      <c r="G242" s="62">
        <v>2112</v>
      </c>
      <c r="H242" s="62" t="s">
        <v>771</v>
      </c>
      <c r="I242" s="62" t="s">
        <v>772</v>
      </c>
      <c r="J242" s="118">
        <v>1</v>
      </c>
      <c r="K242" s="119" t="s">
        <v>619</v>
      </c>
      <c r="L242" s="62" t="s">
        <v>773</v>
      </c>
      <c r="M242" s="120" t="s">
        <v>774</v>
      </c>
      <c r="N242" s="63">
        <v>43927</v>
      </c>
      <c r="O242" s="24"/>
      <c r="P242" s="24"/>
      <c r="Q242" s="64">
        <v>349000000</v>
      </c>
      <c r="R242" s="64"/>
      <c r="S242" s="64"/>
      <c r="T242" s="64"/>
      <c r="U242" s="64"/>
      <c r="V242" s="121">
        <v>349000000</v>
      </c>
      <c r="W242" s="122">
        <v>0</v>
      </c>
      <c r="X242" s="64">
        <v>349000000</v>
      </c>
      <c r="Y242" s="121"/>
      <c r="Z242" s="121"/>
      <c r="AA242" s="121"/>
      <c r="AB242" s="121"/>
      <c r="AC242" s="64">
        <v>349000000</v>
      </c>
      <c r="AD242" s="65">
        <v>43961</v>
      </c>
      <c r="AE242" s="65">
        <v>46516</v>
      </c>
      <c r="AF242" s="62">
        <v>7</v>
      </c>
      <c r="AG242" s="119">
        <v>84</v>
      </c>
      <c r="AH242" s="25">
        <v>4154761.9047619049</v>
      </c>
      <c r="AI242" s="78">
        <v>181603306.04761904</v>
      </c>
      <c r="AJ242" s="78">
        <v>167396693.95238096</v>
      </c>
      <c r="AK242" s="27">
        <f t="shared" si="90"/>
        <v>4154761.9047619049</v>
      </c>
      <c r="AL242" s="27">
        <f t="shared" si="94"/>
        <v>4154761.9047619049</v>
      </c>
      <c r="AM242" s="27">
        <f t="shared" si="94"/>
        <v>4154761.9047619049</v>
      </c>
      <c r="AN242" s="27">
        <f t="shared" si="96"/>
        <v>4154761.9047619049</v>
      </c>
      <c r="AO242" s="27">
        <f t="shared" si="97"/>
        <v>4154761.9047619049</v>
      </c>
      <c r="AP242" s="27">
        <f t="shared" si="97"/>
        <v>4154761.9047619049</v>
      </c>
      <c r="AQ242" s="27">
        <f t="shared" si="98"/>
        <v>4154761.9047619049</v>
      </c>
      <c r="AR242" s="27">
        <f t="shared" si="99"/>
        <v>4154761.9047619049</v>
      </c>
      <c r="AS242" s="27"/>
      <c r="AT242" s="27"/>
      <c r="AU242" s="27"/>
      <c r="AV242" s="27"/>
      <c r="AW242" s="27">
        <f t="shared" si="87"/>
        <v>33238095.238095231</v>
      </c>
      <c r="AX242" s="79">
        <f t="shared" si="91"/>
        <v>134158598.71428573</v>
      </c>
      <c r="AY242" s="79">
        <f t="shared" si="92"/>
        <v>214841401.28571427</v>
      </c>
      <c r="AZ242" s="25">
        <v>1</v>
      </c>
      <c r="BA242" s="62" t="s">
        <v>97</v>
      </c>
      <c r="BB242" s="66">
        <v>1</v>
      </c>
      <c r="BC242" s="66"/>
      <c r="BD242" s="66"/>
      <c r="BE242" s="67">
        <f t="shared" si="95"/>
        <v>4154761.9047619049</v>
      </c>
      <c r="BF242" s="67">
        <f t="shared" si="100"/>
        <v>0</v>
      </c>
      <c r="BG242" s="67">
        <f t="shared" si="93"/>
        <v>0</v>
      </c>
      <c r="BH242" s="66"/>
      <c r="BI242" s="68" t="s">
        <v>713</v>
      </c>
      <c r="BJ242" s="68" t="s">
        <v>644</v>
      </c>
      <c r="BK242" s="68" t="s">
        <v>644</v>
      </c>
      <c r="BL242" s="29"/>
      <c r="BO242" s="35" t="s">
        <v>1802</v>
      </c>
    </row>
    <row r="243" spans="1:68" ht="15" customHeight="1">
      <c r="A243" s="1" t="s">
        <v>43</v>
      </c>
      <c r="C243" s="1" t="str">
        <f t="shared" si="88"/>
        <v>3007</v>
      </c>
      <c r="D243" s="1" t="str">
        <f t="shared" si="89"/>
        <v>2007</v>
      </c>
      <c r="E243" s="19" t="s">
        <v>48</v>
      </c>
      <c r="F243" s="62" t="s">
        <v>49</v>
      </c>
      <c r="G243" s="66">
        <v>2112</v>
      </c>
      <c r="H243" s="66" t="s">
        <v>775</v>
      </c>
      <c r="I243" s="66" t="s">
        <v>776</v>
      </c>
      <c r="J243" s="118">
        <v>1</v>
      </c>
      <c r="K243" s="119" t="s">
        <v>619</v>
      </c>
      <c r="L243" s="62" t="s">
        <v>77</v>
      </c>
      <c r="M243" s="135" t="s">
        <v>777</v>
      </c>
      <c r="N243" s="63">
        <v>43963</v>
      </c>
      <c r="O243" s="24">
        <v>6600</v>
      </c>
      <c r="P243" s="24">
        <v>23435</v>
      </c>
      <c r="Q243" s="64">
        <v>154671000</v>
      </c>
      <c r="R243" s="64"/>
      <c r="S243" s="64"/>
      <c r="T243" s="64">
        <v>1874718.7142857143</v>
      </c>
      <c r="U243" s="64" t="s">
        <v>778</v>
      </c>
      <c r="V243" s="121">
        <v>156545719</v>
      </c>
      <c r="W243" s="122">
        <v>0</v>
      </c>
      <c r="X243" s="64">
        <v>156545719</v>
      </c>
      <c r="Y243" s="121"/>
      <c r="Z243" s="121"/>
      <c r="AA243" s="121"/>
      <c r="AB243" s="121"/>
      <c r="AC243" s="64">
        <v>156545719</v>
      </c>
      <c r="AD243" s="65">
        <v>44037</v>
      </c>
      <c r="AE243" s="65">
        <v>47688</v>
      </c>
      <c r="AF243" s="66">
        <v>10</v>
      </c>
      <c r="AG243" s="119">
        <v>120</v>
      </c>
      <c r="AH243" s="25">
        <v>1304547.6583333334</v>
      </c>
      <c r="AI243" s="78">
        <v>53781039.583333328</v>
      </c>
      <c r="AJ243" s="78">
        <v>102764679.41666667</v>
      </c>
      <c r="AK243" s="27">
        <f t="shared" si="90"/>
        <v>1304547.6583333334</v>
      </c>
      <c r="AL243" s="27">
        <f t="shared" si="94"/>
        <v>1304547.6583333334</v>
      </c>
      <c r="AM243" s="27">
        <f t="shared" si="94"/>
        <v>1304547.6583333334</v>
      </c>
      <c r="AN243" s="27">
        <f t="shared" si="96"/>
        <v>1304547.6583333334</v>
      </c>
      <c r="AO243" s="27">
        <f t="shared" si="97"/>
        <v>1304547.6583333334</v>
      </c>
      <c r="AP243" s="27">
        <f t="shared" si="97"/>
        <v>1304547.6583333334</v>
      </c>
      <c r="AQ243" s="27">
        <f t="shared" si="98"/>
        <v>1304547.6583333334</v>
      </c>
      <c r="AR243" s="27">
        <f t="shared" si="99"/>
        <v>1304547.6583333334</v>
      </c>
      <c r="AS243" s="27"/>
      <c r="AT243" s="27"/>
      <c r="AU243" s="27"/>
      <c r="AV243" s="27"/>
      <c r="AW243" s="27">
        <f t="shared" si="87"/>
        <v>10436381.266666668</v>
      </c>
      <c r="AX243" s="79">
        <f t="shared" si="91"/>
        <v>92328298.150000006</v>
      </c>
      <c r="AY243" s="79">
        <f t="shared" si="92"/>
        <v>64217420.849999994</v>
      </c>
      <c r="AZ243" s="25">
        <v>1</v>
      </c>
      <c r="BA243" s="66" t="s">
        <v>97</v>
      </c>
      <c r="BB243" s="66">
        <v>1</v>
      </c>
      <c r="BC243" s="66"/>
      <c r="BD243" s="66"/>
      <c r="BE243" s="67">
        <f t="shared" si="95"/>
        <v>1304547.6583333334</v>
      </c>
      <c r="BF243" s="67">
        <f t="shared" si="100"/>
        <v>0</v>
      </c>
      <c r="BG243" s="67">
        <f t="shared" si="93"/>
        <v>0</v>
      </c>
      <c r="BH243" s="66"/>
      <c r="BI243" s="68" t="s">
        <v>191</v>
      </c>
      <c r="BJ243" s="68" t="s">
        <v>85</v>
      </c>
      <c r="BK243" s="68" t="s">
        <v>85</v>
      </c>
      <c r="BL243" s="29"/>
      <c r="BO243" s="35" t="s">
        <v>1800</v>
      </c>
      <c r="BP243" s="1" t="s">
        <v>1808</v>
      </c>
    </row>
    <row r="244" spans="1:68" ht="15" customHeight="1">
      <c r="A244" s="1" t="s">
        <v>43</v>
      </c>
      <c r="C244" s="1" t="str">
        <f t="shared" si="88"/>
        <v>3007</v>
      </c>
      <c r="D244" s="1" t="str">
        <f t="shared" si="89"/>
        <v>2007</v>
      </c>
      <c r="E244" s="19" t="s">
        <v>48</v>
      </c>
      <c r="F244" s="62" t="s">
        <v>49</v>
      </c>
      <c r="G244" s="66">
        <v>2112</v>
      </c>
      <c r="H244" s="66" t="s">
        <v>779</v>
      </c>
      <c r="I244" s="66" t="s">
        <v>776</v>
      </c>
      <c r="J244" s="118">
        <v>1</v>
      </c>
      <c r="K244" s="119" t="s">
        <v>619</v>
      </c>
      <c r="L244" s="62" t="s">
        <v>77</v>
      </c>
      <c r="M244" s="135" t="s">
        <v>777</v>
      </c>
      <c r="N244" s="63">
        <v>43963</v>
      </c>
      <c r="O244" s="24">
        <v>6600</v>
      </c>
      <c r="P244" s="24">
        <v>23435</v>
      </c>
      <c r="Q244" s="64">
        <v>154671000</v>
      </c>
      <c r="R244" s="64"/>
      <c r="S244" s="64"/>
      <c r="T244" s="64">
        <v>1874718.7142857143</v>
      </c>
      <c r="U244" s="64" t="s">
        <v>778</v>
      </c>
      <c r="V244" s="121">
        <v>156545719</v>
      </c>
      <c r="W244" s="122">
        <v>0</v>
      </c>
      <c r="X244" s="64">
        <v>156545719</v>
      </c>
      <c r="Y244" s="121"/>
      <c r="Z244" s="121"/>
      <c r="AA244" s="121"/>
      <c r="AB244" s="121"/>
      <c r="AC244" s="64">
        <v>156545719</v>
      </c>
      <c r="AD244" s="65">
        <v>44037</v>
      </c>
      <c r="AE244" s="65">
        <v>47688</v>
      </c>
      <c r="AF244" s="66">
        <v>10</v>
      </c>
      <c r="AG244" s="119">
        <v>120</v>
      </c>
      <c r="AH244" s="25">
        <v>1304547.6583333334</v>
      </c>
      <c r="AI244" s="78">
        <v>53781039.583333328</v>
      </c>
      <c r="AJ244" s="78">
        <v>102764679.41666667</v>
      </c>
      <c r="AK244" s="27">
        <f t="shared" si="90"/>
        <v>1304547.6583333334</v>
      </c>
      <c r="AL244" s="27">
        <f t="shared" si="94"/>
        <v>1304547.6583333334</v>
      </c>
      <c r="AM244" s="27">
        <f t="shared" si="94"/>
        <v>1304547.6583333334</v>
      </c>
      <c r="AN244" s="27">
        <f t="shared" si="96"/>
        <v>1304547.6583333334</v>
      </c>
      <c r="AO244" s="27">
        <f t="shared" si="97"/>
        <v>1304547.6583333334</v>
      </c>
      <c r="AP244" s="27">
        <f t="shared" si="97"/>
        <v>1304547.6583333334</v>
      </c>
      <c r="AQ244" s="27">
        <f t="shared" si="98"/>
        <v>1304547.6583333334</v>
      </c>
      <c r="AR244" s="27">
        <f t="shared" si="99"/>
        <v>1304547.6583333334</v>
      </c>
      <c r="AS244" s="27"/>
      <c r="AT244" s="27"/>
      <c r="AU244" s="27"/>
      <c r="AV244" s="27"/>
      <c r="AW244" s="27">
        <f t="shared" si="87"/>
        <v>10436381.266666668</v>
      </c>
      <c r="AX244" s="79">
        <f t="shared" si="91"/>
        <v>92328298.150000006</v>
      </c>
      <c r="AY244" s="79">
        <f t="shared" si="92"/>
        <v>64217420.849999994</v>
      </c>
      <c r="AZ244" s="25">
        <v>1</v>
      </c>
      <c r="BA244" s="66" t="s">
        <v>97</v>
      </c>
      <c r="BB244" s="66">
        <v>1</v>
      </c>
      <c r="BC244" s="66"/>
      <c r="BD244" s="66"/>
      <c r="BE244" s="67">
        <f t="shared" si="95"/>
        <v>1304547.6583333334</v>
      </c>
      <c r="BF244" s="67">
        <f t="shared" si="100"/>
        <v>0</v>
      </c>
      <c r="BG244" s="67">
        <f t="shared" si="93"/>
        <v>0</v>
      </c>
      <c r="BH244" s="66"/>
      <c r="BI244" s="68" t="s">
        <v>191</v>
      </c>
      <c r="BJ244" s="68" t="s">
        <v>85</v>
      </c>
      <c r="BK244" s="68" t="s">
        <v>85</v>
      </c>
      <c r="BL244" s="29"/>
      <c r="BO244" s="35" t="s">
        <v>1800</v>
      </c>
      <c r="BP244" s="1" t="s">
        <v>1808</v>
      </c>
    </row>
    <row r="245" spans="1:68" ht="15" customHeight="1">
      <c r="A245" s="1" t="s">
        <v>43</v>
      </c>
      <c r="C245" s="1" t="str">
        <f t="shared" si="88"/>
        <v>3007</v>
      </c>
      <c r="D245" s="1" t="str">
        <f t="shared" si="89"/>
        <v>2007</v>
      </c>
      <c r="E245" s="19" t="s">
        <v>48</v>
      </c>
      <c r="F245" s="62" t="s">
        <v>49</v>
      </c>
      <c r="G245" s="66">
        <v>2112</v>
      </c>
      <c r="H245" s="66" t="s">
        <v>780</v>
      </c>
      <c r="I245" s="66" t="s">
        <v>776</v>
      </c>
      <c r="J245" s="118">
        <v>1</v>
      </c>
      <c r="K245" s="119" t="s">
        <v>619</v>
      </c>
      <c r="L245" s="62" t="s">
        <v>77</v>
      </c>
      <c r="M245" s="135" t="s">
        <v>777</v>
      </c>
      <c r="N245" s="63">
        <v>43963</v>
      </c>
      <c r="O245" s="24">
        <v>6600</v>
      </c>
      <c r="P245" s="24">
        <v>23435</v>
      </c>
      <c r="Q245" s="64">
        <v>154671000</v>
      </c>
      <c r="R245" s="64"/>
      <c r="S245" s="64"/>
      <c r="T245" s="64">
        <v>1874718.7142857143</v>
      </c>
      <c r="U245" s="64" t="s">
        <v>778</v>
      </c>
      <c r="V245" s="121">
        <v>156545719</v>
      </c>
      <c r="W245" s="122">
        <v>0</v>
      </c>
      <c r="X245" s="64">
        <v>156545719</v>
      </c>
      <c r="Y245" s="121"/>
      <c r="Z245" s="121"/>
      <c r="AA245" s="121"/>
      <c r="AB245" s="121"/>
      <c r="AC245" s="64">
        <v>156545719</v>
      </c>
      <c r="AD245" s="65">
        <v>44037</v>
      </c>
      <c r="AE245" s="65">
        <v>47688</v>
      </c>
      <c r="AF245" s="66">
        <v>10</v>
      </c>
      <c r="AG245" s="119">
        <v>120</v>
      </c>
      <c r="AH245" s="25">
        <v>1304547.6583333334</v>
      </c>
      <c r="AI245" s="78">
        <v>53781039.583333328</v>
      </c>
      <c r="AJ245" s="78">
        <v>102764679.41666667</v>
      </c>
      <c r="AK245" s="27">
        <f t="shared" si="90"/>
        <v>1304547.6583333334</v>
      </c>
      <c r="AL245" s="27">
        <f t="shared" si="94"/>
        <v>1304547.6583333334</v>
      </c>
      <c r="AM245" s="27">
        <f t="shared" si="94"/>
        <v>1304547.6583333334</v>
      </c>
      <c r="AN245" s="27">
        <f t="shared" si="96"/>
        <v>1304547.6583333334</v>
      </c>
      <c r="AO245" s="27">
        <f t="shared" si="97"/>
        <v>1304547.6583333334</v>
      </c>
      <c r="AP245" s="27">
        <f t="shared" si="97"/>
        <v>1304547.6583333334</v>
      </c>
      <c r="AQ245" s="27">
        <f t="shared" si="98"/>
        <v>1304547.6583333334</v>
      </c>
      <c r="AR245" s="27">
        <f t="shared" si="99"/>
        <v>1304547.6583333334</v>
      </c>
      <c r="AS245" s="27"/>
      <c r="AT245" s="27"/>
      <c r="AU245" s="27"/>
      <c r="AV245" s="27"/>
      <c r="AW245" s="27">
        <f t="shared" si="87"/>
        <v>10436381.266666668</v>
      </c>
      <c r="AX245" s="79">
        <f t="shared" si="91"/>
        <v>92328298.150000006</v>
      </c>
      <c r="AY245" s="79">
        <f t="shared" si="92"/>
        <v>64217420.849999994</v>
      </c>
      <c r="AZ245" s="25">
        <v>1</v>
      </c>
      <c r="BA245" s="66" t="s">
        <v>97</v>
      </c>
      <c r="BB245" s="66">
        <v>1</v>
      </c>
      <c r="BC245" s="66"/>
      <c r="BD245" s="66"/>
      <c r="BE245" s="67">
        <f t="shared" si="95"/>
        <v>1304547.6583333334</v>
      </c>
      <c r="BF245" s="67">
        <f t="shared" si="100"/>
        <v>0</v>
      </c>
      <c r="BG245" s="67">
        <f t="shared" si="93"/>
        <v>0</v>
      </c>
      <c r="BH245" s="66"/>
      <c r="BI245" s="68" t="s">
        <v>191</v>
      </c>
      <c r="BJ245" s="68" t="s">
        <v>85</v>
      </c>
      <c r="BK245" s="68" t="s">
        <v>85</v>
      </c>
      <c r="BL245" s="29"/>
      <c r="BO245" s="35" t="s">
        <v>1800</v>
      </c>
      <c r="BP245" s="1" t="s">
        <v>1808</v>
      </c>
    </row>
    <row r="246" spans="1:68" ht="15" customHeight="1">
      <c r="A246" s="1" t="s">
        <v>43</v>
      </c>
      <c r="C246" s="1" t="str">
        <f t="shared" si="88"/>
        <v>3007</v>
      </c>
      <c r="D246" s="1" t="str">
        <f t="shared" si="89"/>
        <v>2007</v>
      </c>
      <c r="E246" s="19" t="s">
        <v>48</v>
      </c>
      <c r="F246" s="62" t="s">
        <v>49</v>
      </c>
      <c r="G246" s="66">
        <v>2112</v>
      </c>
      <c r="H246" s="66" t="s">
        <v>781</v>
      </c>
      <c r="I246" s="66" t="s">
        <v>776</v>
      </c>
      <c r="J246" s="118">
        <v>1</v>
      </c>
      <c r="K246" s="119" t="s">
        <v>619</v>
      </c>
      <c r="L246" s="62" t="s">
        <v>77</v>
      </c>
      <c r="M246" s="135" t="s">
        <v>777</v>
      </c>
      <c r="N246" s="63">
        <v>43963</v>
      </c>
      <c r="O246" s="24">
        <v>6600</v>
      </c>
      <c r="P246" s="24">
        <v>23435</v>
      </c>
      <c r="Q246" s="64">
        <v>154671000</v>
      </c>
      <c r="R246" s="64"/>
      <c r="S246" s="64"/>
      <c r="T246" s="64">
        <v>1874718.7142857143</v>
      </c>
      <c r="U246" s="64" t="s">
        <v>778</v>
      </c>
      <c r="V246" s="121">
        <v>156545719</v>
      </c>
      <c r="W246" s="122">
        <v>0</v>
      </c>
      <c r="X246" s="64">
        <v>156545719</v>
      </c>
      <c r="Y246" s="121"/>
      <c r="Z246" s="121"/>
      <c r="AA246" s="121"/>
      <c r="AB246" s="121"/>
      <c r="AC246" s="64">
        <v>156545719</v>
      </c>
      <c r="AD246" s="65">
        <v>44037</v>
      </c>
      <c r="AE246" s="65">
        <v>47688</v>
      </c>
      <c r="AF246" s="66">
        <v>10</v>
      </c>
      <c r="AG246" s="119">
        <v>120</v>
      </c>
      <c r="AH246" s="25">
        <v>1304547.6583333334</v>
      </c>
      <c r="AI246" s="78">
        <v>53781039.583333328</v>
      </c>
      <c r="AJ246" s="78">
        <v>102764679.41666667</v>
      </c>
      <c r="AK246" s="27">
        <f t="shared" si="90"/>
        <v>1304547.6583333334</v>
      </c>
      <c r="AL246" s="27">
        <f t="shared" si="94"/>
        <v>1304547.6583333334</v>
      </c>
      <c r="AM246" s="27">
        <f t="shared" si="94"/>
        <v>1304547.6583333334</v>
      </c>
      <c r="AN246" s="27">
        <f t="shared" si="96"/>
        <v>1304547.6583333334</v>
      </c>
      <c r="AO246" s="27">
        <f t="shared" si="97"/>
        <v>1304547.6583333334</v>
      </c>
      <c r="AP246" s="27">
        <f t="shared" si="97"/>
        <v>1304547.6583333334</v>
      </c>
      <c r="AQ246" s="27">
        <f t="shared" si="98"/>
        <v>1304547.6583333334</v>
      </c>
      <c r="AR246" s="27">
        <f t="shared" si="99"/>
        <v>1304547.6583333334</v>
      </c>
      <c r="AS246" s="27"/>
      <c r="AT246" s="27"/>
      <c r="AU246" s="27"/>
      <c r="AV246" s="27"/>
      <c r="AW246" s="27">
        <f t="shared" si="87"/>
        <v>10436381.266666668</v>
      </c>
      <c r="AX246" s="79">
        <f t="shared" si="91"/>
        <v>92328298.150000006</v>
      </c>
      <c r="AY246" s="79">
        <f t="shared" si="92"/>
        <v>64217420.849999994</v>
      </c>
      <c r="AZ246" s="25">
        <v>1</v>
      </c>
      <c r="BA246" s="66" t="s">
        <v>97</v>
      </c>
      <c r="BB246" s="66">
        <v>1</v>
      </c>
      <c r="BC246" s="66"/>
      <c r="BD246" s="66"/>
      <c r="BE246" s="67">
        <f t="shared" si="95"/>
        <v>1304547.6583333334</v>
      </c>
      <c r="BF246" s="67">
        <f t="shared" si="100"/>
        <v>0</v>
      </c>
      <c r="BG246" s="67">
        <f t="shared" si="93"/>
        <v>0</v>
      </c>
      <c r="BH246" s="66"/>
      <c r="BI246" s="68" t="s">
        <v>344</v>
      </c>
      <c r="BJ246" s="68" t="s">
        <v>85</v>
      </c>
      <c r="BK246" s="68" t="s">
        <v>85</v>
      </c>
      <c r="BL246" s="29"/>
      <c r="BO246" s="35" t="s">
        <v>1800</v>
      </c>
      <c r="BP246" s="1" t="s">
        <v>1806</v>
      </c>
    </row>
    <row r="247" spans="1:68" ht="15" customHeight="1">
      <c r="A247" s="1" t="s">
        <v>43</v>
      </c>
      <c r="C247" s="1" t="str">
        <f t="shared" si="88"/>
        <v>3007</v>
      </c>
      <c r="D247" s="1" t="str">
        <f t="shared" si="89"/>
        <v>2007</v>
      </c>
      <c r="E247" s="19" t="s">
        <v>48</v>
      </c>
      <c r="F247" s="62" t="s">
        <v>49</v>
      </c>
      <c r="G247" s="66">
        <v>2112</v>
      </c>
      <c r="H247" s="66" t="s">
        <v>782</v>
      </c>
      <c r="I247" s="66" t="s">
        <v>776</v>
      </c>
      <c r="J247" s="118">
        <v>1</v>
      </c>
      <c r="K247" s="119" t="s">
        <v>619</v>
      </c>
      <c r="L247" s="62" t="s">
        <v>77</v>
      </c>
      <c r="M247" s="135" t="s">
        <v>777</v>
      </c>
      <c r="N247" s="63">
        <v>43963</v>
      </c>
      <c r="O247" s="24">
        <v>6600</v>
      </c>
      <c r="P247" s="24">
        <v>23435</v>
      </c>
      <c r="Q247" s="64">
        <v>154671000</v>
      </c>
      <c r="R247" s="64"/>
      <c r="S247" s="64"/>
      <c r="T247" s="64">
        <v>1874718.7142857143</v>
      </c>
      <c r="U247" s="64" t="s">
        <v>778</v>
      </c>
      <c r="V247" s="121">
        <v>156545719</v>
      </c>
      <c r="W247" s="122">
        <v>0</v>
      </c>
      <c r="X247" s="64">
        <v>156545719</v>
      </c>
      <c r="Y247" s="121"/>
      <c r="Z247" s="121"/>
      <c r="AA247" s="121"/>
      <c r="AB247" s="121"/>
      <c r="AC247" s="64">
        <v>156545719</v>
      </c>
      <c r="AD247" s="65">
        <v>44037</v>
      </c>
      <c r="AE247" s="65">
        <v>47688</v>
      </c>
      <c r="AF247" s="66">
        <v>10</v>
      </c>
      <c r="AG247" s="119">
        <v>120</v>
      </c>
      <c r="AH247" s="25">
        <v>1304547.6583333334</v>
      </c>
      <c r="AI247" s="78">
        <v>53781039.583333328</v>
      </c>
      <c r="AJ247" s="78">
        <v>102764679.41666667</v>
      </c>
      <c r="AK247" s="27">
        <f t="shared" si="90"/>
        <v>1304547.6583333334</v>
      </c>
      <c r="AL247" s="27">
        <f t="shared" si="94"/>
        <v>1304547.6583333334</v>
      </c>
      <c r="AM247" s="27">
        <f t="shared" si="94"/>
        <v>1304547.6583333334</v>
      </c>
      <c r="AN247" s="27">
        <f t="shared" si="96"/>
        <v>1304547.6583333334</v>
      </c>
      <c r="AO247" s="27">
        <f t="shared" si="97"/>
        <v>1304547.6583333334</v>
      </c>
      <c r="AP247" s="27">
        <f t="shared" si="97"/>
        <v>1304547.6583333334</v>
      </c>
      <c r="AQ247" s="27">
        <f t="shared" si="98"/>
        <v>1304547.6583333334</v>
      </c>
      <c r="AR247" s="27">
        <f t="shared" si="99"/>
        <v>1304547.6583333334</v>
      </c>
      <c r="AS247" s="27"/>
      <c r="AT247" s="27"/>
      <c r="AU247" s="27"/>
      <c r="AV247" s="27"/>
      <c r="AW247" s="27">
        <f t="shared" si="87"/>
        <v>10436381.266666668</v>
      </c>
      <c r="AX247" s="79">
        <f t="shared" si="91"/>
        <v>92328298.150000006</v>
      </c>
      <c r="AY247" s="79">
        <f t="shared" si="92"/>
        <v>64217420.849999994</v>
      </c>
      <c r="AZ247" s="25">
        <v>1</v>
      </c>
      <c r="BA247" s="66" t="s">
        <v>97</v>
      </c>
      <c r="BB247" s="66">
        <v>1</v>
      </c>
      <c r="BC247" s="66"/>
      <c r="BD247" s="66"/>
      <c r="BE247" s="67">
        <f t="shared" si="95"/>
        <v>1304547.6583333334</v>
      </c>
      <c r="BF247" s="67">
        <f t="shared" si="100"/>
        <v>0</v>
      </c>
      <c r="BG247" s="67">
        <f t="shared" si="93"/>
        <v>0</v>
      </c>
      <c r="BH247" s="66"/>
      <c r="BI247" s="68" t="s">
        <v>344</v>
      </c>
      <c r="BJ247" s="68" t="s">
        <v>85</v>
      </c>
      <c r="BK247" s="68" t="s">
        <v>85</v>
      </c>
      <c r="BL247" s="29"/>
      <c r="BO247" s="35" t="s">
        <v>1800</v>
      </c>
      <c r="BP247" s="1" t="s">
        <v>1806</v>
      </c>
    </row>
    <row r="248" spans="1:68" ht="15" customHeight="1">
      <c r="A248" s="1" t="s">
        <v>43</v>
      </c>
      <c r="C248" s="1" t="str">
        <f t="shared" si="88"/>
        <v>3007</v>
      </c>
      <c r="D248" s="1" t="str">
        <f t="shared" si="89"/>
        <v>2007</v>
      </c>
      <c r="E248" s="19" t="s">
        <v>48</v>
      </c>
      <c r="F248" s="62" t="s">
        <v>49</v>
      </c>
      <c r="G248" s="66">
        <v>2112</v>
      </c>
      <c r="H248" s="66" t="s">
        <v>783</v>
      </c>
      <c r="I248" s="66" t="s">
        <v>776</v>
      </c>
      <c r="J248" s="118">
        <v>1</v>
      </c>
      <c r="K248" s="119" t="s">
        <v>619</v>
      </c>
      <c r="L248" s="62" t="s">
        <v>77</v>
      </c>
      <c r="M248" s="135" t="s">
        <v>777</v>
      </c>
      <c r="N248" s="63">
        <v>43963</v>
      </c>
      <c r="O248" s="24">
        <v>6600</v>
      </c>
      <c r="P248" s="24">
        <v>23435</v>
      </c>
      <c r="Q248" s="64">
        <v>154671000</v>
      </c>
      <c r="R248" s="64"/>
      <c r="S248" s="64"/>
      <c r="T248" s="64">
        <v>1874718.7142857143</v>
      </c>
      <c r="U248" s="64" t="s">
        <v>778</v>
      </c>
      <c r="V248" s="121">
        <v>156545719</v>
      </c>
      <c r="W248" s="122">
        <v>0</v>
      </c>
      <c r="X248" s="64">
        <v>156545719</v>
      </c>
      <c r="Y248" s="121"/>
      <c r="Z248" s="121"/>
      <c r="AA248" s="121"/>
      <c r="AB248" s="121"/>
      <c r="AC248" s="64">
        <v>156545719</v>
      </c>
      <c r="AD248" s="65">
        <v>44037</v>
      </c>
      <c r="AE248" s="65">
        <v>47688</v>
      </c>
      <c r="AF248" s="66">
        <v>10</v>
      </c>
      <c r="AG248" s="119">
        <v>120</v>
      </c>
      <c r="AH248" s="25">
        <v>1304547.6583333334</v>
      </c>
      <c r="AI248" s="78">
        <v>53781039.583333328</v>
      </c>
      <c r="AJ248" s="78">
        <v>102764679.41666667</v>
      </c>
      <c r="AK248" s="27">
        <f t="shared" si="90"/>
        <v>1304547.6583333334</v>
      </c>
      <c r="AL248" s="27">
        <f t="shared" si="94"/>
        <v>1304547.6583333334</v>
      </c>
      <c r="AM248" s="27">
        <f t="shared" si="94"/>
        <v>1304547.6583333334</v>
      </c>
      <c r="AN248" s="27">
        <f t="shared" si="96"/>
        <v>1304547.6583333334</v>
      </c>
      <c r="AO248" s="27">
        <f t="shared" si="97"/>
        <v>1304547.6583333334</v>
      </c>
      <c r="AP248" s="27">
        <f t="shared" si="97"/>
        <v>1304547.6583333334</v>
      </c>
      <c r="AQ248" s="27">
        <f t="shared" si="98"/>
        <v>1304547.6583333334</v>
      </c>
      <c r="AR248" s="27">
        <f t="shared" si="99"/>
        <v>1304547.6583333334</v>
      </c>
      <c r="AS248" s="27"/>
      <c r="AT248" s="27"/>
      <c r="AU248" s="27"/>
      <c r="AV248" s="27"/>
      <c r="AW248" s="27">
        <f t="shared" si="87"/>
        <v>10436381.266666668</v>
      </c>
      <c r="AX248" s="79">
        <f t="shared" si="91"/>
        <v>92328298.150000006</v>
      </c>
      <c r="AY248" s="79">
        <f t="shared" si="92"/>
        <v>64217420.849999994</v>
      </c>
      <c r="AZ248" s="25">
        <v>1</v>
      </c>
      <c r="BA248" s="66" t="s">
        <v>97</v>
      </c>
      <c r="BB248" s="66">
        <v>1</v>
      </c>
      <c r="BC248" s="66"/>
      <c r="BD248" s="66"/>
      <c r="BE248" s="67">
        <f t="shared" si="95"/>
        <v>1304547.6583333334</v>
      </c>
      <c r="BF248" s="67">
        <f t="shared" si="100"/>
        <v>0</v>
      </c>
      <c r="BG248" s="67">
        <f t="shared" si="93"/>
        <v>0</v>
      </c>
      <c r="BH248" s="66"/>
      <c r="BI248" s="68" t="s">
        <v>344</v>
      </c>
      <c r="BJ248" s="68" t="s">
        <v>85</v>
      </c>
      <c r="BK248" s="68" t="s">
        <v>85</v>
      </c>
      <c r="BL248" s="29"/>
      <c r="BO248" s="35" t="s">
        <v>1800</v>
      </c>
      <c r="BP248" s="1" t="s">
        <v>1806</v>
      </c>
    </row>
    <row r="249" spans="1:68" ht="15" customHeight="1">
      <c r="A249" s="1" t="s">
        <v>43</v>
      </c>
      <c r="C249" s="1" t="str">
        <f t="shared" si="88"/>
        <v>3007</v>
      </c>
      <c r="D249" s="1" t="str">
        <f t="shared" si="89"/>
        <v>2007</v>
      </c>
      <c r="E249" s="19" t="s">
        <v>48</v>
      </c>
      <c r="F249" s="62" t="s">
        <v>49</v>
      </c>
      <c r="G249" s="66">
        <v>2112</v>
      </c>
      <c r="H249" s="66" t="s">
        <v>784</v>
      </c>
      <c r="I249" s="66" t="s">
        <v>776</v>
      </c>
      <c r="J249" s="118">
        <v>1</v>
      </c>
      <c r="K249" s="119" t="s">
        <v>619</v>
      </c>
      <c r="L249" s="62" t="s">
        <v>77</v>
      </c>
      <c r="M249" s="135" t="s">
        <v>777</v>
      </c>
      <c r="N249" s="63">
        <v>43963</v>
      </c>
      <c r="O249" s="24">
        <v>6600</v>
      </c>
      <c r="P249" s="24">
        <v>23435</v>
      </c>
      <c r="Q249" s="64">
        <v>154671000</v>
      </c>
      <c r="R249" s="64"/>
      <c r="S249" s="64"/>
      <c r="T249" s="64">
        <v>1874718.7142857143</v>
      </c>
      <c r="U249" s="64" t="s">
        <v>778</v>
      </c>
      <c r="V249" s="121">
        <v>156545719</v>
      </c>
      <c r="W249" s="122">
        <v>0</v>
      </c>
      <c r="X249" s="64">
        <v>156545719</v>
      </c>
      <c r="Y249" s="121"/>
      <c r="Z249" s="121"/>
      <c r="AA249" s="121"/>
      <c r="AB249" s="121"/>
      <c r="AC249" s="64">
        <v>156545719</v>
      </c>
      <c r="AD249" s="65">
        <v>44037</v>
      </c>
      <c r="AE249" s="65">
        <v>47688</v>
      </c>
      <c r="AF249" s="66">
        <v>10</v>
      </c>
      <c r="AG249" s="119">
        <v>120</v>
      </c>
      <c r="AH249" s="25">
        <v>1304547.6583333334</v>
      </c>
      <c r="AI249" s="78">
        <v>53781039.583333328</v>
      </c>
      <c r="AJ249" s="78">
        <v>102764679.41666667</v>
      </c>
      <c r="AK249" s="27">
        <f t="shared" si="90"/>
        <v>1304547.6583333334</v>
      </c>
      <c r="AL249" s="27">
        <f t="shared" si="94"/>
        <v>1304547.6583333334</v>
      </c>
      <c r="AM249" s="27">
        <f t="shared" si="94"/>
        <v>1304547.6583333334</v>
      </c>
      <c r="AN249" s="27">
        <f t="shared" si="96"/>
        <v>1304547.6583333334</v>
      </c>
      <c r="AO249" s="27">
        <f t="shared" si="97"/>
        <v>1304547.6583333334</v>
      </c>
      <c r="AP249" s="27">
        <f t="shared" si="97"/>
        <v>1304547.6583333334</v>
      </c>
      <c r="AQ249" s="27">
        <f t="shared" si="98"/>
        <v>1304547.6583333334</v>
      </c>
      <c r="AR249" s="27">
        <f t="shared" si="99"/>
        <v>1304547.6583333334</v>
      </c>
      <c r="AS249" s="27"/>
      <c r="AT249" s="27"/>
      <c r="AU249" s="27"/>
      <c r="AV249" s="27"/>
      <c r="AW249" s="27">
        <f t="shared" si="87"/>
        <v>10436381.266666668</v>
      </c>
      <c r="AX249" s="79">
        <f t="shared" si="91"/>
        <v>92328298.150000006</v>
      </c>
      <c r="AY249" s="79">
        <f t="shared" si="92"/>
        <v>64217420.849999994</v>
      </c>
      <c r="AZ249" s="25">
        <v>1</v>
      </c>
      <c r="BA249" s="66" t="s">
        <v>97</v>
      </c>
      <c r="BB249" s="66">
        <v>1</v>
      </c>
      <c r="BC249" s="66"/>
      <c r="BD249" s="66"/>
      <c r="BE249" s="67">
        <f t="shared" si="95"/>
        <v>1304547.6583333334</v>
      </c>
      <c r="BF249" s="67">
        <f t="shared" si="100"/>
        <v>0</v>
      </c>
      <c r="BG249" s="67">
        <f t="shared" si="93"/>
        <v>0</v>
      </c>
      <c r="BH249" s="66"/>
      <c r="BI249" s="68" t="s">
        <v>420</v>
      </c>
      <c r="BJ249" s="68" t="s">
        <v>85</v>
      </c>
      <c r="BK249" s="68" t="s">
        <v>85</v>
      </c>
      <c r="BL249" s="29"/>
      <c r="BO249" s="35" t="s">
        <v>1800</v>
      </c>
      <c r="BP249" s="1" t="s">
        <v>1818</v>
      </c>
    </row>
    <row r="250" spans="1:68" ht="15" customHeight="1">
      <c r="A250" s="1" t="s">
        <v>43</v>
      </c>
      <c r="C250" s="1" t="str">
        <f t="shared" si="88"/>
        <v>3005</v>
      </c>
      <c r="D250" s="1" t="str">
        <f t="shared" si="89"/>
        <v>2005</v>
      </c>
      <c r="E250" s="19" t="s">
        <v>48</v>
      </c>
      <c r="F250" s="62" t="s">
        <v>1896</v>
      </c>
      <c r="G250" s="62">
        <v>2112</v>
      </c>
      <c r="H250" s="62" t="s">
        <v>785</v>
      </c>
      <c r="I250" s="62" t="s">
        <v>786</v>
      </c>
      <c r="J250" s="118">
        <v>1</v>
      </c>
      <c r="K250" s="119" t="s">
        <v>619</v>
      </c>
      <c r="L250" s="62" t="s">
        <v>77</v>
      </c>
      <c r="M250" s="120" t="s">
        <v>787</v>
      </c>
      <c r="N250" s="63">
        <v>43973</v>
      </c>
      <c r="O250" s="24">
        <v>71000</v>
      </c>
      <c r="P250" s="24">
        <v>23346</v>
      </c>
      <c r="Q250" s="64">
        <v>1657566000</v>
      </c>
      <c r="R250" s="64"/>
      <c r="S250" s="64"/>
      <c r="T250" s="64">
        <v>11310931</v>
      </c>
      <c r="U250" s="64" t="s">
        <v>788</v>
      </c>
      <c r="V250" s="121">
        <v>1668876931</v>
      </c>
      <c r="W250" s="122">
        <v>0</v>
      </c>
      <c r="X250" s="64">
        <v>1668876931</v>
      </c>
      <c r="Y250" s="121"/>
      <c r="Z250" s="121"/>
      <c r="AA250" s="121"/>
      <c r="AB250" s="121"/>
      <c r="AC250" s="64">
        <v>1668876931</v>
      </c>
      <c r="AD250" s="65">
        <v>43981</v>
      </c>
      <c r="AE250" s="65">
        <v>47631</v>
      </c>
      <c r="AF250" s="62">
        <v>10</v>
      </c>
      <c r="AG250" s="119">
        <v>120</v>
      </c>
      <c r="AH250" s="25">
        <v>13907307.758333333</v>
      </c>
      <c r="AI250" s="78">
        <v>598911487.58333325</v>
      </c>
      <c r="AJ250" s="78">
        <v>1069965443.4166667</v>
      </c>
      <c r="AK250" s="27">
        <f t="shared" si="90"/>
        <v>13907307.758333333</v>
      </c>
      <c r="AL250" s="27">
        <f t="shared" si="94"/>
        <v>13907307.758333333</v>
      </c>
      <c r="AM250" s="27">
        <f t="shared" si="94"/>
        <v>13907307.758333333</v>
      </c>
      <c r="AN250" s="27">
        <f t="shared" si="96"/>
        <v>13907307.758333333</v>
      </c>
      <c r="AO250" s="27">
        <f t="shared" si="97"/>
        <v>13907307.758333333</v>
      </c>
      <c r="AP250" s="27">
        <f t="shared" si="97"/>
        <v>13907307.758333333</v>
      </c>
      <c r="AQ250" s="27">
        <f t="shared" si="98"/>
        <v>13907307.758333333</v>
      </c>
      <c r="AR250" s="27">
        <f t="shared" si="99"/>
        <v>13907307.758333333</v>
      </c>
      <c r="AS250" s="27"/>
      <c r="AT250" s="27"/>
      <c r="AU250" s="27"/>
      <c r="AV250" s="27"/>
      <c r="AW250" s="27">
        <f t="shared" si="87"/>
        <v>111258462.06666663</v>
      </c>
      <c r="AX250" s="79">
        <f t="shared" si="91"/>
        <v>958706981.35000014</v>
      </c>
      <c r="AY250" s="79">
        <f t="shared" si="92"/>
        <v>710169949.64999986</v>
      </c>
      <c r="AZ250" s="25">
        <v>1</v>
      </c>
      <c r="BA250" s="62" t="s">
        <v>97</v>
      </c>
      <c r="BB250" s="66">
        <v>1</v>
      </c>
      <c r="BC250" s="66"/>
      <c r="BD250" s="66"/>
      <c r="BE250" s="67">
        <f t="shared" si="95"/>
        <v>13907307.758333333</v>
      </c>
      <c r="BF250" s="67">
        <f t="shared" si="100"/>
        <v>0</v>
      </c>
      <c r="BG250" s="67">
        <f t="shared" si="93"/>
        <v>0</v>
      </c>
      <c r="BH250" s="66"/>
      <c r="BI250" s="68" t="s">
        <v>446</v>
      </c>
      <c r="BJ250" s="68" t="s">
        <v>1929</v>
      </c>
      <c r="BK250" s="68" t="s">
        <v>1989</v>
      </c>
      <c r="BL250" s="29"/>
      <c r="BO250" s="35" t="s">
        <v>1805</v>
      </c>
    </row>
    <row r="251" spans="1:68" ht="15" customHeight="1">
      <c r="A251" s="1" t="s">
        <v>43</v>
      </c>
      <c r="C251" s="1" t="str">
        <f t="shared" si="88"/>
        <v>2805</v>
      </c>
      <c r="D251" s="1" t="str">
        <f t="shared" si="89"/>
        <v>2005</v>
      </c>
      <c r="E251" s="19" t="s">
        <v>48</v>
      </c>
      <c r="F251" s="62" t="s">
        <v>49</v>
      </c>
      <c r="G251" s="62">
        <v>2114</v>
      </c>
      <c r="H251" s="62" t="s">
        <v>790</v>
      </c>
      <c r="I251" s="62" t="s">
        <v>791</v>
      </c>
      <c r="J251" s="118">
        <v>1</v>
      </c>
      <c r="K251" s="119" t="s">
        <v>619</v>
      </c>
      <c r="L251" s="62" t="s">
        <v>638</v>
      </c>
      <c r="M251" s="120" t="s">
        <v>792</v>
      </c>
      <c r="N251" s="63">
        <v>43962</v>
      </c>
      <c r="O251" s="24"/>
      <c r="P251" s="24"/>
      <c r="Q251" s="64">
        <v>70000000</v>
      </c>
      <c r="R251" s="64"/>
      <c r="S251" s="64"/>
      <c r="T251" s="64"/>
      <c r="U251" s="64"/>
      <c r="V251" s="121">
        <v>70000000</v>
      </c>
      <c r="W251" s="122">
        <v>0</v>
      </c>
      <c r="X251" s="64">
        <v>70000000</v>
      </c>
      <c r="Y251" s="121"/>
      <c r="Z251" s="121"/>
      <c r="AA251" s="121"/>
      <c r="AB251" s="121"/>
      <c r="AC251" s="64">
        <v>70000000</v>
      </c>
      <c r="AD251" s="65">
        <v>43976</v>
      </c>
      <c r="AE251" s="65">
        <v>46896</v>
      </c>
      <c r="AF251" s="62">
        <v>8</v>
      </c>
      <c r="AG251" s="119">
        <v>96</v>
      </c>
      <c r="AH251" s="25">
        <v>729166.66666666663</v>
      </c>
      <c r="AI251" s="78">
        <v>31518828.666666668</v>
      </c>
      <c r="AJ251" s="78">
        <v>38481171.333333328</v>
      </c>
      <c r="AK251" s="27">
        <f t="shared" si="90"/>
        <v>729166.66666666663</v>
      </c>
      <c r="AL251" s="27">
        <f t="shared" si="94"/>
        <v>729166.66666666663</v>
      </c>
      <c r="AM251" s="27">
        <f t="shared" si="94"/>
        <v>729166.66666666663</v>
      </c>
      <c r="AN251" s="27">
        <f t="shared" si="96"/>
        <v>729166.66666666663</v>
      </c>
      <c r="AO251" s="27">
        <f t="shared" si="97"/>
        <v>729166.66666666663</v>
      </c>
      <c r="AP251" s="27">
        <f t="shared" si="97"/>
        <v>729166.66666666663</v>
      </c>
      <c r="AQ251" s="27">
        <f t="shared" si="98"/>
        <v>729166.66666666663</v>
      </c>
      <c r="AR251" s="27">
        <f t="shared" si="99"/>
        <v>729166.66666666663</v>
      </c>
      <c r="AS251" s="27"/>
      <c r="AT251" s="27"/>
      <c r="AU251" s="27"/>
      <c r="AV251" s="27"/>
      <c r="AW251" s="27">
        <f t="shared" si="87"/>
        <v>5833333.333333334</v>
      </c>
      <c r="AX251" s="79">
        <f t="shared" si="91"/>
        <v>32647837.999999993</v>
      </c>
      <c r="AY251" s="79">
        <f t="shared" si="92"/>
        <v>37352162</v>
      </c>
      <c r="AZ251" s="25">
        <v>1</v>
      </c>
      <c r="BA251" s="62" t="s">
        <v>79</v>
      </c>
      <c r="BB251" s="66">
        <v>1</v>
      </c>
      <c r="BC251" s="66"/>
      <c r="BD251" s="66"/>
      <c r="BE251" s="67">
        <f t="shared" si="95"/>
        <v>729166.66666666663</v>
      </c>
      <c r="BF251" s="67">
        <f t="shared" si="100"/>
        <v>0</v>
      </c>
      <c r="BG251" s="67">
        <f t="shared" si="93"/>
        <v>0</v>
      </c>
      <c r="BH251" s="66"/>
      <c r="BI251" s="68">
        <v>0</v>
      </c>
      <c r="BJ251" s="68" t="s">
        <v>58</v>
      </c>
      <c r="BK251" s="68" t="s">
        <v>59</v>
      </c>
      <c r="BL251" s="29"/>
      <c r="BO251" s="35" t="s">
        <v>1804</v>
      </c>
    </row>
    <row r="252" spans="1:68" ht="15" customHeight="1">
      <c r="A252" s="1" t="s">
        <v>43</v>
      </c>
      <c r="C252" s="1" t="str">
        <f t="shared" si="88"/>
        <v>3005</v>
      </c>
      <c r="D252" s="1" t="str">
        <f t="shared" si="89"/>
        <v>2005</v>
      </c>
      <c r="E252" s="19" t="s">
        <v>48</v>
      </c>
      <c r="F252" s="62" t="s">
        <v>49</v>
      </c>
      <c r="G252" s="62">
        <v>2135</v>
      </c>
      <c r="H252" s="62" t="s">
        <v>793</v>
      </c>
      <c r="I252" s="62" t="s">
        <v>794</v>
      </c>
      <c r="J252" s="118">
        <v>1</v>
      </c>
      <c r="K252" s="119" t="s">
        <v>619</v>
      </c>
      <c r="L252" s="62" t="s">
        <v>795</v>
      </c>
      <c r="M252" s="120" t="s">
        <v>796</v>
      </c>
      <c r="N252" s="63">
        <v>43957</v>
      </c>
      <c r="O252" s="24"/>
      <c r="P252" s="24"/>
      <c r="Q252" s="64">
        <v>152404000</v>
      </c>
      <c r="R252" s="64"/>
      <c r="S252" s="64"/>
      <c r="T252" s="64"/>
      <c r="U252" s="64"/>
      <c r="V252" s="121">
        <v>152404000</v>
      </c>
      <c r="W252" s="122">
        <v>0</v>
      </c>
      <c r="X252" s="64">
        <v>152404000</v>
      </c>
      <c r="Y252" s="121"/>
      <c r="Z252" s="121"/>
      <c r="AA252" s="121"/>
      <c r="AB252" s="121"/>
      <c r="AC252" s="64">
        <v>152404000</v>
      </c>
      <c r="AD252" s="65">
        <v>43957</v>
      </c>
      <c r="AE252" s="65">
        <v>47607</v>
      </c>
      <c r="AF252" s="62">
        <v>10</v>
      </c>
      <c r="AG252" s="119">
        <v>120</v>
      </c>
      <c r="AH252" s="25">
        <v>1270033.3333333333</v>
      </c>
      <c r="AI252" s="78">
        <v>55676611.333333336</v>
      </c>
      <c r="AJ252" s="78">
        <v>96727388.666666657</v>
      </c>
      <c r="AK252" s="27">
        <f t="shared" si="90"/>
        <v>1270033.3333333333</v>
      </c>
      <c r="AL252" s="27">
        <f t="shared" si="94"/>
        <v>1270033.3333333333</v>
      </c>
      <c r="AM252" s="27">
        <f t="shared" si="94"/>
        <v>1270033.3333333333</v>
      </c>
      <c r="AN252" s="27">
        <f t="shared" si="96"/>
        <v>1270033.3333333333</v>
      </c>
      <c r="AO252" s="27">
        <f t="shared" si="97"/>
        <v>1270033.3333333333</v>
      </c>
      <c r="AP252" s="27">
        <f t="shared" si="97"/>
        <v>1270033.3333333333</v>
      </c>
      <c r="AQ252" s="27">
        <f t="shared" si="98"/>
        <v>1270033.3333333333</v>
      </c>
      <c r="AR252" s="27">
        <f t="shared" si="99"/>
        <v>1270033.3333333333</v>
      </c>
      <c r="AS252" s="27"/>
      <c r="AT252" s="27"/>
      <c r="AU252" s="27"/>
      <c r="AV252" s="27"/>
      <c r="AW252" s="27">
        <f t="shared" si="87"/>
        <v>10160266.666666666</v>
      </c>
      <c r="AX252" s="79">
        <f t="shared" si="91"/>
        <v>86567121.999999985</v>
      </c>
      <c r="AY252" s="79">
        <f t="shared" si="92"/>
        <v>65836878</v>
      </c>
      <c r="AZ252" s="25">
        <v>1</v>
      </c>
      <c r="BA252" s="62" t="s">
        <v>97</v>
      </c>
      <c r="BB252" s="66">
        <v>1</v>
      </c>
      <c r="BC252" s="66"/>
      <c r="BD252" s="66"/>
      <c r="BE252" s="67">
        <f t="shared" si="95"/>
        <v>1270033.3333333333</v>
      </c>
      <c r="BF252" s="67">
        <f t="shared" si="100"/>
        <v>0</v>
      </c>
      <c r="BG252" s="67">
        <f t="shared" si="93"/>
        <v>0</v>
      </c>
      <c r="BH252" s="66"/>
      <c r="BI252" s="68" t="s">
        <v>57</v>
      </c>
      <c r="BJ252" s="68" t="s">
        <v>58</v>
      </c>
      <c r="BK252" s="68" t="s">
        <v>59</v>
      </c>
      <c r="BL252" s="29"/>
      <c r="BO252" s="35" t="s">
        <v>1804</v>
      </c>
    </row>
    <row r="253" spans="1:68" ht="15" customHeight="1">
      <c r="A253" s="1" t="s">
        <v>43</v>
      </c>
      <c r="C253" s="1" t="str">
        <f t="shared" si="88"/>
        <v>2806</v>
      </c>
      <c r="D253" s="1" t="str">
        <f t="shared" si="89"/>
        <v>2006</v>
      </c>
      <c r="E253" s="19" t="s">
        <v>48</v>
      </c>
      <c r="F253" s="62" t="s">
        <v>49</v>
      </c>
      <c r="G253" s="62">
        <v>2112</v>
      </c>
      <c r="H253" s="62" t="s">
        <v>797</v>
      </c>
      <c r="I253" s="62" t="s">
        <v>798</v>
      </c>
      <c r="J253" s="118">
        <v>1</v>
      </c>
      <c r="K253" s="119" t="s">
        <v>619</v>
      </c>
      <c r="L253" s="62" t="s">
        <v>799</v>
      </c>
      <c r="M253" s="120" t="s">
        <v>800</v>
      </c>
      <c r="N253" s="63">
        <v>44004</v>
      </c>
      <c r="O253" s="24"/>
      <c r="P253" s="24"/>
      <c r="Q253" s="64">
        <v>54500000</v>
      </c>
      <c r="R253" s="64"/>
      <c r="S253" s="64"/>
      <c r="T253" s="64"/>
      <c r="U253" s="64"/>
      <c r="V253" s="121">
        <v>54500000</v>
      </c>
      <c r="W253" s="122">
        <v>0</v>
      </c>
      <c r="X253" s="64">
        <v>54500000</v>
      </c>
      <c r="Y253" s="121"/>
      <c r="Z253" s="121"/>
      <c r="AA253" s="121"/>
      <c r="AB253" s="121"/>
      <c r="AC253" s="64">
        <v>54500000</v>
      </c>
      <c r="AD253" s="65">
        <v>44004</v>
      </c>
      <c r="AE253" s="65">
        <v>46924</v>
      </c>
      <c r="AF253" s="62">
        <v>8</v>
      </c>
      <c r="AG253" s="119">
        <v>96</v>
      </c>
      <c r="AH253" s="25">
        <v>567708.33333333337</v>
      </c>
      <c r="AI253" s="78">
        <v>24014051.333333332</v>
      </c>
      <c r="AJ253" s="78">
        <v>30485948.666666668</v>
      </c>
      <c r="AK253" s="27">
        <f t="shared" si="90"/>
        <v>567708.33333333337</v>
      </c>
      <c r="AL253" s="27">
        <f t="shared" si="94"/>
        <v>567708.33333333337</v>
      </c>
      <c r="AM253" s="27">
        <f t="shared" si="94"/>
        <v>567708.33333333337</v>
      </c>
      <c r="AN253" s="27">
        <f t="shared" si="96"/>
        <v>567708.33333333337</v>
      </c>
      <c r="AO253" s="27">
        <f t="shared" si="97"/>
        <v>567708.33333333337</v>
      </c>
      <c r="AP253" s="27">
        <f t="shared" si="97"/>
        <v>567708.33333333337</v>
      </c>
      <c r="AQ253" s="27">
        <f t="shared" si="98"/>
        <v>567708.33333333337</v>
      </c>
      <c r="AR253" s="27">
        <f t="shared" si="99"/>
        <v>567708.33333333337</v>
      </c>
      <c r="AS253" s="27"/>
      <c r="AT253" s="27"/>
      <c r="AU253" s="27"/>
      <c r="AV253" s="27"/>
      <c r="AW253" s="27">
        <f t="shared" si="87"/>
        <v>4541666.666666667</v>
      </c>
      <c r="AX253" s="79">
        <f t="shared" si="91"/>
        <v>25944282</v>
      </c>
      <c r="AY253" s="79">
        <f t="shared" si="92"/>
        <v>28555718</v>
      </c>
      <c r="AZ253" s="25">
        <v>1</v>
      </c>
      <c r="BA253" s="62" t="s">
        <v>97</v>
      </c>
      <c r="BB253" s="66">
        <v>1</v>
      </c>
      <c r="BC253" s="66"/>
      <c r="BD253" s="66"/>
      <c r="BE253" s="67">
        <f t="shared" si="95"/>
        <v>567708.33333333337</v>
      </c>
      <c r="BF253" s="67">
        <f t="shared" si="100"/>
        <v>0</v>
      </c>
      <c r="BG253" s="67">
        <f t="shared" si="93"/>
        <v>0</v>
      </c>
      <c r="BH253" s="66"/>
      <c r="BI253" s="68" t="s">
        <v>80</v>
      </c>
      <c r="BJ253" s="68" t="s">
        <v>58</v>
      </c>
      <c r="BK253" s="68" t="s">
        <v>59</v>
      </c>
      <c r="BL253" s="29"/>
      <c r="BO253" s="35" t="s">
        <v>1804</v>
      </c>
    </row>
    <row r="254" spans="1:68" ht="15" customHeight="1">
      <c r="A254" s="1" t="s">
        <v>43</v>
      </c>
      <c r="C254" s="1" t="str">
        <f t="shared" si="88"/>
        <v>2810</v>
      </c>
      <c r="D254" s="1" t="str">
        <f t="shared" si="89"/>
        <v>2010</v>
      </c>
      <c r="E254" s="19" t="s">
        <v>48</v>
      </c>
      <c r="F254" s="62" t="s">
        <v>49</v>
      </c>
      <c r="G254" s="62">
        <v>2112</v>
      </c>
      <c r="H254" s="62" t="s">
        <v>801</v>
      </c>
      <c r="I254" s="62" t="s">
        <v>802</v>
      </c>
      <c r="J254" s="118">
        <v>1</v>
      </c>
      <c r="K254" s="119" t="s">
        <v>619</v>
      </c>
      <c r="L254" s="62" t="s">
        <v>765</v>
      </c>
      <c r="M254" s="120" t="s">
        <v>803</v>
      </c>
      <c r="N254" s="63">
        <v>44012</v>
      </c>
      <c r="O254" s="24"/>
      <c r="P254" s="24"/>
      <c r="Q254" s="64">
        <v>61500000</v>
      </c>
      <c r="R254" s="64"/>
      <c r="S254" s="64"/>
      <c r="T254" s="64"/>
      <c r="U254" s="64"/>
      <c r="V254" s="121">
        <v>61500000</v>
      </c>
      <c r="W254" s="122">
        <v>0</v>
      </c>
      <c r="X254" s="64">
        <v>61500000</v>
      </c>
      <c r="Y254" s="121"/>
      <c r="Z254" s="121"/>
      <c r="AA254" s="121"/>
      <c r="AB254" s="121"/>
      <c r="AC254" s="64">
        <v>61500000</v>
      </c>
      <c r="AD254" s="65">
        <v>44113</v>
      </c>
      <c r="AE254" s="65">
        <v>47033</v>
      </c>
      <c r="AF254" s="62">
        <v>8</v>
      </c>
      <c r="AG254" s="119">
        <v>96</v>
      </c>
      <c r="AH254" s="25">
        <v>640625</v>
      </c>
      <c r="AI254" s="78">
        <v>24819052</v>
      </c>
      <c r="AJ254" s="78">
        <v>36680948</v>
      </c>
      <c r="AK254" s="27">
        <f t="shared" si="90"/>
        <v>640625</v>
      </c>
      <c r="AL254" s="27">
        <f t="shared" si="94"/>
        <v>640625</v>
      </c>
      <c r="AM254" s="27">
        <f t="shared" si="94"/>
        <v>640625</v>
      </c>
      <c r="AN254" s="27">
        <f t="shared" si="96"/>
        <v>640625</v>
      </c>
      <c r="AO254" s="27">
        <f t="shared" si="97"/>
        <v>640625</v>
      </c>
      <c r="AP254" s="27">
        <f t="shared" si="97"/>
        <v>640625</v>
      </c>
      <c r="AQ254" s="27">
        <f t="shared" si="98"/>
        <v>640625</v>
      </c>
      <c r="AR254" s="27">
        <f t="shared" si="99"/>
        <v>640625</v>
      </c>
      <c r="AS254" s="27"/>
      <c r="AT254" s="27"/>
      <c r="AU254" s="27"/>
      <c r="AV254" s="27"/>
      <c r="AW254" s="27">
        <f t="shared" si="87"/>
        <v>5125000</v>
      </c>
      <c r="AX254" s="79">
        <f t="shared" si="91"/>
        <v>31555948</v>
      </c>
      <c r="AY254" s="79">
        <f t="shared" si="92"/>
        <v>29944052</v>
      </c>
      <c r="AZ254" s="25">
        <v>1</v>
      </c>
      <c r="BA254" s="62" t="s">
        <v>97</v>
      </c>
      <c r="BB254" s="66">
        <v>1</v>
      </c>
      <c r="BC254" s="66"/>
      <c r="BD254" s="66"/>
      <c r="BE254" s="67">
        <f t="shared" si="95"/>
        <v>640625</v>
      </c>
      <c r="BF254" s="67">
        <f t="shared" si="100"/>
        <v>0</v>
      </c>
      <c r="BG254" s="67">
        <f t="shared" si="93"/>
        <v>0</v>
      </c>
      <c r="BH254" s="66"/>
      <c r="BI254" s="68" t="s">
        <v>101</v>
      </c>
      <c r="BJ254" s="68" t="s">
        <v>644</v>
      </c>
      <c r="BK254" s="68" t="s">
        <v>349</v>
      </c>
      <c r="BL254" s="29"/>
      <c r="BO254" s="35" t="s">
        <v>1802</v>
      </c>
    </row>
    <row r="255" spans="1:68" ht="15" customHeight="1">
      <c r="A255" s="1" t="s">
        <v>43</v>
      </c>
      <c r="C255" s="1" t="str">
        <f t="shared" si="88"/>
        <v>3007</v>
      </c>
      <c r="D255" s="1" t="str">
        <f t="shared" si="89"/>
        <v>2007</v>
      </c>
      <c r="E255" s="19" t="s">
        <v>48</v>
      </c>
      <c r="F255" s="62" t="s">
        <v>49</v>
      </c>
      <c r="G255" s="66">
        <v>2112</v>
      </c>
      <c r="H255" s="66" t="s">
        <v>804</v>
      </c>
      <c r="I255" s="66" t="s">
        <v>805</v>
      </c>
      <c r="J255" s="118">
        <v>1</v>
      </c>
      <c r="K255" s="119" t="s">
        <v>619</v>
      </c>
      <c r="L255" s="62" t="s">
        <v>77</v>
      </c>
      <c r="M255" s="135" t="s">
        <v>806</v>
      </c>
      <c r="N255" s="63">
        <v>43997</v>
      </c>
      <c r="O255" s="24">
        <v>67500</v>
      </c>
      <c r="P255" s="24">
        <v>23445</v>
      </c>
      <c r="Q255" s="64">
        <v>1582537500</v>
      </c>
      <c r="R255" s="64"/>
      <c r="S255" s="64"/>
      <c r="T255" s="64">
        <v>6395686.8200000003</v>
      </c>
      <c r="U255" s="64" t="s">
        <v>807</v>
      </c>
      <c r="V255" s="121">
        <v>1588933187</v>
      </c>
      <c r="W255" s="122">
        <v>0</v>
      </c>
      <c r="X255" s="64">
        <v>1588933187</v>
      </c>
      <c r="Y255" s="121"/>
      <c r="Z255" s="121"/>
      <c r="AA255" s="121"/>
      <c r="AB255" s="121"/>
      <c r="AC255" s="64">
        <v>1588933187</v>
      </c>
      <c r="AD255" s="65">
        <v>44019</v>
      </c>
      <c r="AE255" s="65">
        <v>47669</v>
      </c>
      <c r="AF255" s="66">
        <v>10</v>
      </c>
      <c r="AG255" s="119">
        <v>120</v>
      </c>
      <c r="AH255" s="25">
        <v>13241109.891666668</v>
      </c>
      <c r="AI255" s="78">
        <v>553563823.91666675</v>
      </c>
      <c r="AJ255" s="78">
        <v>1035369363.0833333</v>
      </c>
      <c r="AK255" s="27">
        <f t="shared" si="90"/>
        <v>13241109.891666668</v>
      </c>
      <c r="AL255" s="27">
        <f t="shared" si="94"/>
        <v>13241109.891666668</v>
      </c>
      <c r="AM255" s="27">
        <f t="shared" si="94"/>
        <v>13241109.891666668</v>
      </c>
      <c r="AN255" s="27">
        <f t="shared" si="96"/>
        <v>13241109.891666668</v>
      </c>
      <c r="AO255" s="27">
        <f t="shared" si="97"/>
        <v>13241109.891666668</v>
      </c>
      <c r="AP255" s="27">
        <f t="shared" si="97"/>
        <v>13241109.891666668</v>
      </c>
      <c r="AQ255" s="27">
        <f t="shared" si="98"/>
        <v>13241109.891666668</v>
      </c>
      <c r="AR255" s="27">
        <f t="shared" si="99"/>
        <v>13241109.891666668</v>
      </c>
      <c r="AS255" s="27"/>
      <c r="AT255" s="27"/>
      <c r="AU255" s="27"/>
      <c r="AV255" s="27"/>
      <c r="AW255" s="27">
        <f t="shared" si="87"/>
        <v>105928879.13333334</v>
      </c>
      <c r="AX255" s="79">
        <f t="shared" si="91"/>
        <v>929440483.94999993</v>
      </c>
      <c r="AY255" s="79">
        <f t="shared" si="92"/>
        <v>659492703.05000007</v>
      </c>
      <c r="AZ255" s="25">
        <v>1</v>
      </c>
      <c r="BA255" s="66" t="s">
        <v>97</v>
      </c>
      <c r="BB255" s="66">
        <v>1</v>
      </c>
      <c r="BC255" s="66"/>
      <c r="BD255" s="66"/>
      <c r="BE255" s="67">
        <f t="shared" si="95"/>
        <v>13241109.891666668</v>
      </c>
      <c r="BF255" s="67">
        <f t="shared" si="100"/>
        <v>0</v>
      </c>
      <c r="BG255" s="67">
        <f t="shared" si="93"/>
        <v>0</v>
      </c>
      <c r="BH255" s="66"/>
      <c r="BI255" s="68" t="s">
        <v>491</v>
      </c>
      <c r="BJ255" s="68" t="s">
        <v>81</v>
      </c>
      <c r="BK255" s="68" t="s">
        <v>81</v>
      </c>
      <c r="BL255" s="29"/>
      <c r="BO255" s="35" t="s">
        <v>1800</v>
      </c>
      <c r="BP255" s="1" t="s">
        <v>1812</v>
      </c>
    </row>
    <row r="256" spans="1:68" ht="15" customHeight="1">
      <c r="A256" s="1" t="s">
        <v>43</v>
      </c>
      <c r="C256" s="1" t="str">
        <f t="shared" si="88"/>
        <v>3007</v>
      </c>
      <c r="D256" s="1" t="str">
        <f t="shared" si="89"/>
        <v>2007</v>
      </c>
      <c r="E256" s="19" t="s">
        <v>48</v>
      </c>
      <c r="F256" s="62" t="s">
        <v>49</v>
      </c>
      <c r="G256" s="66">
        <v>2112</v>
      </c>
      <c r="H256" s="66" t="s">
        <v>808</v>
      </c>
      <c r="I256" s="66" t="s">
        <v>805</v>
      </c>
      <c r="J256" s="118">
        <v>1</v>
      </c>
      <c r="K256" s="119" t="s">
        <v>619</v>
      </c>
      <c r="L256" s="62" t="s">
        <v>77</v>
      </c>
      <c r="M256" s="135" t="s">
        <v>806</v>
      </c>
      <c r="N256" s="63">
        <v>43997</v>
      </c>
      <c r="O256" s="24">
        <v>67500</v>
      </c>
      <c r="P256" s="24">
        <v>23445</v>
      </c>
      <c r="Q256" s="64">
        <v>1582537500</v>
      </c>
      <c r="R256" s="64"/>
      <c r="S256" s="64"/>
      <c r="T256" s="64">
        <v>6395686.8200000003</v>
      </c>
      <c r="U256" s="64" t="s">
        <v>807</v>
      </c>
      <c r="V256" s="121">
        <v>1588933187</v>
      </c>
      <c r="W256" s="122">
        <v>0</v>
      </c>
      <c r="X256" s="64">
        <v>1588933187</v>
      </c>
      <c r="Y256" s="121"/>
      <c r="Z256" s="121"/>
      <c r="AA256" s="121"/>
      <c r="AB256" s="121"/>
      <c r="AC256" s="64">
        <v>1588933187</v>
      </c>
      <c r="AD256" s="65">
        <v>44032</v>
      </c>
      <c r="AE256" s="65">
        <v>47682</v>
      </c>
      <c r="AF256" s="66">
        <v>10</v>
      </c>
      <c r="AG256" s="119">
        <v>120</v>
      </c>
      <c r="AH256" s="25">
        <v>13241109.891666668</v>
      </c>
      <c r="AI256" s="78">
        <v>548011099.91666675</v>
      </c>
      <c r="AJ256" s="78">
        <v>1040922087.0833333</v>
      </c>
      <c r="AK256" s="27">
        <f t="shared" si="90"/>
        <v>13241109.891666668</v>
      </c>
      <c r="AL256" s="27">
        <f t="shared" si="94"/>
        <v>13241109.891666668</v>
      </c>
      <c r="AM256" s="27">
        <f t="shared" si="94"/>
        <v>13241109.891666668</v>
      </c>
      <c r="AN256" s="27">
        <f t="shared" si="96"/>
        <v>13241109.891666668</v>
      </c>
      <c r="AO256" s="27">
        <f t="shared" si="97"/>
        <v>13241109.891666668</v>
      </c>
      <c r="AP256" s="27">
        <f t="shared" si="97"/>
        <v>13241109.891666668</v>
      </c>
      <c r="AQ256" s="27">
        <f t="shared" si="98"/>
        <v>13241109.891666668</v>
      </c>
      <c r="AR256" s="27">
        <f t="shared" si="99"/>
        <v>13241109.891666668</v>
      </c>
      <c r="AS256" s="27"/>
      <c r="AT256" s="27"/>
      <c r="AU256" s="27"/>
      <c r="AV256" s="27"/>
      <c r="AW256" s="27">
        <f t="shared" si="87"/>
        <v>105928879.13333334</v>
      </c>
      <c r="AX256" s="79">
        <f t="shared" si="91"/>
        <v>934993207.94999993</v>
      </c>
      <c r="AY256" s="79">
        <f t="shared" si="92"/>
        <v>653939979.05000007</v>
      </c>
      <c r="AZ256" s="25">
        <v>1</v>
      </c>
      <c r="BA256" s="66" t="s">
        <v>97</v>
      </c>
      <c r="BB256" s="66">
        <v>1</v>
      </c>
      <c r="BC256" s="66"/>
      <c r="BD256" s="66"/>
      <c r="BE256" s="67">
        <f t="shared" si="95"/>
        <v>13241109.891666668</v>
      </c>
      <c r="BF256" s="67">
        <f t="shared" si="100"/>
        <v>0</v>
      </c>
      <c r="BG256" s="67">
        <f t="shared" si="93"/>
        <v>0</v>
      </c>
      <c r="BH256" s="66"/>
      <c r="BI256" s="68" t="s">
        <v>534</v>
      </c>
      <c r="BJ256" s="68" t="s">
        <v>81</v>
      </c>
      <c r="BK256" s="68" t="s">
        <v>81</v>
      </c>
      <c r="BL256" s="29"/>
      <c r="BO256" s="35" t="s">
        <v>1800</v>
      </c>
      <c r="BP256" s="1" t="s">
        <v>1819</v>
      </c>
    </row>
    <row r="257" spans="1:68" ht="15" customHeight="1">
      <c r="A257" s="1" t="s">
        <v>43</v>
      </c>
      <c r="C257" s="1" t="str">
        <f t="shared" si="88"/>
        <v>3007</v>
      </c>
      <c r="D257" s="1" t="str">
        <f t="shared" si="89"/>
        <v>2008</v>
      </c>
      <c r="E257" s="19" t="s">
        <v>48</v>
      </c>
      <c r="F257" s="62" t="s">
        <v>1896</v>
      </c>
      <c r="G257" s="62">
        <v>2112</v>
      </c>
      <c r="H257" s="62" t="s">
        <v>809</v>
      </c>
      <c r="I257" s="62" t="s">
        <v>810</v>
      </c>
      <c r="J257" s="118">
        <v>1</v>
      </c>
      <c r="K257" s="119" t="s">
        <v>619</v>
      </c>
      <c r="L257" s="62" t="s">
        <v>77</v>
      </c>
      <c r="M257" s="120" t="s">
        <v>806</v>
      </c>
      <c r="N257" s="63">
        <v>43997</v>
      </c>
      <c r="O257" s="24">
        <v>72000</v>
      </c>
      <c r="P257" s="24">
        <v>23445</v>
      </c>
      <c r="Q257" s="64">
        <v>1688040000</v>
      </c>
      <c r="R257" s="64"/>
      <c r="S257" s="64"/>
      <c r="T257" s="64">
        <v>6822065.9399999995</v>
      </c>
      <c r="U257" s="64" t="s">
        <v>807</v>
      </c>
      <c r="V257" s="121">
        <v>1694862066</v>
      </c>
      <c r="W257" s="122">
        <v>0</v>
      </c>
      <c r="X257" s="64">
        <v>1694862066</v>
      </c>
      <c r="Y257" s="121"/>
      <c r="Z257" s="121"/>
      <c r="AA257" s="121"/>
      <c r="AB257" s="121"/>
      <c r="AC257" s="64">
        <v>1694862066</v>
      </c>
      <c r="AD257" s="65">
        <v>44044</v>
      </c>
      <c r="AE257" s="65">
        <v>47694</v>
      </c>
      <c r="AF257" s="62">
        <v>10</v>
      </c>
      <c r="AG257" s="119">
        <v>120</v>
      </c>
      <c r="AH257" s="25">
        <v>14123850.550000001</v>
      </c>
      <c r="AI257" s="78">
        <v>579077886.5</v>
      </c>
      <c r="AJ257" s="78">
        <v>1115784179.5</v>
      </c>
      <c r="AK257" s="27">
        <f t="shared" si="90"/>
        <v>14123850.550000001</v>
      </c>
      <c r="AL257" s="27">
        <f t="shared" si="94"/>
        <v>14123850.550000001</v>
      </c>
      <c r="AM257" s="27">
        <f t="shared" si="94"/>
        <v>14123850.550000001</v>
      </c>
      <c r="AN257" s="27">
        <f t="shared" si="96"/>
        <v>14123850.550000001</v>
      </c>
      <c r="AO257" s="27">
        <f t="shared" si="97"/>
        <v>14123850.550000001</v>
      </c>
      <c r="AP257" s="27">
        <f t="shared" si="97"/>
        <v>14123850.550000001</v>
      </c>
      <c r="AQ257" s="27">
        <f t="shared" si="98"/>
        <v>14123850.550000001</v>
      </c>
      <c r="AR257" s="27">
        <f t="shared" si="99"/>
        <v>14123850.550000001</v>
      </c>
      <c r="AS257" s="27"/>
      <c r="AT257" s="27"/>
      <c r="AU257" s="27"/>
      <c r="AV257" s="27"/>
      <c r="AW257" s="27">
        <f t="shared" si="87"/>
        <v>112990804.39999999</v>
      </c>
      <c r="AX257" s="79">
        <f t="shared" si="91"/>
        <v>1002793375.1</v>
      </c>
      <c r="AY257" s="79">
        <f t="shared" si="92"/>
        <v>692068690.89999998</v>
      </c>
      <c r="AZ257" s="25">
        <v>1</v>
      </c>
      <c r="BA257" s="62" t="s">
        <v>97</v>
      </c>
      <c r="BB257" s="66">
        <v>1</v>
      </c>
      <c r="BC257" s="66"/>
      <c r="BD257" s="66"/>
      <c r="BE257" s="67">
        <f t="shared" si="95"/>
        <v>14123850.550000001</v>
      </c>
      <c r="BF257" s="67">
        <f t="shared" si="100"/>
        <v>0</v>
      </c>
      <c r="BG257" s="67">
        <f t="shared" si="93"/>
        <v>0</v>
      </c>
      <c r="BH257" s="66"/>
      <c r="BI257" s="68" t="s">
        <v>695</v>
      </c>
      <c r="BJ257" s="68" t="s">
        <v>1930</v>
      </c>
      <c r="BK257" s="68" t="s">
        <v>1930</v>
      </c>
      <c r="BL257" s="29"/>
      <c r="BO257" s="35" t="s">
        <v>1801</v>
      </c>
      <c r="BP257" s="1" t="s">
        <v>1820</v>
      </c>
    </row>
    <row r="258" spans="1:68" ht="15" customHeight="1">
      <c r="A258" s="1" t="s">
        <v>43</v>
      </c>
      <c r="C258" s="1" t="str">
        <f t="shared" si="88"/>
        <v>3007</v>
      </c>
      <c r="D258" s="1" t="str">
        <f t="shared" si="89"/>
        <v>2007</v>
      </c>
      <c r="E258" s="19" t="s">
        <v>48</v>
      </c>
      <c r="F258" s="62" t="s">
        <v>49</v>
      </c>
      <c r="G258" s="66">
        <v>2112</v>
      </c>
      <c r="H258" s="66" t="s">
        <v>811</v>
      </c>
      <c r="I258" s="66" t="s">
        <v>812</v>
      </c>
      <c r="J258" s="118">
        <v>1</v>
      </c>
      <c r="K258" s="119" t="s">
        <v>619</v>
      </c>
      <c r="L258" s="62" t="s">
        <v>77</v>
      </c>
      <c r="M258" s="135" t="s">
        <v>806</v>
      </c>
      <c r="N258" s="63">
        <v>43997</v>
      </c>
      <c r="O258" s="24">
        <v>22000</v>
      </c>
      <c r="P258" s="24">
        <v>23445</v>
      </c>
      <c r="Q258" s="64">
        <v>515790000</v>
      </c>
      <c r="R258" s="64"/>
      <c r="S258" s="64"/>
      <c r="T258" s="64">
        <v>2084520.1466666665</v>
      </c>
      <c r="U258" s="64" t="s">
        <v>807</v>
      </c>
      <c r="V258" s="121">
        <v>517874520</v>
      </c>
      <c r="W258" s="122">
        <v>0</v>
      </c>
      <c r="X258" s="64">
        <v>517874520</v>
      </c>
      <c r="Y258" s="121"/>
      <c r="Z258" s="121"/>
      <c r="AA258" s="121"/>
      <c r="AB258" s="121"/>
      <c r="AC258" s="64">
        <v>517874520</v>
      </c>
      <c r="AD258" s="65">
        <v>44019</v>
      </c>
      <c r="AE258" s="65">
        <v>47669</v>
      </c>
      <c r="AF258" s="66">
        <v>10</v>
      </c>
      <c r="AG258" s="119">
        <v>120</v>
      </c>
      <c r="AH258" s="25">
        <v>4315621</v>
      </c>
      <c r="AI258" s="78">
        <v>180420801</v>
      </c>
      <c r="AJ258" s="78">
        <v>337453719</v>
      </c>
      <c r="AK258" s="27">
        <f t="shared" si="90"/>
        <v>4315621</v>
      </c>
      <c r="AL258" s="27">
        <f t="shared" si="94"/>
        <v>4315621</v>
      </c>
      <c r="AM258" s="27">
        <f t="shared" si="94"/>
        <v>4315621</v>
      </c>
      <c r="AN258" s="27">
        <f t="shared" si="96"/>
        <v>4315621</v>
      </c>
      <c r="AO258" s="27">
        <f t="shared" si="97"/>
        <v>4315621</v>
      </c>
      <c r="AP258" s="27">
        <f t="shared" si="97"/>
        <v>4315621</v>
      </c>
      <c r="AQ258" s="27">
        <f t="shared" si="98"/>
        <v>4315621</v>
      </c>
      <c r="AR258" s="27">
        <f t="shared" si="99"/>
        <v>4315621</v>
      </c>
      <c r="AS258" s="27"/>
      <c r="AT258" s="27"/>
      <c r="AU258" s="27"/>
      <c r="AV258" s="27"/>
      <c r="AW258" s="27">
        <f t="shared" si="87"/>
        <v>34524968</v>
      </c>
      <c r="AX258" s="79">
        <f t="shared" si="91"/>
        <v>302928751</v>
      </c>
      <c r="AY258" s="79">
        <f t="shared" si="92"/>
        <v>214945769</v>
      </c>
      <c r="AZ258" s="25">
        <v>1</v>
      </c>
      <c r="BA258" s="66" t="s">
        <v>97</v>
      </c>
      <c r="BB258" s="66">
        <v>1</v>
      </c>
      <c r="BC258" s="66"/>
      <c r="BD258" s="66"/>
      <c r="BE258" s="67">
        <f t="shared" si="95"/>
        <v>4315621</v>
      </c>
      <c r="BF258" s="67">
        <f t="shared" si="100"/>
        <v>0</v>
      </c>
      <c r="BG258" s="67">
        <f t="shared" si="93"/>
        <v>0</v>
      </c>
      <c r="BH258" s="66"/>
      <c r="BI258" s="68" t="s">
        <v>491</v>
      </c>
      <c r="BJ258" s="68" t="s">
        <v>81</v>
      </c>
      <c r="BK258" s="68" t="s">
        <v>81</v>
      </c>
      <c r="BL258" s="29"/>
      <c r="BO258" s="35" t="s">
        <v>1800</v>
      </c>
      <c r="BP258" s="1" t="s">
        <v>1812</v>
      </c>
    </row>
    <row r="259" spans="1:68" ht="15" customHeight="1">
      <c r="A259" s="1" t="s">
        <v>43</v>
      </c>
      <c r="C259" s="1" t="str">
        <f t="shared" si="88"/>
        <v>3007</v>
      </c>
      <c r="D259" s="1" t="str">
        <f t="shared" si="89"/>
        <v>2007</v>
      </c>
      <c r="E259" s="19" t="s">
        <v>48</v>
      </c>
      <c r="F259" s="62" t="s">
        <v>49</v>
      </c>
      <c r="G259" s="66">
        <v>2112</v>
      </c>
      <c r="H259" s="66" t="s">
        <v>813</v>
      </c>
      <c r="I259" s="66" t="s">
        <v>812</v>
      </c>
      <c r="J259" s="118">
        <v>1</v>
      </c>
      <c r="K259" s="119" t="s">
        <v>619</v>
      </c>
      <c r="L259" s="62" t="s">
        <v>77</v>
      </c>
      <c r="M259" s="135" t="s">
        <v>806</v>
      </c>
      <c r="N259" s="63">
        <v>43997</v>
      </c>
      <c r="O259" s="24">
        <v>22000</v>
      </c>
      <c r="P259" s="24">
        <v>23445</v>
      </c>
      <c r="Q259" s="64">
        <v>515790000</v>
      </c>
      <c r="R259" s="64"/>
      <c r="S259" s="64"/>
      <c r="T259" s="64">
        <v>2084520.1466666665</v>
      </c>
      <c r="U259" s="64" t="s">
        <v>807</v>
      </c>
      <c r="V259" s="121">
        <v>517874520</v>
      </c>
      <c r="W259" s="122">
        <v>0</v>
      </c>
      <c r="X259" s="64">
        <v>517874520</v>
      </c>
      <c r="Y259" s="121"/>
      <c r="Z259" s="121"/>
      <c r="AA259" s="121"/>
      <c r="AB259" s="121"/>
      <c r="AC259" s="64">
        <v>517874520</v>
      </c>
      <c r="AD259" s="65">
        <v>44032</v>
      </c>
      <c r="AE259" s="65">
        <v>47682</v>
      </c>
      <c r="AF259" s="66">
        <v>10</v>
      </c>
      <c r="AG259" s="119">
        <v>120</v>
      </c>
      <c r="AH259" s="25">
        <v>4315621</v>
      </c>
      <c r="AI259" s="78">
        <v>178611024</v>
      </c>
      <c r="AJ259" s="78">
        <v>339263496</v>
      </c>
      <c r="AK259" s="27">
        <f t="shared" si="90"/>
        <v>4315621</v>
      </c>
      <c r="AL259" s="27">
        <f t="shared" si="94"/>
        <v>4315621</v>
      </c>
      <c r="AM259" s="27">
        <f t="shared" si="94"/>
        <v>4315621</v>
      </c>
      <c r="AN259" s="27">
        <f t="shared" si="96"/>
        <v>4315621</v>
      </c>
      <c r="AO259" s="27">
        <f t="shared" si="97"/>
        <v>4315621</v>
      </c>
      <c r="AP259" s="27">
        <f t="shared" si="97"/>
        <v>4315621</v>
      </c>
      <c r="AQ259" s="27">
        <f t="shared" si="98"/>
        <v>4315621</v>
      </c>
      <c r="AR259" s="27">
        <f t="shared" si="99"/>
        <v>4315621</v>
      </c>
      <c r="AS259" s="27"/>
      <c r="AT259" s="27"/>
      <c r="AU259" s="27"/>
      <c r="AV259" s="27"/>
      <c r="AW259" s="27">
        <f t="shared" si="87"/>
        <v>34524968</v>
      </c>
      <c r="AX259" s="79">
        <f t="shared" si="91"/>
        <v>304738528</v>
      </c>
      <c r="AY259" s="79">
        <f t="shared" si="92"/>
        <v>213135992</v>
      </c>
      <c r="AZ259" s="25">
        <v>1</v>
      </c>
      <c r="BA259" s="66" t="s">
        <v>97</v>
      </c>
      <c r="BB259" s="66">
        <v>1</v>
      </c>
      <c r="BC259" s="66"/>
      <c r="BD259" s="66"/>
      <c r="BE259" s="67">
        <f t="shared" si="95"/>
        <v>4315621</v>
      </c>
      <c r="BF259" s="67">
        <f t="shared" si="100"/>
        <v>0</v>
      </c>
      <c r="BG259" s="67">
        <f t="shared" si="93"/>
        <v>0</v>
      </c>
      <c r="BH259" s="66"/>
      <c r="BI259" s="68" t="s">
        <v>534</v>
      </c>
      <c r="BJ259" s="68" t="s">
        <v>81</v>
      </c>
      <c r="BK259" s="68" t="s">
        <v>81</v>
      </c>
      <c r="BL259" s="29"/>
      <c r="BO259" s="35" t="s">
        <v>1800</v>
      </c>
      <c r="BP259" s="1" t="s">
        <v>1819</v>
      </c>
    </row>
    <row r="260" spans="1:68" ht="15" customHeight="1">
      <c r="A260" s="1" t="s">
        <v>43</v>
      </c>
      <c r="C260" s="1" t="str">
        <f t="shared" si="88"/>
        <v>3007</v>
      </c>
      <c r="D260" s="1" t="str">
        <f t="shared" si="89"/>
        <v>2008</v>
      </c>
      <c r="E260" s="19" t="s">
        <v>48</v>
      </c>
      <c r="F260" s="62" t="s">
        <v>49</v>
      </c>
      <c r="G260" s="62">
        <v>2112</v>
      </c>
      <c r="H260" s="62" t="s">
        <v>814</v>
      </c>
      <c r="I260" s="62" t="s">
        <v>812</v>
      </c>
      <c r="J260" s="118">
        <v>1</v>
      </c>
      <c r="K260" s="119" t="s">
        <v>619</v>
      </c>
      <c r="L260" s="62" t="s">
        <v>77</v>
      </c>
      <c r="M260" s="120" t="s">
        <v>806</v>
      </c>
      <c r="N260" s="63">
        <v>43997</v>
      </c>
      <c r="O260" s="24">
        <v>22000</v>
      </c>
      <c r="P260" s="24">
        <v>23445</v>
      </c>
      <c r="Q260" s="64">
        <v>515790000</v>
      </c>
      <c r="R260" s="64"/>
      <c r="S260" s="64"/>
      <c r="T260" s="64">
        <v>2084520.1466666665</v>
      </c>
      <c r="U260" s="64" t="s">
        <v>807</v>
      </c>
      <c r="V260" s="121">
        <v>517874520</v>
      </c>
      <c r="W260" s="122">
        <v>0</v>
      </c>
      <c r="X260" s="64">
        <v>517874520</v>
      </c>
      <c r="Y260" s="121"/>
      <c r="Z260" s="121"/>
      <c r="AA260" s="121"/>
      <c r="AB260" s="121"/>
      <c r="AC260" s="64">
        <v>517874520</v>
      </c>
      <c r="AD260" s="65">
        <v>44044</v>
      </c>
      <c r="AE260" s="65">
        <v>47694</v>
      </c>
      <c r="AF260" s="62">
        <v>10</v>
      </c>
      <c r="AG260" s="119">
        <v>120</v>
      </c>
      <c r="AH260" s="25">
        <v>4315621</v>
      </c>
      <c r="AI260" s="78">
        <v>176940461</v>
      </c>
      <c r="AJ260" s="78">
        <v>340934059</v>
      </c>
      <c r="AK260" s="27">
        <f t="shared" si="90"/>
        <v>4315621</v>
      </c>
      <c r="AL260" s="27">
        <f t="shared" si="94"/>
        <v>4315621</v>
      </c>
      <c r="AM260" s="27">
        <f t="shared" si="94"/>
        <v>4315621</v>
      </c>
      <c r="AN260" s="27">
        <f t="shared" si="96"/>
        <v>4315621</v>
      </c>
      <c r="AO260" s="27">
        <f t="shared" si="97"/>
        <v>4315621</v>
      </c>
      <c r="AP260" s="27">
        <f t="shared" si="97"/>
        <v>4315621</v>
      </c>
      <c r="AQ260" s="27">
        <f t="shared" si="98"/>
        <v>4315621</v>
      </c>
      <c r="AR260" s="27">
        <f t="shared" si="99"/>
        <v>4315621</v>
      </c>
      <c r="AS260" s="27"/>
      <c r="AT260" s="27"/>
      <c r="AU260" s="27"/>
      <c r="AV260" s="27"/>
      <c r="AW260" s="27">
        <f t="shared" si="87"/>
        <v>34524968</v>
      </c>
      <c r="AX260" s="79">
        <f t="shared" si="91"/>
        <v>306409091</v>
      </c>
      <c r="AY260" s="79">
        <f t="shared" si="92"/>
        <v>211465429</v>
      </c>
      <c r="AZ260" s="25">
        <v>1</v>
      </c>
      <c r="BA260" s="62" t="s">
        <v>97</v>
      </c>
      <c r="BB260" s="66">
        <v>1</v>
      </c>
      <c r="BC260" s="66"/>
      <c r="BD260" s="66"/>
      <c r="BE260" s="67">
        <f t="shared" si="95"/>
        <v>4315621</v>
      </c>
      <c r="BF260" s="67">
        <f t="shared" si="100"/>
        <v>0</v>
      </c>
      <c r="BG260" s="67">
        <f t="shared" si="93"/>
        <v>0</v>
      </c>
      <c r="BH260" s="66"/>
      <c r="BI260" s="68" t="s">
        <v>695</v>
      </c>
      <c r="BJ260" s="68" t="s">
        <v>81</v>
      </c>
      <c r="BK260" s="68" t="s">
        <v>81</v>
      </c>
      <c r="BL260" s="29"/>
      <c r="BO260" s="35" t="s">
        <v>1800</v>
      </c>
      <c r="BP260" s="1" t="s">
        <v>1810</v>
      </c>
    </row>
    <row r="261" spans="1:68" ht="15" customHeight="1">
      <c r="A261" s="1" t="s">
        <v>43</v>
      </c>
      <c r="C261" s="1" t="str">
        <f t="shared" si="88"/>
        <v>3007</v>
      </c>
      <c r="D261" s="1" t="str">
        <f t="shared" si="89"/>
        <v>2007</v>
      </c>
      <c r="E261" s="19" t="s">
        <v>48</v>
      </c>
      <c r="F261" s="62" t="s">
        <v>49</v>
      </c>
      <c r="G261" s="66">
        <v>2112</v>
      </c>
      <c r="H261" s="66" t="s">
        <v>815</v>
      </c>
      <c r="I261" s="66" t="s">
        <v>816</v>
      </c>
      <c r="J261" s="118">
        <v>1</v>
      </c>
      <c r="K261" s="119" t="s">
        <v>619</v>
      </c>
      <c r="L261" s="62" t="s">
        <v>77</v>
      </c>
      <c r="M261" s="135" t="s">
        <v>817</v>
      </c>
      <c r="N261" s="63">
        <v>44006</v>
      </c>
      <c r="O261" s="24">
        <v>65000</v>
      </c>
      <c r="P261" s="24">
        <v>23307</v>
      </c>
      <c r="Q261" s="64">
        <v>1514955000</v>
      </c>
      <c r="R261" s="64"/>
      <c r="S261" s="64"/>
      <c r="T261" s="64">
        <v>6837395.4899999993</v>
      </c>
      <c r="U261" s="64" t="s">
        <v>818</v>
      </c>
      <c r="V261" s="121">
        <v>1521792395</v>
      </c>
      <c r="W261" s="122">
        <v>0</v>
      </c>
      <c r="X261" s="64">
        <v>1521792395</v>
      </c>
      <c r="Y261" s="121"/>
      <c r="Z261" s="121"/>
      <c r="AA261" s="121"/>
      <c r="AB261" s="121"/>
      <c r="AC261" s="64">
        <v>1521792395</v>
      </c>
      <c r="AD261" s="65">
        <v>44015</v>
      </c>
      <c r="AE261" s="65">
        <v>47665</v>
      </c>
      <c r="AF261" s="66">
        <v>10</v>
      </c>
      <c r="AG261" s="119">
        <v>120</v>
      </c>
      <c r="AH261" s="25">
        <v>12681603.291666666</v>
      </c>
      <c r="AI261" s="78">
        <v>531809160.91666663</v>
      </c>
      <c r="AJ261" s="78">
        <v>989983234.08333337</v>
      </c>
      <c r="AK261" s="27">
        <f t="shared" si="90"/>
        <v>12681603.291666666</v>
      </c>
      <c r="AL261" s="27">
        <f t="shared" si="94"/>
        <v>12681603.291666666</v>
      </c>
      <c r="AM261" s="27">
        <f t="shared" si="94"/>
        <v>12681603.291666666</v>
      </c>
      <c r="AN261" s="27">
        <f t="shared" si="96"/>
        <v>12681603.291666666</v>
      </c>
      <c r="AO261" s="27">
        <f t="shared" si="97"/>
        <v>12681603.291666666</v>
      </c>
      <c r="AP261" s="27">
        <f t="shared" si="97"/>
        <v>12681603.291666666</v>
      </c>
      <c r="AQ261" s="27">
        <f t="shared" si="98"/>
        <v>12681603.291666666</v>
      </c>
      <c r="AR261" s="27">
        <f t="shared" si="99"/>
        <v>12681603.291666666</v>
      </c>
      <c r="AS261" s="27"/>
      <c r="AT261" s="27"/>
      <c r="AU261" s="27"/>
      <c r="AV261" s="27"/>
      <c r="AW261" s="27">
        <f t="shared" si="87"/>
        <v>101452826.33333334</v>
      </c>
      <c r="AX261" s="79">
        <f t="shared" si="91"/>
        <v>888530407.75</v>
      </c>
      <c r="AY261" s="79">
        <f t="shared" si="92"/>
        <v>633261987.25</v>
      </c>
      <c r="AZ261" s="25">
        <v>1</v>
      </c>
      <c r="BA261" s="66" t="s">
        <v>97</v>
      </c>
      <c r="BB261" s="66">
        <v>1</v>
      </c>
      <c r="BC261" s="66"/>
      <c r="BD261" s="66"/>
      <c r="BE261" s="67">
        <f t="shared" si="95"/>
        <v>12681603.291666666</v>
      </c>
      <c r="BF261" s="67">
        <f t="shared" si="100"/>
        <v>0</v>
      </c>
      <c r="BG261" s="67">
        <f t="shared" si="93"/>
        <v>0</v>
      </c>
      <c r="BH261" s="66"/>
      <c r="BI261" s="68" t="s">
        <v>819</v>
      </c>
      <c r="BJ261" s="68" t="s">
        <v>121</v>
      </c>
      <c r="BK261" s="68" t="s">
        <v>121</v>
      </c>
      <c r="BL261" s="29"/>
      <c r="BO261" s="35" t="s">
        <v>1800</v>
      </c>
      <c r="BP261" s="1" t="s">
        <v>1821</v>
      </c>
    </row>
    <row r="262" spans="1:68" ht="15" customHeight="1">
      <c r="A262" s="1" t="s">
        <v>43</v>
      </c>
      <c r="C262" s="1" t="str">
        <f t="shared" si="88"/>
        <v>3007</v>
      </c>
      <c r="D262" s="1" t="str">
        <f t="shared" si="89"/>
        <v>2007</v>
      </c>
      <c r="E262" s="19" t="s">
        <v>48</v>
      </c>
      <c r="F262" s="62" t="s">
        <v>49</v>
      </c>
      <c r="G262" s="66">
        <v>2112</v>
      </c>
      <c r="H262" s="66" t="s">
        <v>820</v>
      </c>
      <c r="I262" s="66" t="s">
        <v>821</v>
      </c>
      <c r="J262" s="118">
        <v>1</v>
      </c>
      <c r="K262" s="119" t="s">
        <v>619</v>
      </c>
      <c r="L262" s="62" t="s">
        <v>77</v>
      </c>
      <c r="M262" s="135" t="s">
        <v>817</v>
      </c>
      <c r="N262" s="63">
        <v>44006</v>
      </c>
      <c r="O262" s="24">
        <v>160000</v>
      </c>
      <c r="P262" s="24">
        <v>23307</v>
      </c>
      <c r="Q262" s="64">
        <v>3729120000</v>
      </c>
      <c r="R262" s="64"/>
      <c r="S262" s="64"/>
      <c r="T262" s="64">
        <v>16830513.510000002</v>
      </c>
      <c r="U262" s="64" t="s">
        <v>818</v>
      </c>
      <c r="V262" s="121">
        <v>3745950514</v>
      </c>
      <c r="W262" s="122">
        <v>0</v>
      </c>
      <c r="X262" s="64">
        <v>3745950514</v>
      </c>
      <c r="Y262" s="121"/>
      <c r="Z262" s="121"/>
      <c r="AA262" s="121"/>
      <c r="AB262" s="121"/>
      <c r="AC262" s="64">
        <v>3745950514</v>
      </c>
      <c r="AD262" s="65">
        <v>44032</v>
      </c>
      <c r="AE262" s="65">
        <v>47682</v>
      </c>
      <c r="AF262" s="66">
        <v>10</v>
      </c>
      <c r="AG262" s="119">
        <v>120</v>
      </c>
      <c r="AH262" s="25">
        <v>31216254.283333335</v>
      </c>
      <c r="AI262" s="78">
        <v>1291950127.8333335</v>
      </c>
      <c r="AJ262" s="78">
        <v>2454000386.1666665</v>
      </c>
      <c r="AK262" s="27">
        <f t="shared" si="90"/>
        <v>31216254.283333335</v>
      </c>
      <c r="AL262" s="27">
        <f t="shared" si="94"/>
        <v>31216254.283333335</v>
      </c>
      <c r="AM262" s="27">
        <f t="shared" si="94"/>
        <v>31216254.283333335</v>
      </c>
      <c r="AN262" s="27">
        <f t="shared" si="96"/>
        <v>31216254.283333335</v>
      </c>
      <c r="AO262" s="27">
        <f t="shared" si="97"/>
        <v>31216254.283333335</v>
      </c>
      <c r="AP262" s="27">
        <f t="shared" si="97"/>
        <v>31216254.283333335</v>
      </c>
      <c r="AQ262" s="27">
        <f t="shared" si="98"/>
        <v>31216254.283333335</v>
      </c>
      <c r="AR262" s="27">
        <f t="shared" si="99"/>
        <v>31216254.283333335</v>
      </c>
      <c r="AS262" s="27"/>
      <c r="AT262" s="27"/>
      <c r="AU262" s="27"/>
      <c r="AV262" s="27"/>
      <c r="AW262" s="27">
        <f t="shared" ref="AW262:AW321" si="101">+SUM(AK262:AV262)</f>
        <v>249730034.26666668</v>
      </c>
      <c r="AX262" s="79">
        <f t="shared" si="91"/>
        <v>2204270351.8999996</v>
      </c>
      <c r="AY262" s="79">
        <f t="shared" si="92"/>
        <v>1541680162.1000001</v>
      </c>
      <c r="AZ262" s="25">
        <v>1</v>
      </c>
      <c r="BA262" s="66" t="s">
        <v>97</v>
      </c>
      <c r="BB262" s="66">
        <v>1</v>
      </c>
      <c r="BC262" s="66"/>
      <c r="BD262" s="66"/>
      <c r="BE262" s="67">
        <f t="shared" si="95"/>
        <v>31216254.283333335</v>
      </c>
      <c r="BF262" s="67">
        <f t="shared" si="100"/>
        <v>0</v>
      </c>
      <c r="BG262" s="67">
        <f t="shared" si="93"/>
        <v>0</v>
      </c>
      <c r="BH262" s="66"/>
      <c r="BI262" s="68" t="s">
        <v>534</v>
      </c>
      <c r="BJ262" s="68" t="s">
        <v>85</v>
      </c>
      <c r="BK262" s="68" t="s">
        <v>85</v>
      </c>
      <c r="BL262" s="29"/>
      <c r="BO262" s="35" t="s">
        <v>1800</v>
      </c>
      <c r="BP262" s="1" t="s">
        <v>1819</v>
      </c>
    </row>
    <row r="263" spans="1:68" ht="15" customHeight="1">
      <c r="A263" s="1" t="s">
        <v>43</v>
      </c>
      <c r="C263" s="1" t="str">
        <f t="shared" ref="C263:C322" si="102">+RIGHT(YEAR(AE263),2)&amp;IF(LEN(MONTH(AE263))=2,MONTH(AE263),"0"&amp;MONTH(AE263))</f>
        <v>2806</v>
      </c>
      <c r="D263" s="1" t="str">
        <f t="shared" ref="D263:D322" si="103">+RIGHT(YEAR(AD263),2)&amp;IF(LEN(MONTH(AD263))=2,MONTH(AD263),"0"&amp;MONTH(AD263))</f>
        <v>2006</v>
      </c>
      <c r="E263" s="19" t="s">
        <v>48</v>
      </c>
      <c r="F263" s="62" t="s">
        <v>49</v>
      </c>
      <c r="G263" s="62">
        <v>2114</v>
      </c>
      <c r="H263" s="62" t="s">
        <v>822</v>
      </c>
      <c r="I263" s="62" t="s">
        <v>823</v>
      </c>
      <c r="J263" s="118">
        <v>1</v>
      </c>
      <c r="K263" s="119" t="s">
        <v>619</v>
      </c>
      <c r="L263" s="62" t="s">
        <v>601</v>
      </c>
      <c r="M263" s="120" t="s">
        <v>824</v>
      </c>
      <c r="N263" s="63">
        <v>43990</v>
      </c>
      <c r="O263" s="24">
        <v>2050</v>
      </c>
      <c r="P263" s="24">
        <v>23332</v>
      </c>
      <c r="Q263" s="64">
        <v>47830600</v>
      </c>
      <c r="R263" s="64"/>
      <c r="S263" s="64"/>
      <c r="T263" s="64">
        <v>2029772.2</v>
      </c>
      <c r="U263" s="64" t="s">
        <v>825</v>
      </c>
      <c r="V263" s="121">
        <v>49860372</v>
      </c>
      <c r="W263" s="122">
        <v>0</v>
      </c>
      <c r="X263" s="64">
        <v>49860372</v>
      </c>
      <c r="Y263" s="121"/>
      <c r="Z263" s="121"/>
      <c r="AA263" s="121"/>
      <c r="AB263" s="121"/>
      <c r="AC263" s="64">
        <v>49860372</v>
      </c>
      <c r="AD263" s="65">
        <v>43990</v>
      </c>
      <c r="AE263" s="65">
        <v>46910</v>
      </c>
      <c r="AF263" s="62">
        <v>8</v>
      </c>
      <c r="AG263" s="119">
        <v>96</v>
      </c>
      <c r="AH263" s="25">
        <v>519378.875</v>
      </c>
      <c r="AI263" s="78">
        <v>22212107.75</v>
      </c>
      <c r="AJ263" s="78">
        <v>27648264.25</v>
      </c>
      <c r="AK263" s="27">
        <f t="shared" ref="AK263:AK322" si="104">+IF(AND(AK$3&gt;=$D263,AK$3&lt;$C263),$AH263,$AJ263)</f>
        <v>519378.875</v>
      </c>
      <c r="AL263" s="27">
        <f t="shared" si="94"/>
        <v>519378.875</v>
      </c>
      <c r="AM263" s="27">
        <f t="shared" si="94"/>
        <v>519378.875</v>
      </c>
      <c r="AN263" s="27">
        <f t="shared" si="96"/>
        <v>519378.875</v>
      </c>
      <c r="AO263" s="27">
        <f t="shared" si="97"/>
        <v>519378.875</v>
      </c>
      <c r="AP263" s="27">
        <f t="shared" si="97"/>
        <v>519378.875</v>
      </c>
      <c r="AQ263" s="27">
        <f t="shared" si="98"/>
        <v>519378.875</v>
      </c>
      <c r="AR263" s="27">
        <f t="shared" si="99"/>
        <v>519378.875</v>
      </c>
      <c r="AS263" s="27"/>
      <c r="AT263" s="27"/>
      <c r="AU263" s="27"/>
      <c r="AV263" s="27"/>
      <c r="AW263" s="27">
        <f t="shared" si="101"/>
        <v>4155031</v>
      </c>
      <c r="AX263" s="79">
        <f t="shared" ref="AX263:AX322" si="105">AC263-AI263-AW263</f>
        <v>23493233.25</v>
      </c>
      <c r="AY263" s="79">
        <f t="shared" ref="AY263:AY322" si="106">AW263+AI263</f>
        <v>26367138.75</v>
      </c>
      <c r="AZ263" s="25">
        <v>1</v>
      </c>
      <c r="BA263" s="62" t="s">
        <v>79</v>
      </c>
      <c r="BB263" s="66">
        <v>1</v>
      </c>
      <c r="BC263" s="66"/>
      <c r="BD263" s="66"/>
      <c r="BE263" s="67">
        <f t="shared" si="95"/>
        <v>519378.875</v>
      </c>
      <c r="BF263" s="67">
        <f t="shared" si="100"/>
        <v>0</v>
      </c>
      <c r="BG263" s="67">
        <f t="shared" si="93"/>
        <v>0</v>
      </c>
      <c r="BH263" s="66"/>
      <c r="BI263" s="68" t="s">
        <v>491</v>
      </c>
      <c r="BJ263" s="68" t="s">
        <v>58</v>
      </c>
      <c r="BK263" s="68" t="s">
        <v>59</v>
      </c>
      <c r="BL263" s="29"/>
      <c r="BO263" s="35" t="s">
        <v>1800</v>
      </c>
      <c r="BP263" s="1" t="s">
        <v>1822</v>
      </c>
    </row>
    <row r="264" spans="1:68" ht="15" customHeight="1">
      <c r="A264" s="1" t="s">
        <v>43</v>
      </c>
      <c r="C264" s="1" t="str">
        <f t="shared" si="102"/>
        <v>2806</v>
      </c>
      <c r="D264" s="1" t="str">
        <f t="shared" si="103"/>
        <v>2006</v>
      </c>
      <c r="E264" s="19" t="s">
        <v>48</v>
      </c>
      <c r="F264" s="62" t="s">
        <v>49</v>
      </c>
      <c r="G264" s="62">
        <v>2114</v>
      </c>
      <c r="H264" s="62" t="s">
        <v>826</v>
      </c>
      <c r="I264" s="62" t="s">
        <v>823</v>
      </c>
      <c r="J264" s="118">
        <v>1</v>
      </c>
      <c r="K264" s="119" t="s">
        <v>619</v>
      </c>
      <c r="L264" s="62" t="s">
        <v>601</v>
      </c>
      <c r="M264" s="120" t="s">
        <v>824</v>
      </c>
      <c r="N264" s="63">
        <v>43990</v>
      </c>
      <c r="O264" s="24">
        <v>2050</v>
      </c>
      <c r="P264" s="24">
        <v>23332</v>
      </c>
      <c r="Q264" s="64">
        <v>47830600</v>
      </c>
      <c r="R264" s="64"/>
      <c r="S264" s="64"/>
      <c r="T264" s="64">
        <v>2029772.2</v>
      </c>
      <c r="U264" s="64" t="s">
        <v>825</v>
      </c>
      <c r="V264" s="121">
        <v>49860372</v>
      </c>
      <c r="W264" s="122">
        <v>0</v>
      </c>
      <c r="X264" s="64">
        <v>49860372</v>
      </c>
      <c r="Y264" s="121"/>
      <c r="Z264" s="121"/>
      <c r="AA264" s="121"/>
      <c r="AB264" s="121"/>
      <c r="AC264" s="64">
        <v>49860372</v>
      </c>
      <c r="AD264" s="65">
        <v>43990</v>
      </c>
      <c r="AE264" s="65">
        <v>46910</v>
      </c>
      <c r="AF264" s="62">
        <v>8</v>
      </c>
      <c r="AG264" s="119">
        <v>96</v>
      </c>
      <c r="AH264" s="25">
        <v>519378.875</v>
      </c>
      <c r="AI264" s="78">
        <v>22212107.75</v>
      </c>
      <c r="AJ264" s="78">
        <v>27648264.25</v>
      </c>
      <c r="AK264" s="27">
        <f t="shared" si="104"/>
        <v>519378.875</v>
      </c>
      <c r="AL264" s="27">
        <f t="shared" si="94"/>
        <v>519378.875</v>
      </c>
      <c r="AM264" s="27">
        <f t="shared" si="94"/>
        <v>519378.875</v>
      </c>
      <c r="AN264" s="27">
        <f t="shared" si="96"/>
        <v>519378.875</v>
      </c>
      <c r="AO264" s="27">
        <f t="shared" si="97"/>
        <v>519378.875</v>
      </c>
      <c r="AP264" s="27">
        <f t="shared" si="97"/>
        <v>519378.875</v>
      </c>
      <c r="AQ264" s="27">
        <f t="shared" si="98"/>
        <v>519378.875</v>
      </c>
      <c r="AR264" s="27">
        <f t="shared" si="99"/>
        <v>519378.875</v>
      </c>
      <c r="AS264" s="27"/>
      <c r="AT264" s="27"/>
      <c r="AU264" s="27"/>
      <c r="AV264" s="27"/>
      <c r="AW264" s="27">
        <f t="shared" si="101"/>
        <v>4155031</v>
      </c>
      <c r="AX264" s="79">
        <f t="shared" si="105"/>
        <v>23493233.25</v>
      </c>
      <c r="AY264" s="79">
        <f t="shared" si="106"/>
        <v>26367138.75</v>
      </c>
      <c r="AZ264" s="25">
        <v>1</v>
      </c>
      <c r="BA264" s="62" t="s">
        <v>79</v>
      </c>
      <c r="BB264" s="66">
        <v>1</v>
      </c>
      <c r="BC264" s="66"/>
      <c r="BD264" s="66"/>
      <c r="BE264" s="67">
        <f t="shared" si="95"/>
        <v>519378.875</v>
      </c>
      <c r="BF264" s="67">
        <f t="shared" si="100"/>
        <v>0</v>
      </c>
      <c r="BG264" s="67">
        <f t="shared" si="93"/>
        <v>0</v>
      </c>
      <c r="BH264" s="66"/>
      <c r="BI264" s="68" t="s">
        <v>534</v>
      </c>
      <c r="BJ264" s="68" t="s">
        <v>58</v>
      </c>
      <c r="BK264" s="68" t="s">
        <v>59</v>
      </c>
      <c r="BL264" s="29"/>
      <c r="BO264" s="35" t="s">
        <v>1800</v>
      </c>
      <c r="BP264" s="1" t="s">
        <v>1816</v>
      </c>
    </row>
    <row r="265" spans="1:68" ht="15" customHeight="1">
      <c r="A265" s="1" t="s">
        <v>43</v>
      </c>
      <c r="C265" s="1" t="str">
        <f t="shared" si="102"/>
        <v>2806</v>
      </c>
      <c r="D265" s="1" t="str">
        <f t="shared" si="103"/>
        <v>2006</v>
      </c>
      <c r="E265" s="19" t="s">
        <v>48</v>
      </c>
      <c r="F265" s="62" t="s">
        <v>49</v>
      </c>
      <c r="G265" s="62">
        <v>2114</v>
      </c>
      <c r="H265" s="62" t="s">
        <v>827</v>
      </c>
      <c r="I265" s="62" t="s">
        <v>823</v>
      </c>
      <c r="J265" s="118">
        <v>1</v>
      </c>
      <c r="K265" s="119" t="s">
        <v>619</v>
      </c>
      <c r="L265" s="62" t="s">
        <v>601</v>
      </c>
      <c r="M265" s="120" t="s">
        <v>824</v>
      </c>
      <c r="N265" s="63">
        <v>43990</v>
      </c>
      <c r="O265" s="24">
        <v>2050</v>
      </c>
      <c r="P265" s="24">
        <v>23332</v>
      </c>
      <c r="Q265" s="64">
        <v>47830600</v>
      </c>
      <c r="R265" s="64"/>
      <c r="S265" s="64"/>
      <c r="T265" s="64">
        <v>2029772.2</v>
      </c>
      <c r="U265" s="64" t="s">
        <v>825</v>
      </c>
      <c r="V265" s="121">
        <v>49860372</v>
      </c>
      <c r="W265" s="122">
        <v>0</v>
      </c>
      <c r="X265" s="64">
        <v>49860372</v>
      </c>
      <c r="Y265" s="121"/>
      <c r="Z265" s="121"/>
      <c r="AA265" s="121"/>
      <c r="AB265" s="121"/>
      <c r="AC265" s="64">
        <v>49860372</v>
      </c>
      <c r="AD265" s="65">
        <v>43990</v>
      </c>
      <c r="AE265" s="65">
        <v>46910</v>
      </c>
      <c r="AF265" s="62">
        <v>8</v>
      </c>
      <c r="AG265" s="119">
        <v>96</v>
      </c>
      <c r="AH265" s="25">
        <v>519378.875</v>
      </c>
      <c r="AI265" s="78">
        <v>22212107.75</v>
      </c>
      <c r="AJ265" s="78">
        <v>27648264.25</v>
      </c>
      <c r="AK265" s="27">
        <f t="shared" si="104"/>
        <v>519378.875</v>
      </c>
      <c r="AL265" s="27">
        <f t="shared" si="94"/>
        <v>519378.875</v>
      </c>
      <c r="AM265" s="27">
        <f t="shared" si="94"/>
        <v>519378.875</v>
      </c>
      <c r="AN265" s="27">
        <f t="shared" si="96"/>
        <v>519378.875</v>
      </c>
      <c r="AO265" s="27">
        <f t="shared" si="97"/>
        <v>519378.875</v>
      </c>
      <c r="AP265" s="27">
        <f t="shared" si="97"/>
        <v>519378.875</v>
      </c>
      <c r="AQ265" s="27">
        <f t="shared" si="98"/>
        <v>519378.875</v>
      </c>
      <c r="AR265" s="27">
        <f t="shared" si="99"/>
        <v>519378.875</v>
      </c>
      <c r="AS265" s="27"/>
      <c r="AT265" s="27"/>
      <c r="AU265" s="27"/>
      <c r="AV265" s="27"/>
      <c r="AW265" s="27">
        <f t="shared" si="101"/>
        <v>4155031</v>
      </c>
      <c r="AX265" s="79">
        <f t="shared" si="105"/>
        <v>23493233.25</v>
      </c>
      <c r="AY265" s="79">
        <f t="shared" si="106"/>
        <v>26367138.75</v>
      </c>
      <c r="AZ265" s="25">
        <v>1</v>
      </c>
      <c r="BA265" s="62" t="s">
        <v>79</v>
      </c>
      <c r="BB265" s="66">
        <v>1</v>
      </c>
      <c r="BC265" s="66"/>
      <c r="BD265" s="66"/>
      <c r="BE265" s="67">
        <f t="shared" si="95"/>
        <v>519378.875</v>
      </c>
      <c r="BF265" s="67">
        <f t="shared" si="100"/>
        <v>0</v>
      </c>
      <c r="BG265" s="67">
        <f t="shared" si="93"/>
        <v>0</v>
      </c>
      <c r="BH265" s="66"/>
      <c r="BI265" s="68" t="s">
        <v>828</v>
      </c>
      <c r="BJ265" s="68" t="s">
        <v>58</v>
      </c>
      <c r="BK265" s="68" t="s">
        <v>59</v>
      </c>
      <c r="BL265" s="29"/>
      <c r="BO265" s="35" t="s">
        <v>1800</v>
      </c>
      <c r="BP265" s="1" t="s">
        <v>1810</v>
      </c>
    </row>
    <row r="266" spans="1:68" ht="15" customHeight="1">
      <c r="A266" s="1" t="s">
        <v>43</v>
      </c>
      <c r="C266" s="1" t="str">
        <f t="shared" si="102"/>
        <v>2806</v>
      </c>
      <c r="D266" s="1" t="str">
        <f t="shared" si="103"/>
        <v>2006</v>
      </c>
      <c r="E266" s="19" t="s">
        <v>48</v>
      </c>
      <c r="F266" s="62" t="s">
        <v>49</v>
      </c>
      <c r="G266" s="62">
        <v>2114</v>
      </c>
      <c r="H266" s="62" t="s">
        <v>829</v>
      </c>
      <c r="I266" s="62" t="s">
        <v>823</v>
      </c>
      <c r="J266" s="118">
        <v>1</v>
      </c>
      <c r="K266" s="119" t="s">
        <v>619</v>
      </c>
      <c r="L266" s="62" t="s">
        <v>601</v>
      </c>
      <c r="M266" s="120" t="s">
        <v>824</v>
      </c>
      <c r="N266" s="63">
        <v>43990</v>
      </c>
      <c r="O266" s="24">
        <v>2050</v>
      </c>
      <c r="P266" s="24">
        <v>23332</v>
      </c>
      <c r="Q266" s="64">
        <v>47830600</v>
      </c>
      <c r="R266" s="64"/>
      <c r="S266" s="64"/>
      <c r="T266" s="64">
        <v>2029772.2</v>
      </c>
      <c r="U266" s="64" t="s">
        <v>825</v>
      </c>
      <c r="V266" s="121">
        <v>49860372</v>
      </c>
      <c r="W266" s="122">
        <v>0</v>
      </c>
      <c r="X266" s="64">
        <v>49860372</v>
      </c>
      <c r="Y266" s="121"/>
      <c r="Z266" s="121"/>
      <c r="AA266" s="121"/>
      <c r="AB266" s="121"/>
      <c r="AC266" s="64">
        <v>49860372</v>
      </c>
      <c r="AD266" s="63">
        <v>43990</v>
      </c>
      <c r="AE266" s="65">
        <v>46910</v>
      </c>
      <c r="AF266" s="62">
        <v>8</v>
      </c>
      <c r="AG266" s="119">
        <v>96</v>
      </c>
      <c r="AH266" s="25">
        <v>519378.875</v>
      </c>
      <c r="AI266" s="78">
        <v>22212107.75</v>
      </c>
      <c r="AJ266" s="78">
        <v>27648264.25</v>
      </c>
      <c r="AK266" s="27">
        <f t="shared" si="104"/>
        <v>519378.875</v>
      </c>
      <c r="AL266" s="27">
        <f t="shared" si="94"/>
        <v>519378.875</v>
      </c>
      <c r="AM266" s="27">
        <f t="shared" si="94"/>
        <v>519378.875</v>
      </c>
      <c r="AN266" s="27">
        <f t="shared" si="96"/>
        <v>519378.875</v>
      </c>
      <c r="AO266" s="27">
        <f t="shared" si="97"/>
        <v>519378.875</v>
      </c>
      <c r="AP266" s="27">
        <f t="shared" si="97"/>
        <v>519378.875</v>
      </c>
      <c r="AQ266" s="27">
        <f t="shared" si="98"/>
        <v>519378.875</v>
      </c>
      <c r="AR266" s="27">
        <f t="shared" si="99"/>
        <v>519378.875</v>
      </c>
      <c r="AS266" s="27"/>
      <c r="AT266" s="27"/>
      <c r="AU266" s="27"/>
      <c r="AV266" s="27"/>
      <c r="AW266" s="27">
        <f t="shared" si="101"/>
        <v>4155031</v>
      </c>
      <c r="AX266" s="79">
        <f t="shared" si="105"/>
        <v>23493233.25</v>
      </c>
      <c r="AY266" s="79">
        <f t="shared" si="106"/>
        <v>26367138.75</v>
      </c>
      <c r="AZ266" s="25">
        <v>1</v>
      </c>
      <c r="BA266" s="62" t="s">
        <v>79</v>
      </c>
      <c r="BB266" s="66">
        <v>1</v>
      </c>
      <c r="BC266" s="66"/>
      <c r="BD266" s="66"/>
      <c r="BE266" s="67">
        <f t="shared" si="95"/>
        <v>519378.875</v>
      </c>
      <c r="BF266" s="67">
        <f t="shared" si="100"/>
        <v>0</v>
      </c>
      <c r="BG266" s="67">
        <f t="shared" ref="BG266:BG325" si="107">+$AL266*BD266</f>
        <v>0</v>
      </c>
      <c r="BH266" s="66"/>
      <c r="BI266" s="68" t="s">
        <v>830</v>
      </c>
      <c r="BJ266" s="68" t="s">
        <v>58</v>
      </c>
      <c r="BK266" s="68" t="s">
        <v>59</v>
      </c>
      <c r="BL266" s="29"/>
      <c r="BO266" s="35" t="s">
        <v>1800</v>
      </c>
      <c r="BP266" s="1" t="s">
        <v>1823</v>
      </c>
    </row>
    <row r="267" spans="1:68" ht="15" customHeight="1">
      <c r="A267" s="1" t="s">
        <v>43</v>
      </c>
      <c r="C267" s="1" t="str">
        <f t="shared" si="102"/>
        <v>2806</v>
      </c>
      <c r="D267" s="1" t="str">
        <f t="shared" si="103"/>
        <v>2006</v>
      </c>
      <c r="E267" s="19" t="s">
        <v>48</v>
      </c>
      <c r="F267" s="62" t="s">
        <v>515</v>
      </c>
      <c r="G267" s="62">
        <v>2114</v>
      </c>
      <c r="H267" s="62" t="s">
        <v>831</v>
      </c>
      <c r="I267" s="62" t="s">
        <v>823</v>
      </c>
      <c r="J267" s="118">
        <v>1</v>
      </c>
      <c r="K267" s="119" t="s">
        <v>619</v>
      </c>
      <c r="L267" s="62" t="s">
        <v>601</v>
      </c>
      <c r="M267" s="120" t="s">
        <v>824</v>
      </c>
      <c r="N267" s="63">
        <v>43990</v>
      </c>
      <c r="O267" s="24">
        <v>2050</v>
      </c>
      <c r="P267" s="24">
        <v>23332</v>
      </c>
      <c r="Q267" s="64">
        <v>47830600</v>
      </c>
      <c r="R267" s="64"/>
      <c r="S267" s="64"/>
      <c r="T267" s="64">
        <v>2029772.2</v>
      </c>
      <c r="U267" s="64" t="s">
        <v>825</v>
      </c>
      <c r="V267" s="121">
        <v>49860372</v>
      </c>
      <c r="W267" s="122">
        <v>0</v>
      </c>
      <c r="X267" s="64">
        <v>49860372</v>
      </c>
      <c r="Y267" s="121"/>
      <c r="Z267" s="121"/>
      <c r="AA267" s="121"/>
      <c r="AB267" s="121"/>
      <c r="AC267" s="64">
        <v>49860372</v>
      </c>
      <c r="AD267" s="63">
        <v>43990</v>
      </c>
      <c r="AE267" s="65">
        <v>46910</v>
      </c>
      <c r="AF267" s="62">
        <v>8</v>
      </c>
      <c r="AG267" s="119">
        <v>96</v>
      </c>
      <c r="AH267" s="25">
        <v>519378.875</v>
      </c>
      <c r="AI267" s="78">
        <v>22212107.75</v>
      </c>
      <c r="AJ267" s="78">
        <v>27648264.25</v>
      </c>
      <c r="AK267" s="27">
        <f t="shared" si="104"/>
        <v>519378.875</v>
      </c>
      <c r="AL267" s="27">
        <f t="shared" si="94"/>
        <v>519378.875</v>
      </c>
      <c r="AM267" s="27">
        <f t="shared" si="94"/>
        <v>519378.875</v>
      </c>
      <c r="AN267" s="27">
        <f t="shared" si="96"/>
        <v>519378.875</v>
      </c>
      <c r="AO267" s="27">
        <f t="shared" si="97"/>
        <v>519378.875</v>
      </c>
      <c r="AP267" s="27">
        <f t="shared" si="97"/>
        <v>519378.875</v>
      </c>
      <c r="AQ267" s="27">
        <f t="shared" si="98"/>
        <v>519378.875</v>
      </c>
      <c r="AR267" s="27">
        <f t="shared" si="99"/>
        <v>519378.875</v>
      </c>
      <c r="AS267" s="27"/>
      <c r="AT267" s="27"/>
      <c r="AU267" s="27"/>
      <c r="AV267" s="27"/>
      <c r="AW267" s="27">
        <f t="shared" si="101"/>
        <v>4155031</v>
      </c>
      <c r="AX267" s="79">
        <f t="shared" si="105"/>
        <v>23493233.25</v>
      </c>
      <c r="AY267" s="79">
        <f t="shared" si="106"/>
        <v>26367138.75</v>
      </c>
      <c r="AZ267" s="25">
        <v>1</v>
      </c>
      <c r="BA267" s="62" t="s">
        <v>79</v>
      </c>
      <c r="BB267" s="66">
        <v>1</v>
      </c>
      <c r="BC267" s="66"/>
      <c r="BD267" s="66"/>
      <c r="BE267" s="67">
        <f t="shared" si="95"/>
        <v>519378.875</v>
      </c>
      <c r="BF267" s="67">
        <f t="shared" si="100"/>
        <v>0</v>
      </c>
      <c r="BG267" s="67">
        <f t="shared" si="107"/>
        <v>0</v>
      </c>
      <c r="BH267" s="66"/>
      <c r="BI267" s="68" t="s">
        <v>713</v>
      </c>
      <c r="BJ267" s="68" t="s">
        <v>591</v>
      </c>
      <c r="BK267" s="68" t="s">
        <v>59</v>
      </c>
      <c r="BL267" s="29"/>
      <c r="BO267" s="35" t="s">
        <v>1800</v>
      </c>
      <c r="BP267" s="1" t="s">
        <v>1821</v>
      </c>
    </row>
    <row r="268" spans="1:68" ht="15" customHeight="1">
      <c r="A268" s="1" t="s">
        <v>43</v>
      </c>
      <c r="C268" s="1" t="str">
        <f t="shared" si="102"/>
        <v>2510</v>
      </c>
      <c r="D268" s="1" t="str">
        <f t="shared" si="103"/>
        <v>2010</v>
      </c>
      <c r="E268" s="19" t="s">
        <v>48</v>
      </c>
      <c r="F268" s="62" t="s">
        <v>515</v>
      </c>
      <c r="G268" s="62">
        <v>2114</v>
      </c>
      <c r="H268" s="62" t="s">
        <v>832</v>
      </c>
      <c r="I268" s="62" t="s">
        <v>833</v>
      </c>
      <c r="J268" s="118">
        <v>1</v>
      </c>
      <c r="K268" s="119" t="s">
        <v>619</v>
      </c>
      <c r="L268" s="62" t="s">
        <v>834</v>
      </c>
      <c r="M268" s="120" t="s">
        <v>835</v>
      </c>
      <c r="N268" s="63">
        <v>44015</v>
      </c>
      <c r="O268" s="24">
        <v>1323.06</v>
      </c>
      <c r="P268" s="24">
        <v>23395.5</v>
      </c>
      <c r="Q268" s="64">
        <v>30953650.23</v>
      </c>
      <c r="R268" s="64">
        <v>3696403</v>
      </c>
      <c r="S268" s="64"/>
      <c r="T268" s="64">
        <v>902788.41000000027</v>
      </c>
      <c r="U268" s="64" t="s">
        <v>836</v>
      </c>
      <c r="V268" s="121">
        <v>35552842</v>
      </c>
      <c r="W268" s="122">
        <v>0</v>
      </c>
      <c r="X268" s="64">
        <v>35552842</v>
      </c>
      <c r="Y268" s="121"/>
      <c r="Z268" s="121"/>
      <c r="AA268" s="121"/>
      <c r="AB268" s="121"/>
      <c r="AC268" s="64">
        <v>35552842</v>
      </c>
      <c r="AD268" s="65">
        <v>44114</v>
      </c>
      <c r="AE268" s="65">
        <v>45939</v>
      </c>
      <c r="AF268" s="62">
        <v>5</v>
      </c>
      <c r="AG268" s="119">
        <v>60</v>
      </c>
      <c r="AH268" s="25">
        <v>592547.3666666667</v>
      </c>
      <c r="AI268" s="78">
        <v>22937306.666666668</v>
      </c>
      <c r="AJ268" s="78">
        <v>12615535.333333332</v>
      </c>
      <c r="AK268" s="27">
        <f t="shared" si="104"/>
        <v>592547.3666666667</v>
      </c>
      <c r="AL268" s="27">
        <f t="shared" si="94"/>
        <v>592547.3666666667</v>
      </c>
      <c r="AM268" s="27">
        <f t="shared" si="94"/>
        <v>592547.3666666667</v>
      </c>
      <c r="AN268" s="27">
        <f t="shared" si="96"/>
        <v>592547.3666666667</v>
      </c>
      <c r="AO268" s="27">
        <f t="shared" si="97"/>
        <v>592547.3666666667</v>
      </c>
      <c r="AP268" s="27">
        <f t="shared" si="97"/>
        <v>592547.3666666667</v>
      </c>
      <c r="AQ268" s="27">
        <f t="shared" si="98"/>
        <v>592547.3666666667</v>
      </c>
      <c r="AR268" s="27">
        <f t="shared" si="99"/>
        <v>592547.3666666667</v>
      </c>
      <c r="AS268" s="27"/>
      <c r="AT268" s="27"/>
      <c r="AU268" s="27"/>
      <c r="AV268" s="27"/>
      <c r="AW268" s="27">
        <f t="shared" si="101"/>
        <v>4740378.9333333336</v>
      </c>
      <c r="AX268" s="79">
        <f t="shared" si="105"/>
        <v>7875156.3999999985</v>
      </c>
      <c r="AY268" s="79">
        <f t="shared" si="106"/>
        <v>27677685.600000001</v>
      </c>
      <c r="AZ268" s="25">
        <v>1</v>
      </c>
      <c r="BA268" s="62" t="s">
        <v>79</v>
      </c>
      <c r="BB268" s="66">
        <v>1</v>
      </c>
      <c r="BC268" s="66"/>
      <c r="BD268" s="66"/>
      <c r="BE268" s="67">
        <f t="shared" si="95"/>
        <v>592547.3666666667</v>
      </c>
      <c r="BF268" s="67">
        <f t="shared" si="100"/>
        <v>0</v>
      </c>
      <c r="BG268" s="67">
        <f t="shared" si="107"/>
        <v>0</v>
      </c>
      <c r="BH268" s="66"/>
      <c r="BI268" s="68" t="s">
        <v>188</v>
      </c>
      <c r="BJ268" s="68" t="s">
        <v>716</v>
      </c>
      <c r="BK268" s="68" t="s">
        <v>85</v>
      </c>
      <c r="BL268" s="29"/>
      <c r="BO268" s="35" t="s">
        <v>1805</v>
      </c>
    </row>
    <row r="269" spans="1:68" ht="15" customHeight="1">
      <c r="A269" s="1" t="s">
        <v>43</v>
      </c>
      <c r="C269" s="1" t="str">
        <f t="shared" si="102"/>
        <v>2710</v>
      </c>
      <c r="D269" s="1" t="str">
        <f t="shared" si="103"/>
        <v>2011</v>
      </c>
      <c r="E269" s="19" t="s">
        <v>48</v>
      </c>
      <c r="F269" s="62" t="s">
        <v>515</v>
      </c>
      <c r="G269" s="62">
        <v>2114</v>
      </c>
      <c r="H269" s="62" t="s">
        <v>837</v>
      </c>
      <c r="I269" s="62" t="s">
        <v>838</v>
      </c>
      <c r="J269" s="118">
        <v>1</v>
      </c>
      <c r="K269" s="119" t="s">
        <v>619</v>
      </c>
      <c r="L269" s="62" t="s">
        <v>834</v>
      </c>
      <c r="M269" s="120" t="s">
        <v>835</v>
      </c>
      <c r="N269" s="63">
        <v>44015</v>
      </c>
      <c r="O269" s="24">
        <v>2754.83</v>
      </c>
      <c r="P269" s="24">
        <v>23395.5</v>
      </c>
      <c r="Q269" s="64">
        <v>64450625.265000001</v>
      </c>
      <c r="R269" s="64">
        <v>9620654</v>
      </c>
      <c r="S269" s="64"/>
      <c r="T269" s="64">
        <v>1879754.99</v>
      </c>
      <c r="U269" s="64" t="s">
        <v>836</v>
      </c>
      <c r="V269" s="121">
        <v>75951034</v>
      </c>
      <c r="W269" s="122">
        <v>0</v>
      </c>
      <c r="X269" s="64">
        <v>75951034</v>
      </c>
      <c r="Y269" s="121"/>
      <c r="Z269" s="121"/>
      <c r="AA269" s="121"/>
      <c r="AB269" s="121"/>
      <c r="AC269" s="64">
        <v>75951034</v>
      </c>
      <c r="AD269" s="65">
        <v>44136</v>
      </c>
      <c r="AE269" s="65">
        <v>46691</v>
      </c>
      <c r="AF269" s="62">
        <v>7</v>
      </c>
      <c r="AG269" s="119">
        <v>84</v>
      </c>
      <c r="AH269" s="25">
        <v>904178.97619047621</v>
      </c>
      <c r="AI269" s="78">
        <v>34358801.761904761</v>
      </c>
      <c r="AJ269" s="78">
        <v>41592232.238095239</v>
      </c>
      <c r="AK269" s="27">
        <f t="shared" si="104"/>
        <v>904178.97619047621</v>
      </c>
      <c r="AL269" s="27">
        <f t="shared" ref="AL269:AM328" si="108">+IF(AND(AL$3&gt;=$D269,AL$3&lt;$C269),$AH269,$AJ269-SUM(AJ269:AK269))</f>
        <v>904178.97619047621</v>
      </c>
      <c r="AM269" s="27">
        <f t="shared" si="108"/>
        <v>904178.97619047621</v>
      </c>
      <c r="AN269" s="27">
        <f t="shared" si="96"/>
        <v>904178.97619047621</v>
      </c>
      <c r="AO269" s="27">
        <f t="shared" si="97"/>
        <v>904178.97619047621</v>
      </c>
      <c r="AP269" s="27">
        <f t="shared" si="97"/>
        <v>904178.97619047621</v>
      </c>
      <c r="AQ269" s="27">
        <f t="shared" si="98"/>
        <v>904178.97619047621</v>
      </c>
      <c r="AR269" s="27">
        <f t="shared" si="99"/>
        <v>904178.97619047621</v>
      </c>
      <c r="AS269" s="27"/>
      <c r="AT269" s="27"/>
      <c r="AU269" s="27"/>
      <c r="AV269" s="27"/>
      <c r="AW269" s="27">
        <f t="shared" si="101"/>
        <v>7233431.8095238078</v>
      </c>
      <c r="AX269" s="79">
        <f t="shared" si="105"/>
        <v>34358800.428571433</v>
      </c>
      <c r="AY269" s="79">
        <f t="shared" si="106"/>
        <v>41592233.571428567</v>
      </c>
      <c r="AZ269" s="25">
        <v>1</v>
      </c>
      <c r="BA269" s="62" t="s">
        <v>79</v>
      </c>
      <c r="BB269" s="66">
        <v>1</v>
      </c>
      <c r="BC269" s="66"/>
      <c r="BD269" s="66"/>
      <c r="BE269" s="67">
        <f t="shared" si="95"/>
        <v>904178.97619047621</v>
      </c>
      <c r="BF269" s="67">
        <f t="shared" si="100"/>
        <v>0</v>
      </c>
      <c r="BG269" s="67">
        <f t="shared" si="107"/>
        <v>0</v>
      </c>
      <c r="BH269" s="66"/>
      <c r="BI269" s="68" t="s">
        <v>839</v>
      </c>
      <c r="BJ269" s="68" t="s">
        <v>716</v>
      </c>
      <c r="BK269" s="68" t="s">
        <v>85</v>
      </c>
      <c r="BL269" s="29"/>
      <c r="BO269" s="35" t="s">
        <v>1805</v>
      </c>
    </row>
    <row r="270" spans="1:68" ht="15" customHeight="1">
      <c r="A270" s="1" t="s">
        <v>43</v>
      </c>
      <c r="C270" s="1" t="str">
        <f t="shared" si="102"/>
        <v>2810</v>
      </c>
      <c r="D270" s="1" t="str">
        <f t="shared" si="103"/>
        <v>2011</v>
      </c>
      <c r="E270" s="19" t="s">
        <v>48</v>
      </c>
      <c r="F270" s="62" t="s">
        <v>515</v>
      </c>
      <c r="G270" s="62">
        <v>2112</v>
      </c>
      <c r="H270" s="62" t="s">
        <v>840</v>
      </c>
      <c r="I270" s="62" t="s">
        <v>841</v>
      </c>
      <c r="J270" s="118">
        <v>1</v>
      </c>
      <c r="K270" s="119" t="s">
        <v>619</v>
      </c>
      <c r="L270" s="62" t="s">
        <v>834</v>
      </c>
      <c r="M270" s="120" t="s">
        <v>835</v>
      </c>
      <c r="N270" s="63">
        <v>44015</v>
      </c>
      <c r="O270" s="24">
        <v>5587.68</v>
      </c>
      <c r="P270" s="24">
        <v>23395.5</v>
      </c>
      <c r="Q270" s="64">
        <v>130726567.44000001</v>
      </c>
      <c r="R270" s="64">
        <v>19513777</v>
      </c>
      <c r="S270" s="64"/>
      <c r="T270" s="64">
        <v>3812746.83</v>
      </c>
      <c r="U270" s="64" t="s">
        <v>836</v>
      </c>
      <c r="V270" s="121">
        <v>154053091</v>
      </c>
      <c r="W270" s="122">
        <v>0</v>
      </c>
      <c r="X270" s="64">
        <v>154053091</v>
      </c>
      <c r="Y270" s="121"/>
      <c r="Z270" s="121"/>
      <c r="AA270" s="121"/>
      <c r="AB270" s="121"/>
      <c r="AC270" s="64">
        <v>154053091</v>
      </c>
      <c r="AD270" s="65">
        <v>44136</v>
      </c>
      <c r="AE270" s="65">
        <v>47056</v>
      </c>
      <c r="AF270" s="62">
        <v>8</v>
      </c>
      <c r="AG270" s="119">
        <v>96</v>
      </c>
      <c r="AH270" s="25">
        <v>1604719.6979166667</v>
      </c>
      <c r="AI270" s="78">
        <v>60979356.979166672</v>
      </c>
      <c r="AJ270" s="78">
        <v>93073734.020833328</v>
      </c>
      <c r="AK270" s="27">
        <f t="shared" si="104"/>
        <v>1604719.6979166667</v>
      </c>
      <c r="AL270" s="27">
        <f t="shared" si="108"/>
        <v>1604719.6979166667</v>
      </c>
      <c r="AM270" s="27">
        <f t="shared" si="108"/>
        <v>1604719.6979166667</v>
      </c>
      <c r="AN270" s="27">
        <f t="shared" si="96"/>
        <v>1604719.6979166667</v>
      </c>
      <c r="AO270" s="27">
        <f t="shared" si="97"/>
        <v>1604719.6979166667</v>
      </c>
      <c r="AP270" s="27">
        <f t="shared" si="97"/>
        <v>1604719.6979166667</v>
      </c>
      <c r="AQ270" s="27">
        <f t="shared" si="98"/>
        <v>1604719.6979166667</v>
      </c>
      <c r="AR270" s="27">
        <f t="shared" si="99"/>
        <v>1604719.6979166667</v>
      </c>
      <c r="AS270" s="27"/>
      <c r="AT270" s="27"/>
      <c r="AU270" s="27"/>
      <c r="AV270" s="27"/>
      <c r="AW270" s="27">
        <f t="shared" si="101"/>
        <v>12837757.583333332</v>
      </c>
      <c r="AX270" s="79">
        <f t="shared" si="105"/>
        <v>80235976.4375</v>
      </c>
      <c r="AY270" s="79">
        <f t="shared" si="106"/>
        <v>73817114.5625</v>
      </c>
      <c r="AZ270" s="25">
        <v>1</v>
      </c>
      <c r="BA270" s="62" t="s">
        <v>97</v>
      </c>
      <c r="BB270" s="66">
        <v>1</v>
      </c>
      <c r="BC270" s="66"/>
      <c r="BD270" s="66"/>
      <c r="BE270" s="67">
        <f t="shared" si="95"/>
        <v>1604719.6979166667</v>
      </c>
      <c r="BF270" s="67">
        <f t="shared" si="100"/>
        <v>0</v>
      </c>
      <c r="BG270" s="67">
        <f t="shared" si="107"/>
        <v>0</v>
      </c>
      <c r="BH270" s="66"/>
      <c r="BI270" s="68" t="s">
        <v>188</v>
      </c>
      <c r="BJ270" s="68" t="s">
        <v>716</v>
      </c>
      <c r="BK270" s="68" t="s">
        <v>85</v>
      </c>
      <c r="BL270" s="29"/>
      <c r="BO270" s="35" t="s">
        <v>1804</v>
      </c>
    </row>
    <row r="271" spans="1:68" ht="15" customHeight="1">
      <c r="A271" s="1" t="s">
        <v>43</v>
      </c>
      <c r="C271" s="1" t="str">
        <f t="shared" si="102"/>
        <v>2810</v>
      </c>
      <c r="D271" s="1" t="str">
        <f t="shared" si="103"/>
        <v>2011</v>
      </c>
      <c r="E271" s="19" t="s">
        <v>48</v>
      </c>
      <c r="F271" s="62" t="s">
        <v>515</v>
      </c>
      <c r="G271" s="62">
        <v>2112</v>
      </c>
      <c r="H271" s="62" t="s">
        <v>842</v>
      </c>
      <c r="I271" s="62" t="s">
        <v>841</v>
      </c>
      <c r="J271" s="118">
        <v>1</v>
      </c>
      <c r="K271" s="119" t="s">
        <v>619</v>
      </c>
      <c r="L271" s="62" t="s">
        <v>834</v>
      </c>
      <c r="M271" s="120" t="s">
        <v>835</v>
      </c>
      <c r="N271" s="63">
        <v>44015</v>
      </c>
      <c r="O271" s="24">
        <v>5587.68</v>
      </c>
      <c r="P271" s="24">
        <v>23395.5</v>
      </c>
      <c r="Q271" s="64">
        <v>130726567.44000001</v>
      </c>
      <c r="R271" s="64">
        <v>19513777</v>
      </c>
      <c r="S271" s="64"/>
      <c r="T271" s="64">
        <v>3812746.83</v>
      </c>
      <c r="U271" s="64" t="s">
        <v>836</v>
      </c>
      <c r="V271" s="121">
        <v>154053091</v>
      </c>
      <c r="W271" s="122">
        <v>0</v>
      </c>
      <c r="X271" s="64">
        <v>154053091</v>
      </c>
      <c r="Y271" s="121"/>
      <c r="Z271" s="121"/>
      <c r="AA271" s="121"/>
      <c r="AB271" s="121"/>
      <c r="AC271" s="64">
        <v>154053091</v>
      </c>
      <c r="AD271" s="65">
        <v>44136</v>
      </c>
      <c r="AE271" s="65">
        <v>47056</v>
      </c>
      <c r="AF271" s="62">
        <v>8</v>
      </c>
      <c r="AG271" s="119">
        <v>96</v>
      </c>
      <c r="AH271" s="25">
        <v>1604719.6979166667</v>
      </c>
      <c r="AI271" s="78">
        <v>60979356.979166672</v>
      </c>
      <c r="AJ271" s="78">
        <v>93073734.020833328</v>
      </c>
      <c r="AK271" s="27">
        <f t="shared" si="104"/>
        <v>1604719.6979166667</v>
      </c>
      <c r="AL271" s="27">
        <f t="shared" si="108"/>
        <v>1604719.6979166667</v>
      </c>
      <c r="AM271" s="27">
        <f t="shared" si="108"/>
        <v>1604719.6979166667</v>
      </c>
      <c r="AN271" s="27">
        <f t="shared" si="96"/>
        <v>1604719.6979166667</v>
      </c>
      <c r="AO271" s="27">
        <f t="shared" si="97"/>
        <v>1604719.6979166667</v>
      </c>
      <c r="AP271" s="27">
        <f t="shared" si="97"/>
        <v>1604719.6979166667</v>
      </c>
      <c r="AQ271" s="27">
        <f t="shared" si="98"/>
        <v>1604719.6979166667</v>
      </c>
      <c r="AR271" s="27">
        <f t="shared" si="99"/>
        <v>1604719.6979166667</v>
      </c>
      <c r="AS271" s="27"/>
      <c r="AT271" s="27"/>
      <c r="AU271" s="27"/>
      <c r="AV271" s="27"/>
      <c r="AW271" s="27">
        <f t="shared" si="101"/>
        <v>12837757.583333332</v>
      </c>
      <c r="AX271" s="79">
        <f t="shared" si="105"/>
        <v>80235976.4375</v>
      </c>
      <c r="AY271" s="79">
        <f t="shared" si="106"/>
        <v>73817114.5625</v>
      </c>
      <c r="AZ271" s="25">
        <v>1</v>
      </c>
      <c r="BA271" s="62" t="s">
        <v>97</v>
      </c>
      <c r="BB271" s="66">
        <v>1</v>
      </c>
      <c r="BC271" s="66"/>
      <c r="BD271" s="66"/>
      <c r="BE271" s="67">
        <f t="shared" si="95"/>
        <v>1604719.6979166667</v>
      </c>
      <c r="BF271" s="67">
        <f t="shared" si="100"/>
        <v>0</v>
      </c>
      <c r="BG271" s="67">
        <f t="shared" si="107"/>
        <v>0</v>
      </c>
      <c r="BH271" s="66"/>
      <c r="BI271" s="68" t="s">
        <v>188</v>
      </c>
      <c r="BJ271" s="68" t="s">
        <v>716</v>
      </c>
      <c r="BK271" s="68" t="s">
        <v>85</v>
      </c>
      <c r="BL271" s="29"/>
      <c r="BO271" s="35" t="s">
        <v>1804</v>
      </c>
    </row>
    <row r="272" spans="1:68" ht="15" customHeight="1">
      <c r="A272" s="1" t="s">
        <v>43</v>
      </c>
      <c r="C272" s="1" t="str">
        <f t="shared" si="102"/>
        <v>2810</v>
      </c>
      <c r="D272" s="1" t="str">
        <f t="shared" si="103"/>
        <v>2011</v>
      </c>
      <c r="E272" s="19" t="s">
        <v>48</v>
      </c>
      <c r="F272" s="62" t="s">
        <v>515</v>
      </c>
      <c r="G272" s="62">
        <v>2112</v>
      </c>
      <c r="H272" s="62" t="s">
        <v>843</v>
      </c>
      <c r="I272" s="62" t="s">
        <v>844</v>
      </c>
      <c r="J272" s="118">
        <v>1</v>
      </c>
      <c r="K272" s="119" t="s">
        <v>619</v>
      </c>
      <c r="L272" s="62" t="s">
        <v>834</v>
      </c>
      <c r="M272" s="120" t="s">
        <v>835</v>
      </c>
      <c r="N272" s="63">
        <v>44015</v>
      </c>
      <c r="O272" s="24">
        <v>4056.85</v>
      </c>
      <c r="P272" s="24">
        <v>23395.5</v>
      </c>
      <c r="Q272" s="64">
        <v>94912034.174999997</v>
      </c>
      <c r="R272" s="64">
        <v>14167680.666666666</v>
      </c>
      <c r="S272" s="64"/>
      <c r="T272" s="64">
        <v>2768186.8000000003</v>
      </c>
      <c r="U272" s="64" t="s">
        <v>836</v>
      </c>
      <c r="V272" s="121">
        <v>111847902</v>
      </c>
      <c r="W272" s="122">
        <v>0</v>
      </c>
      <c r="X272" s="64">
        <v>111847902</v>
      </c>
      <c r="Y272" s="121"/>
      <c r="Z272" s="121"/>
      <c r="AA272" s="121"/>
      <c r="AB272" s="121"/>
      <c r="AC272" s="64">
        <v>111847902</v>
      </c>
      <c r="AD272" s="65">
        <v>44136</v>
      </c>
      <c r="AE272" s="65">
        <v>47056</v>
      </c>
      <c r="AF272" s="62">
        <v>8</v>
      </c>
      <c r="AG272" s="119">
        <v>96</v>
      </c>
      <c r="AH272" s="25">
        <v>1165082.3125</v>
      </c>
      <c r="AI272" s="78">
        <v>44273119.125</v>
      </c>
      <c r="AJ272" s="78">
        <v>67574782.875</v>
      </c>
      <c r="AK272" s="27">
        <f t="shared" si="104"/>
        <v>1165082.3125</v>
      </c>
      <c r="AL272" s="27">
        <f t="shared" si="108"/>
        <v>1165082.3125</v>
      </c>
      <c r="AM272" s="27">
        <f t="shared" si="108"/>
        <v>1165082.3125</v>
      </c>
      <c r="AN272" s="27">
        <f t="shared" si="96"/>
        <v>1165082.3125</v>
      </c>
      <c r="AO272" s="27">
        <f t="shared" si="97"/>
        <v>1165082.3125</v>
      </c>
      <c r="AP272" s="27">
        <f t="shared" si="97"/>
        <v>1165082.3125</v>
      </c>
      <c r="AQ272" s="27">
        <f t="shared" si="98"/>
        <v>1165082.3125</v>
      </c>
      <c r="AR272" s="27">
        <f t="shared" si="99"/>
        <v>1165082.3125</v>
      </c>
      <c r="AS272" s="27"/>
      <c r="AT272" s="27"/>
      <c r="AU272" s="27"/>
      <c r="AV272" s="27"/>
      <c r="AW272" s="27">
        <f t="shared" si="101"/>
        <v>9320658.5</v>
      </c>
      <c r="AX272" s="79">
        <f t="shared" si="105"/>
        <v>58254124.375</v>
      </c>
      <c r="AY272" s="79">
        <f t="shared" si="106"/>
        <v>53593777.625</v>
      </c>
      <c r="AZ272" s="25">
        <v>1</v>
      </c>
      <c r="BA272" s="62" t="s">
        <v>97</v>
      </c>
      <c r="BB272" s="66">
        <v>1</v>
      </c>
      <c r="BC272" s="66"/>
      <c r="BD272" s="66"/>
      <c r="BE272" s="67">
        <f t="shared" si="95"/>
        <v>1165082.3125</v>
      </c>
      <c r="BF272" s="67">
        <f t="shared" si="100"/>
        <v>0</v>
      </c>
      <c r="BG272" s="67">
        <f t="shared" si="107"/>
        <v>0</v>
      </c>
      <c r="BH272" s="66"/>
      <c r="BI272" s="68" t="s">
        <v>188</v>
      </c>
      <c r="BJ272" s="68" t="s">
        <v>716</v>
      </c>
      <c r="BK272" s="68" t="s">
        <v>85</v>
      </c>
      <c r="BL272" s="29"/>
      <c r="BO272" s="35" t="s">
        <v>1804</v>
      </c>
    </row>
    <row r="273" spans="1:68" ht="15" customHeight="1">
      <c r="A273" s="1" t="s">
        <v>43</v>
      </c>
      <c r="C273" s="1" t="str">
        <f t="shared" si="102"/>
        <v>2810</v>
      </c>
      <c r="D273" s="1" t="str">
        <f t="shared" si="103"/>
        <v>2011</v>
      </c>
      <c r="E273" s="19" t="s">
        <v>48</v>
      </c>
      <c r="F273" s="62" t="s">
        <v>515</v>
      </c>
      <c r="G273" s="62">
        <v>2112</v>
      </c>
      <c r="H273" s="62" t="s">
        <v>845</v>
      </c>
      <c r="I273" s="62" t="s">
        <v>844</v>
      </c>
      <c r="J273" s="118">
        <v>1</v>
      </c>
      <c r="K273" s="119" t="s">
        <v>619</v>
      </c>
      <c r="L273" s="62" t="s">
        <v>834</v>
      </c>
      <c r="M273" s="120" t="s">
        <v>835</v>
      </c>
      <c r="N273" s="63">
        <v>44015</v>
      </c>
      <c r="O273" s="24">
        <v>4056.85</v>
      </c>
      <c r="P273" s="24">
        <v>23395.5</v>
      </c>
      <c r="Q273" s="64">
        <v>94912034.174999997</v>
      </c>
      <c r="R273" s="64">
        <v>14167680.666666666</v>
      </c>
      <c r="S273" s="64"/>
      <c r="T273" s="64">
        <v>2768186.8000000003</v>
      </c>
      <c r="U273" s="64" t="s">
        <v>836</v>
      </c>
      <c r="V273" s="121">
        <v>111847902</v>
      </c>
      <c r="W273" s="122">
        <v>0</v>
      </c>
      <c r="X273" s="64">
        <v>111847902</v>
      </c>
      <c r="Y273" s="121"/>
      <c r="Z273" s="121"/>
      <c r="AA273" s="121"/>
      <c r="AB273" s="121"/>
      <c r="AC273" s="64">
        <v>111847902</v>
      </c>
      <c r="AD273" s="65">
        <v>44136</v>
      </c>
      <c r="AE273" s="65">
        <v>47056</v>
      </c>
      <c r="AF273" s="62">
        <v>8</v>
      </c>
      <c r="AG273" s="119">
        <v>96</v>
      </c>
      <c r="AH273" s="25">
        <v>1165082.3125</v>
      </c>
      <c r="AI273" s="78">
        <v>44273119.125</v>
      </c>
      <c r="AJ273" s="78">
        <v>67574782.875</v>
      </c>
      <c r="AK273" s="27">
        <f t="shared" si="104"/>
        <v>1165082.3125</v>
      </c>
      <c r="AL273" s="27">
        <f t="shared" si="108"/>
        <v>1165082.3125</v>
      </c>
      <c r="AM273" s="27">
        <f t="shared" si="108"/>
        <v>1165082.3125</v>
      </c>
      <c r="AN273" s="27">
        <f t="shared" si="96"/>
        <v>1165082.3125</v>
      </c>
      <c r="AO273" s="27">
        <f t="shared" si="97"/>
        <v>1165082.3125</v>
      </c>
      <c r="AP273" s="27">
        <f t="shared" si="97"/>
        <v>1165082.3125</v>
      </c>
      <c r="AQ273" s="27">
        <f t="shared" si="98"/>
        <v>1165082.3125</v>
      </c>
      <c r="AR273" s="27">
        <f t="shared" si="99"/>
        <v>1165082.3125</v>
      </c>
      <c r="AS273" s="27"/>
      <c r="AT273" s="27"/>
      <c r="AU273" s="27"/>
      <c r="AV273" s="27"/>
      <c r="AW273" s="27">
        <f t="shared" si="101"/>
        <v>9320658.5</v>
      </c>
      <c r="AX273" s="79">
        <f t="shared" si="105"/>
        <v>58254124.375</v>
      </c>
      <c r="AY273" s="79">
        <f t="shared" si="106"/>
        <v>53593777.625</v>
      </c>
      <c r="AZ273" s="25">
        <v>1</v>
      </c>
      <c r="BA273" s="62" t="s">
        <v>97</v>
      </c>
      <c r="BB273" s="66">
        <v>1</v>
      </c>
      <c r="BC273" s="66"/>
      <c r="BD273" s="66"/>
      <c r="BE273" s="67">
        <f t="shared" si="95"/>
        <v>1165082.3125</v>
      </c>
      <c r="BF273" s="67">
        <f t="shared" si="100"/>
        <v>0</v>
      </c>
      <c r="BG273" s="67">
        <f t="shared" si="107"/>
        <v>0</v>
      </c>
      <c r="BH273" s="66"/>
      <c r="BI273" s="68" t="s">
        <v>188</v>
      </c>
      <c r="BJ273" s="68" t="s">
        <v>716</v>
      </c>
      <c r="BK273" s="68" t="s">
        <v>85</v>
      </c>
      <c r="BL273" s="29"/>
      <c r="BO273" s="35" t="s">
        <v>1804</v>
      </c>
    </row>
    <row r="274" spans="1:68" ht="15" customHeight="1">
      <c r="A274" s="1" t="s">
        <v>43</v>
      </c>
      <c r="C274" s="1" t="str">
        <f t="shared" si="102"/>
        <v>2810</v>
      </c>
      <c r="D274" s="1" t="str">
        <f t="shared" si="103"/>
        <v>2011</v>
      </c>
      <c r="E274" s="19" t="s">
        <v>48</v>
      </c>
      <c r="F274" s="62" t="s">
        <v>515</v>
      </c>
      <c r="G274" s="62">
        <v>2112</v>
      </c>
      <c r="H274" s="62" t="s">
        <v>846</v>
      </c>
      <c r="I274" s="62" t="s">
        <v>844</v>
      </c>
      <c r="J274" s="118">
        <v>1</v>
      </c>
      <c r="K274" s="119" t="s">
        <v>619</v>
      </c>
      <c r="L274" s="62" t="s">
        <v>834</v>
      </c>
      <c r="M274" s="120" t="s">
        <v>835</v>
      </c>
      <c r="N274" s="63">
        <v>44015</v>
      </c>
      <c r="O274" s="24">
        <v>4056.85</v>
      </c>
      <c r="P274" s="24">
        <v>23395.5</v>
      </c>
      <c r="Q274" s="64">
        <v>94912034.174999997</v>
      </c>
      <c r="R274" s="64">
        <v>14167680.666666666</v>
      </c>
      <c r="S274" s="64"/>
      <c r="T274" s="64">
        <v>2768186.8000000003</v>
      </c>
      <c r="U274" s="64" t="s">
        <v>836</v>
      </c>
      <c r="V274" s="121">
        <v>111847902</v>
      </c>
      <c r="W274" s="122">
        <v>0</v>
      </c>
      <c r="X274" s="64">
        <v>111847902</v>
      </c>
      <c r="Y274" s="121"/>
      <c r="Z274" s="121"/>
      <c r="AA274" s="121"/>
      <c r="AB274" s="121"/>
      <c r="AC274" s="64">
        <v>111847902</v>
      </c>
      <c r="AD274" s="65">
        <v>44136</v>
      </c>
      <c r="AE274" s="65">
        <v>47056</v>
      </c>
      <c r="AF274" s="62">
        <v>8</v>
      </c>
      <c r="AG274" s="119">
        <v>96</v>
      </c>
      <c r="AH274" s="25">
        <v>1165082.3125</v>
      </c>
      <c r="AI274" s="78">
        <v>44273119.125</v>
      </c>
      <c r="AJ274" s="78">
        <v>67574782.875</v>
      </c>
      <c r="AK274" s="27">
        <f t="shared" si="104"/>
        <v>1165082.3125</v>
      </c>
      <c r="AL274" s="27">
        <f t="shared" si="108"/>
        <v>1165082.3125</v>
      </c>
      <c r="AM274" s="27">
        <f t="shared" si="108"/>
        <v>1165082.3125</v>
      </c>
      <c r="AN274" s="27">
        <f t="shared" si="96"/>
        <v>1165082.3125</v>
      </c>
      <c r="AO274" s="27">
        <f t="shared" si="97"/>
        <v>1165082.3125</v>
      </c>
      <c r="AP274" s="27">
        <f t="shared" si="97"/>
        <v>1165082.3125</v>
      </c>
      <c r="AQ274" s="27">
        <f t="shared" si="98"/>
        <v>1165082.3125</v>
      </c>
      <c r="AR274" s="27">
        <f t="shared" si="99"/>
        <v>1165082.3125</v>
      </c>
      <c r="AS274" s="27"/>
      <c r="AT274" s="27"/>
      <c r="AU274" s="27"/>
      <c r="AV274" s="27"/>
      <c r="AW274" s="27">
        <f t="shared" si="101"/>
        <v>9320658.5</v>
      </c>
      <c r="AX274" s="79">
        <f t="shared" si="105"/>
        <v>58254124.375</v>
      </c>
      <c r="AY274" s="79">
        <f t="shared" si="106"/>
        <v>53593777.625</v>
      </c>
      <c r="AZ274" s="25">
        <v>1</v>
      </c>
      <c r="BA274" s="62" t="s">
        <v>97</v>
      </c>
      <c r="BB274" s="66">
        <v>1</v>
      </c>
      <c r="BC274" s="66"/>
      <c r="BD274" s="66"/>
      <c r="BE274" s="67">
        <f t="shared" si="95"/>
        <v>1165082.3125</v>
      </c>
      <c r="BF274" s="67">
        <f t="shared" si="100"/>
        <v>0</v>
      </c>
      <c r="BG274" s="67">
        <f t="shared" si="107"/>
        <v>0</v>
      </c>
      <c r="BH274" s="66"/>
      <c r="BI274" s="68" t="s">
        <v>188</v>
      </c>
      <c r="BJ274" s="68" t="s">
        <v>716</v>
      </c>
      <c r="BK274" s="68" t="s">
        <v>85</v>
      </c>
      <c r="BL274" s="29"/>
      <c r="BO274" s="35" t="s">
        <v>1804</v>
      </c>
    </row>
    <row r="275" spans="1:68" ht="15" customHeight="1">
      <c r="A275" s="1" t="s">
        <v>43</v>
      </c>
      <c r="C275" s="1" t="str">
        <f t="shared" si="102"/>
        <v>2810</v>
      </c>
      <c r="D275" s="1" t="str">
        <f t="shared" si="103"/>
        <v>2011</v>
      </c>
      <c r="E275" s="19" t="s">
        <v>48</v>
      </c>
      <c r="F275" s="62" t="s">
        <v>515</v>
      </c>
      <c r="G275" s="62">
        <v>2112</v>
      </c>
      <c r="H275" s="62" t="s">
        <v>847</v>
      </c>
      <c r="I275" s="62" t="s">
        <v>844</v>
      </c>
      <c r="J275" s="118">
        <v>1</v>
      </c>
      <c r="K275" s="119" t="s">
        <v>619</v>
      </c>
      <c r="L275" s="62" t="s">
        <v>834</v>
      </c>
      <c r="M275" s="120" t="s">
        <v>835</v>
      </c>
      <c r="N275" s="63">
        <v>44015</v>
      </c>
      <c r="O275" s="24">
        <v>4056.85</v>
      </c>
      <c r="P275" s="24">
        <v>23395.5</v>
      </c>
      <c r="Q275" s="64">
        <v>94912034.174999997</v>
      </c>
      <c r="R275" s="64">
        <v>14167680.5</v>
      </c>
      <c r="S275" s="64"/>
      <c r="T275" s="64">
        <v>2768186.7950000009</v>
      </c>
      <c r="U275" s="64" t="s">
        <v>836</v>
      </c>
      <c r="V275" s="121">
        <v>111847901</v>
      </c>
      <c r="W275" s="122">
        <v>0</v>
      </c>
      <c r="X275" s="64">
        <v>111847901</v>
      </c>
      <c r="Y275" s="121"/>
      <c r="Z275" s="121"/>
      <c r="AA275" s="121"/>
      <c r="AB275" s="121"/>
      <c r="AC275" s="64">
        <v>111847901</v>
      </c>
      <c r="AD275" s="65">
        <v>44136</v>
      </c>
      <c r="AE275" s="65">
        <v>47056</v>
      </c>
      <c r="AF275" s="62">
        <v>8</v>
      </c>
      <c r="AG275" s="119">
        <v>96</v>
      </c>
      <c r="AH275" s="25">
        <v>1165082.3020833333</v>
      </c>
      <c r="AI275" s="78">
        <v>44273119.020833336</v>
      </c>
      <c r="AJ275" s="78">
        <v>67574781.979166672</v>
      </c>
      <c r="AK275" s="27">
        <f t="shared" si="104"/>
        <v>1165082.3020833333</v>
      </c>
      <c r="AL275" s="27">
        <f t="shared" si="108"/>
        <v>1165082.3020833333</v>
      </c>
      <c r="AM275" s="27">
        <f t="shared" si="108"/>
        <v>1165082.3020833333</v>
      </c>
      <c r="AN275" s="27">
        <f t="shared" si="96"/>
        <v>1165082.3020833333</v>
      </c>
      <c r="AO275" s="27">
        <f t="shared" si="97"/>
        <v>1165082.3020833333</v>
      </c>
      <c r="AP275" s="27">
        <f t="shared" si="97"/>
        <v>1165082.3020833333</v>
      </c>
      <c r="AQ275" s="27">
        <f t="shared" si="98"/>
        <v>1165082.3020833333</v>
      </c>
      <c r="AR275" s="27">
        <f t="shared" si="99"/>
        <v>1165082.3020833333</v>
      </c>
      <c r="AS275" s="27"/>
      <c r="AT275" s="27"/>
      <c r="AU275" s="27"/>
      <c r="AV275" s="27"/>
      <c r="AW275" s="27">
        <f t="shared" si="101"/>
        <v>9320658.416666666</v>
      </c>
      <c r="AX275" s="79">
        <f t="shared" si="105"/>
        <v>58254123.562499993</v>
      </c>
      <c r="AY275" s="79">
        <f t="shared" si="106"/>
        <v>53593777.4375</v>
      </c>
      <c r="AZ275" s="25">
        <v>1</v>
      </c>
      <c r="BA275" s="62" t="s">
        <v>97</v>
      </c>
      <c r="BB275" s="66">
        <v>1</v>
      </c>
      <c r="BC275" s="66"/>
      <c r="BD275" s="66"/>
      <c r="BE275" s="67">
        <f t="shared" si="95"/>
        <v>1165082.3020833333</v>
      </c>
      <c r="BF275" s="67">
        <f t="shared" si="100"/>
        <v>0</v>
      </c>
      <c r="BG275" s="67">
        <f t="shared" si="107"/>
        <v>0</v>
      </c>
      <c r="BH275" s="66"/>
      <c r="BI275" s="68" t="s">
        <v>188</v>
      </c>
      <c r="BJ275" s="68" t="s">
        <v>716</v>
      </c>
      <c r="BK275" s="68" t="s">
        <v>85</v>
      </c>
      <c r="BL275" s="29"/>
      <c r="BO275" s="35" t="s">
        <v>1804</v>
      </c>
    </row>
    <row r="276" spans="1:68" ht="15" customHeight="1">
      <c r="A276" s="1" t="s">
        <v>43</v>
      </c>
      <c r="C276" s="1" t="str">
        <f t="shared" si="102"/>
        <v>2810</v>
      </c>
      <c r="D276" s="1" t="str">
        <f t="shared" si="103"/>
        <v>2011</v>
      </c>
      <c r="E276" s="19" t="s">
        <v>48</v>
      </c>
      <c r="F276" s="62" t="s">
        <v>515</v>
      </c>
      <c r="G276" s="62">
        <v>2112</v>
      </c>
      <c r="H276" s="62" t="s">
        <v>848</v>
      </c>
      <c r="I276" s="62" t="s">
        <v>844</v>
      </c>
      <c r="J276" s="118">
        <v>1</v>
      </c>
      <c r="K276" s="119" t="s">
        <v>619</v>
      </c>
      <c r="L276" s="62" t="s">
        <v>834</v>
      </c>
      <c r="M276" s="120" t="s">
        <v>835</v>
      </c>
      <c r="N276" s="63">
        <v>44015</v>
      </c>
      <c r="O276" s="24">
        <v>4056.85</v>
      </c>
      <c r="P276" s="24">
        <v>23395.5</v>
      </c>
      <c r="Q276" s="64">
        <v>94912034.174999997</v>
      </c>
      <c r="R276" s="64">
        <v>14167680.5</v>
      </c>
      <c r="S276" s="64"/>
      <c r="T276" s="64">
        <v>2768186.7950000009</v>
      </c>
      <c r="U276" s="64" t="s">
        <v>836</v>
      </c>
      <c r="V276" s="121">
        <v>111847901</v>
      </c>
      <c r="W276" s="122">
        <v>0</v>
      </c>
      <c r="X276" s="64">
        <v>111847901</v>
      </c>
      <c r="Y276" s="121"/>
      <c r="Z276" s="121"/>
      <c r="AA276" s="121"/>
      <c r="AB276" s="121"/>
      <c r="AC276" s="64">
        <v>111847901</v>
      </c>
      <c r="AD276" s="65">
        <v>44136</v>
      </c>
      <c r="AE276" s="65">
        <v>47056</v>
      </c>
      <c r="AF276" s="62">
        <v>8</v>
      </c>
      <c r="AG276" s="119">
        <v>96</v>
      </c>
      <c r="AH276" s="25">
        <v>1165082.3020833333</v>
      </c>
      <c r="AI276" s="78">
        <v>44273119.020833336</v>
      </c>
      <c r="AJ276" s="78">
        <v>67574781.979166672</v>
      </c>
      <c r="AK276" s="27">
        <f t="shared" si="104"/>
        <v>1165082.3020833333</v>
      </c>
      <c r="AL276" s="27">
        <f t="shared" si="108"/>
        <v>1165082.3020833333</v>
      </c>
      <c r="AM276" s="27">
        <f t="shared" si="108"/>
        <v>1165082.3020833333</v>
      </c>
      <c r="AN276" s="27">
        <f t="shared" si="96"/>
        <v>1165082.3020833333</v>
      </c>
      <c r="AO276" s="27">
        <f t="shared" si="97"/>
        <v>1165082.3020833333</v>
      </c>
      <c r="AP276" s="27">
        <f t="shared" si="97"/>
        <v>1165082.3020833333</v>
      </c>
      <c r="AQ276" s="27">
        <f t="shared" si="98"/>
        <v>1165082.3020833333</v>
      </c>
      <c r="AR276" s="27">
        <f t="shared" si="99"/>
        <v>1165082.3020833333</v>
      </c>
      <c r="AS276" s="27"/>
      <c r="AT276" s="27"/>
      <c r="AU276" s="27"/>
      <c r="AV276" s="27"/>
      <c r="AW276" s="27">
        <f t="shared" si="101"/>
        <v>9320658.416666666</v>
      </c>
      <c r="AX276" s="79">
        <f t="shared" si="105"/>
        <v>58254123.562499993</v>
      </c>
      <c r="AY276" s="79">
        <f t="shared" si="106"/>
        <v>53593777.4375</v>
      </c>
      <c r="AZ276" s="25">
        <v>1</v>
      </c>
      <c r="BA276" s="62" t="s">
        <v>97</v>
      </c>
      <c r="BB276" s="66">
        <v>1</v>
      </c>
      <c r="BC276" s="66"/>
      <c r="BD276" s="66"/>
      <c r="BE276" s="67">
        <f t="shared" si="95"/>
        <v>1165082.3020833333</v>
      </c>
      <c r="BF276" s="67">
        <f t="shared" si="100"/>
        <v>0</v>
      </c>
      <c r="BG276" s="67">
        <f t="shared" si="107"/>
        <v>0</v>
      </c>
      <c r="BH276" s="66"/>
      <c r="BI276" s="68" t="s">
        <v>188</v>
      </c>
      <c r="BJ276" s="68" t="s">
        <v>716</v>
      </c>
      <c r="BK276" s="68" t="s">
        <v>85</v>
      </c>
      <c r="BL276" s="29"/>
      <c r="BO276" s="35" t="s">
        <v>1804</v>
      </c>
    </row>
    <row r="277" spans="1:68" ht="15" customHeight="1">
      <c r="A277" s="1" t="s">
        <v>43</v>
      </c>
      <c r="C277" s="1" t="str">
        <f t="shared" si="102"/>
        <v>3010</v>
      </c>
      <c r="D277" s="1" t="str">
        <f t="shared" si="103"/>
        <v>2011</v>
      </c>
      <c r="E277" s="19" t="s">
        <v>48</v>
      </c>
      <c r="F277" s="62" t="s">
        <v>515</v>
      </c>
      <c r="G277" s="62">
        <v>2112</v>
      </c>
      <c r="H277" s="62" t="s">
        <v>849</v>
      </c>
      <c r="I277" s="62" t="s">
        <v>850</v>
      </c>
      <c r="J277" s="118">
        <v>1</v>
      </c>
      <c r="K277" s="119" t="s">
        <v>619</v>
      </c>
      <c r="L277" s="62" t="s">
        <v>834</v>
      </c>
      <c r="M277" s="120" t="s">
        <v>835</v>
      </c>
      <c r="N277" s="63">
        <v>44015</v>
      </c>
      <c r="O277" s="24">
        <v>64667.360000000001</v>
      </c>
      <c r="P277" s="24">
        <v>23395.5</v>
      </c>
      <c r="Q277" s="64">
        <v>1512925220.8800001</v>
      </c>
      <c r="R277" s="64"/>
      <c r="S277" s="64"/>
      <c r="T277" s="64">
        <v>44125696.49000001</v>
      </c>
      <c r="U277" s="64" t="s">
        <v>836</v>
      </c>
      <c r="V277" s="121">
        <v>1557050917</v>
      </c>
      <c r="W277" s="122">
        <v>0</v>
      </c>
      <c r="X277" s="64">
        <v>1557050917</v>
      </c>
      <c r="Y277" s="121"/>
      <c r="Z277" s="121"/>
      <c r="AA277" s="121"/>
      <c r="AB277" s="121"/>
      <c r="AC277" s="64">
        <v>1557050917</v>
      </c>
      <c r="AD277" s="65">
        <v>44136</v>
      </c>
      <c r="AE277" s="65">
        <v>47786</v>
      </c>
      <c r="AF277" s="62">
        <v>10</v>
      </c>
      <c r="AG277" s="119">
        <v>120</v>
      </c>
      <c r="AH277" s="25">
        <v>12975424.308333334</v>
      </c>
      <c r="AI277" s="78">
        <v>493066115.08333337</v>
      </c>
      <c r="AJ277" s="78">
        <v>1063984801.9166666</v>
      </c>
      <c r="AK277" s="27">
        <f t="shared" si="104"/>
        <v>12975424.308333334</v>
      </c>
      <c r="AL277" s="27">
        <f t="shared" si="108"/>
        <v>12975424.308333334</v>
      </c>
      <c r="AM277" s="27">
        <f t="shared" si="108"/>
        <v>12975424.308333334</v>
      </c>
      <c r="AN277" s="27">
        <f t="shared" si="96"/>
        <v>12975424.308333334</v>
      </c>
      <c r="AO277" s="27">
        <f t="shared" si="97"/>
        <v>12975424.308333334</v>
      </c>
      <c r="AP277" s="27">
        <f t="shared" si="97"/>
        <v>12975424.308333334</v>
      </c>
      <c r="AQ277" s="27">
        <f t="shared" si="98"/>
        <v>12975424.308333334</v>
      </c>
      <c r="AR277" s="27">
        <f t="shared" si="99"/>
        <v>12975424.308333334</v>
      </c>
      <c r="AS277" s="27"/>
      <c r="AT277" s="27"/>
      <c r="AU277" s="27"/>
      <c r="AV277" s="27"/>
      <c r="AW277" s="27">
        <f t="shared" si="101"/>
        <v>103803394.46666668</v>
      </c>
      <c r="AX277" s="79">
        <f t="shared" si="105"/>
        <v>960181407.44999993</v>
      </c>
      <c r="AY277" s="79">
        <f t="shared" si="106"/>
        <v>596869509.55000007</v>
      </c>
      <c r="AZ277" s="25">
        <v>1</v>
      </c>
      <c r="BA277" s="62" t="s">
        <v>97</v>
      </c>
      <c r="BB277" s="66">
        <v>1</v>
      </c>
      <c r="BC277" s="66"/>
      <c r="BD277" s="66"/>
      <c r="BE277" s="67">
        <f t="shared" si="95"/>
        <v>12975424.308333334</v>
      </c>
      <c r="BF277" s="67">
        <f t="shared" si="100"/>
        <v>0</v>
      </c>
      <c r="BG277" s="67">
        <f t="shared" si="107"/>
        <v>0</v>
      </c>
      <c r="BH277" s="66"/>
      <c r="BI277" s="68" t="s">
        <v>851</v>
      </c>
      <c r="BJ277" s="68" t="s">
        <v>716</v>
      </c>
      <c r="BK277" s="68" t="s">
        <v>85</v>
      </c>
      <c r="BL277" s="29"/>
      <c r="BO277" s="35" t="s">
        <v>1804</v>
      </c>
    </row>
    <row r="278" spans="1:68" ht="15" customHeight="1">
      <c r="A278" s="1" t="s">
        <v>43</v>
      </c>
      <c r="C278" s="1" t="str">
        <f t="shared" si="102"/>
        <v>3010</v>
      </c>
      <c r="D278" s="1" t="str">
        <f t="shared" si="103"/>
        <v>2011</v>
      </c>
      <c r="E278" s="19" t="s">
        <v>48</v>
      </c>
      <c r="F278" s="62" t="s">
        <v>515</v>
      </c>
      <c r="G278" s="62">
        <v>2112</v>
      </c>
      <c r="H278" s="62" t="s">
        <v>852</v>
      </c>
      <c r="I278" s="62" t="s">
        <v>853</v>
      </c>
      <c r="J278" s="118">
        <v>1</v>
      </c>
      <c r="K278" s="119" t="s">
        <v>619</v>
      </c>
      <c r="L278" s="62" t="s">
        <v>834</v>
      </c>
      <c r="M278" s="120" t="s">
        <v>835</v>
      </c>
      <c r="N278" s="63">
        <v>44015</v>
      </c>
      <c r="O278" s="24">
        <v>24296.880000000001</v>
      </c>
      <c r="P278" s="24">
        <v>23395.5</v>
      </c>
      <c r="Q278" s="64">
        <v>568437656.04000008</v>
      </c>
      <c r="R278" s="64">
        <v>84851655</v>
      </c>
      <c r="S278" s="64"/>
      <c r="T278" s="64">
        <v>16578947.279999999</v>
      </c>
      <c r="U278" s="64" t="s">
        <v>836</v>
      </c>
      <c r="V278" s="121">
        <v>669868258</v>
      </c>
      <c r="W278" s="122">
        <v>0</v>
      </c>
      <c r="X278" s="64">
        <v>669868258</v>
      </c>
      <c r="Y278" s="121"/>
      <c r="Z278" s="121"/>
      <c r="AA278" s="121"/>
      <c r="AB278" s="121"/>
      <c r="AC278" s="64">
        <v>669868258</v>
      </c>
      <c r="AD278" s="65">
        <v>44136</v>
      </c>
      <c r="AE278" s="65">
        <v>47786</v>
      </c>
      <c r="AF278" s="62">
        <v>10</v>
      </c>
      <c r="AG278" s="119">
        <v>120</v>
      </c>
      <c r="AH278" s="25">
        <v>5582235.4833333334</v>
      </c>
      <c r="AI278" s="78">
        <v>212124934.83333334</v>
      </c>
      <c r="AJ278" s="78">
        <v>457743323.16666663</v>
      </c>
      <c r="AK278" s="27">
        <f t="shared" si="104"/>
        <v>5582235.4833333334</v>
      </c>
      <c r="AL278" s="27">
        <f t="shared" si="108"/>
        <v>5582235.4833333334</v>
      </c>
      <c r="AM278" s="27">
        <f t="shared" si="108"/>
        <v>5582235.4833333334</v>
      </c>
      <c r="AN278" s="27">
        <f t="shared" si="96"/>
        <v>5582235.4833333334</v>
      </c>
      <c r="AO278" s="27">
        <f t="shared" si="97"/>
        <v>5582235.4833333334</v>
      </c>
      <c r="AP278" s="27">
        <f t="shared" si="97"/>
        <v>5582235.4833333334</v>
      </c>
      <c r="AQ278" s="27">
        <f t="shared" si="98"/>
        <v>5582235.4833333334</v>
      </c>
      <c r="AR278" s="27">
        <f t="shared" si="99"/>
        <v>5582235.4833333334</v>
      </c>
      <c r="AS278" s="27"/>
      <c r="AT278" s="27"/>
      <c r="AU278" s="27"/>
      <c r="AV278" s="27"/>
      <c r="AW278" s="27">
        <f t="shared" si="101"/>
        <v>44657883.866666667</v>
      </c>
      <c r="AX278" s="79">
        <f t="shared" si="105"/>
        <v>413085439.29999995</v>
      </c>
      <c r="AY278" s="79">
        <f t="shared" si="106"/>
        <v>256782818.70000002</v>
      </c>
      <c r="AZ278" s="25">
        <v>1</v>
      </c>
      <c r="BA278" s="62" t="s">
        <v>97</v>
      </c>
      <c r="BB278" s="66">
        <v>1</v>
      </c>
      <c r="BC278" s="66"/>
      <c r="BD278" s="66"/>
      <c r="BE278" s="67">
        <f t="shared" si="95"/>
        <v>5582235.4833333334</v>
      </c>
      <c r="BF278" s="67">
        <f t="shared" si="100"/>
        <v>0</v>
      </c>
      <c r="BG278" s="67">
        <f t="shared" si="107"/>
        <v>0</v>
      </c>
      <c r="BH278" s="66"/>
      <c r="BI278" s="68" t="s">
        <v>851</v>
      </c>
      <c r="BJ278" s="68" t="s">
        <v>716</v>
      </c>
      <c r="BK278" s="68" t="s">
        <v>85</v>
      </c>
      <c r="BL278" s="29"/>
      <c r="BO278" s="35" t="s">
        <v>1804</v>
      </c>
    </row>
    <row r="279" spans="1:68" ht="15" customHeight="1">
      <c r="A279" s="1" t="s">
        <v>43</v>
      </c>
      <c r="C279" s="1" t="str">
        <f t="shared" si="102"/>
        <v>2810</v>
      </c>
      <c r="D279" s="1" t="str">
        <f t="shared" si="103"/>
        <v>2011</v>
      </c>
      <c r="E279" s="19" t="s">
        <v>48</v>
      </c>
      <c r="F279" s="62" t="s">
        <v>515</v>
      </c>
      <c r="G279" s="62">
        <v>2112</v>
      </c>
      <c r="H279" s="62" t="s">
        <v>854</v>
      </c>
      <c r="I279" s="62" t="s">
        <v>855</v>
      </c>
      <c r="J279" s="118">
        <v>1</v>
      </c>
      <c r="K279" s="119" t="s">
        <v>619</v>
      </c>
      <c r="L279" s="62" t="s">
        <v>834</v>
      </c>
      <c r="M279" s="120" t="s">
        <v>835</v>
      </c>
      <c r="N279" s="63">
        <v>44015</v>
      </c>
      <c r="O279" s="24">
        <v>4545.38</v>
      </c>
      <c r="P279" s="24">
        <v>23395.5</v>
      </c>
      <c r="Q279" s="64">
        <v>106341437.79000001</v>
      </c>
      <c r="R279" s="64"/>
      <c r="S279" s="64"/>
      <c r="T279" s="64">
        <v>3101534.6500000008</v>
      </c>
      <c r="U279" s="64" t="s">
        <v>836</v>
      </c>
      <c r="V279" s="121">
        <v>109442972</v>
      </c>
      <c r="W279" s="122">
        <v>0</v>
      </c>
      <c r="X279" s="64">
        <v>109442972</v>
      </c>
      <c r="Y279" s="121"/>
      <c r="Z279" s="121"/>
      <c r="AA279" s="121"/>
      <c r="AB279" s="121"/>
      <c r="AC279" s="64">
        <v>109442972</v>
      </c>
      <c r="AD279" s="65">
        <v>44136</v>
      </c>
      <c r="AE279" s="65">
        <v>47056</v>
      </c>
      <c r="AF279" s="62">
        <v>8</v>
      </c>
      <c r="AG279" s="119">
        <v>96</v>
      </c>
      <c r="AH279" s="25">
        <v>1140030.9583333333</v>
      </c>
      <c r="AI279" s="78">
        <v>43321177.583333336</v>
      </c>
      <c r="AJ279" s="78">
        <v>66121794.416666664</v>
      </c>
      <c r="AK279" s="27">
        <f t="shared" si="104"/>
        <v>1140030.9583333333</v>
      </c>
      <c r="AL279" s="27">
        <f t="shared" si="108"/>
        <v>1140030.9583333333</v>
      </c>
      <c r="AM279" s="27">
        <f t="shared" si="108"/>
        <v>1140030.9583333333</v>
      </c>
      <c r="AN279" s="27">
        <f t="shared" si="96"/>
        <v>1140030.9583333333</v>
      </c>
      <c r="AO279" s="27">
        <f t="shared" si="97"/>
        <v>1140030.9583333333</v>
      </c>
      <c r="AP279" s="27">
        <f t="shared" si="97"/>
        <v>1140030.9583333333</v>
      </c>
      <c r="AQ279" s="27">
        <f t="shared" si="98"/>
        <v>1140030.9583333333</v>
      </c>
      <c r="AR279" s="27">
        <f t="shared" si="99"/>
        <v>1140030.9583333333</v>
      </c>
      <c r="AS279" s="27"/>
      <c r="AT279" s="27"/>
      <c r="AU279" s="27"/>
      <c r="AV279" s="27"/>
      <c r="AW279" s="27">
        <f t="shared" si="101"/>
        <v>9120247.666666666</v>
      </c>
      <c r="AX279" s="79">
        <f t="shared" si="105"/>
        <v>57001546.75</v>
      </c>
      <c r="AY279" s="79">
        <f t="shared" si="106"/>
        <v>52441425.25</v>
      </c>
      <c r="AZ279" s="25">
        <v>1</v>
      </c>
      <c r="BA279" s="62" t="s">
        <v>97</v>
      </c>
      <c r="BB279" s="66">
        <v>1</v>
      </c>
      <c r="BC279" s="66"/>
      <c r="BD279" s="66"/>
      <c r="BE279" s="67">
        <f t="shared" si="95"/>
        <v>1140030.9583333333</v>
      </c>
      <c r="BF279" s="67">
        <f t="shared" si="100"/>
        <v>0</v>
      </c>
      <c r="BG279" s="67">
        <f t="shared" si="107"/>
        <v>0</v>
      </c>
      <c r="BH279" s="66"/>
      <c r="BI279" s="68" t="s">
        <v>188</v>
      </c>
      <c r="BJ279" s="68" t="s">
        <v>716</v>
      </c>
      <c r="BK279" s="68" t="s">
        <v>85</v>
      </c>
      <c r="BL279" s="29"/>
      <c r="BO279" s="35" t="s">
        <v>1804</v>
      </c>
    </row>
    <row r="280" spans="1:68" ht="15" customHeight="1">
      <c r="A280" s="1" t="s">
        <v>43</v>
      </c>
      <c r="C280" s="1" t="str">
        <f t="shared" si="102"/>
        <v>3008</v>
      </c>
      <c r="D280" s="1" t="str">
        <f t="shared" si="103"/>
        <v>2008</v>
      </c>
      <c r="E280" s="19" t="s">
        <v>48</v>
      </c>
      <c r="F280" s="62" t="s">
        <v>515</v>
      </c>
      <c r="G280" s="62">
        <v>2112</v>
      </c>
      <c r="H280" s="62" t="s">
        <v>856</v>
      </c>
      <c r="I280" s="62" t="s">
        <v>857</v>
      </c>
      <c r="J280" s="118">
        <v>1</v>
      </c>
      <c r="K280" s="119" t="s">
        <v>619</v>
      </c>
      <c r="L280" s="62" t="s">
        <v>858</v>
      </c>
      <c r="M280" s="120" t="s">
        <v>859</v>
      </c>
      <c r="N280" s="63">
        <v>44025</v>
      </c>
      <c r="O280" s="24">
        <v>28500</v>
      </c>
      <c r="P280" s="24">
        <v>23272</v>
      </c>
      <c r="Q280" s="64">
        <v>663252000</v>
      </c>
      <c r="R280" s="64"/>
      <c r="S280" s="64"/>
      <c r="T280" s="64">
        <v>13140735.5313925</v>
      </c>
      <c r="U280" s="64" t="s">
        <v>860</v>
      </c>
      <c r="V280" s="121">
        <v>676392736</v>
      </c>
      <c r="W280" s="122">
        <v>0</v>
      </c>
      <c r="X280" s="64">
        <v>676392736</v>
      </c>
      <c r="Y280" s="121"/>
      <c r="Z280" s="121"/>
      <c r="AA280" s="121"/>
      <c r="AB280" s="121"/>
      <c r="AC280" s="64">
        <v>676392736</v>
      </c>
      <c r="AD280" s="65">
        <v>44063</v>
      </c>
      <c r="AE280" s="65">
        <v>47713</v>
      </c>
      <c r="AF280" s="62">
        <v>10</v>
      </c>
      <c r="AG280" s="119">
        <v>120</v>
      </c>
      <c r="AH280" s="25">
        <v>5636606.1333333338</v>
      </c>
      <c r="AI280" s="78">
        <v>227646153.33333331</v>
      </c>
      <c r="AJ280" s="78">
        <v>448746582.66666669</v>
      </c>
      <c r="AK280" s="27">
        <f t="shared" si="104"/>
        <v>5636606.1333333338</v>
      </c>
      <c r="AL280" s="27">
        <f t="shared" si="108"/>
        <v>5636606.1333333338</v>
      </c>
      <c r="AM280" s="27">
        <f t="shared" si="108"/>
        <v>5636606.1333333338</v>
      </c>
      <c r="AN280" s="27">
        <f t="shared" si="96"/>
        <v>5636606.1333333338</v>
      </c>
      <c r="AO280" s="27">
        <f t="shared" si="97"/>
        <v>5636606.1333333338</v>
      </c>
      <c r="AP280" s="27">
        <f t="shared" si="97"/>
        <v>5636606.1333333338</v>
      </c>
      <c r="AQ280" s="27">
        <f t="shared" si="98"/>
        <v>5636606.1333333338</v>
      </c>
      <c r="AR280" s="27">
        <f t="shared" si="99"/>
        <v>5636606.1333333338</v>
      </c>
      <c r="AS280" s="27"/>
      <c r="AT280" s="27"/>
      <c r="AU280" s="27"/>
      <c r="AV280" s="27"/>
      <c r="AW280" s="27">
        <f t="shared" si="101"/>
        <v>45092849.06666667</v>
      </c>
      <c r="AX280" s="79">
        <f t="shared" si="105"/>
        <v>403653733.60000002</v>
      </c>
      <c r="AY280" s="79">
        <f t="shared" si="106"/>
        <v>272739002.39999998</v>
      </c>
      <c r="AZ280" s="25">
        <v>1</v>
      </c>
      <c r="BA280" s="62" t="s">
        <v>97</v>
      </c>
      <c r="BB280" s="66">
        <v>1</v>
      </c>
      <c r="BC280" s="66"/>
      <c r="BD280" s="66"/>
      <c r="BE280" s="67">
        <f t="shared" si="95"/>
        <v>5636606.1333333338</v>
      </c>
      <c r="BF280" s="67">
        <f t="shared" si="100"/>
        <v>0</v>
      </c>
      <c r="BG280" s="67">
        <f t="shared" si="107"/>
        <v>0</v>
      </c>
      <c r="BH280" s="66"/>
      <c r="BI280" s="68" t="s">
        <v>861</v>
      </c>
      <c r="BJ280" s="68" t="s">
        <v>591</v>
      </c>
      <c r="BK280" s="68" t="s">
        <v>59</v>
      </c>
      <c r="BL280" s="29"/>
      <c r="BO280" s="35" t="s">
        <v>1800</v>
      </c>
    </row>
    <row r="281" spans="1:68" ht="15" customHeight="1">
      <c r="A281" s="1" t="s">
        <v>43</v>
      </c>
      <c r="C281" s="1" t="str">
        <f t="shared" si="102"/>
        <v>3010</v>
      </c>
      <c r="D281" s="1" t="str">
        <f t="shared" si="103"/>
        <v>2010</v>
      </c>
      <c r="E281" s="19" t="s">
        <v>48</v>
      </c>
      <c r="F281" s="62" t="s">
        <v>515</v>
      </c>
      <c r="G281" s="62">
        <v>2112</v>
      </c>
      <c r="H281" s="62" t="s">
        <v>862</v>
      </c>
      <c r="I281" s="62" t="s">
        <v>863</v>
      </c>
      <c r="J281" s="118">
        <v>1</v>
      </c>
      <c r="K281" s="119" t="s">
        <v>619</v>
      </c>
      <c r="L281" s="62" t="s">
        <v>864</v>
      </c>
      <c r="M281" s="120" t="s">
        <v>865</v>
      </c>
      <c r="N281" s="63">
        <v>44032</v>
      </c>
      <c r="O281" s="24">
        <v>79600</v>
      </c>
      <c r="P281" s="24">
        <v>23251.599999999999</v>
      </c>
      <c r="Q281" s="64">
        <v>1850827360</v>
      </c>
      <c r="R281" s="64"/>
      <c r="S281" s="64"/>
      <c r="T281" s="64">
        <v>24465200</v>
      </c>
      <c r="U281" s="64" t="s">
        <v>866</v>
      </c>
      <c r="V281" s="121">
        <v>1875292560</v>
      </c>
      <c r="W281" s="122">
        <v>0</v>
      </c>
      <c r="X281" s="64">
        <v>1875292560</v>
      </c>
      <c r="Y281" s="121"/>
      <c r="Z281" s="121"/>
      <c r="AA281" s="121"/>
      <c r="AB281" s="121"/>
      <c r="AC281" s="64">
        <v>1875292560</v>
      </c>
      <c r="AD281" s="65">
        <v>44109</v>
      </c>
      <c r="AE281" s="65">
        <v>47759</v>
      </c>
      <c r="AF281" s="62">
        <v>10</v>
      </c>
      <c r="AG281" s="119">
        <v>120</v>
      </c>
      <c r="AH281" s="25">
        <v>15627438</v>
      </c>
      <c r="AI281" s="78">
        <v>607453638</v>
      </c>
      <c r="AJ281" s="78">
        <v>1267838922</v>
      </c>
      <c r="AK281" s="27">
        <f t="shared" si="104"/>
        <v>15627438</v>
      </c>
      <c r="AL281" s="27">
        <f t="shared" si="108"/>
        <v>15627438</v>
      </c>
      <c r="AM281" s="27">
        <f t="shared" si="108"/>
        <v>15627438</v>
      </c>
      <c r="AN281" s="27">
        <f t="shared" si="96"/>
        <v>15627438</v>
      </c>
      <c r="AO281" s="27">
        <f t="shared" si="97"/>
        <v>15627438</v>
      </c>
      <c r="AP281" s="27">
        <f t="shared" si="97"/>
        <v>15627438</v>
      </c>
      <c r="AQ281" s="27">
        <f t="shared" si="98"/>
        <v>15627438</v>
      </c>
      <c r="AR281" s="27">
        <f t="shared" si="99"/>
        <v>15627438</v>
      </c>
      <c r="AS281" s="27"/>
      <c r="AT281" s="27"/>
      <c r="AU281" s="27"/>
      <c r="AV281" s="27"/>
      <c r="AW281" s="27">
        <f t="shared" si="101"/>
        <v>125019504</v>
      </c>
      <c r="AX281" s="79">
        <f t="shared" si="105"/>
        <v>1142819418</v>
      </c>
      <c r="AY281" s="79">
        <f t="shared" si="106"/>
        <v>732473142</v>
      </c>
      <c r="AZ281" s="25">
        <v>1</v>
      </c>
      <c r="BA281" s="62" t="s">
        <v>97</v>
      </c>
      <c r="BB281" s="66">
        <v>1</v>
      </c>
      <c r="BC281" s="66"/>
      <c r="BD281" s="66"/>
      <c r="BE281" s="67">
        <f t="shared" si="95"/>
        <v>15627438</v>
      </c>
      <c r="BF281" s="67">
        <f t="shared" si="100"/>
        <v>0</v>
      </c>
      <c r="BG281" s="67">
        <f t="shared" si="107"/>
        <v>0</v>
      </c>
      <c r="BH281" s="66"/>
      <c r="BI281" s="68" t="s">
        <v>713</v>
      </c>
      <c r="BJ281" s="68" t="s">
        <v>644</v>
      </c>
      <c r="BK281" s="68" t="s">
        <v>644</v>
      </c>
      <c r="BL281" s="29"/>
      <c r="BO281" s="35" t="s">
        <v>1802</v>
      </c>
    </row>
    <row r="282" spans="1:68" ht="15" customHeight="1">
      <c r="A282" s="1" t="s">
        <v>43</v>
      </c>
      <c r="C282" s="1" t="str">
        <f t="shared" si="102"/>
        <v>3008</v>
      </c>
      <c r="D282" s="1" t="str">
        <f t="shared" si="103"/>
        <v>2008</v>
      </c>
      <c r="E282" s="19" t="s">
        <v>48</v>
      </c>
      <c r="F282" s="62" t="s">
        <v>515</v>
      </c>
      <c r="G282" s="62">
        <v>2112</v>
      </c>
      <c r="H282" s="62" t="s">
        <v>867</v>
      </c>
      <c r="I282" s="62" t="s">
        <v>868</v>
      </c>
      <c r="J282" s="118">
        <v>1</v>
      </c>
      <c r="K282" s="119" t="s">
        <v>619</v>
      </c>
      <c r="L282" s="62" t="s">
        <v>638</v>
      </c>
      <c r="M282" s="120" t="s">
        <v>869</v>
      </c>
      <c r="N282" s="63">
        <v>44013</v>
      </c>
      <c r="O282" s="24"/>
      <c r="P282" s="24"/>
      <c r="Q282" s="64">
        <v>960000000</v>
      </c>
      <c r="R282" s="64"/>
      <c r="S282" s="64"/>
      <c r="T282" s="64"/>
      <c r="U282" s="64"/>
      <c r="V282" s="121">
        <v>960000000</v>
      </c>
      <c r="W282" s="122">
        <v>0</v>
      </c>
      <c r="X282" s="64">
        <v>960000000</v>
      </c>
      <c r="Y282" s="121"/>
      <c r="Z282" s="121"/>
      <c r="AA282" s="121"/>
      <c r="AB282" s="121"/>
      <c r="AC282" s="64">
        <v>960000000</v>
      </c>
      <c r="AD282" s="65">
        <v>44048</v>
      </c>
      <c r="AE282" s="65">
        <v>47698</v>
      </c>
      <c r="AF282" s="62">
        <v>10</v>
      </c>
      <c r="AG282" s="119">
        <v>120</v>
      </c>
      <c r="AH282" s="25">
        <v>8000000</v>
      </c>
      <c r="AI282" s="78">
        <v>326967742</v>
      </c>
      <c r="AJ282" s="78">
        <v>633032258</v>
      </c>
      <c r="AK282" s="27">
        <f t="shared" si="104"/>
        <v>8000000</v>
      </c>
      <c r="AL282" s="27">
        <f t="shared" si="108"/>
        <v>8000000</v>
      </c>
      <c r="AM282" s="27">
        <f t="shared" si="108"/>
        <v>8000000</v>
      </c>
      <c r="AN282" s="27">
        <f t="shared" si="96"/>
        <v>8000000</v>
      </c>
      <c r="AO282" s="27">
        <f t="shared" si="97"/>
        <v>8000000</v>
      </c>
      <c r="AP282" s="27">
        <f t="shared" si="97"/>
        <v>8000000</v>
      </c>
      <c r="AQ282" s="27">
        <f t="shared" si="98"/>
        <v>8000000</v>
      </c>
      <c r="AR282" s="27">
        <f t="shared" si="99"/>
        <v>8000000</v>
      </c>
      <c r="AS282" s="27"/>
      <c r="AT282" s="27"/>
      <c r="AU282" s="27"/>
      <c r="AV282" s="27"/>
      <c r="AW282" s="27">
        <f t="shared" si="101"/>
        <v>64000000</v>
      </c>
      <c r="AX282" s="79">
        <f t="shared" si="105"/>
        <v>569032258</v>
      </c>
      <c r="AY282" s="79">
        <f t="shared" si="106"/>
        <v>390967742</v>
      </c>
      <c r="AZ282" s="25">
        <v>1</v>
      </c>
      <c r="BA282" s="62" t="s">
        <v>870</v>
      </c>
      <c r="BB282" s="66">
        <v>1</v>
      </c>
      <c r="BC282" s="66"/>
      <c r="BD282" s="66"/>
      <c r="BE282" s="67">
        <f t="shared" si="95"/>
        <v>8000000</v>
      </c>
      <c r="BF282" s="67">
        <f t="shared" si="100"/>
        <v>0</v>
      </c>
      <c r="BG282" s="67">
        <f t="shared" si="107"/>
        <v>0</v>
      </c>
      <c r="BH282" s="66"/>
      <c r="BI282" s="68" t="s">
        <v>871</v>
      </c>
      <c r="BJ282" s="68" t="s">
        <v>591</v>
      </c>
      <c r="BK282" s="68" t="s">
        <v>59</v>
      </c>
      <c r="BL282" s="29"/>
      <c r="BO282" s="35" t="s">
        <v>1804</v>
      </c>
    </row>
    <row r="283" spans="1:68" ht="15" customHeight="1">
      <c r="A283" s="1" t="s">
        <v>43</v>
      </c>
      <c r="C283" s="1" t="str">
        <f t="shared" si="102"/>
        <v>2808</v>
      </c>
      <c r="D283" s="1" t="str">
        <f t="shared" si="103"/>
        <v>2008</v>
      </c>
      <c r="E283" s="19" t="s">
        <v>48</v>
      </c>
      <c r="F283" s="62" t="s">
        <v>49</v>
      </c>
      <c r="G283" s="62">
        <v>2135</v>
      </c>
      <c r="H283" s="62" t="s">
        <v>872</v>
      </c>
      <c r="I283" s="62" t="s">
        <v>873</v>
      </c>
      <c r="J283" s="118">
        <v>1</v>
      </c>
      <c r="K283" s="119" t="s">
        <v>619</v>
      </c>
      <c r="L283" s="62" t="s">
        <v>795</v>
      </c>
      <c r="M283" s="120" t="s">
        <v>874</v>
      </c>
      <c r="N283" s="63">
        <v>44068</v>
      </c>
      <c r="O283" s="24"/>
      <c r="P283" s="24"/>
      <c r="Q283" s="64">
        <v>71815000</v>
      </c>
      <c r="R283" s="64"/>
      <c r="S283" s="64"/>
      <c r="T283" s="64"/>
      <c r="U283" s="64"/>
      <c r="V283" s="121">
        <v>71815000</v>
      </c>
      <c r="W283" s="122">
        <v>0</v>
      </c>
      <c r="X283" s="64">
        <v>71815000</v>
      </c>
      <c r="Y283" s="121"/>
      <c r="Z283" s="121"/>
      <c r="AA283" s="121"/>
      <c r="AB283" s="121"/>
      <c r="AC283" s="64">
        <v>71815000</v>
      </c>
      <c r="AD283" s="65">
        <v>44068</v>
      </c>
      <c r="AE283" s="65">
        <v>46988</v>
      </c>
      <c r="AF283" s="62">
        <v>8</v>
      </c>
      <c r="AG283" s="119">
        <v>96</v>
      </c>
      <c r="AH283" s="25">
        <v>748072.91666666663</v>
      </c>
      <c r="AI283" s="78">
        <v>30091839.166666668</v>
      </c>
      <c r="AJ283" s="78">
        <v>41723160.833333328</v>
      </c>
      <c r="AK283" s="27">
        <f t="shared" si="104"/>
        <v>748072.91666666663</v>
      </c>
      <c r="AL283" s="27">
        <f t="shared" si="108"/>
        <v>748072.91666666663</v>
      </c>
      <c r="AM283" s="27">
        <f t="shared" si="108"/>
        <v>748072.91666666663</v>
      </c>
      <c r="AN283" s="27">
        <f t="shared" si="96"/>
        <v>748072.91666666663</v>
      </c>
      <c r="AO283" s="27">
        <f t="shared" si="97"/>
        <v>748072.91666666663</v>
      </c>
      <c r="AP283" s="27">
        <f t="shared" si="97"/>
        <v>748072.91666666663</v>
      </c>
      <c r="AQ283" s="27">
        <f t="shared" si="98"/>
        <v>748072.91666666663</v>
      </c>
      <c r="AR283" s="27">
        <f t="shared" si="99"/>
        <v>748072.91666666663</v>
      </c>
      <c r="AS283" s="27"/>
      <c r="AT283" s="27"/>
      <c r="AU283" s="27"/>
      <c r="AV283" s="27"/>
      <c r="AW283" s="27">
        <f t="shared" si="101"/>
        <v>5984583.333333334</v>
      </c>
      <c r="AX283" s="79">
        <f t="shared" si="105"/>
        <v>35738577.499999993</v>
      </c>
      <c r="AY283" s="79">
        <f t="shared" si="106"/>
        <v>36076422.5</v>
      </c>
      <c r="AZ283" s="25">
        <v>1</v>
      </c>
      <c r="BA283" s="62" t="s">
        <v>97</v>
      </c>
      <c r="BB283" s="66">
        <v>1</v>
      </c>
      <c r="BC283" s="66"/>
      <c r="BD283" s="66"/>
      <c r="BE283" s="67">
        <f t="shared" si="95"/>
        <v>748072.91666666663</v>
      </c>
      <c r="BF283" s="67">
        <f t="shared" si="100"/>
        <v>0</v>
      </c>
      <c r="BG283" s="67">
        <f t="shared" si="107"/>
        <v>0</v>
      </c>
      <c r="BH283" s="66"/>
      <c r="BI283" s="68" t="s">
        <v>875</v>
      </c>
      <c r="BJ283" s="68" t="s">
        <v>58</v>
      </c>
      <c r="BK283" s="68" t="s">
        <v>59</v>
      </c>
      <c r="BL283" s="29"/>
      <c r="BO283" s="35" t="s">
        <v>1804</v>
      </c>
    </row>
    <row r="284" spans="1:68" ht="15" customHeight="1">
      <c r="A284" s="1" t="s">
        <v>43</v>
      </c>
      <c r="C284" s="1" t="str">
        <f t="shared" si="102"/>
        <v>2901</v>
      </c>
      <c r="D284" s="1" t="str">
        <f t="shared" si="103"/>
        <v>2101</v>
      </c>
      <c r="E284" s="19" t="s">
        <v>48</v>
      </c>
      <c r="F284" s="62" t="s">
        <v>49</v>
      </c>
      <c r="G284" s="62">
        <v>2112</v>
      </c>
      <c r="H284" s="62" t="s">
        <v>876</v>
      </c>
      <c r="I284" s="62" t="s">
        <v>776</v>
      </c>
      <c r="J284" s="118">
        <v>1</v>
      </c>
      <c r="K284" s="119" t="s">
        <v>619</v>
      </c>
      <c r="L284" s="62" t="s">
        <v>877</v>
      </c>
      <c r="M284" s="120" t="s">
        <v>878</v>
      </c>
      <c r="N284" s="63">
        <v>44062</v>
      </c>
      <c r="O284" s="131">
        <v>5964.2857142857147</v>
      </c>
      <c r="P284" s="24">
        <v>23300.799999999999</v>
      </c>
      <c r="Q284" s="64">
        <v>138972629</v>
      </c>
      <c r="R284" s="64"/>
      <c r="S284" s="64"/>
      <c r="T284" s="64">
        <v>1093563.3214285714</v>
      </c>
      <c r="U284" s="64" t="s">
        <v>879</v>
      </c>
      <c r="V284" s="121">
        <v>140066192</v>
      </c>
      <c r="W284" s="122">
        <v>0</v>
      </c>
      <c r="X284" s="64">
        <v>140066192</v>
      </c>
      <c r="Y284" s="121"/>
      <c r="Z284" s="121"/>
      <c r="AA284" s="121"/>
      <c r="AB284" s="121"/>
      <c r="AC284" s="64">
        <v>140066192</v>
      </c>
      <c r="AD284" s="65">
        <v>44224</v>
      </c>
      <c r="AE284" s="65">
        <v>47145</v>
      </c>
      <c r="AF284" s="62">
        <v>8</v>
      </c>
      <c r="AG284" s="119">
        <v>96</v>
      </c>
      <c r="AH284" s="25">
        <v>1459022.8333333333</v>
      </c>
      <c r="AI284" s="78">
        <v>51254064.365591399</v>
      </c>
      <c r="AJ284" s="78">
        <v>88812127.634408593</v>
      </c>
      <c r="AK284" s="27">
        <f t="shared" si="104"/>
        <v>1459022.8333333333</v>
      </c>
      <c r="AL284" s="27">
        <f t="shared" si="108"/>
        <v>1459022.8333333333</v>
      </c>
      <c r="AM284" s="27">
        <f t="shared" si="108"/>
        <v>1459022.8333333333</v>
      </c>
      <c r="AN284" s="27">
        <f t="shared" si="96"/>
        <v>1459022.8333333333</v>
      </c>
      <c r="AO284" s="27">
        <f t="shared" si="97"/>
        <v>1459022.8333333333</v>
      </c>
      <c r="AP284" s="27">
        <f t="shared" si="97"/>
        <v>1459022.8333333333</v>
      </c>
      <c r="AQ284" s="27">
        <f t="shared" si="98"/>
        <v>1459022.8333333333</v>
      </c>
      <c r="AR284" s="27">
        <f t="shared" si="99"/>
        <v>1459022.8333333333</v>
      </c>
      <c r="AS284" s="27"/>
      <c r="AT284" s="27"/>
      <c r="AU284" s="27"/>
      <c r="AV284" s="27"/>
      <c r="AW284" s="27">
        <f t="shared" si="101"/>
        <v>11672182.666666668</v>
      </c>
      <c r="AX284" s="79">
        <f t="shared" si="105"/>
        <v>77139944.967741922</v>
      </c>
      <c r="AY284" s="79">
        <f t="shared" si="106"/>
        <v>62926247.032258064</v>
      </c>
      <c r="AZ284" s="25">
        <v>1</v>
      </c>
      <c r="BA284" s="62" t="s">
        <v>97</v>
      </c>
      <c r="BB284" s="66">
        <v>1</v>
      </c>
      <c r="BC284" s="66"/>
      <c r="BD284" s="66"/>
      <c r="BE284" s="67">
        <f t="shared" si="95"/>
        <v>1459022.8333333333</v>
      </c>
      <c r="BF284" s="67">
        <f t="shared" si="100"/>
        <v>0</v>
      </c>
      <c r="BG284" s="67">
        <f t="shared" si="107"/>
        <v>0</v>
      </c>
      <c r="BH284" s="66"/>
      <c r="BI284" s="68" t="s">
        <v>420</v>
      </c>
      <c r="BJ284" s="68" t="s">
        <v>85</v>
      </c>
      <c r="BK284" s="68" t="s">
        <v>85</v>
      </c>
      <c r="BL284" s="29"/>
      <c r="BO284" s="35" t="s">
        <v>1800</v>
      </c>
      <c r="BP284" s="1" t="s">
        <v>1818</v>
      </c>
    </row>
    <row r="285" spans="1:68" ht="15" customHeight="1">
      <c r="A285" s="1" t="s">
        <v>43</v>
      </c>
      <c r="C285" s="1" t="str">
        <f t="shared" si="102"/>
        <v>2901</v>
      </c>
      <c r="D285" s="1" t="str">
        <f t="shared" si="103"/>
        <v>2101</v>
      </c>
      <c r="E285" s="19" t="s">
        <v>48</v>
      </c>
      <c r="F285" s="62" t="s">
        <v>49</v>
      </c>
      <c r="G285" s="62">
        <v>2112</v>
      </c>
      <c r="H285" s="62" t="s">
        <v>880</v>
      </c>
      <c r="I285" s="62" t="s">
        <v>776</v>
      </c>
      <c r="J285" s="118">
        <v>1</v>
      </c>
      <c r="K285" s="119" t="s">
        <v>619</v>
      </c>
      <c r="L285" s="62" t="s">
        <v>877</v>
      </c>
      <c r="M285" s="120" t="s">
        <v>878</v>
      </c>
      <c r="N285" s="63">
        <v>44062</v>
      </c>
      <c r="O285" s="131">
        <v>5964.2857142857147</v>
      </c>
      <c r="P285" s="24">
        <v>23300.799999999999</v>
      </c>
      <c r="Q285" s="64">
        <v>138972629</v>
      </c>
      <c r="R285" s="64"/>
      <c r="S285" s="64"/>
      <c r="T285" s="64">
        <v>1093563.3214285714</v>
      </c>
      <c r="U285" s="64" t="s">
        <v>879</v>
      </c>
      <c r="V285" s="121">
        <v>140066192</v>
      </c>
      <c r="W285" s="122">
        <v>0</v>
      </c>
      <c r="X285" s="64">
        <v>140066192</v>
      </c>
      <c r="Y285" s="121"/>
      <c r="Z285" s="121"/>
      <c r="AA285" s="121"/>
      <c r="AB285" s="121"/>
      <c r="AC285" s="64">
        <v>140066192</v>
      </c>
      <c r="AD285" s="65">
        <v>44224</v>
      </c>
      <c r="AE285" s="65">
        <v>47145</v>
      </c>
      <c r="AF285" s="62">
        <v>8</v>
      </c>
      <c r="AG285" s="119">
        <v>96</v>
      </c>
      <c r="AH285" s="25">
        <v>1459022.8333333333</v>
      </c>
      <c r="AI285" s="78">
        <v>51254064.365591399</v>
      </c>
      <c r="AJ285" s="78">
        <v>88812127.634408593</v>
      </c>
      <c r="AK285" s="27">
        <f t="shared" si="104"/>
        <v>1459022.8333333333</v>
      </c>
      <c r="AL285" s="27">
        <f t="shared" si="108"/>
        <v>1459022.8333333333</v>
      </c>
      <c r="AM285" s="27">
        <f t="shared" si="108"/>
        <v>1459022.8333333333</v>
      </c>
      <c r="AN285" s="27">
        <f t="shared" si="96"/>
        <v>1459022.8333333333</v>
      </c>
      <c r="AO285" s="27">
        <f t="shared" si="97"/>
        <v>1459022.8333333333</v>
      </c>
      <c r="AP285" s="27">
        <f t="shared" si="97"/>
        <v>1459022.8333333333</v>
      </c>
      <c r="AQ285" s="27">
        <f t="shared" si="98"/>
        <v>1459022.8333333333</v>
      </c>
      <c r="AR285" s="27">
        <f t="shared" si="99"/>
        <v>1459022.8333333333</v>
      </c>
      <c r="AS285" s="27"/>
      <c r="AT285" s="27"/>
      <c r="AU285" s="27"/>
      <c r="AV285" s="27"/>
      <c r="AW285" s="27">
        <f t="shared" si="101"/>
        <v>11672182.666666668</v>
      </c>
      <c r="AX285" s="79">
        <f t="shared" si="105"/>
        <v>77139944.967741922</v>
      </c>
      <c r="AY285" s="79">
        <f t="shared" si="106"/>
        <v>62926247.032258064</v>
      </c>
      <c r="AZ285" s="25">
        <v>1</v>
      </c>
      <c r="BA285" s="62" t="s">
        <v>97</v>
      </c>
      <c r="BB285" s="66">
        <v>1</v>
      </c>
      <c r="BC285" s="66"/>
      <c r="BD285" s="66"/>
      <c r="BE285" s="67">
        <f t="shared" si="95"/>
        <v>1459022.8333333333</v>
      </c>
      <c r="BF285" s="67">
        <f t="shared" si="100"/>
        <v>0</v>
      </c>
      <c r="BG285" s="67">
        <f t="shared" si="107"/>
        <v>0</v>
      </c>
      <c r="BH285" s="66"/>
      <c r="BI285" s="68" t="s">
        <v>420</v>
      </c>
      <c r="BJ285" s="68" t="s">
        <v>85</v>
      </c>
      <c r="BK285" s="68" t="s">
        <v>85</v>
      </c>
      <c r="BL285" s="29"/>
      <c r="BO285" s="35" t="s">
        <v>1800</v>
      </c>
      <c r="BP285" s="1" t="s">
        <v>1818</v>
      </c>
    </row>
    <row r="286" spans="1:68" ht="15" customHeight="1">
      <c r="A286" s="1" t="s">
        <v>43</v>
      </c>
      <c r="C286" s="1" t="str">
        <f t="shared" si="102"/>
        <v>2901</v>
      </c>
      <c r="D286" s="1" t="str">
        <f t="shared" si="103"/>
        <v>2101</v>
      </c>
      <c r="E286" s="19" t="s">
        <v>48</v>
      </c>
      <c r="F286" s="62" t="s">
        <v>49</v>
      </c>
      <c r="G286" s="62">
        <v>2112</v>
      </c>
      <c r="H286" s="62" t="s">
        <v>881</v>
      </c>
      <c r="I286" s="62" t="s">
        <v>776</v>
      </c>
      <c r="J286" s="118">
        <v>1</v>
      </c>
      <c r="K286" s="119" t="s">
        <v>619</v>
      </c>
      <c r="L286" s="62" t="s">
        <v>877</v>
      </c>
      <c r="M286" s="120" t="s">
        <v>878</v>
      </c>
      <c r="N286" s="63">
        <v>44062</v>
      </c>
      <c r="O286" s="131">
        <v>5964.2857142857147</v>
      </c>
      <c r="P286" s="24">
        <v>23300.799999999999</v>
      </c>
      <c r="Q286" s="64">
        <v>138972629</v>
      </c>
      <c r="R286" s="64"/>
      <c r="S286" s="64"/>
      <c r="T286" s="64">
        <v>1093563.3214285714</v>
      </c>
      <c r="U286" s="64" t="s">
        <v>879</v>
      </c>
      <c r="V286" s="121">
        <v>140066192</v>
      </c>
      <c r="W286" s="122">
        <v>0</v>
      </c>
      <c r="X286" s="64">
        <v>140066192</v>
      </c>
      <c r="Y286" s="121"/>
      <c r="Z286" s="121"/>
      <c r="AA286" s="121"/>
      <c r="AB286" s="121"/>
      <c r="AC286" s="64">
        <v>140066192</v>
      </c>
      <c r="AD286" s="65">
        <v>44224</v>
      </c>
      <c r="AE286" s="65">
        <v>47145</v>
      </c>
      <c r="AF286" s="62">
        <v>8</v>
      </c>
      <c r="AG286" s="119">
        <v>96</v>
      </c>
      <c r="AH286" s="25">
        <v>1459022.8333333333</v>
      </c>
      <c r="AI286" s="78">
        <v>51254064.365591399</v>
      </c>
      <c r="AJ286" s="78">
        <v>88812127.634408593</v>
      </c>
      <c r="AK286" s="27">
        <f t="shared" si="104"/>
        <v>1459022.8333333333</v>
      </c>
      <c r="AL286" s="27">
        <f t="shared" si="108"/>
        <v>1459022.8333333333</v>
      </c>
      <c r="AM286" s="27">
        <f t="shared" si="108"/>
        <v>1459022.8333333333</v>
      </c>
      <c r="AN286" s="27">
        <f t="shared" si="96"/>
        <v>1459022.8333333333</v>
      </c>
      <c r="AO286" s="27">
        <f t="shared" si="97"/>
        <v>1459022.8333333333</v>
      </c>
      <c r="AP286" s="27">
        <f t="shared" si="97"/>
        <v>1459022.8333333333</v>
      </c>
      <c r="AQ286" s="27">
        <f t="shared" si="98"/>
        <v>1459022.8333333333</v>
      </c>
      <c r="AR286" s="27">
        <f t="shared" si="99"/>
        <v>1459022.8333333333</v>
      </c>
      <c r="AS286" s="27"/>
      <c r="AT286" s="27"/>
      <c r="AU286" s="27"/>
      <c r="AV286" s="27"/>
      <c r="AW286" s="27">
        <f t="shared" si="101"/>
        <v>11672182.666666668</v>
      </c>
      <c r="AX286" s="79">
        <f t="shared" si="105"/>
        <v>77139944.967741922</v>
      </c>
      <c r="AY286" s="79">
        <f t="shared" si="106"/>
        <v>62926247.032258064</v>
      </c>
      <c r="AZ286" s="25">
        <v>1</v>
      </c>
      <c r="BA286" s="62" t="s">
        <v>97</v>
      </c>
      <c r="BB286" s="66">
        <v>1</v>
      </c>
      <c r="BC286" s="66"/>
      <c r="BD286" s="66"/>
      <c r="BE286" s="67">
        <f t="shared" si="95"/>
        <v>1459022.8333333333</v>
      </c>
      <c r="BF286" s="67">
        <f t="shared" si="100"/>
        <v>0</v>
      </c>
      <c r="BG286" s="67">
        <f t="shared" si="107"/>
        <v>0</v>
      </c>
      <c r="BH286" s="66"/>
      <c r="BI286" s="68" t="s">
        <v>477</v>
      </c>
      <c r="BJ286" s="68" t="s">
        <v>85</v>
      </c>
      <c r="BK286" s="68" t="s">
        <v>85</v>
      </c>
      <c r="BL286" s="29"/>
      <c r="BO286" s="35" t="s">
        <v>1800</v>
      </c>
      <c r="BP286" s="1" t="s">
        <v>1809</v>
      </c>
    </row>
    <row r="287" spans="1:68" ht="15" customHeight="1">
      <c r="A287" s="1" t="s">
        <v>43</v>
      </c>
      <c r="C287" s="1" t="str">
        <f t="shared" si="102"/>
        <v>2901</v>
      </c>
      <c r="D287" s="1" t="str">
        <f t="shared" si="103"/>
        <v>2101</v>
      </c>
      <c r="E287" s="19" t="s">
        <v>48</v>
      </c>
      <c r="F287" s="62" t="s">
        <v>49</v>
      </c>
      <c r="G287" s="62">
        <v>2112</v>
      </c>
      <c r="H287" s="62" t="s">
        <v>882</v>
      </c>
      <c r="I287" s="62" t="s">
        <v>776</v>
      </c>
      <c r="J287" s="118">
        <v>1</v>
      </c>
      <c r="K287" s="119" t="s">
        <v>619</v>
      </c>
      <c r="L287" s="62" t="s">
        <v>877</v>
      </c>
      <c r="M287" s="120" t="s">
        <v>878</v>
      </c>
      <c r="N287" s="63">
        <v>44062</v>
      </c>
      <c r="O287" s="131">
        <v>5964.2857142857147</v>
      </c>
      <c r="P287" s="24">
        <v>23300.799999999999</v>
      </c>
      <c r="Q287" s="64">
        <v>138972629</v>
      </c>
      <c r="R287" s="64"/>
      <c r="S287" s="64"/>
      <c r="T287" s="64">
        <v>1093563.3214285714</v>
      </c>
      <c r="U287" s="64" t="s">
        <v>879</v>
      </c>
      <c r="V287" s="121">
        <v>140066192</v>
      </c>
      <c r="W287" s="122">
        <v>0</v>
      </c>
      <c r="X287" s="64">
        <v>140066192</v>
      </c>
      <c r="Y287" s="121"/>
      <c r="Z287" s="121"/>
      <c r="AA287" s="121"/>
      <c r="AB287" s="121"/>
      <c r="AC287" s="64">
        <v>140066192</v>
      </c>
      <c r="AD287" s="65">
        <v>44224</v>
      </c>
      <c r="AE287" s="65">
        <v>47145</v>
      </c>
      <c r="AF287" s="62">
        <v>8</v>
      </c>
      <c r="AG287" s="119">
        <v>96</v>
      </c>
      <c r="AH287" s="25">
        <v>1459022.8333333333</v>
      </c>
      <c r="AI287" s="78">
        <v>51254064.365591399</v>
      </c>
      <c r="AJ287" s="78">
        <v>88812127.634408593</v>
      </c>
      <c r="AK287" s="27">
        <f t="shared" si="104"/>
        <v>1459022.8333333333</v>
      </c>
      <c r="AL287" s="27">
        <f t="shared" si="108"/>
        <v>1459022.8333333333</v>
      </c>
      <c r="AM287" s="27">
        <f t="shared" si="108"/>
        <v>1459022.8333333333</v>
      </c>
      <c r="AN287" s="27">
        <f t="shared" si="96"/>
        <v>1459022.8333333333</v>
      </c>
      <c r="AO287" s="27">
        <f t="shared" si="97"/>
        <v>1459022.8333333333</v>
      </c>
      <c r="AP287" s="27">
        <f t="shared" si="97"/>
        <v>1459022.8333333333</v>
      </c>
      <c r="AQ287" s="27">
        <f t="shared" si="98"/>
        <v>1459022.8333333333</v>
      </c>
      <c r="AR287" s="27">
        <f t="shared" si="99"/>
        <v>1459022.8333333333</v>
      </c>
      <c r="AS287" s="27"/>
      <c r="AT287" s="27"/>
      <c r="AU287" s="27"/>
      <c r="AV287" s="27"/>
      <c r="AW287" s="27">
        <f t="shared" si="101"/>
        <v>11672182.666666668</v>
      </c>
      <c r="AX287" s="79">
        <f t="shared" si="105"/>
        <v>77139944.967741922</v>
      </c>
      <c r="AY287" s="79">
        <f t="shared" si="106"/>
        <v>62926247.032258064</v>
      </c>
      <c r="AZ287" s="25">
        <v>1</v>
      </c>
      <c r="BA287" s="62" t="s">
        <v>97</v>
      </c>
      <c r="BB287" s="66">
        <v>1</v>
      </c>
      <c r="BC287" s="66"/>
      <c r="BD287" s="66"/>
      <c r="BE287" s="67">
        <f t="shared" si="95"/>
        <v>1459022.8333333333</v>
      </c>
      <c r="BF287" s="67">
        <f t="shared" si="100"/>
        <v>0</v>
      </c>
      <c r="BG287" s="67">
        <f t="shared" si="107"/>
        <v>0</v>
      </c>
      <c r="BH287" s="66"/>
      <c r="BI287" s="68" t="s">
        <v>534</v>
      </c>
      <c r="BJ287" s="68" t="s">
        <v>85</v>
      </c>
      <c r="BK287" s="68" t="s">
        <v>85</v>
      </c>
      <c r="BL287" s="29"/>
      <c r="BO287" s="35" t="s">
        <v>1800</v>
      </c>
      <c r="BP287" s="1" t="s">
        <v>1819</v>
      </c>
    </row>
    <row r="288" spans="1:68" ht="15" customHeight="1">
      <c r="A288" s="1" t="s">
        <v>43</v>
      </c>
      <c r="C288" s="1" t="str">
        <f t="shared" si="102"/>
        <v>2901</v>
      </c>
      <c r="D288" s="1" t="str">
        <f t="shared" si="103"/>
        <v>2101</v>
      </c>
      <c r="E288" s="19" t="s">
        <v>48</v>
      </c>
      <c r="F288" s="62" t="s">
        <v>49</v>
      </c>
      <c r="G288" s="62">
        <v>2112</v>
      </c>
      <c r="H288" s="62" t="s">
        <v>883</v>
      </c>
      <c r="I288" s="62" t="s">
        <v>776</v>
      </c>
      <c r="J288" s="118">
        <v>1</v>
      </c>
      <c r="K288" s="119" t="s">
        <v>619</v>
      </c>
      <c r="L288" s="62" t="s">
        <v>877</v>
      </c>
      <c r="M288" s="120" t="s">
        <v>878</v>
      </c>
      <c r="N288" s="63">
        <v>44062</v>
      </c>
      <c r="O288" s="131">
        <v>5964.2857142857147</v>
      </c>
      <c r="P288" s="24">
        <v>23300.799999999999</v>
      </c>
      <c r="Q288" s="64">
        <v>138972629</v>
      </c>
      <c r="R288" s="64"/>
      <c r="S288" s="64"/>
      <c r="T288" s="64">
        <v>1093563.3214285714</v>
      </c>
      <c r="U288" s="64" t="s">
        <v>879</v>
      </c>
      <c r="V288" s="121">
        <v>140066192</v>
      </c>
      <c r="W288" s="122">
        <v>0</v>
      </c>
      <c r="X288" s="64">
        <v>140066192</v>
      </c>
      <c r="Y288" s="121"/>
      <c r="Z288" s="121"/>
      <c r="AA288" s="121"/>
      <c r="AB288" s="121"/>
      <c r="AC288" s="64">
        <v>140066192</v>
      </c>
      <c r="AD288" s="65">
        <v>44224</v>
      </c>
      <c r="AE288" s="65">
        <v>47145</v>
      </c>
      <c r="AF288" s="62">
        <v>8</v>
      </c>
      <c r="AG288" s="119">
        <v>96</v>
      </c>
      <c r="AH288" s="25">
        <v>1459022.8333333333</v>
      </c>
      <c r="AI288" s="78">
        <v>51254064.365591399</v>
      </c>
      <c r="AJ288" s="78">
        <v>88812127.634408593</v>
      </c>
      <c r="AK288" s="27">
        <f t="shared" si="104"/>
        <v>1459022.8333333333</v>
      </c>
      <c r="AL288" s="27">
        <f t="shared" si="108"/>
        <v>1459022.8333333333</v>
      </c>
      <c r="AM288" s="27">
        <f t="shared" si="108"/>
        <v>1459022.8333333333</v>
      </c>
      <c r="AN288" s="27">
        <f t="shared" si="96"/>
        <v>1459022.8333333333</v>
      </c>
      <c r="AO288" s="27">
        <f t="shared" si="97"/>
        <v>1459022.8333333333</v>
      </c>
      <c r="AP288" s="27">
        <f t="shared" si="97"/>
        <v>1459022.8333333333</v>
      </c>
      <c r="AQ288" s="27">
        <f t="shared" si="98"/>
        <v>1459022.8333333333</v>
      </c>
      <c r="AR288" s="27">
        <f t="shared" si="99"/>
        <v>1459022.8333333333</v>
      </c>
      <c r="AS288" s="27"/>
      <c r="AT288" s="27"/>
      <c r="AU288" s="27"/>
      <c r="AV288" s="27"/>
      <c r="AW288" s="27">
        <f t="shared" si="101"/>
        <v>11672182.666666668</v>
      </c>
      <c r="AX288" s="79">
        <f t="shared" si="105"/>
        <v>77139944.967741922</v>
      </c>
      <c r="AY288" s="79">
        <f t="shared" si="106"/>
        <v>62926247.032258064</v>
      </c>
      <c r="AZ288" s="25">
        <v>1</v>
      </c>
      <c r="BA288" s="62" t="s">
        <v>97</v>
      </c>
      <c r="BB288" s="66">
        <v>1</v>
      </c>
      <c r="BC288" s="66"/>
      <c r="BD288" s="66"/>
      <c r="BE288" s="67">
        <f t="shared" si="95"/>
        <v>1459022.8333333333</v>
      </c>
      <c r="BF288" s="67">
        <f t="shared" si="100"/>
        <v>0</v>
      </c>
      <c r="BG288" s="67">
        <f t="shared" si="107"/>
        <v>0</v>
      </c>
      <c r="BH288" s="66"/>
      <c r="BI288" s="68" t="s">
        <v>534</v>
      </c>
      <c r="BJ288" s="68" t="s">
        <v>85</v>
      </c>
      <c r="BK288" s="68" t="s">
        <v>85</v>
      </c>
      <c r="BL288" s="29"/>
      <c r="BO288" s="35" t="s">
        <v>1800</v>
      </c>
      <c r="BP288" s="1" t="s">
        <v>1819</v>
      </c>
    </row>
    <row r="289" spans="1:68" ht="15" customHeight="1">
      <c r="A289" s="1" t="s">
        <v>43</v>
      </c>
      <c r="C289" s="1" t="str">
        <f t="shared" si="102"/>
        <v>2901</v>
      </c>
      <c r="D289" s="1" t="str">
        <f t="shared" si="103"/>
        <v>2101</v>
      </c>
      <c r="E289" s="19" t="s">
        <v>48</v>
      </c>
      <c r="F289" s="62" t="s">
        <v>49</v>
      </c>
      <c r="G289" s="62">
        <v>2112</v>
      </c>
      <c r="H289" s="62" t="s">
        <v>884</v>
      </c>
      <c r="I289" s="62" t="s">
        <v>776</v>
      </c>
      <c r="J289" s="118">
        <v>1</v>
      </c>
      <c r="K289" s="119" t="s">
        <v>619</v>
      </c>
      <c r="L289" s="62" t="s">
        <v>877</v>
      </c>
      <c r="M289" s="120" t="s">
        <v>878</v>
      </c>
      <c r="N289" s="63">
        <v>44062</v>
      </c>
      <c r="O289" s="131">
        <v>5964.2857142857147</v>
      </c>
      <c r="P289" s="24">
        <v>23300.799999999999</v>
      </c>
      <c r="Q289" s="64">
        <v>138972629</v>
      </c>
      <c r="R289" s="64"/>
      <c r="S289" s="64"/>
      <c r="T289" s="64">
        <v>1093563.3214285714</v>
      </c>
      <c r="U289" s="64" t="s">
        <v>879</v>
      </c>
      <c r="V289" s="121">
        <v>140066192</v>
      </c>
      <c r="W289" s="122">
        <v>0</v>
      </c>
      <c r="X289" s="64">
        <v>140066192</v>
      </c>
      <c r="Y289" s="121"/>
      <c r="Z289" s="121"/>
      <c r="AA289" s="121"/>
      <c r="AB289" s="121"/>
      <c r="AC289" s="64">
        <v>140066192</v>
      </c>
      <c r="AD289" s="65">
        <v>44224</v>
      </c>
      <c r="AE289" s="65">
        <v>47145</v>
      </c>
      <c r="AF289" s="62">
        <v>8</v>
      </c>
      <c r="AG289" s="119">
        <v>96</v>
      </c>
      <c r="AH289" s="25">
        <v>1459022.8333333333</v>
      </c>
      <c r="AI289" s="78">
        <v>51254064.365591399</v>
      </c>
      <c r="AJ289" s="78">
        <v>88812127.634408593</v>
      </c>
      <c r="AK289" s="27">
        <f t="shared" si="104"/>
        <v>1459022.8333333333</v>
      </c>
      <c r="AL289" s="27">
        <f t="shared" si="108"/>
        <v>1459022.8333333333</v>
      </c>
      <c r="AM289" s="27">
        <f t="shared" si="108"/>
        <v>1459022.8333333333</v>
      </c>
      <c r="AN289" s="27">
        <f t="shared" si="96"/>
        <v>1459022.8333333333</v>
      </c>
      <c r="AO289" s="27">
        <f t="shared" si="97"/>
        <v>1459022.8333333333</v>
      </c>
      <c r="AP289" s="27">
        <f t="shared" si="97"/>
        <v>1459022.8333333333</v>
      </c>
      <c r="AQ289" s="27">
        <f t="shared" si="98"/>
        <v>1459022.8333333333</v>
      </c>
      <c r="AR289" s="27">
        <f t="shared" si="99"/>
        <v>1459022.8333333333</v>
      </c>
      <c r="AS289" s="27"/>
      <c r="AT289" s="27"/>
      <c r="AU289" s="27"/>
      <c r="AV289" s="27"/>
      <c r="AW289" s="27">
        <f t="shared" si="101"/>
        <v>11672182.666666668</v>
      </c>
      <c r="AX289" s="79">
        <f t="shared" si="105"/>
        <v>77139944.967741922</v>
      </c>
      <c r="AY289" s="79">
        <f t="shared" si="106"/>
        <v>62926247.032258064</v>
      </c>
      <c r="AZ289" s="25">
        <v>1</v>
      </c>
      <c r="BA289" s="62" t="s">
        <v>97</v>
      </c>
      <c r="BB289" s="66">
        <v>1</v>
      </c>
      <c r="BC289" s="66"/>
      <c r="BD289" s="66"/>
      <c r="BE289" s="67">
        <f t="shared" ref="BE289:BE344" si="109">+$AP289*BB289</f>
        <v>1459022.8333333333</v>
      </c>
      <c r="BF289" s="67">
        <f t="shared" si="100"/>
        <v>0</v>
      </c>
      <c r="BG289" s="67">
        <f t="shared" si="107"/>
        <v>0</v>
      </c>
      <c r="BH289" s="66"/>
      <c r="BI289" s="68" t="s">
        <v>534</v>
      </c>
      <c r="BJ289" s="68" t="s">
        <v>85</v>
      </c>
      <c r="BK289" s="68" t="s">
        <v>85</v>
      </c>
      <c r="BL289" s="29"/>
      <c r="BO289" s="35" t="s">
        <v>1800</v>
      </c>
      <c r="BP289" s="1" t="s">
        <v>1819</v>
      </c>
    </row>
    <row r="290" spans="1:68" ht="15" customHeight="1">
      <c r="A290" s="1" t="s">
        <v>43</v>
      </c>
      <c r="C290" s="1" t="str">
        <f t="shared" si="102"/>
        <v>2901</v>
      </c>
      <c r="D290" s="1" t="str">
        <f t="shared" si="103"/>
        <v>2101</v>
      </c>
      <c r="E290" s="19" t="s">
        <v>48</v>
      </c>
      <c r="F290" s="62" t="s">
        <v>49</v>
      </c>
      <c r="G290" s="62">
        <v>2112</v>
      </c>
      <c r="H290" s="62" t="s">
        <v>885</v>
      </c>
      <c r="I290" s="62" t="s">
        <v>776</v>
      </c>
      <c r="J290" s="118">
        <v>1</v>
      </c>
      <c r="K290" s="119" t="s">
        <v>619</v>
      </c>
      <c r="L290" s="62" t="s">
        <v>877</v>
      </c>
      <c r="M290" s="120" t="s">
        <v>878</v>
      </c>
      <c r="N290" s="63">
        <v>44062</v>
      </c>
      <c r="O290" s="131">
        <v>5964.2857142857147</v>
      </c>
      <c r="P290" s="24">
        <v>23300.799999999999</v>
      </c>
      <c r="Q290" s="64">
        <v>138972629</v>
      </c>
      <c r="R290" s="64"/>
      <c r="S290" s="64"/>
      <c r="T290" s="64">
        <v>1093563.3214285714</v>
      </c>
      <c r="U290" s="64" t="s">
        <v>879</v>
      </c>
      <c r="V290" s="121">
        <v>140066192</v>
      </c>
      <c r="W290" s="122">
        <v>0</v>
      </c>
      <c r="X290" s="64">
        <v>140066192</v>
      </c>
      <c r="Y290" s="121"/>
      <c r="Z290" s="121"/>
      <c r="AA290" s="121"/>
      <c r="AB290" s="121"/>
      <c r="AC290" s="64">
        <v>140066192</v>
      </c>
      <c r="AD290" s="65">
        <v>44224</v>
      </c>
      <c r="AE290" s="65">
        <v>47145</v>
      </c>
      <c r="AF290" s="62">
        <v>8</v>
      </c>
      <c r="AG290" s="119">
        <v>96</v>
      </c>
      <c r="AH290" s="25">
        <v>1459022.8333333333</v>
      </c>
      <c r="AI290" s="78">
        <v>51254064.365591399</v>
      </c>
      <c r="AJ290" s="78">
        <v>88812127.634408593</v>
      </c>
      <c r="AK290" s="27">
        <f t="shared" si="104"/>
        <v>1459022.8333333333</v>
      </c>
      <c r="AL290" s="27">
        <f t="shared" si="108"/>
        <v>1459022.8333333333</v>
      </c>
      <c r="AM290" s="27">
        <f t="shared" si="108"/>
        <v>1459022.8333333333</v>
      </c>
      <c r="AN290" s="27">
        <f t="shared" si="96"/>
        <v>1459022.8333333333</v>
      </c>
      <c r="AO290" s="27">
        <f t="shared" si="97"/>
        <v>1459022.8333333333</v>
      </c>
      <c r="AP290" s="27">
        <f t="shared" si="97"/>
        <v>1459022.8333333333</v>
      </c>
      <c r="AQ290" s="27">
        <f t="shared" si="98"/>
        <v>1459022.8333333333</v>
      </c>
      <c r="AR290" s="27">
        <f t="shared" si="99"/>
        <v>1459022.8333333333</v>
      </c>
      <c r="AS290" s="27"/>
      <c r="AT290" s="27"/>
      <c r="AU290" s="27"/>
      <c r="AV290" s="27"/>
      <c r="AW290" s="27">
        <f t="shared" si="101"/>
        <v>11672182.666666668</v>
      </c>
      <c r="AX290" s="79">
        <f t="shared" si="105"/>
        <v>77139944.967741922</v>
      </c>
      <c r="AY290" s="79">
        <f t="shared" si="106"/>
        <v>62926247.032258064</v>
      </c>
      <c r="AZ290" s="25">
        <v>1</v>
      </c>
      <c r="BA290" s="62" t="s">
        <v>97</v>
      </c>
      <c r="BB290" s="66">
        <v>1</v>
      </c>
      <c r="BC290" s="66"/>
      <c r="BD290" s="66"/>
      <c r="BE290" s="67">
        <f t="shared" si="109"/>
        <v>1459022.8333333333</v>
      </c>
      <c r="BF290" s="67">
        <f t="shared" si="100"/>
        <v>0</v>
      </c>
      <c r="BG290" s="67">
        <f t="shared" si="107"/>
        <v>0</v>
      </c>
      <c r="BH290" s="66"/>
      <c r="BI290" s="68" t="s">
        <v>534</v>
      </c>
      <c r="BJ290" s="68" t="s">
        <v>85</v>
      </c>
      <c r="BK290" s="68" t="s">
        <v>85</v>
      </c>
      <c r="BL290" s="29"/>
      <c r="BO290" s="35" t="s">
        <v>1800</v>
      </c>
      <c r="BP290" s="1" t="s">
        <v>1819</v>
      </c>
    </row>
    <row r="291" spans="1:68" ht="15" customHeight="1">
      <c r="A291" s="1" t="s">
        <v>43</v>
      </c>
      <c r="C291" s="1" t="str">
        <f t="shared" si="102"/>
        <v>2901</v>
      </c>
      <c r="D291" s="1" t="str">
        <f t="shared" si="103"/>
        <v>2101</v>
      </c>
      <c r="E291" s="19" t="s">
        <v>48</v>
      </c>
      <c r="F291" s="62" t="s">
        <v>49</v>
      </c>
      <c r="G291" s="62">
        <v>2112</v>
      </c>
      <c r="H291" s="62" t="s">
        <v>886</v>
      </c>
      <c r="I291" s="62" t="s">
        <v>776</v>
      </c>
      <c r="J291" s="118">
        <v>1</v>
      </c>
      <c r="K291" s="119" t="s">
        <v>619</v>
      </c>
      <c r="L291" s="62" t="s">
        <v>877</v>
      </c>
      <c r="M291" s="120" t="s">
        <v>878</v>
      </c>
      <c r="N291" s="63">
        <v>44062</v>
      </c>
      <c r="O291" s="131">
        <v>5964.2857142857147</v>
      </c>
      <c r="P291" s="24">
        <v>23300.799999999999</v>
      </c>
      <c r="Q291" s="64">
        <v>138972629</v>
      </c>
      <c r="R291" s="64"/>
      <c r="S291" s="64"/>
      <c r="T291" s="64">
        <v>1093563.3214285714</v>
      </c>
      <c r="U291" s="64" t="s">
        <v>879</v>
      </c>
      <c r="V291" s="121">
        <v>140066192</v>
      </c>
      <c r="W291" s="122">
        <v>0</v>
      </c>
      <c r="X291" s="64">
        <v>140066192</v>
      </c>
      <c r="Y291" s="121"/>
      <c r="Z291" s="121"/>
      <c r="AA291" s="121"/>
      <c r="AB291" s="121"/>
      <c r="AC291" s="64">
        <v>140066192</v>
      </c>
      <c r="AD291" s="65">
        <v>44224</v>
      </c>
      <c r="AE291" s="65">
        <v>47145</v>
      </c>
      <c r="AF291" s="62">
        <v>8</v>
      </c>
      <c r="AG291" s="119">
        <v>96</v>
      </c>
      <c r="AH291" s="25">
        <v>1459022.8333333333</v>
      </c>
      <c r="AI291" s="78">
        <v>51254064.365591399</v>
      </c>
      <c r="AJ291" s="78">
        <v>88812127.634408593</v>
      </c>
      <c r="AK291" s="27">
        <f t="shared" si="104"/>
        <v>1459022.8333333333</v>
      </c>
      <c r="AL291" s="27">
        <f t="shared" si="108"/>
        <v>1459022.8333333333</v>
      </c>
      <c r="AM291" s="27">
        <f t="shared" si="108"/>
        <v>1459022.8333333333</v>
      </c>
      <c r="AN291" s="27">
        <f t="shared" si="96"/>
        <v>1459022.8333333333</v>
      </c>
      <c r="AO291" s="27">
        <f t="shared" si="97"/>
        <v>1459022.8333333333</v>
      </c>
      <c r="AP291" s="27">
        <f t="shared" si="97"/>
        <v>1459022.8333333333</v>
      </c>
      <c r="AQ291" s="27">
        <f t="shared" si="98"/>
        <v>1459022.8333333333</v>
      </c>
      <c r="AR291" s="27">
        <f t="shared" si="99"/>
        <v>1459022.8333333333</v>
      </c>
      <c r="AS291" s="27"/>
      <c r="AT291" s="27"/>
      <c r="AU291" s="27"/>
      <c r="AV291" s="27"/>
      <c r="AW291" s="27">
        <f t="shared" si="101"/>
        <v>11672182.666666668</v>
      </c>
      <c r="AX291" s="79">
        <f t="shared" si="105"/>
        <v>77139944.967741922</v>
      </c>
      <c r="AY291" s="79">
        <f t="shared" si="106"/>
        <v>62926247.032258064</v>
      </c>
      <c r="AZ291" s="25">
        <v>1</v>
      </c>
      <c r="BA291" s="62" t="s">
        <v>97</v>
      </c>
      <c r="BB291" s="66">
        <v>1</v>
      </c>
      <c r="BC291" s="66"/>
      <c r="BD291" s="66"/>
      <c r="BE291" s="67">
        <f t="shared" si="109"/>
        <v>1459022.8333333333</v>
      </c>
      <c r="BF291" s="67">
        <f t="shared" si="100"/>
        <v>0</v>
      </c>
      <c r="BG291" s="67">
        <f t="shared" si="107"/>
        <v>0</v>
      </c>
      <c r="BH291" s="66"/>
      <c r="BI291" s="68" t="s">
        <v>828</v>
      </c>
      <c r="BJ291" s="68" t="s">
        <v>85</v>
      </c>
      <c r="BK291" s="68" t="s">
        <v>85</v>
      </c>
      <c r="BL291" s="29"/>
      <c r="BO291" s="35" t="s">
        <v>1800</v>
      </c>
      <c r="BP291" s="1" t="s">
        <v>1822</v>
      </c>
    </row>
    <row r="292" spans="1:68" ht="15" customHeight="1">
      <c r="A292" s="1" t="s">
        <v>43</v>
      </c>
      <c r="C292" s="1" t="str">
        <f t="shared" si="102"/>
        <v>2901</v>
      </c>
      <c r="D292" s="1" t="str">
        <f t="shared" si="103"/>
        <v>2101</v>
      </c>
      <c r="E292" s="19" t="s">
        <v>48</v>
      </c>
      <c r="F292" s="62" t="s">
        <v>49</v>
      </c>
      <c r="G292" s="62">
        <v>2112</v>
      </c>
      <c r="H292" s="62" t="s">
        <v>887</v>
      </c>
      <c r="I292" s="62" t="s">
        <v>776</v>
      </c>
      <c r="J292" s="118">
        <v>1</v>
      </c>
      <c r="K292" s="119" t="s">
        <v>619</v>
      </c>
      <c r="L292" s="62" t="s">
        <v>877</v>
      </c>
      <c r="M292" s="120" t="s">
        <v>878</v>
      </c>
      <c r="N292" s="63">
        <v>44062</v>
      </c>
      <c r="O292" s="131">
        <v>5964.2857142857147</v>
      </c>
      <c r="P292" s="24">
        <v>23300.799999999999</v>
      </c>
      <c r="Q292" s="64">
        <v>138972629</v>
      </c>
      <c r="R292" s="64"/>
      <c r="S292" s="64"/>
      <c r="T292" s="64">
        <v>1093563.3214285714</v>
      </c>
      <c r="U292" s="64" t="s">
        <v>879</v>
      </c>
      <c r="V292" s="121">
        <v>140066192</v>
      </c>
      <c r="W292" s="122">
        <v>0</v>
      </c>
      <c r="X292" s="64">
        <v>140066192</v>
      </c>
      <c r="Y292" s="121"/>
      <c r="Z292" s="121"/>
      <c r="AA292" s="121"/>
      <c r="AB292" s="121"/>
      <c r="AC292" s="64">
        <v>140066192</v>
      </c>
      <c r="AD292" s="65">
        <v>44224</v>
      </c>
      <c r="AE292" s="65">
        <v>47145</v>
      </c>
      <c r="AF292" s="62">
        <v>8</v>
      </c>
      <c r="AG292" s="119">
        <v>96</v>
      </c>
      <c r="AH292" s="25">
        <v>1459022.8333333333</v>
      </c>
      <c r="AI292" s="78">
        <v>51254064.365591399</v>
      </c>
      <c r="AJ292" s="78">
        <v>88812127.634408593</v>
      </c>
      <c r="AK292" s="27">
        <f t="shared" si="104"/>
        <v>1459022.8333333333</v>
      </c>
      <c r="AL292" s="27">
        <f t="shared" si="108"/>
        <v>1459022.8333333333</v>
      </c>
      <c r="AM292" s="27">
        <f t="shared" si="108"/>
        <v>1459022.8333333333</v>
      </c>
      <c r="AN292" s="27">
        <f t="shared" si="96"/>
        <v>1459022.8333333333</v>
      </c>
      <c r="AO292" s="27">
        <f t="shared" si="97"/>
        <v>1459022.8333333333</v>
      </c>
      <c r="AP292" s="27">
        <f t="shared" si="97"/>
        <v>1459022.8333333333</v>
      </c>
      <c r="AQ292" s="27">
        <f t="shared" si="98"/>
        <v>1459022.8333333333</v>
      </c>
      <c r="AR292" s="27">
        <f t="shared" si="99"/>
        <v>1459022.8333333333</v>
      </c>
      <c r="AS292" s="27"/>
      <c r="AT292" s="27"/>
      <c r="AU292" s="27"/>
      <c r="AV292" s="27"/>
      <c r="AW292" s="27">
        <f t="shared" si="101"/>
        <v>11672182.666666668</v>
      </c>
      <c r="AX292" s="79">
        <f t="shared" si="105"/>
        <v>77139944.967741922</v>
      </c>
      <c r="AY292" s="79">
        <f t="shared" si="106"/>
        <v>62926247.032258064</v>
      </c>
      <c r="AZ292" s="25">
        <v>1</v>
      </c>
      <c r="BA292" s="62" t="s">
        <v>97</v>
      </c>
      <c r="BB292" s="66">
        <v>1</v>
      </c>
      <c r="BC292" s="66"/>
      <c r="BD292" s="66"/>
      <c r="BE292" s="67">
        <f t="shared" si="109"/>
        <v>1459022.8333333333</v>
      </c>
      <c r="BF292" s="67">
        <f t="shared" si="100"/>
        <v>0</v>
      </c>
      <c r="BG292" s="67">
        <f t="shared" si="107"/>
        <v>0</v>
      </c>
      <c r="BH292" s="66"/>
      <c r="BI292" s="68" t="s">
        <v>828</v>
      </c>
      <c r="BJ292" s="68" t="s">
        <v>85</v>
      </c>
      <c r="BK292" s="68" t="s">
        <v>85</v>
      </c>
      <c r="BL292" s="29"/>
      <c r="BO292" s="35" t="s">
        <v>1800</v>
      </c>
      <c r="BP292" s="1" t="s">
        <v>1822</v>
      </c>
    </row>
    <row r="293" spans="1:68" ht="15" customHeight="1">
      <c r="A293" s="1" t="s">
        <v>43</v>
      </c>
      <c r="C293" s="1" t="str">
        <f t="shared" si="102"/>
        <v>2901</v>
      </c>
      <c r="D293" s="1" t="str">
        <f t="shared" si="103"/>
        <v>2101</v>
      </c>
      <c r="E293" s="19" t="s">
        <v>48</v>
      </c>
      <c r="F293" s="62" t="s">
        <v>49</v>
      </c>
      <c r="G293" s="62">
        <v>2112</v>
      </c>
      <c r="H293" s="62" t="s">
        <v>888</v>
      </c>
      <c r="I293" s="62" t="s">
        <v>776</v>
      </c>
      <c r="J293" s="118">
        <v>1</v>
      </c>
      <c r="K293" s="119" t="s">
        <v>619</v>
      </c>
      <c r="L293" s="62" t="s">
        <v>877</v>
      </c>
      <c r="M293" s="120" t="s">
        <v>878</v>
      </c>
      <c r="N293" s="63">
        <v>44062</v>
      </c>
      <c r="O293" s="131">
        <v>5964.2857142857147</v>
      </c>
      <c r="P293" s="24">
        <v>23300.799999999999</v>
      </c>
      <c r="Q293" s="64">
        <v>138972629</v>
      </c>
      <c r="R293" s="64"/>
      <c r="S293" s="64"/>
      <c r="T293" s="64">
        <v>1093563.3214285714</v>
      </c>
      <c r="U293" s="64" t="s">
        <v>879</v>
      </c>
      <c r="V293" s="121">
        <v>140066192</v>
      </c>
      <c r="W293" s="122">
        <v>0</v>
      </c>
      <c r="X293" s="64">
        <v>140066192</v>
      </c>
      <c r="Y293" s="121"/>
      <c r="Z293" s="121"/>
      <c r="AA293" s="121"/>
      <c r="AB293" s="121"/>
      <c r="AC293" s="64">
        <v>140066192</v>
      </c>
      <c r="AD293" s="65">
        <v>44224</v>
      </c>
      <c r="AE293" s="65">
        <v>47145</v>
      </c>
      <c r="AF293" s="62">
        <v>8</v>
      </c>
      <c r="AG293" s="119">
        <v>96</v>
      </c>
      <c r="AH293" s="25">
        <v>1459022.8333333333</v>
      </c>
      <c r="AI293" s="78">
        <v>51254064.365591399</v>
      </c>
      <c r="AJ293" s="78">
        <v>88812127.634408593</v>
      </c>
      <c r="AK293" s="27">
        <f t="shared" si="104"/>
        <v>1459022.8333333333</v>
      </c>
      <c r="AL293" s="27">
        <f t="shared" si="108"/>
        <v>1459022.8333333333</v>
      </c>
      <c r="AM293" s="27">
        <f t="shared" si="108"/>
        <v>1459022.8333333333</v>
      </c>
      <c r="AN293" s="27">
        <f t="shared" si="96"/>
        <v>1459022.8333333333</v>
      </c>
      <c r="AO293" s="27">
        <f t="shared" si="97"/>
        <v>1459022.8333333333</v>
      </c>
      <c r="AP293" s="27">
        <f t="shared" si="97"/>
        <v>1459022.8333333333</v>
      </c>
      <c r="AQ293" s="27">
        <f t="shared" si="98"/>
        <v>1459022.8333333333</v>
      </c>
      <c r="AR293" s="27">
        <f t="shared" si="99"/>
        <v>1459022.8333333333</v>
      </c>
      <c r="AS293" s="27"/>
      <c r="AT293" s="27"/>
      <c r="AU293" s="27"/>
      <c r="AV293" s="27"/>
      <c r="AW293" s="27">
        <f t="shared" si="101"/>
        <v>11672182.666666668</v>
      </c>
      <c r="AX293" s="79">
        <f t="shared" si="105"/>
        <v>77139944.967741922</v>
      </c>
      <c r="AY293" s="79">
        <f t="shared" si="106"/>
        <v>62926247.032258064</v>
      </c>
      <c r="AZ293" s="25">
        <v>1</v>
      </c>
      <c r="BA293" s="62" t="s">
        <v>97</v>
      </c>
      <c r="BB293" s="66">
        <v>1</v>
      </c>
      <c r="BC293" s="66"/>
      <c r="BD293" s="66"/>
      <c r="BE293" s="67">
        <f t="shared" si="109"/>
        <v>1459022.8333333333</v>
      </c>
      <c r="BF293" s="67">
        <f t="shared" si="100"/>
        <v>0</v>
      </c>
      <c r="BG293" s="67">
        <f t="shared" si="107"/>
        <v>0</v>
      </c>
      <c r="BH293" s="66"/>
      <c r="BI293" s="68" t="s">
        <v>828</v>
      </c>
      <c r="BJ293" s="68" t="s">
        <v>85</v>
      </c>
      <c r="BK293" s="68" t="s">
        <v>85</v>
      </c>
      <c r="BL293" s="29"/>
      <c r="BO293" s="35" t="s">
        <v>1800</v>
      </c>
      <c r="BP293" s="1" t="s">
        <v>1822</v>
      </c>
    </row>
    <row r="294" spans="1:68" ht="15" customHeight="1">
      <c r="A294" s="1" t="s">
        <v>43</v>
      </c>
      <c r="C294" s="1" t="str">
        <f t="shared" si="102"/>
        <v>2901</v>
      </c>
      <c r="D294" s="1" t="str">
        <f t="shared" si="103"/>
        <v>2101</v>
      </c>
      <c r="E294" s="19" t="s">
        <v>48</v>
      </c>
      <c r="F294" s="62" t="s">
        <v>49</v>
      </c>
      <c r="G294" s="62">
        <v>2112</v>
      </c>
      <c r="H294" s="62" t="s">
        <v>889</v>
      </c>
      <c r="I294" s="62" t="s">
        <v>776</v>
      </c>
      <c r="J294" s="118">
        <v>1</v>
      </c>
      <c r="K294" s="119" t="s">
        <v>619</v>
      </c>
      <c r="L294" s="62" t="s">
        <v>877</v>
      </c>
      <c r="M294" s="120" t="s">
        <v>878</v>
      </c>
      <c r="N294" s="63">
        <v>44062</v>
      </c>
      <c r="O294" s="131">
        <v>5964.2857142857147</v>
      </c>
      <c r="P294" s="24">
        <v>23300.799999999999</v>
      </c>
      <c r="Q294" s="64">
        <v>138972629</v>
      </c>
      <c r="R294" s="64"/>
      <c r="S294" s="64"/>
      <c r="T294" s="64">
        <v>1093563.3214285714</v>
      </c>
      <c r="U294" s="64" t="s">
        <v>879</v>
      </c>
      <c r="V294" s="121">
        <v>140066192</v>
      </c>
      <c r="W294" s="122">
        <v>0</v>
      </c>
      <c r="X294" s="64">
        <v>140066192</v>
      </c>
      <c r="Y294" s="121"/>
      <c r="Z294" s="121"/>
      <c r="AA294" s="121"/>
      <c r="AB294" s="121"/>
      <c r="AC294" s="64">
        <v>140066192</v>
      </c>
      <c r="AD294" s="65">
        <v>44224</v>
      </c>
      <c r="AE294" s="65">
        <v>47145</v>
      </c>
      <c r="AF294" s="62">
        <v>8</v>
      </c>
      <c r="AG294" s="119">
        <v>96</v>
      </c>
      <c r="AH294" s="25">
        <v>1459022.8333333333</v>
      </c>
      <c r="AI294" s="78">
        <v>51254064.365591399</v>
      </c>
      <c r="AJ294" s="78">
        <v>88812127.634408593</v>
      </c>
      <c r="AK294" s="27">
        <f t="shared" si="104"/>
        <v>1459022.8333333333</v>
      </c>
      <c r="AL294" s="27">
        <f t="shared" si="108"/>
        <v>1459022.8333333333</v>
      </c>
      <c r="AM294" s="27">
        <f t="shared" si="108"/>
        <v>1459022.8333333333</v>
      </c>
      <c r="AN294" s="27">
        <f t="shared" si="96"/>
        <v>1459022.8333333333</v>
      </c>
      <c r="AO294" s="27">
        <f t="shared" si="97"/>
        <v>1459022.8333333333</v>
      </c>
      <c r="AP294" s="27">
        <f t="shared" si="97"/>
        <v>1459022.8333333333</v>
      </c>
      <c r="AQ294" s="27">
        <f t="shared" si="98"/>
        <v>1459022.8333333333</v>
      </c>
      <c r="AR294" s="27">
        <f t="shared" si="99"/>
        <v>1459022.8333333333</v>
      </c>
      <c r="AS294" s="27"/>
      <c r="AT294" s="27"/>
      <c r="AU294" s="27"/>
      <c r="AV294" s="27"/>
      <c r="AW294" s="27">
        <f t="shared" si="101"/>
        <v>11672182.666666668</v>
      </c>
      <c r="AX294" s="79">
        <f t="shared" si="105"/>
        <v>77139944.967741922</v>
      </c>
      <c r="AY294" s="79">
        <f t="shared" si="106"/>
        <v>62926247.032258064</v>
      </c>
      <c r="AZ294" s="25">
        <v>1</v>
      </c>
      <c r="BA294" s="62" t="s">
        <v>97</v>
      </c>
      <c r="BB294" s="66">
        <v>1</v>
      </c>
      <c r="BC294" s="66"/>
      <c r="BD294" s="66"/>
      <c r="BE294" s="67">
        <f t="shared" si="109"/>
        <v>1459022.8333333333</v>
      </c>
      <c r="BF294" s="67">
        <f t="shared" si="100"/>
        <v>0</v>
      </c>
      <c r="BG294" s="67">
        <f t="shared" si="107"/>
        <v>0</v>
      </c>
      <c r="BH294" s="66"/>
      <c r="BI294" s="68" t="s">
        <v>828</v>
      </c>
      <c r="BJ294" s="68" t="s">
        <v>85</v>
      </c>
      <c r="BK294" s="68" t="s">
        <v>85</v>
      </c>
      <c r="BL294" s="29"/>
      <c r="BO294" s="35" t="s">
        <v>1800</v>
      </c>
      <c r="BP294" s="1" t="s">
        <v>1822</v>
      </c>
    </row>
    <row r="295" spans="1:68" ht="15" customHeight="1">
      <c r="A295" s="1" t="s">
        <v>43</v>
      </c>
      <c r="C295" s="1" t="str">
        <f t="shared" si="102"/>
        <v>2901</v>
      </c>
      <c r="D295" s="1" t="str">
        <f t="shared" si="103"/>
        <v>2101</v>
      </c>
      <c r="E295" s="19" t="s">
        <v>48</v>
      </c>
      <c r="F295" s="62" t="s">
        <v>49</v>
      </c>
      <c r="G295" s="62">
        <v>2112</v>
      </c>
      <c r="H295" s="62" t="s">
        <v>890</v>
      </c>
      <c r="I295" s="62" t="s">
        <v>776</v>
      </c>
      <c r="J295" s="118">
        <v>1</v>
      </c>
      <c r="K295" s="119" t="s">
        <v>619</v>
      </c>
      <c r="L295" s="62" t="s">
        <v>877</v>
      </c>
      <c r="M295" s="120" t="s">
        <v>878</v>
      </c>
      <c r="N295" s="63">
        <v>44062</v>
      </c>
      <c r="O295" s="131">
        <v>5964.2857142857147</v>
      </c>
      <c r="P295" s="24">
        <v>23300.799999999999</v>
      </c>
      <c r="Q295" s="64">
        <v>138972629</v>
      </c>
      <c r="R295" s="64"/>
      <c r="S295" s="64"/>
      <c r="T295" s="64">
        <v>1093563.3214285714</v>
      </c>
      <c r="U295" s="64" t="s">
        <v>879</v>
      </c>
      <c r="V295" s="121">
        <v>140066192</v>
      </c>
      <c r="W295" s="122">
        <v>0</v>
      </c>
      <c r="X295" s="64">
        <v>140066192</v>
      </c>
      <c r="Y295" s="121"/>
      <c r="Z295" s="121"/>
      <c r="AA295" s="121"/>
      <c r="AB295" s="121"/>
      <c r="AC295" s="64">
        <v>140066192</v>
      </c>
      <c r="AD295" s="65">
        <v>44224</v>
      </c>
      <c r="AE295" s="65">
        <v>47145</v>
      </c>
      <c r="AF295" s="62">
        <v>8</v>
      </c>
      <c r="AG295" s="119">
        <v>96</v>
      </c>
      <c r="AH295" s="25">
        <v>1459022.8333333333</v>
      </c>
      <c r="AI295" s="78">
        <v>51254064.365591399</v>
      </c>
      <c r="AJ295" s="78">
        <v>88812127.634408593</v>
      </c>
      <c r="AK295" s="27">
        <f t="shared" si="104"/>
        <v>1459022.8333333333</v>
      </c>
      <c r="AL295" s="27">
        <f t="shared" si="108"/>
        <v>1459022.8333333333</v>
      </c>
      <c r="AM295" s="27">
        <f t="shared" si="108"/>
        <v>1459022.8333333333</v>
      </c>
      <c r="AN295" s="27">
        <f t="shared" si="96"/>
        <v>1459022.8333333333</v>
      </c>
      <c r="AO295" s="27">
        <f t="shared" si="97"/>
        <v>1459022.8333333333</v>
      </c>
      <c r="AP295" s="27">
        <f t="shared" si="97"/>
        <v>1459022.8333333333</v>
      </c>
      <c r="AQ295" s="27">
        <f t="shared" si="98"/>
        <v>1459022.8333333333</v>
      </c>
      <c r="AR295" s="27">
        <f t="shared" si="99"/>
        <v>1459022.8333333333</v>
      </c>
      <c r="AS295" s="27"/>
      <c r="AT295" s="27"/>
      <c r="AU295" s="27"/>
      <c r="AV295" s="27"/>
      <c r="AW295" s="27">
        <f t="shared" si="101"/>
        <v>11672182.666666668</v>
      </c>
      <c r="AX295" s="79">
        <f t="shared" si="105"/>
        <v>77139944.967741922</v>
      </c>
      <c r="AY295" s="79">
        <f t="shared" si="106"/>
        <v>62926247.032258064</v>
      </c>
      <c r="AZ295" s="25">
        <v>1</v>
      </c>
      <c r="BA295" s="62" t="s">
        <v>97</v>
      </c>
      <c r="BB295" s="66">
        <v>1</v>
      </c>
      <c r="BC295" s="66"/>
      <c r="BD295" s="66"/>
      <c r="BE295" s="67">
        <f t="shared" si="109"/>
        <v>1459022.8333333333</v>
      </c>
      <c r="BF295" s="67">
        <f t="shared" si="100"/>
        <v>0</v>
      </c>
      <c r="BG295" s="67">
        <f t="shared" si="107"/>
        <v>0</v>
      </c>
      <c r="BH295" s="66"/>
      <c r="BI295" s="68" t="s">
        <v>830</v>
      </c>
      <c r="BJ295" s="68" t="s">
        <v>85</v>
      </c>
      <c r="BK295" s="68" t="s">
        <v>85</v>
      </c>
      <c r="BL295" s="29"/>
      <c r="BO295" s="35" t="s">
        <v>1800</v>
      </c>
      <c r="BP295" s="1" t="s">
        <v>1816</v>
      </c>
    </row>
    <row r="296" spans="1:68" ht="15" customHeight="1">
      <c r="A296" s="1" t="s">
        <v>43</v>
      </c>
      <c r="C296" s="1" t="str">
        <f t="shared" si="102"/>
        <v>2901</v>
      </c>
      <c r="D296" s="1" t="str">
        <f t="shared" si="103"/>
        <v>2101</v>
      </c>
      <c r="E296" s="19" t="s">
        <v>48</v>
      </c>
      <c r="F296" s="62" t="s">
        <v>49</v>
      </c>
      <c r="G296" s="62">
        <v>2112</v>
      </c>
      <c r="H296" s="62" t="s">
        <v>891</v>
      </c>
      <c r="I296" s="62" t="s">
        <v>776</v>
      </c>
      <c r="J296" s="118">
        <v>1</v>
      </c>
      <c r="K296" s="119" t="s">
        <v>619</v>
      </c>
      <c r="L296" s="62" t="s">
        <v>877</v>
      </c>
      <c r="M296" s="120" t="s">
        <v>878</v>
      </c>
      <c r="N296" s="63">
        <v>44062</v>
      </c>
      <c r="O296" s="131">
        <v>5964.2857142857147</v>
      </c>
      <c r="P296" s="24">
        <v>23300.799999999999</v>
      </c>
      <c r="Q296" s="64">
        <v>138972629</v>
      </c>
      <c r="R296" s="64"/>
      <c r="S296" s="64"/>
      <c r="T296" s="64">
        <v>1093563.3214285714</v>
      </c>
      <c r="U296" s="64" t="s">
        <v>879</v>
      </c>
      <c r="V296" s="121">
        <v>140066192</v>
      </c>
      <c r="W296" s="122">
        <v>0</v>
      </c>
      <c r="X296" s="64">
        <v>140066192</v>
      </c>
      <c r="Y296" s="121"/>
      <c r="Z296" s="121"/>
      <c r="AA296" s="121"/>
      <c r="AB296" s="121"/>
      <c r="AC296" s="64">
        <v>140066192</v>
      </c>
      <c r="AD296" s="65">
        <v>44224</v>
      </c>
      <c r="AE296" s="65">
        <v>47145</v>
      </c>
      <c r="AF296" s="62">
        <v>8</v>
      </c>
      <c r="AG296" s="119">
        <v>96</v>
      </c>
      <c r="AH296" s="25">
        <v>1459022.8333333333</v>
      </c>
      <c r="AI296" s="78">
        <v>51254064.365591399</v>
      </c>
      <c r="AJ296" s="78">
        <v>88812127.634408593</v>
      </c>
      <c r="AK296" s="27">
        <f t="shared" si="104"/>
        <v>1459022.8333333333</v>
      </c>
      <c r="AL296" s="27">
        <f t="shared" si="108"/>
        <v>1459022.8333333333</v>
      </c>
      <c r="AM296" s="27">
        <f t="shared" si="108"/>
        <v>1459022.8333333333</v>
      </c>
      <c r="AN296" s="27">
        <f t="shared" ref="AN296:AN351" si="110">+IF(AND(AN$3&gt;=$D296,AN$3&lt;$C296),$AH296,$AJ296-SUM(AL296:AM296))</f>
        <v>1459022.8333333333</v>
      </c>
      <c r="AO296" s="27">
        <f t="shared" ref="AO296:AP351" si="111">+IF(AND(AO$3&gt;=$D296,AO$3&lt;$C296),$AH296,$AJ296-SUM(AM296:AN296))</f>
        <v>1459022.8333333333</v>
      </c>
      <c r="AP296" s="27">
        <f t="shared" si="111"/>
        <v>1459022.8333333333</v>
      </c>
      <c r="AQ296" s="27">
        <f t="shared" ref="AQ296:AQ351" si="112">+IF(AND(AQ$3&gt;=$D296,AQ$3&lt;$C296),$AH296,$AJ296-SUM(AK296:AP296))</f>
        <v>1459022.8333333333</v>
      </c>
      <c r="AR296" s="27">
        <f t="shared" ref="AR296:AR351" si="113">+IF(AND(AR$3&gt;=$D296,AR$3&lt;$C296),$AH296,$AJ296-SUM(AL296:AQ296))</f>
        <v>1459022.8333333333</v>
      </c>
      <c r="AS296" s="27"/>
      <c r="AT296" s="27"/>
      <c r="AU296" s="27"/>
      <c r="AV296" s="27"/>
      <c r="AW296" s="27">
        <f t="shared" si="101"/>
        <v>11672182.666666668</v>
      </c>
      <c r="AX296" s="79">
        <f t="shared" si="105"/>
        <v>77139944.967741922</v>
      </c>
      <c r="AY296" s="79">
        <f t="shared" si="106"/>
        <v>62926247.032258064</v>
      </c>
      <c r="AZ296" s="25">
        <v>1</v>
      </c>
      <c r="BA296" s="62" t="s">
        <v>97</v>
      </c>
      <c r="BB296" s="66">
        <v>1</v>
      </c>
      <c r="BC296" s="66"/>
      <c r="BD296" s="66"/>
      <c r="BE296" s="67">
        <f t="shared" si="109"/>
        <v>1459022.8333333333</v>
      </c>
      <c r="BF296" s="67">
        <f t="shared" ref="BF296:BF351" si="114">+$AM296*BC296</f>
        <v>0</v>
      </c>
      <c r="BG296" s="67">
        <f t="shared" si="107"/>
        <v>0</v>
      </c>
      <c r="BH296" s="66"/>
      <c r="BI296" s="68" t="s">
        <v>830</v>
      </c>
      <c r="BJ296" s="68" t="s">
        <v>85</v>
      </c>
      <c r="BK296" s="68" t="s">
        <v>85</v>
      </c>
      <c r="BL296" s="29"/>
      <c r="BO296" s="35" t="s">
        <v>1800</v>
      </c>
      <c r="BP296" s="1" t="s">
        <v>1816</v>
      </c>
    </row>
    <row r="297" spans="1:68" ht="15" customHeight="1">
      <c r="A297" s="1" t="s">
        <v>43</v>
      </c>
      <c r="C297" s="1" t="str">
        <f t="shared" si="102"/>
        <v>2901</v>
      </c>
      <c r="D297" s="1" t="str">
        <f t="shared" si="103"/>
        <v>2101</v>
      </c>
      <c r="E297" s="19" t="s">
        <v>48</v>
      </c>
      <c r="F297" s="62" t="s">
        <v>49</v>
      </c>
      <c r="G297" s="62">
        <v>2112</v>
      </c>
      <c r="H297" s="62" t="s">
        <v>892</v>
      </c>
      <c r="I297" s="62" t="s">
        <v>776</v>
      </c>
      <c r="J297" s="118">
        <v>1</v>
      </c>
      <c r="K297" s="119" t="s">
        <v>619</v>
      </c>
      <c r="L297" s="62" t="s">
        <v>877</v>
      </c>
      <c r="M297" s="120" t="s">
        <v>878</v>
      </c>
      <c r="N297" s="63">
        <v>44062</v>
      </c>
      <c r="O297" s="131">
        <v>5964.2857142857147</v>
      </c>
      <c r="P297" s="24">
        <v>23300.799999999999</v>
      </c>
      <c r="Q297" s="64">
        <v>138972629</v>
      </c>
      <c r="R297" s="64"/>
      <c r="S297" s="64"/>
      <c r="T297" s="64">
        <v>1093563.3214285714</v>
      </c>
      <c r="U297" s="64" t="s">
        <v>879</v>
      </c>
      <c r="V297" s="121">
        <v>140066192</v>
      </c>
      <c r="W297" s="122">
        <v>0</v>
      </c>
      <c r="X297" s="64">
        <v>140066192</v>
      </c>
      <c r="Y297" s="121"/>
      <c r="Z297" s="121"/>
      <c r="AA297" s="121"/>
      <c r="AB297" s="121"/>
      <c r="AC297" s="64">
        <v>140066192</v>
      </c>
      <c r="AD297" s="65">
        <v>44224</v>
      </c>
      <c r="AE297" s="65">
        <v>47145</v>
      </c>
      <c r="AF297" s="62">
        <v>8</v>
      </c>
      <c r="AG297" s="119">
        <v>96</v>
      </c>
      <c r="AH297" s="25">
        <v>1459022.8333333333</v>
      </c>
      <c r="AI297" s="78">
        <v>51254064.365591399</v>
      </c>
      <c r="AJ297" s="78">
        <v>88812127.634408593</v>
      </c>
      <c r="AK297" s="27">
        <f t="shared" si="104"/>
        <v>1459022.8333333333</v>
      </c>
      <c r="AL297" s="27">
        <f t="shared" si="108"/>
        <v>1459022.8333333333</v>
      </c>
      <c r="AM297" s="27">
        <f t="shared" si="108"/>
        <v>1459022.8333333333</v>
      </c>
      <c r="AN297" s="27">
        <f t="shared" si="110"/>
        <v>1459022.8333333333</v>
      </c>
      <c r="AO297" s="27">
        <f t="shared" si="111"/>
        <v>1459022.8333333333</v>
      </c>
      <c r="AP297" s="27">
        <f t="shared" si="111"/>
        <v>1459022.8333333333</v>
      </c>
      <c r="AQ297" s="27">
        <f t="shared" si="112"/>
        <v>1459022.8333333333</v>
      </c>
      <c r="AR297" s="27">
        <f t="shared" si="113"/>
        <v>1459022.8333333333</v>
      </c>
      <c r="AS297" s="27"/>
      <c r="AT297" s="27"/>
      <c r="AU297" s="27"/>
      <c r="AV297" s="27"/>
      <c r="AW297" s="27">
        <f t="shared" si="101"/>
        <v>11672182.666666668</v>
      </c>
      <c r="AX297" s="79">
        <f t="shared" si="105"/>
        <v>77139944.967741922</v>
      </c>
      <c r="AY297" s="79">
        <f t="shared" si="106"/>
        <v>62926247.032258064</v>
      </c>
      <c r="AZ297" s="25">
        <v>1</v>
      </c>
      <c r="BA297" s="62" t="s">
        <v>97</v>
      </c>
      <c r="BB297" s="66">
        <v>1</v>
      </c>
      <c r="BC297" s="66"/>
      <c r="BD297" s="66"/>
      <c r="BE297" s="67">
        <f t="shared" si="109"/>
        <v>1459022.8333333333</v>
      </c>
      <c r="BF297" s="67">
        <f t="shared" si="114"/>
        <v>0</v>
      </c>
      <c r="BG297" s="67">
        <f t="shared" si="107"/>
        <v>0</v>
      </c>
      <c r="BH297" s="66"/>
      <c r="BI297" s="68" t="s">
        <v>830</v>
      </c>
      <c r="BJ297" s="68" t="s">
        <v>85</v>
      </c>
      <c r="BK297" s="68" t="s">
        <v>85</v>
      </c>
      <c r="BL297" s="29"/>
      <c r="BO297" s="35" t="s">
        <v>1800</v>
      </c>
      <c r="BP297" s="1" t="s">
        <v>1816</v>
      </c>
    </row>
    <row r="298" spans="1:68" ht="15" customHeight="1">
      <c r="A298" s="1" t="s">
        <v>43</v>
      </c>
      <c r="C298" s="1" t="str">
        <f t="shared" si="102"/>
        <v>2901</v>
      </c>
      <c r="D298" s="1" t="str">
        <f t="shared" si="103"/>
        <v>2101</v>
      </c>
      <c r="E298" s="19" t="s">
        <v>48</v>
      </c>
      <c r="F298" s="62" t="s">
        <v>49</v>
      </c>
      <c r="G298" s="62">
        <v>2112</v>
      </c>
      <c r="H298" s="62" t="s">
        <v>893</v>
      </c>
      <c r="I298" s="62" t="s">
        <v>776</v>
      </c>
      <c r="J298" s="118">
        <v>1</v>
      </c>
      <c r="K298" s="119" t="s">
        <v>619</v>
      </c>
      <c r="L298" s="62" t="s">
        <v>877</v>
      </c>
      <c r="M298" s="120" t="s">
        <v>878</v>
      </c>
      <c r="N298" s="63">
        <v>44062</v>
      </c>
      <c r="O298" s="131">
        <v>5964.2857142857147</v>
      </c>
      <c r="P298" s="24">
        <v>23300.799999999999</v>
      </c>
      <c r="Q298" s="64">
        <v>138972629</v>
      </c>
      <c r="R298" s="64"/>
      <c r="S298" s="64"/>
      <c r="T298" s="64">
        <v>1093563.3214285714</v>
      </c>
      <c r="U298" s="64" t="s">
        <v>879</v>
      </c>
      <c r="V298" s="121">
        <v>140066192</v>
      </c>
      <c r="W298" s="122">
        <v>0</v>
      </c>
      <c r="X298" s="64">
        <v>140066192</v>
      </c>
      <c r="Y298" s="121"/>
      <c r="Z298" s="121"/>
      <c r="AA298" s="121"/>
      <c r="AB298" s="121"/>
      <c r="AC298" s="64">
        <v>140066192</v>
      </c>
      <c r="AD298" s="65">
        <v>44224</v>
      </c>
      <c r="AE298" s="65">
        <v>47145</v>
      </c>
      <c r="AF298" s="62">
        <v>8</v>
      </c>
      <c r="AG298" s="119">
        <v>96</v>
      </c>
      <c r="AH298" s="25">
        <v>1459022.8333333333</v>
      </c>
      <c r="AI298" s="78">
        <v>51254064.365591399</v>
      </c>
      <c r="AJ298" s="78">
        <v>88812127.634408593</v>
      </c>
      <c r="AK298" s="27">
        <f t="shared" si="104"/>
        <v>1459022.8333333333</v>
      </c>
      <c r="AL298" s="27">
        <f t="shared" si="108"/>
        <v>1459022.8333333333</v>
      </c>
      <c r="AM298" s="27">
        <f t="shared" si="108"/>
        <v>1459022.8333333333</v>
      </c>
      <c r="AN298" s="27">
        <f t="shared" si="110"/>
        <v>1459022.8333333333</v>
      </c>
      <c r="AO298" s="27">
        <f t="shared" si="111"/>
        <v>1459022.8333333333</v>
      </c>
      <c r="AP298" s="27">
        <f t="shared" si="111"/>
        <v>1459022.8333333333</v>
      </c>
      <c r="AQ298" s="27">
        <f t="shared" si="112"/>
        <v>1459022.8333333333</v>
      </c>
      <c r="AR298" s="27">
        <f t="shared" si="113"/>
        <v>1459022.8333333333</v>
      </c>
      <c r="AS298" s="27"/>
      <c r="AT298" s="27"/>
      <c r="AU298" s="27"/>
      <c r="AV298" s="27"/>
      <c r="AW298" s="27">
        <f t="shared" si="101"/>
        <v>11672182.666666668</v>
      </c>
      <c r="AX298" s="79">
        <f t="shared" si="105"/>
        <v>77139944.967741922</v>
      </c>
      <c r="AY298" s="79">
        <f t="shared" si="106"/>
        <v>62926247.032258064</v>
      </c>
      <c r="AZ298" s="25">
        <v>1</v>
      </c>
      <c r="BA298" s="62" t="s">
        <v>97</v>
      </c>
      <c r="BB298" s="66">
        <v>1</v>
      </c>
      <c r="BC298" s="66"/>
      <c r="BD298" s="66"/>
      <c r="BE298" s="67">
        <f t="shared" si="109"/>
        <v>1459022.8333333333</v>
      </c>
      <c r="BF298" s="67">
        <f t="shared" si="114"/>
        <v>0</v>
      </c>
      <c r="BG298" s="67">
        <f t="shared" si="107"/>
        <v>0</v>
      </c>
      <c r="BH298" s="66"/>
      <c r="BI298" s="68" t="s">
        <v>894</v>
      </c>
      <c r="BJ298" s="68" t="s">
        <v>85</v>
      </c>
      <c r="BK298" s="68" t="s">
        <v>85</v>
      </c>
      <c r="BL298" s="29"/>
      <c r="BO298" s="35" t="s">
        <v>1800</v>
      </c>
      <c r="BP298" s="1" t="s">
        <v>1810</v>
      </c>
    </row>
    <row r="299" spans="1:68" ht="15" customHeight="1">
      <c r="A299" s="1" t="s">
        <v>43</v>
      </c>
      <c r="C299" s="1" t="str">
        <f t="shared" si="102"/>
        <v>2901</v>
      </c>
      <c r="D299" s="1" t="str">
        <f t="shared" si="103"/>
        <v>2101</v>
      </c>
      <c r="E299" s="19" t="s">
        <v>48</v>
      </c>
      <c r="F299" s="62" t="s">
        <v>49</v>
      </c>
      <c r="G299" s="62">
        <v>2112</v>
      </c>
      <c r="H299" s="62" t="s">
        <v>895</v>
      </c>
      <c r="I299" s="62" t="s">
        <v>776</v>
      </c>
      <c r="J299" s="118">
        <v>1</v>
      </c>
      <c r="K299" s="119" t="s">
        <v>619</v>
      </c>
      <c r="L299" s="62" t="s">
        <v>877</v>
      </c>
      <c r="M299" s="120" t="s">
        <v>878</v>
      </c>
      <c r="N299" s="63">
        <v>44062</v>
      </c>
      <c r="O299" s="131">
        <v>5964.2857142857147</v>
      </c>
      <c r="P299" s="24">
        <v>23300.799999999999</v>
      </c>
      <c r="Q299" s="64">
        <v>138972629</v>
      </c>
      <c r="R299" s="64"/>
      <c r="S299" s="64"/>
      <c r="T299" s="64">
        <v>1093563.3214285714</v>
      </c>
      <c r="U299" s="64" t="s">
        <v>879</v>
      </c>
      <c r="V299" s="121">
        <v>140066192</v>
      </c>
      <c r="W299" s="122">
        <v>0</v>
      </c>
      <c r="X299" s="64">
        <v>140066192</v>
      </c>
      <c r="Y299" s="121"/>
      <c r="Z299" s="121"/>
      <c r="AA299" s="121"/>
      <c r="AB299" s="121"/>
      <c r="AC299" s="64">
        <v>140066192</v>
      </c>
      <c r="AD299" s="65">
        <v>44224</v>
      </c>
      <c r="AE299" s="65">
        <v>47145</v>
      </c>
      <c r="AF299" s="62">
        <v>8</v>
      </c>
      <c r="AG299" s="119">
        <v>96</v>
      </c>
      <c r="AH299" s="25">
        <v>1459022.8333333333</v>
      </c>
      <c r="AI299" s="78">
        <v>51254064.365591399</v>
      </c>
      <c r="AJ299" s="78">
        <v>88812127.634408593</v>
      </c>
      <c r="AK299" s="27">
        <f t="shared" si="104"/>
        <v>1459022.8333333333</v>
      </c>
      <c r="AL299" s="27">
        <f t="shared" si="108"/>
        <v>1459022.8333333333</v>
      </c>
      <c r="AM299" s="27">
        <f t="shared" si="108"/>
        <v>1459022.8333333333</v>
      </c>
      <c r="AN299" s="27">
        <f t="shared" si="110"/>
        <v>1459022.8333333333</v>
      </c>
      <c r="AO299" s="27">
        <f t="shared" si="111"/>
        <v>1459022.8333333333</v>
      </c>
      <c r="AP299" s="27">
        <f t="shared" si="111"/>
        <v>1459022.8333333333</v>
      </c>
      <c r="AQ299" s="27">
        <f t="shared" si="112"/>
        <v>1459022.8333333333</v>
      </c>
      <c r="AR299" s="27">
        <f t="shared" si="113"/>
        <v>1459022.8333333333</v>
      </c>
      <c r="AS299" s="27"/>
      <c r="AT299" s="27"/>
      <c r="AU299" s="27"/>
      <c r="AV299" s="27"/>
      <c r="AW299" s="27">
        <f t="shared" si="101"/>
        <v>11672182.666666668</v>
      </c>
      <c r="AX299" s="79">
        <f t="shared" si="105"/>
        <v>77139944.967741922</v>
      </c>
      <c r="AY299" s="79">
        <f t="shared" si="106"/>
        <v>62926247.032258064</v>
      </c>
      <c r="AZ299" s="25">
        <v>1</v>
      </c>
      <c r="BA299" s="62" t="s">
        <v>97</v>
      </c>
      <c r="BB299" s="66">
        <v>1</v>
      </c>
      <c r="BC299" s="66"/>
      <c r="BD299" s="66"/>
      <c r="BE299" s="67">
        <f t="shared" si="109"/>
        <v>1459022.8333333333</v>
      </c>
      <c r="BF299" s="67">
        <f t="shared" si="114"/>
        <v>0</v>
      </c>
      <c r="BG299" s="67">
        <f t="shared" si="107"/>
        <v>0</v>
      </c>
      <c r="BH299" s="66"/>
      <c r="BI299" s="68" t="s">
        <v>894</v>
      </c>
      <c r="BJ299" s="68" t="s">
        <v>85</v>
      </c>
      <c r="BK299" s="68" t="s">
        <v>85</v>
      </c>
      <c r="BL299" s="29"/>
      <c r="BO299" s="35" t="s">
        <v>1800</v>
      </c>
      <c r="BP299" s="1" t="s">
        <v>1810</v>
      </c>
    </row>
    <row r="300" spans="1:68" ht="15" customHeight="1">
      <c r="A300" s="1" t="s">
        <v>43</v>
      </c>
      <c r="C300" s="1" t="str">
        <f t="shared" si="102"/>
        <v>2901</v>
      </c>
      <c r="D300" s="1" t="str">
        <f t="shared" si="103"/>
        <v>2101</v>
      </c>
      <c r="E300" s="19" t="s">
        <v>48</v>
      </c>
      <c r="F300" s="62" t="s">
        <v>49</v>
      </c>
      <c r="G300" s="62">
        <v>2112</v>
      </c>
      <c r="H300" s="62" t="s">
        <v>896</v>
      </c>
      <c r="I300" s="62" t="s">
        <v>776</v>
      </c>
      <c r="J300" s="118">
        <v>1</v>
      </c>
      <c r="K300" s="119" t="s">
        <v>619</v>
      </c>
      <c r="L300" s="62" t="s">
        <v>877</v>
      </c>
      <c r="M300" s="120" t="s">
        <v>878</v>
      </c>
      <c r="N300" s="63">
        <v>44062</v>
      </c>
      <c r="O300" s="131">
        <v>5964.2857142857147</v>
      </c>
      <c r="P300" s="24">
        <v>23300.799999999999</v>
      </c>
      <c r="Q300" s="64">
        <v>138972629</v>
      </c>
      <c r="R300" s="64"/>
      <c r="S300" s="64"/>
      <c r="T300" s="64">
        <v>1093563.3214285714</v>
      </c>
      <c r="U300" s="64" t="s">
        <v>879</v>
      </c>
      <c r="V300" s="121">
        <v>140066192</v>
      </c>
      <c r="W300" s="122">
        <v>0</v>
      </c>
      <c r="X300" s="64">
        <v>140066192</v>
      </c>
      <c r="Y300" s="121"/>
      <c r="Z300" s="121"/>
      <c r="AA300" s="121"/>
      <c r="AB300" s="121"/>
      <c r="AC300" s="64">
        <v>140066192</v>
      </c>
      <c r="AD300" s="65">
        <v>44224</v>
      </c>
      <c r="AE300" s="65">
        <v>47145</v>
      </c>
      <c r="AF300" s="62">
        <v>8</v>
      </c>
      <c r="AG300" s="119">
        <v>96</v>
      </c>
      <c r="AH300" s="25">
        <v>1459022.8333333333</v>
      </c>
      <c r="AI300" s="78">
        <v>51254064.365591399</v>
      </c>
      <c r="AJ300" s="78">
        <v>88812127.634408593</v>
      </c>
      <c r="AK300" s="27">
        <f t="shared" si="104"/>
        <v>1459022.8333333333</v>
      </c>
      <c r="AL300" s="27">
        <f t="shared" si="108"/>
        <v>1459022.8333333333</v>
      </c>
      <c r="AM300" s="27">
        <f t="shared" si="108"/>
        <v>1459022.8333333333</v>
      </c>
      <c r="AN300" s="27">
        <f t="shared" si="110"/>
        <v>1459022.8333333333</v>
      </c>
      <c r="AO300" s="27">
        <f t="shared" si="111"/>
        <v>1459022.8333333333</v>
      </c>
      <c r="AP300" s="27">
        <f t="shared" si="111"/>
        <v>1459022.8333333333</v>
      </c>
      <c r="AQ300" s="27">
        <f t="shared" si="112"/>
        <v>1459022.8333333333</v>
      </c>
      <c r="AR300" s="27">
        <f t="shared" si="113"/>
        <v>1459022.8333333333</v>
      </c>
      <c r="AS300" s="27"/>
      <c r="AT300" s="27"/>
      <c r="AU300" s="27"/>
      <c r="AV300" s="27"/>
      <c r="AW300" s="27">
        <f t="shared" si="101"/>
        <v>11672182.666666668</v>
      </c>
      <c r="AX300" s="79">
        <f t="shared" si="105"/>
        <v>77139944.967741922</v>
      </c>
      <c r="AY300" s="79">
        <f t="shared" si="106"/>
        <v>62926247.032258064</v>
      </c>
      <c r="AZ300" s="25">
        <v>1</v>
      </c>
      <c r="BA300" s="62" t="s">
        <v>97</v>
      </c>
      <c r="BB300" s="66">
        <v>1</v>
      </c>
      <c r="BC300" s="66"/>
      <c r="BD300" s="66"/>
      <c r="BE300" s="67">
        <f t="shared" si="109"/>
        <v>1459022.8333333333</v>
      </c>
      <c r="BF300" s="67">
        <f t="shared" si="114"/>
        <v>0</v>
      </c>
      <c r="BG300" s="67">
        <f t="shared" si="107"/>
        <v>0</v>
      </c>
      <c r="BH300" s="66"/>
      <c r="BI300" s="68" t="s">
        <v>894</v>
      </c>
      <c r="BJ300" s="68" t="s">
        <v>85</v>
      </c>
      <c r="BK300" s="68" t="s">
        <v>85</v>
      </c>
      <c r="BL300" s="29"/>
      <c r="BO300" s="35" t="s">
        <v>1800</v>
      </c>
      <c r="BP300" s="1" t="s">
        <v>1810</v>
      </c>
    </row>
    <row r="301" spans="1:68" ht="15" customHeight="1">
      <c r="A301" s="1" t="s">
        <v>43</v>
      </c>
      <c r="C301" s="1" t="str">
        <f t="shared" si="102"/>
        <v>2901</v>
      </c>
      <c r="D301" s="1" t="str">
        <f t="shared" si="103"/>
        <v>2101</v>
      </c>
      <c r="E301" s="19" t="s">
        <v>48</v>
      </c>
      <c r="F301" s="62" t="s">
        <v>49</v>
      </c>
      <c r="G301" s="62">
        <v>2112</v>
      </c>
      <c r="H301" s="62" t="s">
        <v>897</v>
      </c>
      <c r="I301" s="62" t="s">
        <v>776</v>
      </c>
      <c r="J301" s="118">
        <v>1</v>
      </c>
      <c r="K301" s="119" t="s">
        <v>619</v>
      </c>
      <c r="L301" s="62" t="s">
        <v>877</v>
      </c>
      <c r="M301" s="120" t="s">
        <v>878</v>
      </c>
      <c r="N301" s="63">
        <v>44062</v>
      </c>
      <c r="O301" s="131">
        <v>5964.2857142857147</v>
      </c>
      <c r="P301" s="24">
        <v>23300.799999999999</v>
      </c>
      <c r="Q301" s="64">
        <v>138972629</v>
      </c>
      <c r="R301" s="64"/>
      <c r="S301" s="64"/>
      <c r="T301" s="64">
        <v>1093563.3214285714</v>
      </c>
      <c r="U301" s="64" t="s">
        <v>879</v>
      </c>
      <c r="V301" s="121">
        <v>140066192</v>
      </c>
      <c r="W301" s="122">
        <v>0</v>
      </c>
      <c r="X301" s="64">
        <v>140066192</v>
      </c>
      <c r="Y301" s="121"/>
      <c r="Z301" s="121"/>
      <c r="AA301" s="121"/>
      <c r="AB301" s="121"/>
      <c r="AC301" s="64">
        <v>140066192</v>
      </c>
      <c r="AD301" s="65">
        <v>44224</v>
      </c>
      <c r="AE301" s="65">
        <v>47145</v>
      </c>
      <c r="AF301" s="62">
        <v>8</v>
      </c>
      <c r="AG301" s="119">
        <v>96</v>
      </c>
      <c r="AH301" s="25">
        <v>1459022.8333333333</v>
      </c>
      <c r="AI301" s="78">
        <v>51254064.365591399</v>
      </c>
      <c r="AJ301" s="78">
        <v>88812127.634408593</v>
      </c>
      <c r="AK301" s="27">
        <f t="shared" si="104"/>
        <v>1459022.8333333333</v>
      </c>
      <c r="AL301" s="27">
        <f t="shared" si="108"/>
        <v>1459022.8333333333</v>
      </c>
      <c r="AM301" s="27">
        <f t="shared" si="108"/>
        <v>1459022.8333333333</v>
      </c>
      <c r="AN301" s="27">
        <f t="shared" si="110"/>
        <v>1459022.8333333333</v>
      </c>
      <c r="AO301" s="27">
        <f t="shared" si="111"/>
        <v>1459022.8333333333</v>
      </c>
      <c r="AP301" s="27">
        <f t="shared" si="111"/>
        <v>1459022.8333333333</v>
      </c>
      <c r="AQ301" s="27">
        <f t="shared" si="112"/>
        <v>1459022.8333333333</v>
      </c>
      <c r="AR301" s="27">
        <f t="shared" si="113"/>
        <v>1459022.8333333333</v>
      </c>
      <c r="AS301" s="27"/>
      <c r="AT301" s="27"/>
      <c r="AU301" s="27"/>
      <c r="AV301" s="27"/>
      <c r="AW301" s="27">
        <f t="shared" si="101"/>
        <v>11672182.666666668</v>
      </c>
      <c r="AX301" s="79">
        <f t="shared" si="105"/>
        <v>77139944.967741922</v>
      </c>
      <c r="AY301" s="79">
        <f t="shared" si="106"/>
        <v>62926247.032258064</v>
      </c>
      <c r="AZ301" s="25">
        <v>1</v>
      </c>
      <c r="BA301" s="62" t="s">
        <v>97</v>
      </c>
      <c r="BB301" s="66">
        <v>1</v>
      </c>
      <c r="BC301" s="66"/>
      <c r="BD301" s="66"/>
      <c r="BE301" s="67">
        <f t="shared" si="109"/>
        <v>1459022.8333333333</v>
      </c>
      <c r="BF301" s="67">
        <f t="shared" si="114"/>
        <v>0</v>
      </c>
      <c r="BG301" s="67">
        <f t="shared" si="107"/>
        <v>0</v>
      </c>
      <c r="BH301" s="66"/>
      <c r="BI301" s="68" t="s">
        <v>632</v>
      </c>
      <c r="BJ301" s="68" t="s">
        <v>85</v>
      </c>
      <c r="BK301" s="68" t="s">
        <v>85</v>
      </c>
      <c r="BL301" s="29"/>
      <c r="BO301" s="35" t="s">
        <v>1800</v>
      </c>
      <c r="BP301" s="1" t="s">
        <v>1823</v>
      </c>
    </row>
    <row r="302" spans="1:68" ht="15" customHeight="1">
      <c r="A302" s="1" t="s">
        <v>43</v>
      </c>
      <c r="C302" s="1" t="str">
        <f t="shared" si="102"/>
        <v>2901</v>
      </c>
      <c r="D302" s="1" t="str">
        <f t="shared" si="103"/>
        <v>2101</v>
      </c>
      <c r="E302" s="19" t="s">
        <v>48</v>
      </c>
      <c r="F302" s="62" t="s">
        <v>49</v>
      </c>
      <c r="G302" s="62">
        <v>2112</v>
      </c>
      <c r="H302" s="62" t="s">
        <v>898</v>
      </c>
      <c r="I302" s="62" t="s">
        <v>776</v>
      </c>
      <c r="J302" s="118">
        <v>1</v>
      </c>
      <c r="K302" s="119" t="s">
        <v>619</v>
      </c>
      <c r="L302" s="62" t="s">
        <v>877</v>
      </c>
      <c r="M302" s="120" t="s">
        <v>878</v>
      </c>
      <c r="N302" s="63">
        <v>44062</v>
      </c>
      <c r="O302" s="131">
        <v>5964.2857142857147</v>
      </c>
      <c r="P302" s="24">
        <v>23300.799999999999</v>
      </c>
      <c r="Q302" s="64">
        <v>138972629</v>
      </c>
      <c r="R302" s="64"/>
      <c r="S302" s="64"/>
      <c r="T302" s="64">
        <v>1093563.3214285714</v>
      </c>
      <c r="U302" s="64" t="s">
        <v>879</v>
      </c>
      <c r="V302" s="121">
        <v>140066192</v>
      </c>
      <c r="W302" s="122">
        <v>0</v>
      </c>
      <c r="X302" s="64">
        <v>140066192</v>
      </c>
      <c r="Y302" s="121"/>
      <c r="Z302" s="121"/>
      <c r="AA302" s="121"/>
      <c r="AB302" s="121"/>
      <c r="AC302" s="64">
        <v>140066192</v>
      </c>
      <c r="AD302" s="65">
        <v>44224</v>
      </c>
      <c r="AE302" s="65">
        <v>47145</v>
      </c>
      <c r="AF302" s="62">
        <v>8</v>
      </c>
      <c r="AG302" s="119">
        <v>96</v>
      </c>
      <c r="AH302" s="25">
        <v>1459022.8333333333</v>
      </c>
      <c r="AI302" s="78">
        <v>51254064.365591399</v>
      </c>
      <c r="AJ302" s="78">
        <v>88812127.634408593</v>
      </c>
      <c r="AK302" s="27">
        <f t="shared" si="104"/>
        <v>1459022.8333333333</v>
      </c>
      <c r="AL302" s="27">
        <f t="shared" si="108"/>
        <v>1459022.8333333333</v>
      </c>
      <c r="AM302" s="27">
        <f t="shared" si="108"/>
        <v>1459022.8333333333</v>
      </c>
      <c r="AN302" s="27">
        <f t="shared" si="110"/>
        <v>1459022.8333333333</v>
      </c>
      <c r="AO302" s="27">
        <f t="shared" si="111"/>
        <v>1459022.8333333333</v>
      </c>
      <c r="AP302" s="27">
        <f t="shared" si="111"/>
        <v>1459022.8333333333</v>
      </c>
      <c r="AQ302" s="27">
        <f t="shared" si="112"/>
        <v>1459022.8333333333</v>
      </c>
      <c r="AR302" s="27">
        <f t="shared" si="113"/>
        <v>1459022.8333333333</v>
      </c>
      <c r="AS302" s="27"/>
      <c r="AT302" s="27"/>
      <c r="AU302" s="27"/>
      <c r="AV302" s="27"/>
      <c r="AW302" s="27">
        <f t="shared" si="101"/>
        <v>11672182.666666668</v>
      </c>
      <c r="AX302" s="79">
        <f t="shared" si="105"/>
        <v>77139944.967741922</v>
      </c>
      <c r="AY302" s="79">
        <f t="shared" si="106"/>
        <v>62926247.032258064</v>
      </c>
      <c r="AZ302" s="25">
        <v>1</v>
      </c>
      <c r="BA302" s="62" t="s">
        <v>97</v>
      </c>
      <c r="BB302" s="66">
        <v>1</v>
      </c>
      <c r="BC302" s="66"/>
      <c r="BD302" s="66"/>
      <c r="BE302" s="67">
        <f t="shared" si="109"/>
        <v>1459022.8333333333</v>
      </c>
      <c r="BF302" s="67">
        <f t="shared" si="114"/>
        <v>0</v>
      </c>
      <c r="BG302" s="67">
        <f t="shared" si="107"/>
        <v>0</v>
      </c>
      <c r="BH302" s="66"/>
      <c r="BI302" s="68" t="s">
        <v>632</v>
      </c>
      <c r="BJ302" s="68" t="s">
        <v>85</v>
      </c>
      <c r="BK302" s="68" t="s">
        <v>85</v>
      </c>
      <c r="BL302" s="29"/>
      <c r="BO302" s="35" t="s">
        <v>1800</v>
      </c>
      <c r="BP302" s="1" t="s">
        <v>1823</v>
      </c>
    </row>
    <row r="303" spans="1:68" ht="15" customHeight="1">
      <c r="A303" s="1" t="s">
        <v>43</v>
      </c>
      <c r="C303" s="1" t="str">
        <f t="shared" si="102"/>
        <v>2901</v>
      </c>
      <c r="D303" s="1" t="str">
        <f t="shared" si="103"/>
        <v>2101</v>
      </c>
      <c r="E303" s="19" t="s">
        <v>48</v>
      </c>
      <c r="F303" s="62" t="s">
        <v>49</v>
      </c>
      <c r="G303" s="62">
        <v>2112</v>
      </c>
      <c r="H303" s="62" t="s">
        <v>899</v>
      </c>
      <c r="I303" s="62" t="s">
        <v>776</v>
      </c>
      <c r="J303" s="118">
        <v>1</v>
      </c>
      <c r="K303" s="119" t="s">
        <v>619</v>
      </c>
      <c r="L303" s="62" t="s">
        <v>877</v>
      </c>
      <c r="M303" s="120" t="s">
        <v>878</v>
      </c>
      <c r="N303" s="63">
        <v>44062</v>
      </c>
      <c r="O303" s="131">
        <v>5964.2857142857147</v>
      </c>
      <c r="P303" s="24">
        <v>23300.799999999999</v>
      </c>
      <c r="Q303" s="64">
        <v>138972629</v>
      </c>
      <c r="R303" s="64"/>
      <c r="S303" s="64"/>
      <c r="T303" s="64">
        <v>1093563.3214285714</v>
      </c>
      <c r="U303" s="64" t="s">
        <v>879</v>
      </c>
      <c r="V303" s="121">
        <v>140066192</v>
      </c>
      <c r="W303" s="122">
        <v>0</v>
      </c>
      <c r="X303" s="64">
        <v>140066192</v>
      </c>
      <c r="Y303" s="121"/>
      <c r="Z303" s="121"/>
      <c r="AA303" s="121"/>
      <c r="AB303" s="121"/>
      <c r="AC303" s="64">
        <v>140066192</v>
      </c>
      <c r="AD303" s="65">
        <v>44224</v>
      </c>
      <c r="AE303" s="65">
        <v>47145</v>
      </c>
      <c r="AF303" s="62">
        <v>8</v>
      </c>
      <c r="AG303" s="119">
        <v>96</v>
      </c>
      <c r="AH303" s="25">
        <v>1459022.8333333333</v>
      </c>
      <c r="AI303" s="78">
        <v>51254064.365591399</v>
      </c>
      <c r="AJ303" s="78">
        <v>88812127.634408593</v>
      </c>
      <c r="AK303" s="27">
        <f t="shared" si="104"/>
        <v>1459022.8333333333</v>
      </c>
      <c r="AL303" s="27">
        <f t="shared" si="108"/>
        <v>1459022.8333333333</v>
      </c>
      <c r="AM303" s="27">
        <f t="shared" si="108"/>
        <v>1459022.8333333333</v>
      </c>
      <c r="AN303" s="27">
        <f t="shared" si="110"/>
        <v>1459022.8333333333</v>
      </c>
      <c r="AO303" s="27">
        <f t="shared" si="111"/>
        <v>1459022.8333333333</v>
      </c>
      <c r="AP303" s="27">
        <f t="shared" si="111"/>
        <v>1459022.8333333333</v>
      </c>
      <c r="AQ303" s="27">
        <f t="shared" si="112"/>
        <v>1459022.8333333333</v>
      </c>
      <c r="AR303" s="27">
        <f t="shared" si="113"/>
        <v>1459022.8333333333</v>
      </c>
      <c r="AS303" s="27"/>
      <c r="AT303" s="27"/>
      <c r="AU303" s="27"/>
      <c r="AV303" s="27"/>
      <c r="AW303" s="27">
        <f t="shared" si="101"/>
        <v>11672182.666666668</v>
      </c>
      <c r="AX303" s="79">
        <f t="shared" si="105"/>
        <v>77139944.967741922</v>
      </c>
      <c r="AY303" s="79">
        <f t="shared" si="106"/>
        <v>62926247.032258064</v>
      </c>
      <c r="AZ303" s="25">
        <v>1</v>
      </c>
      <c r="BA303" s="62" t="s">
        <v>97</v>
      </c>
      <c r="BB303" s="66">
        <v>1</v>
      </c>
      <c r="BC303" s="66"/>
      <c r="BD303" s="66"/>
      <c r="BE303" s="67">
        <f t="shared" si="109"/>
        <v>1459022.8333333333</v>
      </c>
      <c r="BF303" s="67">
        <f t="shared" si="114"/>
        <v>0</v>
      </c>
      <c r="BG303" s="67">
        <f t="shared" si="107"/>
        <v>0</v>
      </c>
      <c r="BH303" s="66"/>
      <c r="BI303" s="68" t="s">
        <v>632</v>
      </c>
      <c r="BJ303" s="68" t="s">
        <v>85</v>
      </c>
      <c r="BK303" s="68" t="s">
        <v>85</v>
      </c>
      <c r="BL303" s="29"/>
      <c r="BO303" s="35" t="s">
        <v>1800</v>
      </c>
      <c r="BP303" s="1" t="s">
        <v>1823</v>
      </c>
    </row>
    <row r="304" spans="1:68" ht="15" customHeight="1">
      <c r="A304" s="1" t="s">
        <v>43</v>
      </c>
      <c r="C304" s="1" t="str">
        <f t="shared" si="102"/>
        <v>2901</v>
      </c>
      <c r="D304" s="1" t="str">
        <f t="shared" si="103"/>
        <v>2101</v>
      </c>
      <c r="E304" s="19" t="s">
        <v>48</v>
      </c>
      <c r="F304" s="62" t="s">
        <v>49</v>
      </c>
      <c r="G304" s="62">
        <v>2112</v>
      </c>
      <c r="H304" s="62" t="s">
        <v>900</v>
      </c>
      <c r="I304" s="62" t="s">
        <v>776</v>
      </c>
      <c r="J304" s="118">
        <v>1</v>
      </c>
      <c r="K304" s="119" t="s">
        <v>619</v>
      </c>
      <c r="L304" s="62" t="s">
        <v>877</v>
      </c>
      <c r="M304" s="120" t="s">
        <v>878</v>
      </c>
      <c r="N304" s="63">
        <v>44062</v>
      </c>
      <c r="O304" s="131">
        <v>5964.2857142857147</v>
      </c>
      <c r="P304" s="24">
        <v>23300.799999999999</v>
      </c>
      <c r="Q304" s="64">
        <v>138972629</v>
      </c>
      <c r="R304" s="64"/>
      <c r="S304" s="64"/>
      <c r="T304" s="64">
        <v>1093563.3214285714</v>
      </c>
      <c r="U304" s="64" t="s">
        <v>879</v>
      </c>
      <c r="V304" s="121">
        <v>140066192</v>
      </c>
      <c r="W304" s="122">
        <v>0</v>
      </c>
      <c r="X304" s="64">
        <v>140066192</v>
      </c>
      <c r="Y304" s="121"/>
      <c r="Z304" s="121"/>
      <c r="AA304" s="121"/>
      <c r="AB304" s="121"/>
      <c r="AC304" s="64">
        <v>140066192</v>
      </c>
      <c r="AD304" s="65">
        <v>44224</v>
      </c>
      <c r="AE304" s="65">
        <v>47145</v>
      </c>
      <c r="AF304" s="62">
        <v>8</v>
      </c>
      <c r="AG304" s="119">
        <v>96</v>
      </c>
      <c r="AH304" s="25">
        <v>1459022.8333333333</v>
      </c>
      <c r="AI304" s="78">
        <v>51254064.365591399</v>
      </c>
      <c r="AJ304" s="78">
        <v>88812127.634408593</v>
      </c>
      <c r="AK304" s="27">
        <f t="shared" si="104"/>
        <v>1459022.8333333333</v>
      </c>
      <c r="AL304" s="27">
        <f t="shared" si="108"/>
        <v>1459022.8333333333</v>
      </c>
      <c r="AM304" s="27">
        <f t="shared" si="108"/>
        <v>1459022.8333333333</v>
      </c>
      <c r="AN304" s="27">
        <f t="shared" si="110"/>
        <v>1459022.8333333333</v>
      </c>
      <c r="AO304" s="27">
        <f t="shared" si="111"/>
        <v>1459022.8333333333</v>
      </c>
      <c r="AP304" s="27">
        <f t="shared" si="111"/>
        <v>1459022.8333333333</v>
      </c>
      <c r="AQ304" s="27">
        <f t="shared" si="112"/>
        <v>1459022.8333333333</v>
      </c>
      <c r="AR304" s="27">
        <f t="shared" si="113"/>
        <v>1459022.8333333333</v>
      </c>
      <c r="AS304" s="27"/>
      <c r="AT304" s="27"/>
      <c r="AU304" s="27"/>
      <c r="AV304" s="27"/>
      <c r="AW304" s="27">
        <f t="shared" si="101"/>
        <v>11672182.666666668</v>
      </c>
      <c r="AX304" s="79">
        <f t="shared" si="105"/>
        <v>77139944.967741922</v>
      </c>
      <c r="AY304" s="79">
        <f t="shared" si="106"/>
        <v>62926247.032258064</v>
      </c>
      <c r="AZ304" s="25">
        <v>1</v>
      </c>
      <c r="BA304" s="62" t="s">
        <v>97</v>
      </c>
      <c r="BB304" s="66">
        <v>1</v>
      </c>
      <c r="BC304" s="66"/>
      <c r="BD304" s="66"/>
      <c r="BE304" s="67">
        <f t="shared" si="109"/>
        <v>1459022.8333333333</v>
      </c>
      <c r="BF304" s="67">
        <f t="shared" si="114"/>
        <v>0</v>
      </c>
      <c r="BG304" s="67">
        <f t="shared" si="107"/>
        <v>0</v>
      </c>
      <c r="BH304" s="66"/>
      <c r="BI304" s="68" t="s">
        <v>632</v>
      </c>
      <c r="BJ304" s="68" t="s">
        <v>85</v>
      </c>
      <c r="BK304" s="68" t="s">
        <v>85</v>
      </c>
      <c r="BL304" s="29"/>
      <c r="BO304" s="35" t="s">
        <v>1800</v>
      </c>
      <c r="BP304" s="1" t="s">
        <v>1823</v>
      </c>
    </row>
    <row r="305" spans="1:68" ht="15" customHeight="1">
      <c r="A305" s="1" t="s">
        <v>43</v>
      </c>
      <c r="C305" s="1" t="str">
        <f t="shared" si="102"/>
        <v>2901</v>
      </c>
      <c r="D305" s="1" t="str">
        <f t="shared" si="103"/>
        <v>2101</v>
      </c>
      <c r="E305" s="19" t="s">
        <v>48</v>
      </c>
      <c r="F305" s="62" t="s">
        <v>49</v>
      </c>
      <c r="G305" s="62">
        <v>2112</v>
      </c>
      <c r="H305" s="62" t="s">
        <v>901</v>
      </c>
      <c r="I305" s="62" t="s">
        <v>776</v>
      </c>
      <c r="J305" s="118">
        <v>1</v>
      </c>
      <c r="K305" s="119" t="s">
        <v>619</v>
      </c>
      <c r="L305" s="62" t="s">
        <v>877</v>
      </c>
      <c r="M305" s="120" t="s">
        <v>878</v>
      </c>
      <c r="N305" s="63">
        <v>44062</v>
      </c>
      <c r="O305" s="131">
        <v>5964.2857142857147</v>
      </c>
      <c r="P305" s="24">
        <v>23300.799999999999</v>
      </c>
      <c r="Q305" s="64">
        <v>138972629</v>
      </c>
      <c r="R305" s="64"/>
      <c r="S305" s="64"/>
      <c r="T305" s="64">
        <v>1093563.3214285714</v>
      </c>
      <c r="U305" s="64" t="s">
        <v>879</v>
      </c>
      <c r="V305" s="121">
        <v>140066192</v>
      </c>
      <c r="W305" s="122">
        <v>0</v>
      </c>
      <c r="X305" s="64">
        <v>140066192</v>
      </c>
      <c r="Y305" s="121"/>
      <c r="Z305" s="121"/>
      <c r="AA305" s="121"/>
      <c r="AB305" s="121"/>
      <c r="AC305" s="64">
        <v>140066192</v>
      </c>
      <c r="AD305" s="65">
        <v>44224</v>
      </c>
      <c r="AE305" s="65">
        <v>47145</v>
      </c>
      <c r="AF305" s="62">
        <v>8</v>
      </c>
      <c r="AG305" s="119">
        <v>96</v>
      </c>
      <c r="AH305" s="25">
        <v>1459022.8333333333</v>
      </c>
      <c r="AI305" s="78">
        <v>51254064.365591399</v>
      </c>
      <c r="AJ305" s="78">
        <v>88812127.634408593</v>
      </c>
      <c r="AK305" s="27">
        <f t="shared" si="104"/>
        <v>1459022.8333333333</v>
      </c>
      <c r="AL305" s="27">
        <f t="shared" si="108"/>
        <v>1459022.8333333333</v>
      </c>
      <c r="AM305" s="27">
        <f t="shared" si="108"/>
        <v>1459022.8333333333</v>
      </c>
      <c r="AN305" s="27">
        <f t="shared" si="110"/>
        <v>1459022.8333333333</v>
      </c>
      <c r="AO305" s="27">
        <f t="shared" si="111"/>
        <v>1459022.8333333333</v>
      </c>
      <c r="AP305" s="27">
        <f t="shared" si="111"/>
        <v>1459022.8333333333</v>
      </c>
      <c r="AQ305" s="27">
        <f t="shared" si="112"/>
        <v>1459022.8333333333</v>
      </c>
      <c r="AR305" s="27">
        <f t="shared" si="113"/>
        <v>1459022.8333333333</v>
      </c>
      <c r="AS305" s="27"/>
      <c r="AT305" s="27"/>
      <c r="AU305" s="27"/>
      <c r="AV305" s="27"/>
      <c r="AW305" s="27">
        <f t="shared" si="101"/>
        <v>11672182.666666668</v>
      </c>
      <c r="AX305" s="79">
        <f t="shared" si="105"/>
        <v>77139944.967741922</v>
      </c>
      <c r="AY305" s="79">
        <f t="shared" si="106"/>
        <v>62926247.032258064</v>
      </c>
      <c r="AZ305" s="25">
        <v>1</v>
      </c>
      <c r="BA305" s="62" t="s">
        <v>97</v>
      </c>
      <c r="BB305" s="66">
        <v>1</v>
      </c>
      <c r="BC305" s="66"/>
      <c r="BD305" s="66"/>
      <c r="BE305" s="67">
        <f t="shared" si="109"/>
        <v>1459022.8333333333</v>
      </c>
      <c r="BF305" s="67">
        <f t="shared" si="114"/>
        <v>0</v>
      </c>
      <c r="BG305" s="67">
        <f t="shared" si="107"/>
        <v>0</v>
      </c>
      <c r="BH305" s="66"/>
      <c r="BI305" s="68" t="s">
        <v>819</v>
      </c>
      <c r="BJ305" s="68" t="s">
        <v>85</v>
      </c>
      <c r="BK305" s="68" t="s">
        <v>85</v>
      </c>
      <c r="BL305" s="29"/>
      <c r="BO305" s="35" t="s">
        <v>1800</v>
      </c>
      <c r="BP305" s="1" t="s">
        <v>1821</v>
      </c>
    </row>
    <row r="306" spans="1:68" ht="15" customHeight="1">
      <c r="A306" s="1" t="s">
        <v>43</v>
      </c>
      <c r="C306" s="1" t="str">
        <f t="shared" si="102"/>
        <v>2901</v>
      </c>
      <c r="D306" s="1" t="str">
        <f t="shared" si="103"/>
        <v>2101</v>
      </c>
      <c r="E306" s="19" t="s">
        <v>48</v>
      </c>
      <c r="F306" s="62" t="s">
        <v>49</v>
      </c>
      <c r="G306" s="62">
        <v>2112</v>
      </c>
      <c r="H306" s="62" t="s">
        <v>902</v>
      </c>
      <c r="I306" s="62" t="s">
        <v>776</v>
      </c>
      <c r="J306" s="118">
        <v>1</v>
      </c>
      <c r="K306" s="119" t="s">
        <v>619</v>
      </c>
      <c r="L306" s="62" t="s">
        <v>877</v>
      </c>
      <c r="M306" s="120" t="s">
        <v>878</v>
      </c>
      <c r="N306" s="63">
        <v>44062</v>
      </c>
      <c r="O306" s="131">
        <v>5964.2857142857147</v>
      </c>
      <c r="P306" s="24">
        <v>23300.799999999999</v>
      </c>
      <c r="Q306" s="64">
        <v>138972629</v>
      </c>
      <c r="R306" s="64"/>
      <c r="S306" s="64"/>
      <c r="T306" s="64">
        <v>1093563.3214285714</v>
      </c>
      <c r="U306" s="64" t="s">
        <v>879</v>
      </c>
      <c r="V306" s="121">
        <v>140066192</v>
      </c>
      <c r="W306" s="122">
        <v>0</v>
      </c>
      <c r="X306" s="64">
        <v>140066192</v>
      </c>
      <c r="Y306" s="121"/>
      <c r="Z306" s="121"/>
      <c r="AA306" s="121"/>
      <c r="AB306" s="121"/>
      <c r="AC306" s="64">
        <v>140066192</v>
      </c>
      <c r="AD306" s="65">
        <v>44224</v>
      </c>
      <c r="AE306" s="65">
        <v>47145</v>
      </c>
      <c r="AF306" s="62">
        <v>8</v>
      </c>
      <c r="AG306" s="119">
        <v>96</v>
      </c>
      <c r="AH306" s="25">
        <v>1459022.8333333333</v>
      </c>
      <c r="AI306" s="78">
        <v>51254064.365591399</v>
      </c>
      <c r="AJ306" s="78">
        <v>88812127.634408593</v>
      </c>
      <c r="AK306" s="27">
        <f t="shared" si="104"/>
        <v>1459022.8333333333</v>
      </c>
      <c r="AL306" s="27">
        <f t="shared" si="108"/>
        <v>1459022.8333333333</v>
      </c>
      <c r="AM306" s="27">
        <f t="shared" si="108"/>
        <v>1459022.8333333333</v>
      </c>
      <c r="AN306" s="27">
        <f t="shared" si="110"/>
        <v>1459022.8333333333</v>
      </c>
      <c r="AO306" s="27">
        <f t="shared" si="111"/>
        <v>1459022.8333333333</v>
      </c>
      <c r="AP306" s="27">
        <f t="shared" si="111"/>
        <v>1459022.8333333333</v>
      </c>
      <c r="AQ306" s="27">
        <f t="shared" si="112"/>
        <v>1459022.8333333333</v>
      </c>
      <c r="AR306" s="27">
        <f t="shared" si="113"/>
        <v>1459022.8333333333</v>
      </c>
      <c r="AS306" s="27"/>
      <c r="AT306" s="27"/>
      <c r="AU306" s="27"/>
      <c r="AV306" s="27"/>
      <c r="AW306" s="27">
        <f t="shared" si="101"/>
        <v>11672182.666666668</v>
      </c>
      <c r="AX306" s="79">
        <f t="shared" si="105"/>
        <v>77139944.967741922</v>
      </c>
      <c r="AY306" s="79">
        <f t="shared" si="106"/>
        <v>62926247.032258064</v>
      </c>
      <c r="AZ306" s="25">
        <v>1</v>
      </c>
      <c r="BA306" s="62" t="s">
        <v>97</v>
      </c>
      <c r="BB306" s="66">
        <v>1</v>
      </c>
      <c r="BC306" s="66"/>
      <c r="BD306" s="66"/>
      <c r="BE306" s="67">
        <f t="shared" si="109"/>
        <v>1459022.8333333333</v>
      </c>
      <c r="BF306" s="67">
        <f t="shared" si="114"/>
        <v>0</v>
      </c>
      <c r="BG306" s="67">
        <f t="shared" si="107"/>
        <v>0</v>
      </c>
      <c r="BH306" s="66"/>
      <c r="BI306" s="68" t="s">
        <v>819</v>
      </c>
      <c r="BJ306" s="68" t="s">
        <v>85</v>
      </c>
      <c r="BK306" s="68" t="s">
        <v>85</v>
      </c>
      <c r="BL306" s="29"/>
      <c r="BO306" s="35" t="s">
        <v>1800</v>
      </c>
      <c r="BP306" s="1" t="s">
        <v>1821</v>
      </c>
    </row>
    <row r="307" spans="1:68" ht="15" customHeight="1">
      <c r="A307" s="1" t="s">
        <v>43</v>
      </c>
      <c r="C307" s="1" t="str">
        <f t="shared" si="102"/>
        <v>2901</v>
      </c>
      <c r="D307" s="1" t="str">
        <f t="shared" si="103"/>
        <v>2101</v>
      </c>
      <c r="E307" s="19" t="s">
        <v>48</v>
      </c>
      <c r="F307" s="62" t="s">
        <v>49</v>
      </c>
      <c r="G307" s="62">
        <v>2112</v>
      </c>
      <c r="H307" s="62" t="s">
        <v>903</v>
      </c>
      <c r="I307" s="62" t="s">
        <v>776</v>
      </c>
      <c r="J307" s="118">
        <v>1</v>
      </c>
      <c r="K307" s="119" t="s">
        <v>619</v>
      </c>
      <c r="L307" s="62" t="s">
        <v>877</v>
      </c>
      <c r="M307" s="120" t="s">
        <v>878</v>
      </c>
      <c r="N307" s="63">
        <v>44062</v>
      </c>
      <c r="O307" s="131">
        <v>5964.2857142857147</v>
      </c>
      <c r="P307" s="24">
        <v>23300.799999999999</v>
      </c>
      <c r="Q307" s="64">
        <v>138972629</v>
      </c>
      <c r="R307" s="64"/>
      <c r="S307" s="64"/>
      <c r="T307" s="64">
        <v>1093563.3214285714</v>
      </c>
      <c r="U307" s="64" t="s">
        <v>879</v>
      </c>
      <c r="V307" s="121">
        <v>140066192</v>
      </c>
      <c r="W307" s="122">
        <v>0</v>
      </c>
      <c r="X307" s="64">
        <v>140066192</v>
      </c>
      <c r="Y307" s="121"/>
      <c r="Z307" s="121"/>
      <c r="AA307" s="121"/>
      <c r="AB307" s="121"/>
      <c r="AC307" s="64">
        <v>140066192</v>
      </c>
      <c r="AD307" s="65">
        <v>44224</v>
      </c>
      <c r="AE307" s="65">
        <v>47145</v>
      </c>
      <c r="AF307" s="62">
        <v>8</v>
      </c>
      <c r="AG307" s="119">
        <v>96</v>
      </c>
      <c r="AH307" s="25">
        <v>1459022.8333333333</v>
      </c>
      <c r="AI307" s="78">
        <v>51254064.365591399</v>
      </c>
      <c r="AJ307" s="78">
        <v>88812127.634408593</v>
      </c>
      <c r="AK307" s="27">
        <f t="shared" si="104"/>
        <v>1459022.8333333333</v>
      </c>
      <c r="AL307" s="27">
        <f t="shared" si="108"/>
        <v>1459022.8333333333</v>
      </c>
      <c r="AM307" s="27">
        <f t="shared" si="108"/>
        <v>1459022.8333333333</v>
      </c>
      <c r="AN307" s="27">
        <f t="shared" si="110"/>
        <v>1459022.8333333333</v>
      </c>
      <c r="AO307" s="27">
        <f t="shared" si="111"/>
        <v>1459022.8333333333</v>
      </c>
      <c r="AP307" s="27">
        <f t="shared" si="111"/>
        <v>1459022.8333333333</v>
      </c>
      <c r="AQ307" s="27">
        <f t="shared" si="112"/>
        <v>1459022.8333333333</v>
      </c>
      <c r="AR307" s="27">
        <f t="shared" si="113"/>
        <v>1459022.8333333333</v>
      </c>
      <c r="AS307" s="27"/>
      <c r="AT307" s="27"/>
      <c r="AU307" s="27"/>
      <c r="AV307" s="27"/>
      <c r="AW307" s="27">
        <f t="shared" si="101"/>
        <v>11672182.666666668</v>
      </c>
      <c r="AX307" s="79">
        <f t="shared" si="105"/>
        <v>77139944.967741922</v>
      </c>
      <c r="AY307" s="79">
        <f t="shared" si="106"/>
        <v>62926247.032258064</v>
      </c>
      <c r="AZ307" s="25">
        <v>1</v>
      </c>
      <c r="BA307" s="62" t="s">
        <v>97</v>
      </c>
      <c r="BB307" s="66">
        <v>1</v>
      </c>
      <c r="BC307" s="66"/>
      <c r="BD307" s="66"/>
      <c r="BE307" s="67">
        <f t="shared" si="109"/>
        <v>1459022.8333333333</v>
      </c>
      <c r="BF307" s="67">
        <f t="shared" si="114"/>
        <v>0</v>
      </c>
      <c r="BG307" s="67">
        <f t="shared" si="107"/>
        <v>0</v>
      </c>
      <c r="BH307" s="66"/>
      <c r="BI307" s="68" t="s">
        <v>819</v>
      </c>
      <c r="BJ307" s="68" t="s">
        <v>85</v>
      </c>
      <c r="BK307" s="68" t="s">
        <v>85</v>
      </c>
      <c r="BL307" s="29"/>
      <c r="BO307" s="35" t="s">
        <v>1800</v>
      </c>
      <c r="BP307" s="1" t="s">
        <v>1821</v>
      </c>
    </row>
    <row r="308" spans="1:68" ht="15" customHeight="1">
      <c r="A308" s="1" t="s">
        <v>43</v>
      </c>
      <c r="C308" s="1" t="str">
        <f t="shared" si="102"/>
        <v>2901</v>
      </c>
      <c r="D308" s="1" t="str">
        <f t="shared" si="103"/>
        <v>2101</v>
      </c>
      <c r="E308" s="19" t="s">
        <v>48</v>
      </c>
      <c r="F308" s="62" t="s">
        <v>49</v>
      </c>
      <c r="G308" s="62">
        <v>2112</v>
      </c>
      <c r="H308" s="62" t="s">
        <v>904</v>
      </c>
      <c r="I308" s="62" t="s">
        <v>776</v>
      </c>
      <c r="J308" s="118">
        <v>1</v>
      </c>
      <c r="K308" s="119" t="s">
        <v>619</v>
      </c>
      <c r="L308" s="62" t="s">
        <v>877</v>
      </c>
      <c r="M308" s="120" t="s">
        <v>878</v>
      </c>
      <c r="N308" s="63">
        <v>44062</v>
      </c>
      <c r="O308" s="131">
        <v>5964.2857142857147</v>
      </c>
      <c r="P308" s="24">
        <v>23300.799999999999</v>
      </c>
      <c r="Q308" s="64">
        <v>138972629</v>
      </c>
      <c r="R308" s="64"/>
      <c r="S308" s="64"/>
      <c r="T308" s="64">
        <v>1093563.3214285714</v>
      </c>
      <c r="U308" s="64" t="s">
        <v>879</v>
      </c>
      <c r="V308" s="121">
        <v>140066192</v>
      </c>
      <c r="W308" s="122">
        <v>0</v>
      </c>
      <c r="X308" s="64">
        <v>140066192</v>
      </c>
      <c r="Y308" s="121"/>
      <c r="Z308" s="121"/>
      <c r="AA308" s="121"/>
      <c r="AB308" s="121"/>
      <c r="AC308" s="64">
        <v>140066192</v>
      </c>
      <c r="AD308" s="65">
        <v>44224</v>
      </c>
      <c r="AE308" s="65">
        <v>47145</v>
      </c>
      <c r="AF308" s="62">
        <v>8</v>
      </c>
      <c r="AG308" s="119">
        <v>96</v>
      </c>
      <c r="AH308" s="25">
        <v>1459022.8333333333</v>
      </c>
      <c r="AI308" s="78">
        <v>51254064.365591399</v>
      </c>
      <c r="AJ308" s="78">
        <v>88812127.634408593</v>
      </c>
      <c r="AK308" s="27">
        <f t="shared" si="104"/>
        <v>1459022.8333333333</v>
      </c>
      <c r="AL308" s="27">
        <f t="shared" si="108"/>
        <v>1459022.8333333333</v>
      </c>
      <c r="AM308" s="27">
        <f t="shared" si="108"/>
        <v>1459022.8333333333</v>
      </c>
      <c r="AN308" s="27">
        <f t="shared" si="110"/>
        <v>1459022.8333333333</v>
      </c>
      <c r="AO308" s="27">
        <f t="shared" si="111"/>
        <v>1459022.8333333333</v>
      </c>
      <c r="AP308" s="27">
        <f t="shared" si="111"/>
        <v>1459022.8333333333</v>
      </c>
      <c r="AQ308" s="27">
        <f t="shared" si="112"/>
        <v>1459022.8333333333</v>
      </c>
      <c r="AR308" s="27">
        <f t="shared" si="113"/>
        <v>1459022.8333333333</v>
      </c>
      <c r="AS308" s="27"/>
      <c r="AT308" s="27"/>
      <c r="AU308" s="27"/>
      <c r="AV308" s="27"/>
      <c r="AW308" s="27">
        <f t="shared" si="101"/>
        <v>11672182.666666668</v>
      </c>
      <c r="AX308" s="79">
        <f t="shared" si="105"/>
        <v>77139944.967741922</v>
      </c>
      <c r="AY308" s="79">
        <f t="shared" si="106"/>
        <v>62926247.032258064</v>
      </c>
      <c r="AZ308" s="25">
        <v>1</v>
      </c>
      <c r="BA308" s="62" t="s">
        <v>97</v>
      </c>
      <c r="BB308" s="66">
        <v>1</v>
      </c>
      <c r="BC308" s="66"/>
      <c r="BD308" s="66"/>
      <c r="BE308" s="67">
        <f t="shared" si="109"/>
        <v>1459022.8333333333</v>
      </c>
      <c r="BF308" s="67">
        <f t="shared" si="114"/>
        <v>0</v>
      </c>
      <c r="BG308" s="67">
        <f t="shared" si="107"/>
        <v>0</v>
      </c>
      <c r="BH308" s="66"/>
      <c r="BI308" s="68" t="s">
        <v>905</v>
      </c>
      <c r="BJ308" s="68" t="s">
        <v>85</v>
      </c>
      <c r="BK308" s="68" t="s">
        <v>85</v>
      </c>
      <c r="BL308" s="29"/>
      <c r="BO308" s="35" t="s">
        <v>1801</v>
      </c>
      <c r="BP308" s="1" t="s">
        <v>1820</v>
      </c>
    </row>
    <row r="309" spans="1:68" ht="15" customHeight="1">
      <c r="A309" s="1" t="s">
        <v>43</v>
      </c>
      <c r="C309" s="1" t="str">
        <f t="shared" si="102"/>
        <v>2901</v>
      </c>
      <c r="D309" s="1" t="str">
        <f t="shared" si="103"/>
        <v>2101</v>
      </c>
      <c r="E309" s="19" t="s">
        <v>48</v>
      </c>
      <c r="F309" s="62" t="s">
        <v>49</v>
      </c>
      <c r="G309" s="62">
        <v>2112</v>
      </c>
      <c r="H309" s="62" t="s">
        <v>906</v>
      </c>
      <c r="I309" s="62" t="s">
        <v>776</v>
      </c>
      <c r="J309" s="118">
        <v>1</v>
      </c>
      <c r="K309" s="119" t="s">
        <v>619</v>
      </c>
      <c r="L309" s="62" t="s">
        <v>877</v>
      </c>
      <c r="M309" s="120" t="s">
        <v>878</v>
      </c>
      <c r="N309" s="63">
        <v>44062</v>
      </c>
      <c r="O309" s="131">
        <v>5964.2857142857147</v>
      </c>
      <c r="P309" s="24">
        <v>23300.799999999999</v>
      </c>
      <c r="Q309" s="64">
        <v>138972629</v>
      </c>
      <c r="R309" s="64"/>
      <c r="S309" s="64"/>
      <c r="T309" s="64">
        <v>1093563.3214285714</v>
      </c>
      <c r="U309" s="64" t="s">
        <v>879</v>
      </c>
      <c r="V309" s="121">
        <v>140066192</v>
      </c>
      <c r="W309" s="122">
        <v>0</v>
      </c>
      <c r="X309" s="64">
        <v>140066192</v>
      </c>
      <c r="Y309" s="121"/>
      <c r="Z309" s="121"/>
      <c r="AA309" s="121"/>
      <c r="AB309" s="121"/>
      <c r="AC309" s="64">
        <v>140066192</v>
      </c>
      <c r="AD309" s="65">
        <v>44224</v>
      </c>
      <c r="AE309" s="65">
        <v>47145</v>
      </c>
      <c r="AF309" s="62">
        <v>8</v>
      </c>
      <c r="AG309" s="119">
        <v>96</v>
      </c>
      <c r="AH309" s="25">
        <v>1459022.8333333333</v>
      </c>
      <c r="AI309" s="78">
        <v>51254064.365591399</v>
      </c>
      <c r="AJ309" s="78">
        <v>88812127.634408593</v>
      </c>
      <c r="AK309" s="27">
        <f t="shared" si="104"/>
        <v>1459022.8333333333</v>
      </c>
      <c r="AL309" s="27">
        <f t="shared" si="108"/>
        <v>1459022.8333333333</v>
      </c>
      <c r="AM309" s="27">
        <f t="shared" si="108"/>
        <v>1459022.8333333333</v>
      </c>
      <c r="AN309" s="27">
        <f t="shared" si="110"/>
        <v>1459022.8333333333</v>
      </c>
      <c r="AO309" s="27">
        <f t="shared" si="111"/>
        <v>1459022.8333333333</v>
      </c>
      <c r="AP309" s="27">
        <f t="shared" si="111"/>
        <v>1459022.8333333333</v>
      </c>
      <c r="AQ309" s="27">
        <f t="shared" si="112"/>
        <v>1459022.8333333333</v>
      </c>
      <c r="AR309" s="27">
        <f t="shared" si="113"/>
        <v>1459022.8333333333</v>
      </c>
      <c r="AS309" s="27"/>
      <c r="AT309" s="27"/>
      <c r="AU309" s="27"/>
      <c r="AV309" s="27"/>
      <c r="AW309" s="27">
        <f t="shared" si="101"/>
        <v>11672182.666666668</v>
      </c>
      <c r="AX309" s="79">
        <f t="shared" si="105"/>
        <v>77139944.967741922</v>
      </c>
      <c r="AY309" s="79">
        <f t="shared" si="106"/>
        <v>62926247.032258064</v>
      </c>
      <c r="AZ309" s="25">
        <v>1</v>
      </c>
      <c r="BA309" s="62" t="s">
        <v>97</v>
      </c>
      <c r="BB309" s="66">
        <v>1</v>
      </c>
      <c r="BC309" s="66"/>
      <c r="BD309" s="66"/>
      <c r="BE309" s="67">
        <f t="shared" si="109"/>
        <v>1459022.8333333333</v>
      </c>
      <c r="BF309" s="67">
        <f t="shared" si="114"/>
        <v>0</v>
      </c>
      <c r="BG309" s="67">
        <f t="shared" si="107"/>
        <v>0</v>
      </c>
      <c r="BH309" s="66"/>
      <c r="BI309" s="68" t="s">
        <v>905</v>
      </c>
      <c r="BJ309" s="68" t="s">
        <v>85</v>
      </c>
      <c r="BK309" s="68" t="s">
        <v>85</v>
      </c>
      <c r="BL309" s="29"/>
      <c r="BO309" s="35" t="s">
        <v>1801</v>
      </c>
      <c r="BP309" s="1" t="s">
        <v>1820</v>
      </c>
    </row>
    <row r="310" spans="1:68" ht="15" customHeight="1">
      <c r="A310" s="1" t="s">
        <v>43</v>
      </c>
      <c r="C310" s="1" t="str">
        <f t="shared" si="102"/>
        <v>2901</v>
      </c>
      <c r="D310" s="1" t="str">
        <f t="shared" si="103"/>
        <v>2101</v>
      </c>
      <c r="E310" s="19" t="s">
        <v>48</v>
      </c>
      <c r="F310" s="62" t="s">
        <v>49</v>
      </c>
      <c r="G310" s="62">
        <v>2112</v>
      </c>
      <c r="H310" s="62" t="s">
        <v>907</v>
      </c>
      <c r="I310" s="62" t="s">
        <v>776</v>
      </c>
      <c r="J310" s="118">
        <v>1</v>
      </c>
      <c r="K310" s="119" t="s">
        <v>619</v>
      </c>
      <c r="L310" s="62" t="s">
        <v>877</v>
      </c>
      <c r="M310" s="120" t="s">
        <v>878</v>
      </c>
      <c r="N310" s="63">
        <v>44062</v>
      </c>
      <c r="O310" s="131">
        <v>5964.2857142857147</v>
      </c>
      <c r="P310" s="24">
        <v>23300.799999999999</v>
      </c>
      <c r="Q310" s="64">
        <v>138972629</v>
      </c>
      <c r="R310" s="64"/>
      <c r="S310" s="64"/>
      <c r="T310" s="64">
        <v>1093563.3214285714</v>
      </c>
      <c r="U310" s="64" t="s">
        <v>879</v>
      </c>
      <c r="V310" s="121">
        <v>140066192</v>
      </c>
      <c r="W310" s="122">
        <v>0</v>
      </c>
      <c r="X310" s="64">
        <v>140066192</v>
      </c>
      <c r="Y310" s="121"/>
      <c r="Z310" s="121"/>
      <c r="AA310" s="121"/>
      <c r="AB310" s="121"/>
      <c r="AC310" s="64">
        <v>140066192</v>
      </c>
      <c r="AD310" s="65">
        <v>44224</v>
      </c>
      <c r="AE310" s="65">
        <v>47145</v>
      </c>
      <c r="AF310" s="62">
        <v>8</v>
      </c>
      <c r="AG310" s="119">
        <v>96</v>
      </c>
      <c r="AH310" s="25">
        <v>1459022.8333333333</v>
      </c>
      <c r="AI310" s="78">
        <v>51254064.365591399</v>
      </c>
      <c r="AJ310" s="78">
        <v>88812127.634408593</v>
      </c>
      <c r="AK310" s="27">
        <f t="shared" si="104"/>
        <v>1459022.8333333333</v>
      </c>
      <c r="AL310" s="27">
        <f t="shared" si="108"/>
        <v>1459022.8333333333</v>
      </c>
      <c r="AM310" s="27">
        <f t="shared" si="108"/>
        <v>1459022.8333333333</v>
      </c>
      <c r="AN310" s="27">
        <f t="shared" si="110"/>
        <v>1459022.8333333333</v>
      </c>
      <c r="AO310" s="27">
        <f t="shared" si="111"/>
        <v>1459022.8333333333</v>
      </c>
      <c r="AP310" s="27">
        <f t="shared" si="111"/>
        <v>1459022.8333333333</v>
      </c>
      <c r="AQ310" s="27">
        <f t="shared" si="112"/>
        <v>1459022.8333333333</v>
      </c>
      <c r="AR310" s="27">
        <f t="shared" si="113"/>
        <v>1459022.8333333333</v>
      </c>
      <c r="AS310" s="27"/>
      <c r="AT310" s="27"/>
      <c r="AU310" s="27"/>
      <c r="AV310" s="27"/>
      <c r="AW310" s="27">
        <f t="shared" si="101"/>
        <v>11672182.666666668</v>
      </c>
      <c r="AX310" s="79">
        <f t="shared" si="105"/>
        <v>77139944.967741922</v>
      </c>
      <c r="AY310" s="79">
        <f t="shared" si="106"/>
        <v>62926247.032258064</v>
      </c>
      <c r="AZ310" s="25">
        <v>1</v>
      </c>
      <c r="BA310" s="62" t="s">
        <v>97</v>
      </c>
      <c r="BB310" s="66">
        <v>1</v>
      </c>
      <c r="BC310" s="66"/>
      <c r="BD310" s="66"/>
      <c r="BE310" s="67">
        <f t="shared" si="109"/>
        <v>1459022.8333333333</v>
      </c>
      <c r="BF310" s="67">
        <f t="shared" si="114"/>
        <v>0</v>
      </c>
      <c r="BG310" s="67">
        <f t="shared" si="107"/>
        <v>0</v>
      </c>
      <c r="BH310" s="66"/>
      <c r="BI310" s="68" t="s">
        <v>905</v>
      </c>
      <c r="BJ310" s="68" t="s">
        <v>85</v>
      </c>
      <c r="BK310" s="68" t="s">
        <v>85</v>
      </c>
      <c r="BL310" s="29"/>
      <c r="BO310" s="35" t="s">
        <v>1801</v>
      </c>
      <c r="BP310" s="1" t="s">
        <v>1820</v>
      </c>
    </row>
    <row r="311" spans="1:68" ht="15" customHeight="1">
      <c r="A311" s="1" t="s">
        <v>43</v>
      </c>
      <c r="C311" s="1" t="str">
        <f t="shared" si="102"/>
        <v>2901</v>
      </c>
      <c r="D311" s="1" t="str">
        <f t="shared" si="103"/>
        <v>2101</v>
      </c>
      <c r="E311" s="19" t="s">
        <v>48</v>
      </c>
      <c r="F311" s="62" t="s">
        <v>49</v>
      </c>
      <c r="G311" s="62">
        <v>2112</v>
      </c>
      <c r="H311" s="62" t="s">
        <v>908</v>
      </c>
      <c r="I311" s="62" t="s">
        <v>776</v>
      </c>
      <c r="J311" s="118">
        <v>1</v>
      </c>
      <c r="K311" s="119" t="s">
        <v>619</v>
      </c>
      <c r="L311" s="62" t="s">
        <v>877</v>
      </c>
      <c r="M311" s="120" t="s">
        <v>878</v>
      </c>
      <c r="N311" s="63">
        <v>44062</v>
      </c>
      <c r="O311" s="131">
        <v>5964.2857142857147</v>
      </c>
      <c r="P311" s="24">
        <v>23300.799999999999</v>
      </c>
      <c r="Q311" s="64">
        <v>138972629</v>
      </c>
      <c r="R311" s="64"/>
      <c r="S311" s="64"/>
      <c r="T311" s="64">
        <v>1093563.3214285714</v>
      </c>
      <c r="U311" s="64" t="s">
        <v>879</v>
      </c>
      <c r="V311" s="121">
        <v>140066192</v>
      </c>
      <c r="W311" s="122">
        <v>0</v>
      </c>
      <c r="X311" s="64">
        <v>140066192</v>
      </c>
      <c r="Y311" s="121"/>
      <c r="Z311" s="121"/>
      <c r="AA311" s="121"/>
      <c r="AB311" s="121"/>
      <c r="AC311" s="64">
        <v>140066192</v>
      </c>
      <c r="AD311" s="65">
        <v>44224</v>
      </c>
      <c r="AE311" s="65">
        <v>47145</v>
      </c>
      <c r="AF311" s="62">
        <v>8</v>
      </c>
      <c r="AG311" s="119">
        <v>96</v>
      </c>
      <c r="AH311" s="25">
        <v>1459022.8333333333</v>
      </c>
      <c r="AI311" s="78">
        <v>51254064.365591399</v>
      </c>
      <c r="AJ311" s="78">
        <v>88812127.634408593</v>
      </c>
      <c r="AK311" s="27">
        <f t="shared" si="104"/>
        <v>1459022.8333333333</v>
      </c>
      <c r="AL311" s="27">
        <f t="shared" si="108"/>
        <v>1459022.8333333333</v>
      </c>
      <c r="AM311" s="27">
        <f t="shared" si="108"/>
        <v>1459022.8333333333</v>
      </c>
      <c r="AN311" s="27">
        <f t="shared" si="110"/>
        <v>1459022.8333333333</v>
      </c>
      <c r="AO311" s="27">
        <f t="shared" si="111"/>
        <v>1459022.8333333333</v>
      </c>
      <c r="AP311" s="27">
        <f t="shared" si="111"/>
        <v>1459022.8333333333</v>
      </c>
      <c r="AQ311" s="27">
        <f t="shared" si="112"/>
        <v>1459022.8333333333</v>
      </c>
      <c r="AR311" s="27">
        <f t="shared" si="113"/>
        <v>1459022.8333333333</v>
      </c>
      <c r="AS311" s="27"/>
      <c r="AT311" s="27"/>
      <c r="AU311" s="27"/>
      <c r="AV311" s="27"/>
      <c r="AW311" s="27">
        <f t="shared" si="101"/>
        <v>11672182.666666668</v>
      </c>
      <c r="AX311" s="79">
        <f t="shared" si="105"/>
        <v>77139944.967741922</v>
      </c>
      <c r="AY311" s="79">
        <f t="shared" si="106"/>
        <v>62926247.032258064</v>
      </c>
      <c r="AZ311" s="25">
        <v>1</v>
      </c>
      <c r="BA311" s="62" t="s">
        <v>97</v>
      </c>
      <c r="BB311" s="66">
        <v>1</v>
      </c>
      <c r="BC311" s="66"/>
      <c r="BD311" s="66"/>
      <c r="BE311" s="67">
        <f t="shared" si="109"/>
        <v>1459022.8333333333</v>
      </c>
      <c r="BF311" s="67">
        <f t="shared" si="114"/>
        <v>0</v>
      </c>
      <c r="BG311" s="67">
        <f t="shared" si="107"/>
        <v>0</v>
      </c>
      <c r="BH311" s="66"/>
      <c r="BI311" s="68" t="s">
        <v>905</v>
      </c>
      <c r="BJ311" s="68" t="s">
        <v>85</v>
      </c>
      <c r="BK311" s="68" t="s">
        <v>85</v>
      </c>
      <c r="BL311" s="29"/>
      <c r="BO311" s="35" t="s">
        <v>1801</v>
      </c>
      <c r="BP311" s="1" t="s">
        <v>1820</v>
      </c>
    </row>
    <row r="312" spans="1:68" ht="15" customHeight="1">
      <c r="A312" s="1" t="s">
        <v>43</v>
      </c>
      <c r="C312" s="1" t="str">
        <f t="shared" si="102"/>
        <v>2509</v>
      </c>
      <c r="D312" s="1" t="str">
        <f t="shared" si="103"/>
        <v>2009</v>
      </c>
      <c r="E312" s="19" t="s">
        <v>48</v>
      </c>
      <c r="F312" s="62" t="s">
        <v>515</v>
      </c>
      <c r="G312" s="62">
        <v>2112</v>
      </c>
      <c r="H312" s="62" t="s">
        <v>909</v>
      </c>
      <c r="I312" s="62" t="s">
        <v>910</v>
      </c>
      <c r="J312" s="118">
        <v>1</v>
      </c>
      <c r="K312" s="119" t="s">
        <v>619</v>
      </c>
      <c r="L312" s="62" t="s">
        <v>911</v>
      </c>
      <c r="M312" s="120" t="s">
        <v>912</v>
      </c>
      <c r="N312" s="63">
        <v>44093</v>
      </c>
      <c r="O312" s="24"/>
      <c r="P312" s="24"/>
      <c r="Q312" s="64">
        <v>91500000</v>
      </c>
      <c r="R312" s="64"/>
      <c r="S312" s="64"/>
      <c r="T312" s="64"/>
      <c r="U312" s="64"/>
      <c r="V312" s="121">
        <v>91500000</v>
      </c>
      <c r="W312" s="122">
        <v>0</v>
      </c>
      <c r="X312" s="64">
        <v>91500000</v>
      </c>
      <c r="Y312" s="121"/>
      <c r="Z312" s="121"/>
      <c r="AA312" s="127"/>
      <c r="AB312" s="121"/>
      <c r="AC312" s="64">
        <v>91500000</v>
      </c>
      <c r="AD312" s="63">
        <v>44093</v>
      </c>
      <c r="AE312" s="65">
        <v>45918</v>
      </c>
      <c r="AF312" s="62">
        <v>5</v>
      </c>
      <c r="AG312" s="119">
        <v>60</v>
      </c>
      <c r="AH312" s="25">
        <v>1525000</v>
      </c>
      <c r="AI312" s="78">
        <v>60085000</v>
      </c>
      <c r="AJ312" s="78">
        <v>31415000</v>
      </c>
      <c r="AK312" s="27">
        <f t="shared" si="104"/>
        <v>1525000</v>
      </c>
      <c r="AL312" s="27">
        <f t="shared" si="108"/>
        <v>1525000</v>
      </c>
      <c r="AM312" s="27">
        <f t="shared" si="108"/>
        <v>1525000</v>
      </c>
      <c r="AN312" s="27">
        <f t="shared" si="110"/>
        <v>1525000</v>
      </c>
      <c r="AO312" s="27">
        <f t="shared" si="111"/>
        <v>1525000</v>
      </c>
      <c r="AP312" s="27">
        <f t="shared" si="111"/>
        <v>1525000</v>
      </c>
      <c r="AQ312" s="27">
        <f t="shared" si="112"/>
        <v>1525000</v>
      </c>
      <c r="AR312" s="27">
        <f t="shared" si="113"/>
        <v>1525000</v>
      </c>
      <c r="AS312" s="27"/>
      <c r="AT312" s="27"/>
      <c r="AU312" s="27"/>
      <c r="AV312" s="27"/>
      <c r="AW312" s="27">
        <f t="shared" si="101"/>
        <v>12200000</v>
      </c>
      <c r="AX312" s="79">
        <f t="shared" si="105"/>
        <v>19215000</v>
      </c>
      <c r="AY312" s="79">
        <f t="shared" si="106"/>
        <v>72285000</v>
      </c>
      <c r="AZ312" s="25">
        <v>1</v>
      </c>
      <c r="BA312" s="62" t="s">
        <v>97</v>
      </c>
      <c r="BB312" s="66">
        <v>1</v>
      </c>
      <c r="BC312" s="66"/>
      <c r="BD312" s="66"/>
      <c r="BE312" s="67">
        <f t="shared" si="109"/>
        <v>1525000</v>
      </c>
      <c r="BF312" s="67">
        <f t="shared" si="114"/>
        <v>0</v>
      </c>
      <c r="BG312" s="67">
        <f t="shared" si="107"/>
        <v>0</v>
      </c>
      <c r="BH312" s="66"/>
      <c r="BI312" s="68" t="s">
        <v>913</v>
      </c>
      <c r="BJ312" s="68" t="s">
        <v>644</v>
      </c>
      <c r="BK312" s="68" t="s">
        <v>644</v>
      </c>
      <c r="BL312" s="29"/>
      <c r="BO312" s="35" t="s">
        <v>1802</v>
      </c>
    </row>
    <row r="313" spans="1:68" ht="15" customHeight="1">
      <c r="A313" s="1" t="s">
        <v>43</v>
      </c>
      <c r="C313" s="1" t="str">
        <f t="shared" si="102"/>
        <v>2509</v>
      </c>
      <c r="D313" s="1" t="str">
        <f t="shared" si="103"/>
        <v>2009</v>
      </c>
      <c r="E313" s="19" t="s">
        <v>48</v>
      </c>
      <c r="F313" s="62" t="s">
        <v>515</v>
      </c>
      <c r="G313" s="62">
        <v>2113</v>
      </c>
      <c r="H313" s="62" t="s">
        <v>914</v>
      </c>
      <c r="I313" s="62" t="s">
        <v>915</v>
      </c>
      <c r="J313" s="118">
        <v>1</v>
      </c>
      <c r="K313" s="119" t="s">
        <v>271</v>
      </c>
      <c r="L313" s="62" t="s">
        <v>773</v>
      </c>
      <c r="M313" s="120" t="s">
        <v>916</v>
      </c>
      <c r="N313" s="63">
        <v>44104</v>
      </c>
      <c r="O313" s="24"/>
      <c r="P313" s="24"/>
      <c r="Q313" s="64">
        <v>78500000</v>
      </c>
      <c r="R313" s="64"/>
      <c r="S313" s="64"/>
      <c r="T313" s="64"/>
      <c r="U313" s="64"/>
      <c r="V313" s="121">
        <v>78500000</v>
      </c>
      <c r="W313" s="122">
        <v>0</v>
      </c>
      <c r="X313" s="64">
        <v>78500000</v>
      </c>
      <c r="Y313" s="121"/>
      <c r="Z313" s="121"/>
      <c r="AA313" s="121"/>
      <c r="AB313" s="121"/>
      <c r="AC313" s="64">
        <v>78500000</v>
      </c>
      <c r="AD313" s="63">
        <v>44104</v>
      </c>
      <c r="AE313" s="65">
        <v>45929</v>
      </c>
      <c r="AF313" s="62">
        <v>5</v>
      </c>
      <c r="AG313" s="119">
        <v>60</v>
      </c>
      <c r="AH313" s="25">
        <v>1308333.3333333333</v>
      </c>
      <c r="AI313" s="78">
        <v>51068601.333333336</v>
      </c>
      <c r="AJ313" s="78">
        <v>27431398.666666664</v>
      </c>
      <c r="AK313" s="27">
        <f t="shared" si="104"/>
        <v>1308333.3333333333</v>
      </c>
      <c r="AL313" s="27">
        <f t="shared" si="108"/>
        <v>1308333.3333333333</v>
      </c>
      <c r="AM313" s="27">
        <f t="shared" si="108"/>
        <v>1308333.3333333333</v>
      </c>
      <c r="AN313" s="27">
        <f t="shared" si="110"/>
        <v>1308333.3333333333</v>
      </c>
      <c r="AO313" s="27">
        <f t="shared" si="111"/>
        <v>1308333.3333333333</v>
      </c>
      <c r="AP313" s="27">
        <f t="shared" si="111"/>
        <v>1308333.3333333333</v>
      </c>
      <c r="AQ313" s="27">
        <f t="shared" si="112"/>
        <v>1308333.3333333333</v>
      </c>
      <c r="AR313" s="27">
        <f t="shared" si="113"/>
        <v>1308333.3333333333</v>
      </c>
      <c r="AS313" s="27"/>
      <c r="AT313" s="27"/>
      <c r="AU313" s="27"/>
      <c r="AV313" s="27"/>
      <c r="AW313" s="27">
        <f t="shared" si="101"/>
        <v>10466666.666666666</v>
      </c>
      <c r="AX313" s="79">
        <f t="shared" si="105"/>
        <v>16964732</v>
      </c>
      <c r="AY313" s="79">
        <f t="shared" si="106"/>
        <v>61535268</v>
      </c>
      <c r="AZ313" s="25">
        <v>1</v>
      </c>
      <c r="BA313" s="62" t="s">
        <v>275</v>
      </c>
      <c r="BB313" s="66">
        <v>1</v>
      </c>
      <c r="BC313" s="66"/>
      <c r="BD313" s="66"/>
      <c r="BE313" s="67">
        <f t="shared" si="109"/>
        <v>1308333.3333333333</v>
      </c>
      <c r="BF313" s="67">
        <f t="shared" si="114"/>
        <v>0</v>
      </c>
      <c r="BG313" s="67">
        <f t="shared" si="107"/>
        <v>0</v>
      </c>
      <c r="BH313" s="66"/>
      <c r="BI313" s="68" t="s">
        <v>713</v>
      </c>
      <c r="BJ313" s="68" t="s">
        <v>644</v>
      </c>
      <c r="BK313" s="68" t="s">
        <v>644</v>
      </c>
      <c r="BL313" s="29"/>
      <c r="BO313" s="35" t="s">
        <v>1802</v>
      </c>
    </row>
    <row r="314" spans="1:68" ht="15" customHeight="1">
      <c r="A314" s="1" t="s">
        <v>43</v>
      </c>
      <c r="C314" s="1" t="str">
        <f t="shared" si="102"/>
        <v>3011</v>
      </c>
      <c r="D314" s="1" t="str">
        <f t="shared" si="103"/>
        <v>2011</v>
      </c>
      <c r="E314" s="19" t="s">
        <v>48</v>
      </c>
      <c r="F314" s="62" t="s">
        <v>515</v>
      </c>
      <c r="G314" s="62">
        <v>2112</v>
      </c>
      <c r="H314" s="62" t="s">
        <v>917</v>
      </c>
      <c r="I314" s="62" t="s">
        <v>918</v>
      </c>
      <c r="J314" s="118">
        <v>1</v>
      </c>
      <c r="K314" s="119" t="s">
        <v>271</v>
      </c>
      <c r="L314" s="62" t="s">
        <v>919</v>
      </c>
      <c r="M314" s="120" t="s">
        <v>920</v>
      </c>
      <c r="N314" s="63">
        <v>44091</v>
      </c>
      <c r="O314" s="24">
        <v>173000</v>
      </c>
      <c r="P314" s="24">
        <v>23308.5</v>
      </c>
      <c r="Q314" s="64">
        <v>4032370500</v>
      </c>
      <c r="R314" s="64"/>
      <c r="S314" s="64"/>
      <c r="T314" s="64">
        <v>83697800</v>
      </c>
      <c r="U314" s="64" t="s">
        <v>921</v>
      </c>
      <c r="V314" s="121">
        <v>4116068300</v>
      </c>
      <c r="W314" s="122">
        <v>0</v>
      </c>
      <c r="X314" s="64">
        <v>4116068300</v>
      </c>
      <c r="Y314" s="121"/>
      <c r="Z314" s="121"/>
      <c r="AA314" s="121"/>
      <c r="AB314" s="121"/>
      <c r="AC314" s="64">
        <v>4116068300</v>
      </c>
      <c r="AD314" s="65">
        <v>44155</v>
      </c>
      <c r="AE314" s="65">
        <v>47805</v>
      </c>
      <c r="AF314" s="62">
        <v>10</v>
      </c>
      <c r="AG314" s="119">
        <v>120</v>
      </c>
      <c r="AH314" s="25">
        <v>34300569.166666664</v>
      </c>
      <c r="AI314" s="78">
        <v>1281697929.6666667</v>
      </c>
      <c r="AJ314" s="78">
        <v>2834370370.3333335</v>
      </c>
      <c r="AK314" s="27">
        <f t="shared" si="104"/>
        <v>34300569.166666664</v>
      </c>
      <c r="AL314" s="27">
        <f t="shared" si="108"/>
        <v>34300569.166666664</v>
      </c>
      <c r="AM314" s="27">
        <f t="shared" si="108"/>
        <v>34300569.166666664</v>
      </c>
      <c r="AN314" s="27">
        <f t="shared" si="110"/>
        <v>34300569.166666664</v>
      </c>
      <c r="AO314" s="27">
        <f t="shared" si="111"/>
        <v>34300569.166666664</v>
      </c>
      <c r="AP314" s="27">
        <f t="shared" si="111"/>
        <v>34300569.166666664</v>
      </c>
      <c r="AQ314" s="27">
        <f t="shared" si="112"/>
        <v>34300569.166666664</v>
      </c>
      <c r="AR314" s="27">
        <f t="shared" si="113"/>
        <v>34300569.166666664</v>
      </c>
      <c r="AS314" s="27"/>
      <c r="AT314" s="27"/>
      <c r="AU314" s="27"/>
      <c r="AV314" s="27"/>
      <c r="AW314" s="27">
        <f t="shared" si="101"/>
        <v>274404553.33333331</v>
      </c>
      <c r="AX314" s="79">
        <f t="shared" si="105"/>
        <v>2559965816.9999995</v>
      </c>
      <c r="AY314" s="79">
        <f t="shared" si="106"/>
        <v>1556102483</v>
      </c>
      <c r="AZ314" s="25">
        <v>1</v>
      </c>
      <c r="BA314" s="62" t="s">
        <v>97</v>
      </c>
      <c r="BB314" s="66">
        <v>1</v>
      </c>
      <c r="BC314" s="66"/>
      <c r="BD314" s="66"/>
      <c r="BE314" s="67">
        <f t="shared" si="109"/>
        <v>34300569.166666664</v>
      </c>
      <c r="BF314" s="67">
        <f t="shared" si="114"/>
        <v>0</v>
      </c>
      <c r="BG314" s="67">
        <f t="shared" si="107"/>
        <v>0</v>
      </c>
      <c r="BH314" s="66"/>
      <c r="BI314" s="68" t="s">
        <v>713</v>
      </c>
      <c r="BJ314" s="68" t="s">
        <v>644</v>
      </c>
      <c r="BK314" s="68" t="s">
        <v>644</v>
      </c>
      <c r="BL314" s="29"/>
      <c r="BO314" s="35" t="s">
        <v>1802</v>
      </c>
    </row>
    <row r="315" spans="1:68" ht="15" customHeight="1">
      <c r="A315" s="1" t="s">
        <v>43</v>
      </c>
      <c r="C315" s="1" t="str">
        <f t="shared" si="102"/>
        <v>2711</v>
      </c>
      <c r="D315" s="1" t="str">
        <f t="shared" si="103"/>
        <v>2011</v>
      </c>
      <c r="E315" s="19" t="s">
        <v>48</v>
      </c>
      <c r="F315" s="62" t="s">
        <v>49</v>
      </c>
      <c r="G315" s="62">
        <v>2112</v>
      </c>
      <c r="H315" s="62" t="s">
        <v>922</v>
      </c>
      <c r="I315" s="62" t="s">
        <v>923</v>
      </c>
      <c r="J315" s="118">
        <v>1</v>
      </c>
      <c r="K315" s="119" t="s">
        <v>619</v>
      </c>
      <c r="L315" s="62" t="s">
        <v>924</v>
      </c>
      <c r="M315" s="120" t="s">
        <v>925</v>
      </c>
      <c r="N315" s="65">
        <v>44125</v>
      </c>
      <c r="O315" s="24">
        <v>35250</v>
      </c>
      <c r="P315" s="24">
        <v>23272.02</v>
      </c>
      <c r="Q315" s="64">
        <v>820338705</v>
      </c>
      <c r="R315" s="64"/>
      <c r="S315" s="64"/>
      <c r="T315" s="64">
        <v>916443.31333333335</v>
      </c>
      <c r="U315" s="64" t="s">
        <v>926</v>
      </c>
      <c r="V315" s="121">
        <v>821255148</v>
      </c>
      <c r="W315" s="122">
        <v>0</v>
      </c>
      <c r="X315" s="64">
        <v>821255148</v>
      </c>
      <c r="Y315" s="121"/>
      <c r="Z315" s="121"/>
      <c r="AA315" s="121"/>
      <c r="AB315" s="121"/>
      <c r="AC315" s="64">
        <v>821255148</v>
      </c>
      <c r="AD315" s="65">
        <v>44155</v>
      </c>
      <c r="AE315" s="65">
        <v>46710</v>
      </c>
      <c r="AF315" s="62">
        <v>7</v>
      </c>
      <c r="AG315" s="119">
        <v>84</v>
      </c>
      <c r="AH315" s="25">
        <v>9776847</v>
      </c>
      <c r="AI315" s="78">
        <v>365328183</v>
      </c>
      <c r="AJ315" s="78">
        <v>455926965</v>
      </c>
      <c r="AK315" s="27">
        <f t="shared" si="104"/>
        <v>9776847</v>
      </c>
      <c r="AL315" s="27">
        <f t="shared" si="108"/>
        <v>9776847</v>
      </c>
      <c r="AM315" s="27">
        <f t="shared" si="108"/>
        <v>9776847</v>
      </c>
      <c r="AN315" s="27">
        <f t="shared" si="110"/>
        <v>9776847</v>
      </c>
      <c r="AO315" s="27">
        <f t="shared" si="111"/>
        <v>9776847</v>
      </c>
      <c r="AP315" s="27">
        <f t="shared" si="111"/>
        <v>9776847</v>
      </c>
      <c r="AQ315" s="27">
        <f t="shared" si="112"/>
        <v>9776847</v>
      </c>
      <c r="AR315" s="27">
        <f t="shared" si="113"/>
        <v>9776847</v>
      </c>
      <c r="AS315" s="27"/>
      <c r="AT315" s="27"/>
      <c r="AU315" s="27"/>
      <c r="AV315" s="27"/>
      <c r="AW315" s="27">
        <f t="shared" si="101"/>
        <v>78214776</v>
      </c>
      <c r="AX315" s="79">
        <f t="shared" si="105"/>
        <v>377712189</v>
      </c>
      <c r="AY315" s="79">
        <f t="shared" si="106"/>
        <v>443542959</v>
      </c>
      <c r="AZ315" s="25">
        <v>1</v>
      </c>
      <c r="BA315" s="62" t="s">
        <v>97</v>
      </c>
      <c r="BB315" s="66">
        <v>1</v>
      </c>
      <c r="BC315" s="66"/>
      <c r="BD315" s="66"/>
      <c r="BE315" s="67">
        <f t="shared" si="109"/>
        <v>9776847</v>
      </c>
      <c r="BF315" s="67">
        <f t="shared" si="114"/>
        <v>0</v>
      </c>
      <c r="BG315" s="67">
        <f t="shared" si="107"/>
        <v>0</v>
      </c>
      <c r="BH315" s="66"/>
      <c r="BI315" s="68" t="s">
        <v>828</v>
      </c>
      <c r="BJ315" s="68" t="s">
        <v>121</v>
      </c>
      <c r="BK315" s="68" t="s">
        <v>121</v>
      </c>
      <c r="BL315" s="29"/>
      <c r="BO315" s="35" t="s">
        <v>1800</v>
      </c>
      <c r="BP315" s="1" t="s">
        <v>1822</v>
      </c>
    </row>
    <row r="316" spans="1:68" ht="15" customHeight="1">
      <c r="A316" s="1" t="s">
        <v>43</v>
      </c>
      <c r="C316" s="1" t="str">
        <f t="shared" si="102"/>
        <v>2711</v>
      </c>
      <c r="D316" s="1" t="str">
        <f t="shared" si="103"/>
        <v>2011</v>
      </c>
      <c r="E316" s="19" t="s">
        <v>48</v>
      </c>
      <c r="F316" s="62" t="s">
        <v>49</v>
      </c>
      <c r="G316" s="62">
        <v>2112</v>
      </c>
      <c r="H316" s="62" t="s">
        <v>927</v>
      </c>
      <c r="I316" s="62" t="s">
        <v>923</v>
      </c>
      <c r="J316" s="118">
        <v>1</v>
      </c>
      <c r="K316" s="119" t="s">
        <v>619</v>
      </c>
      <c r="L316" s="62" t="s">
        <v>924</v>
      </c>
      <c r="M316" s="120" t="s">
        <v>925</v>
      </c>
      <c r="N316" s="65">
        <v>44125</v>
      </c>
      <c r="O316" s="24">
        <v>35250</v>
      </c>
      <c r="P316" s="24">
        <v>23272.02</v>
      </c>
      <c r="Q316" s="64">
        <v>820338705</v>
      </c>
      <c r="R316" s="64"/>
      <c r="S316" s="64"/>
      <c r="T316" s="64">
        <v>916443.31333333335</v>
      </c>
      <c r="U316" s="64" t="s">
        <v>926</v>
      </c>
      <c r="V316" s="121">
        <v>821255148</v>
      </c>
      <c r="W316" s="122">
        <v>0</v>
      </c>
      <c r="X316" s="64">
        <v>821255148</v>
      </c>
      <c r="Y316" s="121"/>
      <c r="Z316" s="121"/>
      <c r="AA316" s="121"/>
      <c r="AB316" s="121"/>
      <c r="AC316" s="64">
        <v>821255148</v>
      </c>
      <c r="AD316" s="65">
        <v>44155</v>
      </c>
      <c r="AE316" s="65">
        <v>46710</v>
      </c>
      <c r="AF316" s="62">
        <v>7</v>
      </c>
      <c r="AG316" s="119">
        <v>84</v>
      </c>
      <c r="AH316" s="25">
        <v>9776847</v>
      </c>
      <c r="AI316" s="78">
        <v>365328183</v>
      </c>
      <c r="AJ316" s="78">
        <v>455926965</v>
      </c>
      <c r="AK316" s="27">
        <f t="shared" si="104"/>
        <v>9776847</v>
      </c>
      <c r="AL316" s="27">
        <f t="shared" si="108"/>
        <v>9776847</v>
      </c>
      <c r="AM316" s="27">
        <f t="shared" si="108"/>
        <v>9776847</v>
      </c>
      <c r="AN316" s="27">
        <f t="shared" si="110"/>
        <v>9776847</v>
      </c>
      <c r="AO316" s="27">
        <f t="shared" si="111"/>
        <v>9776847</v>
      </c>
      <c r="AP316" s="27">
        <f t="shared" si="111"/>
        <v>9776847</v>
      </c>
      <c r="AQ316" s="27">
        <f t="shared" si="112"/>
        <v>9776847</v>
      </c>
      <c r="AR316" s="27">
        <f t="shared" si="113"/>
        <v>9776847</v>
      </c>
      <c r="AS316" s="27"/>
      <c r="AT316" s="27"/>
      <c r="AU316" s="27"/>
      <c r="AV316" s="27"/>
      <c r="AW316" s="27">
        <f t="shared" si="101"/>
        <v>78214776</v>
      </c>
      <c r="AX316" s="79">
        <f t="shared" si="105"/>
        <v>377712189</v>
      </c>
      <c r="AY316" s="79">
        <f t="shared" si="106"/>
        <v>443542959</v>
      </c>
      <c r="AZ316" s="25">
        <v>1</v>
      </c>
      <c r="BA316" s="62" t="s">
        <v>97</v>
      </c>
      <c r="BB316" s="66">
        <v>1</v>
      </c>
      <c r="BC316" s="66"/>
      <c r="BD316" s="66"/>
      <c r="BE316" s="67">
        <f t="shared" si="109"/>
        <v>9776847</v>
      </c>
      <c r="BF316" s="67">
        <f t="shared" si="114"/>
        <v>0</v>
      </c>
      <c r="BG316" s="67">
        <f t="shared" si="107"/>
        <v>0</v>
      </c>
      <c r="BH316" s="66"/>
      <c r="BI316" s="68" t="s">
        <v>830</v>
      </c>
      <c r="BJ316" s="68" t="s">
        <v>121</v>
      </c>
      <c r="BK316" s="68" t="s">
        <v>121</v>
      </c>
      <c r="BL316" s="29"/>
      <c r="BO316" s="35" t="s">
        <v>1800</v>
      </c>
      <c r="BP316" s="1" t="s">
        <v>1816</v>
      </c>
    </row>
    <row r="317" spans="1:68" ht="15" customHeight="1">
      <c r="A317" s="1" t="s">
        <v>43</v>
      </c>
      <c r="C317" s="1" t="str">
        <f t="shared" si="102"/>
        <v>2711</v>
      </c>
      <c r="D317" s="1" t="str">
        <f t="shared" si="103"/>
        <v>2011</v>
      </c>
      <c r="E317" s="19" t="s">
        <v>48</v>
      </c>
      <c r="F317" s="62" t="s">
        <v>1896</v>
      </c>
      <c r="G317" s="62">
        <v>2112</v>
      </c>
      <c r="H317" s="62" t="s">
        <v>930</v>
      </c>
      <c r="I317" s="62" t="s">
        <v>923</v>
      </c>
      <c r="J317" s="118">
        <v>1</v>
      </c>
      <c r="K317" s="119" t="s">
        <v>619</v>
      </c>
      <c r="L317" s="62" t="s">
        <v>924</v>
      </c>
      <c r="M317" s="120" t="s">
        <v>925</v>
      </c>
      <c r="N317" s="65">
        <v>44125</v>
      </c>
      <c r="O317" s="24">
        <v>35250</v>
      </c>
      <c r="P317" s="24">
        <v>23272.02</v>
      </c>
      <c r="Q317" s="64">
        <v>820338705</v>
      </c>
      <c r="R317" s="64"/>
      <c r="S317" s="64"/>
      <c r="T317" s="64">
        <v>916443.31333333335</v>
      </c>
      <c r="U317" s="64" t="s">
        <v>926</v>
      </c>
      <c r="V317" s="121">
        <v>821255148</v>
      </c>
      <c r="W317" s="122">
        <v>0</v>
      </c>
      <c r="X317" s="64">
        <v>821255148</v>
      </c>
      <c r="Y317" s="121"/>
      <c r="Z317" s="121"/>
      <c r="AA317" s="121"/>
      <c r="AB317" s="121"/>
      <c r="AC317" s="64">
        <v>821255148</v>
      </c>
      <c r="AD317" s="65">
        <v>44155</v>
      </c>
      <c r="AE317" s="65">
        <v>46710</v>
      </c>
      <c r="AF317" s="62">
        <v>7</v>
      </c>
      <c r="AG317" s="119">
        <v>84</v>
      </c>
      <c r="AH317" s="25">
        <v>9776847</v>
      </c>
      <c r="AI317" s="78">
        <v>365328183</v>
      </c>
      <c r="AJ317" s="78">
        <v>455926965</v>
      </c>
      <c r="AK317" s="27">
        <f t="shared" si="104"/>
        <v>9776847</v>
      </c>
      <c r="AL317" s="27">
        <f t="shared" si="108"/>
        <v>9776847</v>
      </c>
      <c r="AM317" s="27">
        <f t="shared" si="108"/>
        <v>9776847</v>
      </c>
      <c r="AN317" s="27">
        <f t="shared" si="110"/>
        <v>9776847</v>
      </c>
      <c r="AO317" s="27">
        <f t="shared" si="111"/>
        <v>9776847</v>
      </c>
      <c r="AP317" s="27">
        <f t="shared" si="111"/>
        <v>9776847</v>
      </c>
      <c r="AQ317" s="27">
        <f t="shared" si="112"/>
        <v>9776847</v>
      </c>
      <c r="AR317" s="27">
        <f t="shared" si="113"/>
        <v>9776847</v>
      </c>
      <c r="AS317" s="27"/>
      <c r="AT317" s="27"/>
      <c r="AU317" s="27"/>
      <c r="AV317" s="27"/>
      <c r="AW317" s="27">
        <f t="shared" si="101"/>
        <v>78214776</v>
      </c>
      <c r="AX317" s="79">
        <f t="shared" si="105"/>
        <v>377712189</v>
      </c>
      <c r="AY317" s="79">
        <f t="shared" si="106"/>
        <v>443542959</v>
      </c>
      <c r="AZ317" s="25">
        <v>1</v>
      </c>
      <c r="BA317" s="62" t="s">
        <v>97</v>
      </c>
      <c r="BB317" s="66">
        <v>1</v>
      </c>
      <c r="BC317" s="66"/>
      <c r="BD317" s="66"/>
      <c r="BE317" s="67">
        <f t="shared" si="109"/>
        <v>9776847</v>
      </c>
      <c r="BF317" s="67">
        <f t="shared" si="114"/>
        <v>0</v>
      </c>
      <c r="BG317" s="67">
        <f t="shared" si="107"/>
        <v>0</v>
      </c>
      <c r="BH317" s="66"/>
      <c r="BI317" s="68" t="s">
        <v>905</v>
      </c>
      <c r="BJ317" s="68" t="s">
        <v>1979</v>
      </c>
      <c r="BK317" s="68" t="s">
        <v>1979</v>
      </c>
      <c r="BL317" s="29"/>
      <c r="BO317" s="35" t="s">
        <v>1801</v>
      </c>
      <c r="BP317" s="1" t="s">
        <v>1820</v>
      </c>
    </row>
    <row r="318" spans="1:68" ht="15" customHeight="1">
      <c r="A318" s="1" t="s">
        <v>43</v>
      </c>
      <c r="C318" s="1" t="str">
        <f t="shared" si="102"/>
        <v>2711</v>
      </c>
      <c r="D318" s="1" t="str">
        <f t="shared" si="103"/>
        <v>2011</v>
      </c>
      <c r="E318" s="19" t="s">
        <v>48</v>
      </c>
      <c r="F318" s="62" t="s">
        <v>49</v>
      </c>
      <c r="G318" s="62">
        <v>2112</v>
      </c>
      <c r="H318" s="62" t="s">
        <v>931</v>
      </c>
      <c r="I318" s="62" t="s">
        <v>923</v>
      </c>
      <c r="J318" s="118">
        <v>1</v>
      </c>
      <c r="K318" s="119" t="s">
        <v>619</v>
      </c>
      <c r="L318" s="62" t="s">
        <v>924</v>
      </c>
      <c r="M318" s="120" t="s">
        <v>925</v>
      </c>
      <c r="N318" s="65">
        <v>44125</v>
      </c>
      <c r="O318" s="24">
        <v>35250</v>
      </c>
      <c r="P318" s="24">
        <v>23272.02</v>
      </c>
      <c r="Q318" s="64">
        <v>820338705</v>
      </c>
      <c r="R318" s="64"/>
      <c r="S318" s="64"/>
      <c r="T318" s="64">
        <v>916443.31333333335</v>
      </c>
      <c r="U318" s="64" t="s">
        <v>926</v>
      </c>
      <c r="V318" s="121">
        <v>821255148</v>
      </c>
      <c r="W318" s="122">
        <v>0</v>
      </c>
      <c r="X318" s="64">
        <v>821255148</v>
      </c>
      <c r="Y318" s="121"/>
      <c r="Z318" s="121"/>
      <c r="AA318" s="121"/>
      <c r="AB318" s="121"/>
      <c r="AC318" s="64">
        <v>821255148</v>
      </c>
      <c r="AD318" s="65">
        <v>44155</v>
      </c>
      <c r="AE318" s="65">
        <v>46710</v>
      </c>
      <c r="AF318" s="62">
        <v>7</v>
      </c>
      <c r="AG318" s="119">
        <v>84</v>
      </c>
      <c r="AH318" s="25">
        <v>9776847</v>
      </c>
      <c r="AI318" s="78">
        <v>365328183</v>
      </c>
      <c r="AJ318" s="78">
        <v>455926965</v>
      </c>
      <c r="AK318" s="27">
        <f t="shared" si="104"/>
        <v>9776847</v>
      </c>
      <c r="AL318" s="27">
        <f t="shared" si="108"/>
        <v>9776847</v>
      </c>
      <c r="AM318" s="27">
        <f t="shared" si="108"/>
        <v>9776847</v>
      </c>
      <c r="AN318" s="27">
        <f t="shared" si="110"/>
        <v>9776847</v>
      </c>
      <c r="AO318" s="27">
        <f t="shared" si="111"/>
        <v>9776847</v>
      </c>
      <c r="AP318" s="27">
        <f t="shared" si="111"/>
        <v>9776847</v>
      </c>
      <c r="AQ318" s="27">
        <f t="shared" si="112"/>
        <v>9776847</v>
      </c>
      <c r="AR318" s="27">
        <f t="shared" si="113"/>
        <v>9776847</v>
      </c>
      <c r="AS318" s="27"/>
      <c r="AT318" s="27"/>
      <c r="AU318" s="27"/>
      <c r="AV318" s="27"/>
      <c r="AW318" s="27">
        <f t="shared" si="101"/>
        <v>78214776</v>
      </c>
      <c r="AX318" s="79">
        <f t="shared" si="105"/>
        <v>377712189</v>
      </c>
      <c r="AY318" s="79">
        <f t="shared" si="106"/>
        <v>443542959</v>
      </c>
      <c r="AZ318" s="25">
        <v>1</v>
      </c>
      <c r="BA318" s="62" t="s">
        <v>97</v>
      </c>
      <c r="BB318" s="66">
        <v>1</v>
      </c>
      <c r="BC318" s="66"/>
      <c r="BD318" s="66"/>
      <c r="BE318" s="67">
        <f t="shared" si="109"/>
        <v>9776847</v>
      </c>
      <c r="BF318" s="67">
        <f t="shared" si="114"/>
        <v>0</v>
      </c>
      <c r="BG318" s="67">
        <f t="shared" si="107"/>
        <v>0</v>
      </c>
      <c r="BH318" s="66"/>
      <c r="BI318" s="68" t="s">
        <v>932</v>
      </c>
      <c r="BJ318" s="68" t="s">
        <v>121</v>
      </c>
      <c r="BK318" s="68" t="s">
        <v>121</v>
      </c>
      <c r="BL318" s="29"/>
      <c r="BO318" s="35" t="s">
        <v>1800</v>
      </c>
      <c r="BP318" s="1" t="s">
        <v>1823</v>
      </c>
    </row>
    <row r="319" spans="1:68" ht="15" customHeight="1">
      <c r="A319" s="1" t="s">
        <v>43</v>
      </c>
      <c r="C319" s="1" t="str">
        <f t="shared" si="102"/>
        <v>2612</v>
      </c>
      <c r="D319" s="1" t="str">
        <f t="shared" si="103"/>
        <v>2012</v>
      </c>
      <c r="E319" s="19" t="s">
        <v>48</v>
      </c>
      <c r="F319" s="62" t="s">
        <v>49</v>
      </c>
      <c r="G319" s="62">
        <v>2112</v>
      </c>
      <c r="H319" s="62" t="s">
        <v>939</v>
      </c>
      <c r="I319" s="62" t="s">
        <v>934</v>
      </c>
      <c r="J319" s="118">
        <v>1</v>
      </c>
      <c r="K319" s="119" t="s">
        <v>619</v>
      </c>
      <c r="L319" s="62" t="s">
        <v>935</v>
      </c>
      <c r="M319" s="120" t="s">
        <v>936</v>
      </c>
      <c r="N319" s="65">
        <v>44131</v>
      </c>
      <c r="O319" s="24">
        <v>19285</v>
      </c>
      <c r="P319" s="24">
        <v>23272.2</v>
      </c>
      <c r="Q319" s="64">
        <v>448804377</v>
      </c>
      <c r="R319" s="64"/>
      <c r="S319" s="64"/>
      <c r="T319" s="64">
        <v>5006500</v>
      </c>
      <c r="U319" s="64" t="s">
        <v>937</v>
      </c>
      <c r="V319" s="121">
        <v>453810877</v>
      </c>
      <c r="W319" s="122">
        <v>0</v>
      </c>
      <c r="X319" s="64">
        <v>453810877</v>
      </c>
      <c r="Y319" s="121"/>
      <c r="Z319" s="121"/>
      <c r="AA319" s="121"/>
      <c r="AB319" s="121"/>
      <c r="AC319" s="64">
        <v>453810877</v>
      </c>
      <c r="AD319" s="65">
        <v>44180</v>
      </c>
      <c r="AE319" s="65">
        <v>46370</v>
      </c>
      <c r="AF319" s="62">
        <v>6</v>
      </c>
      <c r="AG319" s="119">
        <v>72</v>
      </c>
      <c r="AH319" s="25">
        <v>6302928.847222222</v>
      </c>
      <c r="AI319" s="78">
        <v>230361887.47222224</v>
      </c>
      <c r="AJ319" s="78">
        <v>223448989.52777776</v>
      </c>
      <c r="AK319" s="27">
        <f t="shared" si="104"/>
        <v>6302928.847222222</v>
      </c>
      <c r="AL319" s="27">
        <f t="shared" si="108"/>
        <v>6302928.847222222</v>
      </c>
      <c r="AM319" s="27">
        <f t="shared" si="108"/>
        <v>6302928.847222222</v>
      </c>
      <c r="AN319" s="27">
        <f t="shared" si="110"/>
        <v>6302928.847222222</v>
      </c>
      <c r="AO319" s="27">
        <f t="shared" si="111"/>
        <v>6302928.847222222</v>
      </c>
      <c r="AP319" s="27">
        <f t="shared" si="111"/>
        <v>6302928.847222222</v>
      </c>
      <c r="AQ319" s="27">
        <f t="shared" si="112"/>
        <v>6302928.847222222</v>
      </c>
      <c r="AR319" s="27">
        <f t="shared" si="113"/>
        <v>6302928.847222222</v>
      </c>
      <c r="AS319" s="27"/>
      <c r="AT319" s="27"/>
      <c r="AU319" s="27"/>
      <c r="AV319" s="27"/>
      <c r="AW319" s="27">
        <f t="shared" si="101"/>
        <v>50423430.777777784</v>
      </c>
      <c r="AX319" s="79">
        <f t="shared" si="105"/>
        <v>173025558.74999997</v>
      </c>
      <c r="AY319" s="79">
        <f t="shared" si="106"/>
        <v>280785318.25</v>
      </c>
      <c r="AZ319" s="25">
        <v>1</v>
      </c>
      <c r="BA319" s="62" t="s">
        <v>97</v>
      </c>
      <c r="BB319" s="66">
        <v>1</v>
      </c>
      <c r="BC319" s="66"/>
      <c r="BD319" s="66"/>
      <c r="BE319" s="67">
        <f t="shared" si="109"/>
        <v>6302928.847222222</v>
      </c>
      <c r="BF319" s="67">
        <f t="shared" si="114"/>
        <v>0</v>
      </c>
      <c r="BG319" s="67">
        <f t="shared" si="107"/>
        <v>0</v>
      </c>
      <c r="BH319" s="66"/>
      <c r="BI319" s="68" t="s">
        <v>819</v>
      </c>
      <c r="BJ319" s="68" t="s">
        <v>81</v>
      </c>
      <c r="BK319" s="68" t="s">
        <v>81</v>
      </c>
      <c r="BL319" s="29"/>
      <c r="BO319" s="35" t="s">
        <v>1800</v>
      </c>
      <c r="BP319" s="1" t="s">
        <v>1821</v>
      </c>
    </row>
    <row r="320" spans="1:68" ht="15" customHeight="1">
      <c r="A320" s="1" t="s">
        <v>43</v>
      </c>
      <c r="C320" s="1" t="str">
        <f t="shared" si="102"/>
        <v>2612</v>
      </c>
      <c r="D320" s="1" t="str">
        <f t="shared" si="103"/>
        <v>2012</v>
      </c>
      <c r="E320" s="19" t="s">
        <v>48</v>
      </c>
      <c r="F320" s="62" t="s">
        <v>1896</v>
      </c>
      <c r="G320" s="62">
        <v>2112</v>
      </c>
      <c r="H320" s="62" t="s">
        <v>940</v>
      </c>
      <c r="I320" s="62" t="s">
        <v>934</v>
      </c>
      <c r="J320" s="118">
        <v>1</v>
      </c>
      <c r="K320" s="119" t="s">
        <v>619</v>
      </c>
      <c r="L320" s="62" t="s">
        <v>935</v>
      </c>
      <c r="M320" s="120" t="s">
        <v>936</v>
      </c>
      <c r="N320" s="65">
        <v>44131</v>
      </c>
      <c r="O320" s="24">
        <v>19285</v>
      </c>
      <c r="P320" s="24">
        <v>23272.2</v>
      </c>
      <c r="Q320" s="64">
        <v>448804377</v>
      </c>
      <c r="R320" s="64"/>
      <c r="S320" s="64"/>
      <c r="T320" s="64">
        <v>5006500</v>
      </c>
      <c r="U320" s="64" t="s">
        <v>937</v>
      </c>
      <c r="V320" s="121">
        <v>453810877</v>
      </c>
      <c r="W320" s="122">
        <v>0</v>
      </c>
      <c r="X320" s="64">
        <v>453810877</v>
      </c>
      <c r="Y320" s="121"/>
      <c r="Z320" s="121"/>
      <c r="AA320" s="121"/>
      <c r="AB320" s="121"/>
      <c r="AC320" s="64">
        <v>453810877</v>
      </c>
      <c r="AD320" s="65">
        <v>44180</v>
      </c>
      <c r="AE320" s="65">
        <v>46370</v>
      </c>
      <c r="AF320" s="62">
        <v>6</v>
      </c>
      <c r="AG320" s="119">
        <v>72</v>
      </c>
      <c r="AH320" s="25">
        <v>6302928.847222222</v>
      </c>
      <c r="AI320" s="78">
        <v>230361887.47222224</v>
      </c>
      <c r="AJ320" s="78">
        <v>223448989.52777776</v>
      </c>
      <c r="AK320" s="27">
        <f t="shared" si="104"/>
        <v>6302928.847222222</v>
      </c>
      <c r="AL320" s="27">
        <f t="shared" si="108"/>
        <v>6302928.847222222</v>
      </c>
      <c r="AM320" s="27">
        <f t="shared" si="108"/>
        <v>6302928.847222222</v>
      </c>
      <c r="AN320" s="27">
        <f t="shared" si="110"/>
        <v>6302928.847222222</v>
      </c>
      <c r="AO320" s="27">
        <f t="shared" si="111"/>
        <v>6302928.847222222</v>
      </c>
      <c r="AP320" s="27">
        <f t="shared" si="111"/>
        <v>6302928.847222222</v>
      </c>
      <c r="AQ320" s="27">
        <f t="shared" si="112"/>
        <v>6302928.847222222</v>
      </c>
      <c r="AR320" s="27">
        <f t="shared" si="113"/>
        <v>6302928.847222222</v>
      </c>
      <c r="AS320" s="27"/>
      <c r="AT320" s="27"/>
      <c r="AU320" s="27"/>
      <c r="AV320" s="27"/>
      <c r="AW320" s="27">
        <f t="shared" si="101"/>
        <v>50423430.777777784</v>
      </c>
      <c r="AX320" s="79">
        <f t="shared" si="105"/>
        <v>173025558.74999997</v>
      </c>
      <c r="AY320" s="79">
        <f t="shared" si="106"/>
        <v>280785318.25</v>
      </c>
      <c r="AZ320" s="25">
        <v>1</v>
      </c>
      <c r="BA320" s="62" t="s">
        <v>97</v>
      </c>
      <c r="BB320" s="66">
        <v>1</v>
      </c>
      <c r="BC320" s="66"/>
      <c r="BD320" s="66"/>
      <c r="BE320" s="67">
        <f t="shared" si="109"/>
        <v>6302928.847222222</v>
      </c>
      <c r="BF320" s="67">
        <f t="shared" si="114"/>
        <v>0</v>
      </c>
      <c r="BG320" s="67">
        <f t="shared" si="107"/>
        <v>0</v>
      </c>
      <c r="BH320" s="66"/>
      <c r="BI320" s="68" t="s">
        <v>905</v>
      </c>
      <c r="BJ320" s="68" t="s">
        <v>1930</v>
      </c>
      <c r="BK320" s="68" t="s">
        <v>1930</v>
      </c>
      <c r="BL320" s="29"/>
      <c r="BO320" s="35" t="s">
        <v>1801</v>
      </c>
      <c r="BP320" s="1" t="s">
        <v>1820</v>
      </c>
    </row>
    <row r="321" spans="1:68" ht="15" customHeight="1">
      <c r="A321" s="1" t="s">
        <v>43</v>
      </c>
      <c r="C321" s="1" t="str">
        <f t="shared" si="102"/>
        <v>2612</v>
      </c>
      <c r="D321" s="1" t="str">
        <f t="shared" si="103"/>
        <v>2012</v>
      </c>
      <c r="E321" s="19" t="s">
        <v>48</v>
      </c>
      <c r="F321" s="62" t="s">
        <v>49</v>
      </c>
      <c r="G321" s="62">
        <v>2112</v>
      </c>
      <c r="H321" s="62" t="s">
        <v>941</v>
      </c>
      <c r="I321" s="62" t="s">
        <v>934</v>
      </c>
      <c r="J321" s="118">
        <v>1</v>
      </c>
      <c r="K321" s="119" t="s">
        <v>619</v>
      </c>
      <c r="L321" s="62" t="s">
        <v>935</v>
      </c>
      <c r="M321" s="120" t="s">
        <v>936</v>
      </c>
      <c r="N321" s="65">
        <v>44131</v>
      </c>
      <c r="O321" s="24">
        <v>19285</v>
      </c>
      <c r="P321" s="24">
        <v>23272.2</v>
      </c>
      <c r="Q321" s="64">
        <v>448804377</v>
      </c>
      <c r="R321" s="64"/>
      <c r="S321" s="64"/>
      <c r="T321" s="64">
        <v>5006500</v>
      </c>
      <c r="U321" s="64" t="s">
        <v>937</v>
      </c>
      <c r="V321" s="121">
        <v>453810877</v>
      </c>
      <c r="W321" s="122">
        <v>0</v>
      </c>
      <c r="X321" s="64">
        <v>453810877</v>
      </c>
      <c r="Y321" s="121"/>
      <c r="Z321" s="121"/>
      <c r="AA321" s="121"/>
      <c r="AB321" s="121"/>
      <c r="AC321" s="64">
        <v>453810877</v>
      </c>
      <c r="AD321" s="65">
        <v>44180</v>
      </c>
      <c r="AE321" s="65">
        <v>46370</v>
      </c>
      <c r="AF321" s="62">
        <v>6</v>
      </c>
      <c r="AG321" s="119">
        <v>72</v>
      </c>
      <c r="AH321" s="25">
        <v>6302928.847222222</v>
      </c>
      <c r="AI321" s="78">
        <v>230361887.47222224</v>
      </c>
      <c r="AJ321" s="78">
        <v>223448989.52777776</v>
      </c>
      <c r="AK321" s="27">
        <f t="shared" si="104"/>
        <v>6302928.847222222</v>
      </c>
      <c r="AL321" s="27">
        <f t="shared" si="108"/>
        <v>6302928.847222222</v>
      </c>
      <c r="AM321" s="27">
        <f t="shared" si="108"/>
        <v>6302928.847222222</v>
      </c>
      <c r="AN321" s="27">
        <f t="shared" si="110"/>
        <v>6302928.847222222</v>
      </c>
      <c r="AO321" s="27">
        <f t="shared" si="111"/>
        <v>6302928.847222222</v>
      </c>
      <c r="AP321" s="27">
        <f t="shared" si="111"/>
        <v>6302928.847222222</v>
      </c>
      <c r="AQ321" s="27">
        <f t="shared" si="112"/>
        <v>6302928.847222222</v>
      </c>
      <c r="AR321" s="27">
        <f t="shared" si="113"/>
        <v>6302928.847222222</v>
      </c>
      <c r="AS321" s="27"/>
      <c r="AT321" s="27"/>
      <c r="AU321" s="27"/>
      <c r="AV321" s="27"/>
      <c r="AW321" s="27">
        <f t="shared" si="101"/>
        <v>50423430.777777784</v>
      </c>
      <c r="AX321" s="79">
        <f t="shared" si="105"/>
        <v>173025558.74999997</v>
      </c>
      <c r="AY321" s="79">
        <f t="shared" si="106"/>
        <v>280785318.25</v>
      </c>
      <c r="AZ321" s="25">
        <v>1</v>
      </c>
      <c r="BA321" s="62" t="s">
        <v>97</v>
      </c>
      <c r="BB321" s="66">
        <v>1</v>
      </c>
      <c r="BC321" s="66"/>
      <c r="BD321" s="66"/>
      <c r="BE321" s="67">
        <f t="shared" si="109"/>
        <v>6302928.847222222</v>
      </c>
      <c r="BF321" s="67">
        <f t="shared" si="114"/>
        <v>0</v>
      </c>
      <c r="BG321" s="67">
        <f t="shared" si="107"/>
        <v>0</v>
      </c>
      <c r="BH321" s="66"/>
      <c r="BI321" s="68" t="s">
        <v>932</v>
      </c>
      <c r="BJ321" s="68" t="s">
        <v>81</v>
      </c>
      <c r="BK321" s="68" t="s">
        <v>81</v>
      </c>
      <c r="BL321" s="29"/>
      <c r="BO321" s="35" t="s">
        <v>1800</v>
      </c>
      <c r="BP321" s="1" t="s">
        <v>1823</v>
      </c>
    </row>
    <row r="322" spans="1:68" ht="15" customHeight="1">
      <c r="A322" s="1" t="s">
        <v>43</v>
      </c>
      <c r="C322" s="1" t="str">
        <f t="shared" si="102"/>
        <v>2612</v>
      </c>
      <c r="D322" s="1" t="str">
        <f t="shared" si="103"/>
        <v>2012</v>
      </c>
      <c r="E322" s="19" t="s">
        <v>48</v>
      </c>
      <c r="F322" s="62" t="s">
        <v>49</v>
      </c>
      <c r="G322" s="62">
        <v>2112</v>
      </c>
      <c r="H322" s="62" t="s">
        <v>942</v>
      </c>
      <c r="I322" s="62" t="s">
        <v>934</v>
      </c>
      <c r="J322" s="118">
        <v>1</v>
      </c>
      <c r="K322" s="119" t="s">
        <v>619</v>
      </c>
      <c r="L322" s="62" t="s">
        <v>935</v>
      </c>
      <c r="M322" s="120" t="s">
        <v>936</v>
      </c>
      <c r="N322" s="65">
        <v>44131</v>
      </c>
      <c r="O322" s="24">
        <v>19285</v>
      </c>
      <c r="P322" s="24">
        <v>23272.2</v>
      </c>
      <c r="Q322" s="64">
        <v>448804377</v>
      </c>
      <c r="R322" s="64"/>
      <c r="S322" s="64"/>
      <c r="T322" s="64">
        <v>5006500</v>
      </c>
      <c r="U322" s="64" t="s">
        <v>937</v>
      </c>
      <c r="V322" s="121">
        <v>453810877</v>
      </c>
      <c r="W322" s="122">
        <v>0</v>
      </c>
      <c r="X322" s="64">
        <v>453810877</v>
      </c>
      <c r="Y322" s="121"/>
      <c r="Z322" s="121"/>
      <c r="AA322" s="121"/>
      <c r="AB322" s="121"/>
      <c r="AC322" s="64">
        <v>453810877</v>
      </c>
      <c r="AD322" s="65">
        <v>44180</v>
      </c>
      <c r="AE322" s="65">
        <v>46370</v>
      </c>
      <c r="AF322" s="62">
        <v>6</v>
      </c>
      <c r="AG322" s="119">
        <v>72</v>
      </c>
      <c r="AH322" s="25">
        <v>6302928.847222222</v>
      </c>
      <c r="AI322" s="78">
        <v>230361887.47222224</v>
      </c>
      <c r="AJ322" s="78">
        <v>223448989.52777776</v>
      </c>
      <c r="AK322" s="27">
        <f t="shared" si="104"/>
        <v>6302928.847222222</v>
      </c>
      <c r="AL322" s="27">
        <f t="shared" si="108"/>
        <v>6302928.847222222</v>
      </c>
      <c r="AM322" s="27">
        <f t="shared" si="108"/>
        <v>6302928.847222222</v>
      </c>
      <c r="AN322" s="27">
        <f t="shared" si="110"/>
        <v>6302928.847222222</v>
      </c>
      <c r="AO322" s="27">
        <f t="shared" si="111"/>
        <v>6302928.847222222</v>
      </c>
      <c r="AP322" s="27">
        <f t="shared" si="111"/>
        <v>6302928.847222222</v>
      </c>
      <c r="AQ322" s="27">
        <f t="shared" si="112"/>
        <v>6302928.847222222</v>
      </c>
      <c r="AR322" s="27">
        <f t="shared" si="113"/>
        <v>6302928.847222222</v>
      </c>
      <c r="AS322" s="27"/>
      <c r="AT322" s="27"/>
      <c r="AU322" s="27"/>
      <c r="AV322" s="27"/>
      <c r="AW322" s="27">
        <f t="shared" ref="AW322:AW381" si="115">+SUM(AK322:AV322)</f>
        <v>50423430.777777784</v>
      </c>
      <c r="AX322" s="79">
        <f t="shared" si="105"/>
        <v>173025558.74999997</v>
      </c>
      <c r="AY322" s="79">
        <f t="shared" si="106"/>
        <v>280785318.25</v>
      </c>
      <c r="AZ322" s="25">
        <v>1</v>
      </c>
      <c r="BA322" s="62" t="s">
        <v>97</v>
      </c>
      <c r="BB322" s="66">
        <v>1</v>
      </c>
      <c r="BC322" s="66"/>
      <c r="BD322" s="66"/>
      <c r="BE322" s="67">
        <f t="shared" si="109"/>
        <v>6302928.847222222</v>
      </c>
      <c r="BF322" s="67">
        <f t="shared" si="114"/>
        <v>0</v>
      </c>
      <c r="BG322" s="67">
        <f t="shared" si="107"/>
        <v>0</v>
      </c>
      <c r="BH322" s="66"/>
      <c r="BI322" s="68" t="s">
        <v>80</v>
      </c>
      <c r="BJ322" s="68" t="s">
        <v>81</v>
      </c>
      <c r="BK322" s="68" t="s">
        <v>81</v>
      </c>
      <c r="BL322" s="29"/>
      <c r="BO322" s="35" t="s">
        <v>1800</v>
      </c>
      <c r="BP322" s="1" t="s">
        <v>1823</v>
      </c>
    </row>
    <row r="323" spans="1:68" ht="15" customHeight="1">
      <c r="A323" s="1" t="s">
        <v>43</v>
      </c>
      <c r="C323" s="1" t="str">
        <f t="shared" ref="C323:C382" si="116">+RIGHT(YEAR(AE323),2)&amp;IF(LEN(MONTH(AE323))=2,MONTH(AE323),"0"&amp;MONTH(AE323))</f>
        <v>2811</v>
      </c>
      <c r="D323" s="1" t="str">
        <f t="shared" ref="D323:D382" si="117">+RIGHT(YEAR(AD323),2)&amp;IF(LEN(MONTH(AD323))=2,MONTH(AD323),"0"&amp;MONTH(AD323))</f>
        <v>2012</v>
      </c>
      <c r="E323" s="19" t="s">
        <v>48</v>
      </c>
      <c r="F323" s="62" t="s">
        <v>49</v>
      </c>
      <c r="G323" s="62">
        <v>2114</v>
      </c>
      <c r="H323" s="62" t="s">
        <v>943</v>
      </c>
      <c r="I323" s="62" t="s">
        <v>944</v>
      </c>
      <c r="J323" s="118">
        <v>1</v>
      </c>
      <c r="K323" s="119" t="s">
        <v>619</v>
      </c>
      <c r="L323" s="62" t="s">
        <v>945</v>
      </c>
      <c r="M323" s="120" t="s">
        <v>946</v>
      </c>
      <c r="N323" s="65">
        <v>44113</v>
      </c>
      <c r="O323" s="24">
        <v>47939.360000000001</v>
      </c>
      <c r="P323" s="24">
        <v>23270</v>
      </c>
      <c r="Q323" s="64">
        <v>1115548907</v>
      </c>
      <c r="R323" s="64"/>
      <c r="S323" s="64"/>
      <c r="T323" s="64">
        <v>21481179.270000003</v>
      </c>
      <c r="U323" s="64" t="s">
        <v>947</v>
      </c>
      <c r="V323" s="121">
        <v>1137030086</v>
      </c>
      <c r="W323" s="122">
        <v>0</v>
      </c>
      <c r="X323" s="64">
        <v>1137030086</v>
      </c>
      <c r="Y323" s="121"/>
      <c r="Z323" s="121"/>
      <c r="AA323" s="121"/>
      <c r="AB323" s="121"/>
      <c r="AC323" s="64">
        <v>1137030086</v>
      </c>
      <c r="AD323" s="65">
        <v>44166</v>
      </c>
      <c r="AE323" s="65">
        <v>47086</v>
      </c>
      <c r="AF323" s="62">
        <v>8</v>
      </c>
      <c r="AG323" s="119">
        <v>96</v>
      </c>
      <c r="AH323" s="25">
        <v>11844063.395833334</v>
      </c>
      <c r="AI323" s="78">
        <v>438230334.95833331</v>
      </c>
      <c r="AJ323" s="78">
        <v>698799751.04166675</v>
      </c>
      <c r="AK323" s="27">
        <f t="shared" ref="AK323:AK382" si="118">+IF(AND(AK$3&gt;=$D323,AK$3&lt;$C323),$AH323,$AJ323)</f>
        <v>11844063.395833334</v>
      </c>
      <c r="AL323" s="27">
        <f t="shared" si="108"/>
        <v>11844063.395833334</v>
      </c>
      <c r="AM323" s="27">
        <f t="shared" si="108"/>
        <v>11844063.395833334</v>
      </c>
      <c r="AN323" s="27">
        <f t="shared" si="110"/>
        <v>11844063.395833334</v>
      </c>
      <c r="AO323" s="27">
        <f t="shared" si="111"/>
        <v>11844063.395833334</v>
      </c>
      <c r="AP323" s="27">
        <f t="shared" si="111"/>
        <v>11844063.395833334</v>
      </c>
      <c r="AQ323" s="27">
        <f t="shared" si="112"/>
        <v>11844063.395833334</v>
      </c>
      <c r="AR323" s="27">
        <f t="shared" si="113"/>
        <v>11844063.395833334</v>
      </c>
      <c r="AS323" s="27"/>
      <c r="AT323" s="27"/>
      <c r="AU323" s="27"/>
      <c r="AV323" s="27"/>
      <c r="AW323" s="27">
        <f t="shared" si="115"/>
        <v>94752507.166666657</v>
      </c>
      <c r="AX323" s="79">
        <f t="shared" ref="AX323:AX382" si="119">AC323-AI323-AW323</f>
        <v>604047243.87500012</v>
      </c>
      <c r="AY323" s="79">
        <f t="shared" ref="AY323:AY382" si="120">AW323+AI323</f>
        <v>532982842.125</v>
      </c>
      <c r="AZ323" s="25">
        <v>1</v>
      </c>
      <c r="BA323" s="62" t="s">
        <v>79</v>
      </c>
      <c r="BB323" s="66">
        <v>1</v>
      </c>
      <c r="BC323" s="66"/>
      <c r="BD323" s="66"/>
      <c r="BE323" s="67">
        <f t="shared" si="109"/>
        <v>11844063.395833334</v>
      </c>
      <c r="BF323" s="67">
        <f t="shared" si="114"/>
        <v>0</v>
      </c>
      <c r="BG323" s="67">
        <f t="shared" si="107"/>
        <v>0</v>
      </c>
      <c r="BH323" s="66"/>
      <c r="BI323" s="68" t="s">
        <v>135</v>
      </c>
      <c r="BJ323" s="68" t="s">
        <v>58</v>
      </c>
      <c r="BK323" s="68" t="s">
        <v>59</v>
      </c>
      <c r="BL323" s="29"/>
      <c r="BO323" s="35" t="s">
        <v>1804</v>
      </c>
    </row>
    <row r="324" spans="1:68" ht="15" customHeight="1">
      <c r="A324" s="1" t="s">
        <v>43</v>
      </c>
      <c r="C324" s="1" t="str">
        <f t="shared" si="116"/>
        <v>2511</v>
      </c>
      <c r="D324" s="1" t="str">
        <f t="shared" si="117"/>
        <v>2012</v>
      </c>
      <c r="E324" s="19" t="s">
        <v>48</v>
      </c>
      <c r="F324" s="62" t="s">
        <v>49</v>
      </c>
      <c r="G324" s="62">
        <v>2114</v>
      </c>
      <c r="H324" s="62" t="s">
        <v>948</v>
      </c>
      <c r="I324" s="62" t="s">
        <v>949</v>
      </c>
      <c r="J324" s="118">
        <v>1</v>
      </c>
      <c r="K324" s="119" t="s">
        <v>619</v>
      </c>
      <c r="L324" s="62" t="s">
        <v>945</v>
      </c>
      <c r="M324" s="120" t="s">
        <v>950</v>
      </c>
      <c r="N324" s="65">
        <v>44117</v>
      </c>
      <c r="O324" s="24">
        <v>4567.3500000000004</v>
      </c>
      <c r="P324" s="24">
        <v>23285</v>
      </c>
      <c r="Q324" s="64">
        <v>106350745</v>
      </c>
      <c r="R324" s="64">
        <v>10550579</v>
      </c>
      <c r="S324" s="64">
        <v>1148396</v>
      </c>
      <c r="T324" s="64">
        <v>766244.53</v>
      </c>
      <c r="U324" s="64" t="s">
        <v>951</v>
      </c>
      <c r="V324" s="121">
        <v>118815965</v>
      </c>
      <c r="W324" s="122">
        <v>0</v>
      </c>
      <c r="X324" s="64">
        <v>118815965</v>
      </c>
      <c r="Y324" s="121"/>
      <c r="Z324" s="121"/>
      <c r="AA324" s="121"/>
      <c r="AB324" s="121"/>
      <c r="AC324" s="64">
        <v>118815965</v>
      </c>
      <c r="AD324" s="65">
        <v>44166</v>
      </c>
      <c r="AE324" s="65">
        <v>45991</v>
      </c>
      <c r="AF324" s="62">
        <v>5</v>
      </c>
      <c r="AG324" s="119">
        <v>60</v>
      </c>
      <c r="AH324" s="25">
        <v>1980266.0833333333</v>
      </c>
      <c r="AI324" s="78">
        <v>73269842.833333328</v>
      </c>
      <c r="AJ324" s="78">
        <v>45546122.166666672</v>
      </c>
      <c r="AK324" s="27">
        <f t="shared" si="118"/>
        <v>1980266.0833333333</v>
      </c>
      <c r="AL324" s="27">
        <f t="shared" si="108"/>
        <v>1980266.0833333333</v>
      </c>
      <c r="AM324" s="27">
        <f t="shared" si="108"/>
        <v>1980266.0833333333</v>
      </c>
      <c r="AN324" s="27">
        <f t="shared" si="110"/>
        <v>1980266.0833333333</v>
      </c>
      <c r="AO324" s="27">
        <f t="shared" si="111"/>
        <v>1980266.0833333333</v>
      </c>
      <c r="AP324" s="27">
        <f t="shared" si="111"/>
        <v>1980266.0833333333</v>
      </c>
      <c r="AQ324" s="27">
        <f t="shared" si="112"/>
        <v>1980266.0833333333</v>
      </c>
      <c r="AR324" s="27">
        <f t="shared" si="113"/>
        <v>1980266.0833333333</v>
      </c>
      <c r="AS324" s="27"/>
      <c r="AT324" s="27"/>
      <c r="AU324" s="27"/>
      <c r="AV324" s="27"/>
      <c r="AW324" s="27">
        <f t="shared" si="115"/>
        <v>15842128.666666668</v>
      </c>
      <c r="AX324" s="79">
        <f t="shared" si="119"/>
        <v>29703993.500000004</v>
      </c>
      <c r="AY324" s="79">
        <f t="shared" si="120"/>
        <v>89111971.5</v>
      </c>
      <c r="AZ324" s="25">
        <v>1</v>
      </c>
      <c r="BA324" s="62" t="s">
        <v>79</v>
      </c>
      <c r="BB324" s="66">
        <v>1</v>
      </c>
      <c r="BC324" s="66"/>
      <c r="BD324" s="66"/>
      <c r="BE324" s="67">
        <f t="shared" si="109"/>
        <v>1980266.0833333333</v>
      </c>
      <c r="BF324" s="67">
        <f t="shared" si="114"/>
        <v>0</v>
      </c>
      <c r="BG324" s="67">
        <f t="shared" si="107"/>
        <v>0</v>
      </c>
      <c r="BH324" s="66"/>
      <c r="BI324" s="68" t="s">
        <v>135</v>
      </c>
      <c r="BJ324" s="68" t="s">
        <v>58</v>
      </c>
      <c r="BK324" s="68" t="s">
        <v>59</v>
      </c>
      <c r="BL324" s="29"/>
      <c r="BO324" s="35" t="s">
        <v>1804</v>
      </c>
    </row>
    <row r="325" spans="1:68" ht="15" customHeight="1">
      <c r="A325" s="1" t="s">
        <v>43</v>
      </c>
      <c r="C325" s="1" t="str">
        <f t="shared" si="116"/>
        <v>3011</v>
      </c>
      <c r="D325" s="1" t="str">
        <f t="shared" si="117"/>
        <v>2011</v>
      </c>
      <c r="E325" s="19" t="s">
        <v>48</v>
      </c>
      <c r="F325" s="62" t="s">
        <v>1896</v>
      </c>
      <c r="G325" s="62">
        <v>2114</v>
      </c>
      <c r="H325" s="62" t="s">
        <v>952</v>
      </c>
      <c r="I325" s="62" t="s">
        <v>953</v>
      </c>
      <c r="J325" s="118">
        <v>1</v>
      </c>
      <c r="K325" s="119" t="s">
        <v>619</v>
      </c>
      <c r="L325" s="62" t="s">
        <v>924</v>
      </c>
      <c r="M325" s="120" t="s">
        <v>925</v>
      </c>
      <c r="N325" s="65">
        <v>44125</v>
      </c>
      <c r="O325" s="24">
        <v>125000</v>
      </c>
      <c r="P325" s="24">
        <v>23272.02</v>
      </c>
      <c r="Q325" s="64">
        <v>2909002500</v>
      </c>
      <c r="R325" s="64"/>
      <c r="S325" s="64"/>
      <c r="T325" s="64">
        <v>3249798.99</v>
      </c>
      <c r="U325" s="64" t="s">
        <v>926</v>
      </c>
      <c r="V325" s="121">
        <v>2912252299</v>
      </c>
      <c r="W325" s="122">
        <v>0</v>
      </c>
      <c r="X325" s="64">
        <v>2912252299</v>
      </c>
      <c r="Y325" s="121"/>
      <c r="Z325" s="121"/>
      <c r="AA325" s="121"/>
      <c r="AB325" s="121"/>
      <c r="AC325" s="64">
        <v>2912252299</v>
      </c>
      <c r="AD325" s="65">
        <v>44160</v>
      </c>
      <c r="AE325" s="65">
        <v>47810</v>
      </c>
      <c r="AF325" s="62">
        <v>10</v>
      </c>
      <c r="AG325" s="119">
        <v>120</v>
      </c>
      <c r="AH325" s="25">
        <v>24268769.158333335</v>
      </c>
      <c r="AI325" s="78">
        <v>902798208.58333325</v>
      </c>
      <c r="AJ325" s="78">
        <v>2009454090.4166667</v>
      </c>
      <c r="AK325" s="27">
        <f t="shared" si="118"/>
        <v>24268769.158333335</v>
      </c>
      <c r="AL325" s="27">
        <f t="shared" si="108"/>
        <v>24268769.158333335</v>
      </c>
      <c r="AM325" s="27">
        <f t="shared" si="108"/>
        <v>24268769.158333335</v>
      </c>
      <c r="AN325" s="27">
        <f t="shared" si="110"/>
        <v>24268769.158333335</v>
      </c>
      <c r="AO325" s="27">
        <f t="shared" si="111"/>
        <v>24268769.158333335</v>
      </c>
      <c r="AP325" s="27">
        <f t="shared" si="111"/>
        <v>24268769.158333335</v>
      </c>
      <c r="AQ325" s="27">
        <f t="shared" si="112"/>
        <v>24268769.158333335</v>
      </c>
      <c r="AR325" s="27">
        <f t="shared" si="113"/>
        <v>24268769.158333335</v>
      </c>
      <c r="AS325" s="27"/>
      <c r="AT325" s="27"/>
      <c r="AU325" s="27"/>
      <c r="AV325" s="27"/>
      <c r="AW325" s="27">
        <f t="shared" si="115"/>
        <v>194150153.26666668</v>
      </c>
      <c r="AX325" s="79">
        <f t="shared" si="119"/>
        <v>1815303937.1500001</v>
      </c>
      <c r="AY325" s="79">
        <f t="shared" si="120"/>
        <v>1096948361.8499999</v>
      </c>
      <c r="AZ325" s="25">
        <v>1</v>
      </c>
      <c r="BA325" s="62" t="s">
        <v>79</v>
      </c>
      <c r="BB325" s="66">
        <v>1</v>
      </c>
      <c r="BC325" s="66"/>
      <c r="BD325" s="66"/>
      <c r="BE325" s="67">
        <f t="shared" si="109"/>
        <v>24268769.158333335</v>
      </c>
      <c r="BF325" s="67">
        <f t="shared" si="114"/>
        <v>0</v>
      </c>
      <c r="BG325" s="67">
        <f t="shared" si="107"/>
        <v>0</v>
      </c>
      <c r="BH325" s="66"/>
      <c r="BI325" s="68" t="s">
        <v>80</v>
      </c>
      <c r="BJ325" s="68" t="s">
        <v>121</v>
      </c>
      <c r="BK325" s="68" t="s">
        <v>121</v>
      </c>
      <c r="BL325" s="29"/>
      <c r="BO325" s="35" t="s">
        <v>1801</v>
      </c>
      <c r="BP325" s="1" t="s">
        <v>1824</v>
      </c>
    </row>
    <row r="326" spans="1:68" ht="15" customHeight="1">
      <c r="A326" s="1" t="s">
        <v>43</v>
      </c>
      <c r="C326" s="1" t="str">
        <f t="shared" si="116"/>
        <v>2711</v>
      </c>
      <c r="D326" s="1" t="str">
        <f t="shared" si="117"/>
        <v>2012</v>
      </c>
      <c r="E326" s="19" t="s">
        <v>48</v>
      </c>
      <c r="F326" s="62" t="s">
        <v>49</v>
      </c>
      <c r="G326" s="62">
        <v>2114</v>
      </c>
      <c r="H326" s="62" t="s">
        <v>954</v>
      </c>
      <c r="I326" s="62" t="s">
        <v>955</v>
      </c>
      <c r="J326" s="118">
        <v>1</v>
      </c>
      <c r="K326" s="119" t="s">
        <v>619</v>
      </c>
      <c r="L326" s="62" t="s">
        <v>945</v>
      </c>
      <c r="M326" s="120" t="s">
        <v>946</v>
      </c>
      <c r="N326" s="65">
        <v>44113</v>
      </c>
      <c r="O326" s="24">
        <v>39638.089999999997</v>
      </c>
      <c r="P326" s="24">
        <v>23270</v>
      </c>
      <c r="Q326" s="64">
        <v>922378354</v>
      </c>
      <c r="R326" s="64">
        <v>183127976</v>
      </c>
      <c r="S326" s="64"/>
      <c r="T326" s="64">
        <v>17761457.729999997</v>
      </c>
      <c r="U326" s="64" t="s">
        <v>947</v>
      </c>
      <c r="V326" s="121">
        <v>1123267788</v>
      </c>
      <c r="W326" s="122">
        <v>0</v>
      </c>
      <c r="X326" s="64">
        <v>1123267788</v>
      </c>
      <c r="Y326" s="121"/>
      <c r="Z326" s="121"/>
      <c r="AA326" s="121"/>
      <c r="AB326" s="121"/>
      <c r="AC326" s="64">
        <v>1123267788</v>
      </c>
      <c r="AD326" s="65">
        <v>44166</v>
      </c>
      <c r="AE326" s="65">
        <v>46721</v>
      </c>
      <c r="AF326" s="62">
        <v>7</v>
      </c>
      <c r="AG326" s="119">
        <v>84</v>
      </c>
      <c r="AH326" s="25">
        <v>13372235.571428571</v>
      </c>
      <c r="AI326" s="78">
        <v>494772727.71428567</v>
      </c>
      <c r="AJ326" s="78">
        <v>628495060.28571439</v>
      </c>
      <c r="AK326" s="27">
        <f t="shared" si="118"/>
        <v>13372235.571428571</v>
      </c>
      <c r="AL326" s="27">
        <f t="shared" si="108"/>
        <v>13372235.571428571</v>
      </c>
      <c r="AM326" s="27">
        <f t="shared" si="108"/>
        <v>13372235.571428571</v>
      </c>
      <c r="AN326" s="27">
        <f t="shared" si="110"/>
        <v>13372235.571428571</v>
      </c>
      <c r="AO326" s="27">
        <f t="shared" si="111"/>
        <v>13372235.571428571</v>
      </c>
      <c r="AP326" s="27">
        <f t="shared" si="111"/>
        <v>13372235.571428571</v>
      </c>
      <c r="AQ326" s="27">
        <f t="shared" si="112"/>
        <v>13372235.571428571</v>
      </c>
      <c r="AR326" s="27">
        <f t="shared" si="113"/>
        <v>13372235.571428571</v>
      </c>
      <c r="AS326" s="27"/>
      <c r="AT326" s="27"/>
      <c r="AU326" s="27"/>
      <c r="AV326" s="27"/>
      <c r="AW326" s="27">
        <f t="shared" si="115"/>
        <v>106977884.57142855</v>
      </c>
      <c r="AX326" s="79">
        <f t="shared" si="119"/>
        <v>521517175.71428585</v>
      </c>
      <c r="AY326" s="79">
        <f t="shared" si="120"/>
        <v>601750612.28571427</v>
      </c>
      <c r="AZ326" s="25">
        <v>1</v>
      </c>
      <c r="BA326" s="62" t="s">
        <v>79</v>
      </c>
      <c r="BB326" s="66">
        <v>1</v>
      </c>
      <c r="BC326" s="66"/>
      <c r="BD326" s="66"/>
      <c r="BE326" s="67">
        <f t="shared" si="109"/>
        <v>13372235.571428571</v>
      </c>
      <c r="BF326" s="67">
        <f t="shared" si="114"/>
        <v>0</v>
      </c>
      <c r="BG326" s="67">
        <f t="shared" ref="BG326:BG385" si="121">+$AL326*BD326</f>
        <v>0</v>
      </c>
      <c r="BH326" s="66"/>
      <c r="BI326" s="68" t="s">
        <v>135</v>
      </c>
      <c r="BJ326" s="68" t="s">
        <v>58</v>
      </c>
      <c r="BK326" s="68" t="s">
        <v>59</v>
      </c>
      <c r="BL326" s="29"/>
      <c r="BO326" s="35" t="s">
        <v>1804</v>
      </c>
    </row>
    <row r="327" spans="1:68" ht="15" customHeight="1">
      <c r="A327" s="1" t="s">
        <v>43</v>
      </c>
      <c r="C327" s="1" t="str">
        <f t="shared" si="116"/>
        <v>3011</v>
      </c>
      <c r="D327" s="1" t="str">
        <f t="shared" si="117"/>
        <v>2012</v>
      </c>
      <c r="E327" s="19" t="s">
        <v>48</v>
      </c>
      <c r="F327" s="62" t="s">
        <v>49</v>
      </c>
      <c r="G327" s="62">
        <v>2112</v>
      </c>
      <c r="H327" s="62" t="s">
        <v>956</v>
      </c>
      <c r="I327" s="62" t="s">
        <v>957</v>
      </c>
      <c r="J327" s="118">
        <v>1</v>
      </c>
      <c r="K327" s="119" t="s">
        <v>619</v>
      </c>
      <c r="L327" s="62" t="s">
        <v>945</v>
      </c>
      <c r="M327" s="120" t="s">
        <v>950</v>
      </c>
      <c r="N327" s="65">
        <v>44117</v>
      </c>
      <c r="O327" s="24">
        <v>116979.18</v>
      </c>
      <c r="P327" s="24">
        <v>23285</v>
      </c>
      <c r="Q327" s="64">
        <v>2723860206</v>
      </c>
      <c r="R327" s="64"/>
      <c r="S327" s="64">
        <v>29412764</v>
      </c>
      <c r="T327" s="64">
        <v>19625090.650000002</v>
      </c>
      <c r="U327" s="64" t="s">
        <v>951</v>
      </c>
      <c r="V327" s="121">
        <v>2772898061</v>
      </c>
      <c r="W327" s="122">
        <v>0</v>
      </c>
      <c r="X327" s="64">
        <v>2772898061</v>
      </c>
      <c r="Y327" s="121"/>
      <c r="Z327" s="121"/>
      <c r="AA327" s="121"/>
      <c r="AB327" s="121"/>
      <c r="AC327" s="64">
        <v>2772898061</v>
      </c>
      <c r="AD327" s="65">
        <v>44166</v>
      </c>
      <c r="AE327" s="65">
        <v>47816</v>
      </c>
      <c r="AF327" s="62">
        <v>10</v>
      </c>
      <c r="AG327" s="119">
        <v>120</v>
      </c>
      <c r="AH327" s="25">
        <v>23107483.841666665</v>
      </c>
      <c r="AI327" s="78">
        <v>854976906.41666675</v>
      </c>
      <c r="AJ327" s="78">
        <v>1917921154.5833333</v>
      </c>
      <c r="AK327" s="27">
        <f t="shared" si="118"/>
        <v>23107483.841666665</v>
      </c>
      <c r="AL327" s="27">
        <f t="shared" si="108"/>
        <v>23107483.841666665</v>
      </c>
      <c r="AM327" s="27">
        <f t="shared" si="108"/>
        <v>23107483.841666665</v>
      </c>
      <c r="AN327" s="27">
        <f t="shared" si="110"/>
        <v>23107483.841666665</v>
      </c>
      <c r="AO327" s="27">
        <f t="shared" si="111"/>
        <v>23107483.841666665</v>
      </c>
      <c r="AP327" s="27">
        <f t="shared" si="111"/>
        <v>23107483.841666665</v>
      </c>
      <c r="AQ327" s="27">
        <f t="shared" si="112"/>
        <v>23107483.841666665</v>
      </c>
      <c r="AR327" s="27">
        <f t="shared" si="113"/>
        <v>23107483.841666665</v>
      </c>
      <c r="AS327" s="27"/>
      <c r="AT327" s="27"/>
      <c r="AU327" s="27"/>
      <c r="AV327" s="27"/>
      <c r="AW327" s="27">
        <f t="shared" si="115"/>
        <v>184859870.73333332</v>
      </c>
      <c r="AX327" s="79">
        <f t="shared" si="119"/>
        <v>1733061283.8499999</v>
      </c>
      <c r="AY327" s="79">
        <f t="shared" si="120"/>
        <v>1039836777.1500001</v>
      </c>
      <c r="AZ327" s="25">
        <v>1</v>
      </c>
      <c r="BA327" s="62" t="s">
        <v>97</v>
      </c>
      <c r="BB327" s="66">
        <v>1</v>
      </c>
      <c r="BC327" s="66"/>
      <c r="BD327" s="66"/>
      <c r="BE327" s="67">
        <f t="shared" si="109"/>
        <v>23107483.841666665</v>
      </c>
      <c r="BF327" s="67">
        <f t="shared" si="114"/>
        <v>0</v>
      </c>
      <c r="BG327" s="67">
        <f t="shared" si="121"/>
        <v>0</v>
      </c>
      <c r="BH327" s="66"/>
      <c r="BI327" s="68" t="s">
        <v>135</v>
      </c>
      <c r="BJ327" s="68" t="s">
        <v>58</v>
      </c>
      <c r="BK327" s="68" t="s">
        <v>59</v>
      </c>
      <c r="BL327" s="29"/>
      <c r="BO327" s="35" t="s">
        <v>1804</v>
      </c>
    </row>
    <row r="328" spans="1:68" ht="15" customHeight="1">
      <c r="A328" s="1" t="s">
        <v>43</v>
      </c>
      <c r="C328" s="1" t="str">
        <f t="shared" si="116"/>
        <v>2511</v>
      </c>
      <c r="D328" s="1" t="str">
        <f t="shared" si="117"/>
        <v>2012</v>
      </c>
      <c r="E328" s="19" t="s">
        <v>48</v>
      </c>
      <c r="F328" s="62" t="s">
        <v>49</v>
      </c>
      <c r="G328" s="62">
        <v>2112</v>
      </c>
      <c r="H328" s="62" t="s">
        <v>958</v>
      </c>
      <c r="I328" s="62" t="s">
        <v>959</v>
      </c>
      <c r="J328" s="118">
        <v>1</v>
      </c>
      <c r="K328" s="119" t="s">
        <v>619</v>
      </c>
      <c r="L328" s="62" t="s">
        <v>945</v>
      </c>
      <c r="M328" s="120" t="s">
        <v>950</v>
      </c>
      <c r="N328" s="65">
        <v>44117</v>
      </c>
      <c r="O328" s="24">
        <v>8076.72</v>
      </c>
      <c r="P328" s="24">
        <v>23285</v>
      </c>
      <c r="Q328" s="64">
        <v>188066425</v>
      </c>
      <c r="R328" s="64"/>
      <c r="S328" s="64">
        <v>2030840</v>
      </c>
      <c r="T328" s="64">
        <v>1354996.35</v>
      </c>
      <c r="U328" s="64" t="s">
        <v>951</v>
      </c>
      <c r="V328" s="121">
        <v>191452261</v>
      </c>
      <c r="W328" s="122">
        <v>0</v>
      </c>
      <c r="X328" s="64">
        <v>191452261</v>
      </c>
      <c r="Y328" s="121"/>
      <c r="Z328" s="121"/>
      <c r="AA328" s="121"/>
      <c r="AB328" s="121"/>
      <c r="AC328" s="64">
        <v>191452261</v>
      </c>
      <c r="AD328" s="65">
        <v>44166</v>
      </c>
      <c r="AE328" s="65">
        <v>45991</v>
      </c>
      <c r="AF328" s="62">
        <v>5</v>
      </c>
      <c r="AG328" s="119">
        <v>60</v>
      </c>
      <c r="AH328" s="25">
        <v>3190871.0166666666</v>
      </c>
      <c r="AI328" s="78">
        <v>118062227.16666666</v>
      </c>
      <c r="AJ328" s="78">
        <v>73390033.833333343</v>
      </c>
      <c r="AK328" s="27">
        <f t="shared" si="118"/>
        <v>3190871.0166666666</v>
      </c>
      <c r="AL328" s="27">
        <f t="shared" si="108"/>
        <v>3190871.0166666666</v>
      </c>
      <c r="AM328" s="27">
        <f t="shared" si="108"/>
        <v>3190871.0166666666</v>
      </c>
      <c r="AN328" s="27">
        <f t="shared" si="110"/>
        <v>3190871.0166666666</v>
      </c>
      <c r="AO328" s="27">
        <f t="shared" si="111"/>
        <v>3190871.0166666666</v>
      </c>
      <c r="AP328" s="27">
        <f t="shared" si="111"/>
        <v>3190871.0166666666</v>
      </c>
      <c r="AQ328" s="27">
        <f t="shared" si="112"/>
        <v>3190871.0166666666</v>
      </c>
      <c r="AR328" s="27">
        <f t="shared" si="113"/>
        <v>3190871.0166666666</v>
      </c>
      <c r="AS328" s="27"/>
      <c r="AT328" s="27"/>
      <c r="AU328" s="27"/>
      <c r="AV328" s="27"/>
      <c r="AW328" s="27">
        <f t="shared" si="115"/>
        <v>25526968.133333329</v>
      </c>
      <c r="AX328" s="79">
        <f t="shared" si="119"/>
        <v>47863065.700000018</v>
      </c>
      <c r="AY328" s="79">
        <f t="shared" si="120"/>
        <v>143589195.29999998</v>
      </c>
      <c r="AZ328" s="25">
        <v>1</v>
      </c>
      <c r="BA328" s="62" t="s">
        <v>97</v>
      </c>
      <c r="BB328" s="66">
        <v>1</v>
      </c>
      <c r="BC328" s="66"/>
      <c r="BD328" s="66"/>
      <c r="BE328" s="67">
        <f t="shared" si="109"/>
        <v>3190871.0166666666</v>
      </c>
      <c r="BF328" s="67">
        <f t="shared" si="114"/>
        <v>0</v>
      </c>
      <c r="BG328" s="67">
        <f t="shared" si="121"/>
        <v>0</v>
      </c>
      <c r="BH328" s="66"/>
      <c r="BI328" s="68" t="s">
        <v>135</v>
      </c>
      <c r="BJ328" s="68" t="s">
        <v>58</v>
      </c>
      <c r="BK328" s="68" t="s">
        <v>59</v>
      </c>
      <c r="BL328" s="29"/>
      <c r="BO328" s="35" t="s">
        <v>1804</v>
      </c>
    </row>
    <row r="329" spans="1:68" ht="15" customHeight="1">
      <c r="A329" s="1" t="s">
        <v>43</v>
      </c>
      <c r="C329" s="1" t="str">
        <f t="shared" si="116"/>
        <v>2711</v>
      </c>
      <c r="D329" s="1" t="str">
        <f t="shared" si="117"/>
        <v>2011</v>
      </c>
      <c r="E329" s="19" t="s">
        <v>48</v>
      </c>
      <c r="F329" s="62" t="s">
        <v>49</v>
      </c>
      <c r="G329" s="62">
        <v>2112</v>
      </c>
      <c r="H329" s="62" t="s">
        <v>960</v>
      </c>
      <c r="I329" s="62" t="s">
        <v>923</v>
      </c>
      <c r="J329" s="118">
        <v>1</v>
      </c>
      <c r="K329" s="119" t="s">
        <v>619</v>
      </c>
      <c r="L329" s="62" t="s">
        <v>924</v>
      </c>
      <c r="M329" s="120" t="s">
        <v>925</v>
      </c>
      <c r="N329" s="65">
        <v>44125</v>
      </c>
      <c r="O329" s="24">
        <v>36600</v>
      </c>
      <c r="P329" s="24">
        <v>23272.02</v>
      </c>
      <c r="Q329" s="64">
        <v>851755932</v>
      </c>
      <c r="R329" s="64"/>
      <c r="S329" s="64"/>
      <c r="T329" s="64">
        <v>951541.14</v>
      </c>
      <c r="U329" s="64" t="s">
        <v>926</v>
      </c>
      <c r="V329" s="121">
        <v>852707473</v>
      </c>
      <c r="W329" s="122">
        <v>0</v>
      </c>
      <c r="X329" s="64">
        <v>852707473</v>
      </c>
      <c r="Y329" s="121"/>
      <c r="Z329" s="121"/>
      <c r="AA329" s="121"/>
      <c r="AB329" s="121"/>
      <c r="AC329" s="64">
        <v>852707473</v>
      </c>
      <c r="AD329" s="65">
        <v>44160</v>
      </c>
      <c r="AE329" s="65">
        <v>46715</v>
      </c>
      <c r="AF329" s="62">
        <v>7</v>
      </c>
      <c r="AG329" s="119">
        <v>84</v>
      </c>
      <c r="AH329" s="25">
        <v>10151279.44047619</v>
      </c>
      <c r="AI329" s="78">
        <v>377627583.40476191</v>
      </c>
      <c r="AJ329" s="78">
        <v>475079889.59523809</v>
      </c>
      <c r="AK329" s="27">
        <f t="shared" si="118"/>
        <v>10151279.44047619</v>
      </c>
      <c r="AL329" s="27">
        <f t="shared" ref="AL329:AM388" si="122">+IF(AND(AL$3&gt;=$D329,AL$3&lt;$C329),$AH329,$AJ329-SUM(AJ329:AK329))</f>
        <v>10151279.44047619</v>
      </c>
      <c r="AM329" s="27">
        <f t="shared" si="122"/>
        <v>10151279.44047619</v>
      </c>
      <c r="AN329" s="27">
        <f t="shared" si="110"/>
        <v>10151279.44047619</v>
      </c>
      <c r="AO329" s="27">
        <f t="shared" si="111"/>
        <v>10151279.44047619</v>
      </c>
      <c r="AP329" s="27">
        <f t="shared" si="111"/>
        <v>10151279.44047619</v>
      </c>
      <c r="AQ329" s="27">
        <f t="shared" si="112"/>
        <v>10151279.44047619</v>
      </c>
      <c r="AR329" s="27">
        <f t="shared" si="113"/>
        <v>10151279.44047619</v>
      </c>
      <c r="AS329" s="27"/>
      <c r="AT329" s="27"/>
      <c r="AU329" s="27"/>
      <c r="AV329" s="27"/>
      <c r="AW329" s="27">
        <f t="shared" si="115"/>
        <v>81210235.523809537</v>
      </c>
      <c r="AX329" s="79">
        <f t="shared" si="119"/>
        <v>393869654.07142854</v>
      </c>
      <c r="AY329" s="79">
        <f t="shared" si="120"/>
        <v>458837818.92857146</v>
      </c>
      <c r="AZ329" s="25">
        <v>1</v>
      </c>
      <c r="BA329" s="62" t="s">
        <v>97</v>
      </c>
      <c r="BB329" s="66">
        <v>1</v>
      </c>
      <c r="BC329" s="66"/>
      <c r="BD329" s="66"/>
      <c r="BE329" s="67">
        <f t="shared" si="109"/>
        <v>10151279.44047619</v>
      </c>
      <c r="BF329" s="67">
        <f t="shared" si="114"/>
        <v>0</v>
      </c>
      <c r="BG329" s="67">
        <f t="shared" si="121"/>
        <v>0</v>
      </c>
      <c r="BH329" s="66"/>
      <c r="BI329" s="68" t="s">
        <v>695</v>
      </c>
      <c r="BJ329" s="68" t="s">
        <v>121</v>
      </c>
      <c r="BK329" s="68" t="s">
        <v>121</v>
      </c>
      <c r="BL329" s="29"/>
      <c r="BO329" s="35" t="s">
        <v>1800</v>
      </c>
      <c r="BP329" s="1" t="s">
        <v>1810</v>
      </c>
    </row>
    <row r="330" spans="1:68" ht="15" customHeight="1">
      <c r="A330" s="1" t="s">
        <v>43</v>
      </c>
      <c r="C330" s="1" t="str">
        <f t="shared" si="116"/>
        <v>2809</v>
      </c>
      <c r="D330" s="1" t="str">
        <f t="shared" si="117"/>
        <v>2010</v>
      </c>
      <c r="E330" s="19" t="s">
        <v>48</v>
      </c>
      <c r="F330" s="62" t="s">
        <v>515</v>
      </c>
      <c r="G330" s="62">
        <v>2112</v>
      </c>
      <c r="H330" s="62" t="s">
        <v>961</v>
      </c>
      <c r="I330" s="62" t="s">
        <v>962</v>
      </c>
      <c r="J330" s="118">
        <v>1</v>
      </c>
      <c r="K330" s="119" t="s">
        <v>619</v>
      </c>
      <c r="L330" s="62" t="s">
        <v>911</v>
      </c>
      <c r="M330" s="120" t="s">
        <v>963</v>
      </c>
      <c r="N330" s="65">
        <v>44105</v>
      </c>
      <c r="O330" s="24"/>
      <c r="P330" s="24"/>
      <c r="Q330" s="64">
        <v>92440000</v>
      </c>
      <c r="R330" s="64"/>
      <c r="S330" s="64"/>
      <c r="T330" s="64"/>
      <c r="U330" s="64"/>
      <c r="V330" s="121">
        <v>92440000</v>
      </c>
      <c r="W330" s="122">
        <v>0</v>
      </c>
      <c r="X330" s="64">
        <v>92440000</v>
      </c>
      <c r="Y330" s="121"/>
      <c r="Z330" s="121"/>
      <c r="AA330" s="121"/>
      <c r="AB330" s="121"/>
      <c r="AC330" s="64">
        <v>92440000</v>
      </c>
      <c r="AD330" s="65">
        <v>44105</v>
      </c>
      <c r="AE330" s="65">
        <v>47025</v>
      </c>
      <c r="AF330" s="62">
        <v>8</v>
      </c>
      <c r="AG330" s="119">
        <v>96</v>
      </c>
      <c r="AH330" s="25">
        <v>962916.66666666663</v>
      </c>
      <c r="AI330" s="78">
        <v>37553759.666666664</v>
      </c>
      <c r="AJ330" s="78">
        <v>54886240.333333336</v>
      </c>
      <c r="AK330" s="27">
        <f t="shared" si="118"/>
        <v>962916.66666666663</v>
      </c>
      <c r="AL330" s="27">
        <f t="shared" si="122"/>
        <v>962916.66666666663</v>
      </c>
      <c r="AM330" s="27">
        <f t="shared" si="122"/>
        <v>962916.66666666663</v>
      </c>
      <c r="AN330" s="27">
        <f t="shared" si="110"/>
        <v>962916.66666666663</v>
      </c>
      <c r="AO330" s="27">
        <f t="shared" si="111"/>
        <v>962916.66666666663</v>
      </c>
      <c r="AP330" s="27">
        <f t="shared" si="111"/>
        <v>962916.66666666663</v>
      </c>
      <c r="AQ330" s="27">
        <f t="shared" si="112"/>
        <v>962916.66666666663</v>
      </c>
      <c r="AR330" s="27">
        <f t="shared" si="113"/>
        <v>962916.66666666663</v>
      </c>
      <c r="AS330" s="27"/>
      <c r="AT330" s="27"/>
      <c r="AU330" s="27"/>
      <c r="AV330" s="27"/>
      <c r="AW330" s="27">
        <f t="shared" si="115"/>
        <v>7703333.333333334</v>
      </c>
      <c r="AX330" s="79">
        <f t="shared" si="119"/>
        <v>47182907</v>
      </c>
      <c r="AY330" s="79">
        <f t="shared" si="120"/>
        <v>45257093</v>
      </c>
      <c r="AZ330" s="25">
        <v>1</v>
      </c>
      <c r="BA330" s="62" t="s">
        <v>97</v>
      </c>
      <c r="BB330" s="66">
        <v>1</v>
      </c>
      <c r="BC330" s="66"/>
      <c r="BD330" s="66"/>
      <c r="BE330" s="67">
        <f t="shared" si="109"/>
        <v>962916.66666666663</v>
      </c>
      <c r="BF330" s="67">
        <f t="shared" si="114"/>
        <v>0</v>
      </c>
      <c r="BG330" s="67">
        <f t="shared" si="121"/>
        <v>0</v>
      </c>
      <c r="BH330" s="66"/>
      <c r="BI330" s="68" t="s">
        <v>964</v>
      </c>
      <c r="BJ330" s="68" t="s">
        <v>644</v>
      </c>
      <c r="BK330" s="68" t="s">
        <v>644</v>
      </c>
      <c r="BL330" s="29"/>
      <c r="BO330" s="35" t="s">
        <v>1802</v>
      </c>
    </row>
    <row r="331" spans="1:68" ht="15" customHeight="1">
      <c r="A331" s="1" t="s">
        <v>43</v>
      </c>
      <c r="C331" s="1" t="str">
        <f t="shared" si="116"/>
        <v>2810</v>
      </c>
      <c r="D331" s="1" t="str">
        <f t="shared" si="117"/>
        <v>2010</v>
      </c>
      <c r="E331" s="19" t="s">
        <v>48</v>
      </c>
      <c r="F331" s="62" t="s">
        <v>49</v>
      </c>
      <c r="G331" s="62">
        <v>2114</v>
      </c>
      <c r="H331" s="62" t="s">
        <v>965</v>
      </c>
      <c r="I331" s="62" t="s">
        <v>966</v>
      </c>
      <c r="J331" s="118">
        <v>1</v>
      </c>
      <c r="K331" s="119" t="s">
        <v>271</v>
      </c>
      <c r="L331" s="62" t="s">
        <v>967</v>
      </c>
      <c r="M331" s="120" t="s">
        <v>968</v>
      </c>
      <c r="N331" s="63">
        <v>44124</v>
      </c>
      <c r="O331" s="24"/>
      <c r="P331" s="24"/>
      <c r="Q331" s="64">
        <v>65800000</v>
      </c>
      <c r="R331" s="64"/>
      <c r="S331" s="64"/>
      <c r="T331" s="64"/>
      <c r="U331" s="64"/>
      <c r="V331" s="121">
        <v>65800000</v>
      </c>
      <c r="W331" s="122">
        <v>0</v>
      </c>
      <c r="X331" s="64">
        <v>65800000</v>
      </c>
      <c r="Y331" s="121"/>
      <c r="Z331" s="121"/>
      <c r="AA331" s="121"/>
      <c r="AB331" s="121"/>
      <c r="AC331" s="64">
        <v>65800000</v>
      </c>
      <c r="AD331" s="65">
        <v>44124</v>
      </c>
      <c r="AE331" s="65">
        <v>47044</v>
      </c>
      <c r="AF331" s="62">
        <v>8</v>
      </c>
      <c r="AG331" s="119">
        <v>96</v>
      </c>
      <c r="AH331" s="25">
        <v>685416.66666666663</v>
      </c>
      <c r="AI331" s="78">
        <v>26311165.666666668</v>
      </c>
      <c r="AJ331" s="78">
        <v>39488834.333333328</v>
      </c>
      <c r="AK331" s="27">
        <f t="shared" si="118"/>
        <v>685416.66666666663</v>
      </c>
      <c r="AL331" s="27">
        <f t="shared" si="122"/>
        <v>685416.66666666663</v>
      </c>
      <c r="AM331" s="27">
        <f t="shared" si="122"/>
        <v>685416.66666666663</v>
      </c>
      <c r="AN331" s="27">
        <f t="shared" si="110"/>
        <v>685416.66666666663</v>
      </c>
      <c r="AO331" s="27">
        <f t="shared" si="111"/>
        <v>685416.66666666663</v>
      </c>
      <c r="AP331" s="27">
        <f t="shared" si="111"/>
        <v>685416.66666666663</v>
      </c>
      <c r="AQ331" s="27">
        <f t="shared" si="112"/>
        <v>685416.66666666663</v>
      </c>
      <c r="AR331" s="27">
        <f t="shared" si="113"/>
        <v>685416.66666666663</v>
      </c>
      <c r="AS331" s="27"/>
      <c r="AT331" s="27"/>
      <c r="AU331" s="27"/>
      <c r="AV331" s="27"/>
      <c r="AW331" s="27">
        <f t="shared" si="115"/>
        <v>5483333.333333333</v>
      </c>
      <c r="AX331" s="79">
        <f t="shared" si="119"/>
        <v>34005500.999999993</v>
      </c>
      <c r="AY331" s="79">
        <f t="shared" si="120"/>
        <v>31794499</v>
      </c>
      <c r="AZ331" s="25">
        <v>1</v>
      </c>
      <c r="BA331" s="62" t="s">
        <v>79</v>
      </c>
      <c r="BB331" s="66">
        <v>1</v>
      </c>
      <c r="BC331" s="66"/>
      <c r="BD331" s="66"/>
      <c r="BE331" s="67">
        <f t="shared" si="109"/>
        <v>685416.66666666663</v>
      </c>
      <c r="BF331" s="67">
        <f t="shared" si="114"/>
        <v>0</v>
      </c>
      <c r="BG331" s="67">
        <f t="shared" si="121"/>
        <v>0</v>
      </c>
      <c r="BH331" s="66"/>
      <c r="BI331" s="68" t="s">
        <v>135</v>
      </c>
      <c r="BJ331" s="68" t="s">
        <v>58</v>
      </c>
      <c r="BK331" s="68" t="s">
        <v>59</v>
      </c>
      <c r="BL331" s="29"/>
      <c r="BO331" s="35" t="s">
        <v>1804</v>
      </c>
    </row>
    <row r="332" spans="1:68" ht="15" customHeight="1">
      <c r="A332" s="1" t="s">
        <v>43</v>
      </c>
      <c r="C332" s="1" t="str">
        <f t="shared" si="116"/>
        <v>2510</v>
      </c>
      <c r="D332" s="1" t="str">
        <f t="shared" si="117"/>
        <v>2010</v>
      </c>
      <c r="E332" s="19" t="s">
        <v>48</v>
      </c>
      <c r="F332" s="62" t="s">
        <v>49</v>
      </c>
      <c r="G332" s="62">
        <v>2114</v>
      </c>
      <c r="H332" s="62" t="s">
        <v>969</v>
      </c>
      <c r="I332" s="62" t="s">
        <v>970</v>
      </c>
      <c r="J332" s="118">
        <v>1</v>
      </c>
      <c r="K332" s="119" t="s">
        <v>271</v>
      </c>
      <c r="L332" s="62" t="s">
        <v>971</v>
      </c>
      <c r="M332" s="120" t="s">
        <v>972</v>
      </c>
      <c r="N332" s="63">
        <v>44135</v>
      </c>
      <c r="O332" s="24"/>
      <c r="P332" s="24"/>
      <c r="Q332" s="64">
        <v>33500000</v>
      </c>
      <c r="R332" s="64"/>
      <c r="S332" s="64"/>
      <c r="T332" s="64"/>
      <c r="U332" s="64"/>
      <c r="V332" s="121">
        <v>33500000</v>
      </c>
      <c r="W332" s="122">
        <v>0</v>
      </c>
      <c r="X332" s="64">
        <v>33500000</v>
      </c>
      <c r="Y332" s="121"/>
      <c r="Z332" s="121"/>
      <c r="AA332" s="121"/>
      <c r="AB332" s="121"/>
      <c r="AC332" s="64">
        <v>33500000</v>
      </c>
      <c r="AD332" s="65">
        <v>44135</v>
      </c>
      <c r="AE332" s="65">
        <v>45960</v>
      </c>
      <c r="AF332" s="62">
        <v>5</v>
      </c>
      <c r="AG332" s="119">
        <v>60</v>
      </c>
      <c r="AH332" s="25">
        <v>558333.33333333337</v>
      </c>
      <c r="AI332" s="78">
        <v>21234668.333333332</v>
      </c>
      <c r="AJ332" s="78">
        <v>12265331.666666668</v>
      </c>
      <c r="AK332" s="27">
        <f t="shared" si="118"/>
        <v>558333.33333333337</v>
      </c>
      <c r="AL332" s="27">
        <f t="shared" si="122"/>
        <v>558333.33333333337</v>
      </c>
      <c r="AM332" s="27">
        <f t="shared" si="122"/>
        <v>558333.33333333337</v>
      </c>
      <c r="AN332" s="27">
        <f t="shared" si="110"/>
        <v>558333.33333333337</v>
      </c>
      <c r="AO332" s="27">
        <f t="shared" si="111"/>
        <v>558333.33333333337</v>
      </c>
      <c r="AP332" s="27">
        <f t="shared" si="111"/>
        <v>558333.33333333337</v>
      </c>
      <c r="AQ332" s="27">
        <f t="shared" si="112"/>
        <v>558333.33333333337</v>
      </c>
      <c r="AR332" s="27">
        <f t="shared" si="113"/>
        <v>558333.33333333337</v>
      </c>
      <c r="AS332" s="27"/>
      <c r="AT332" s="27"/>
      <c r="AU332" s="27"/>
      <c r="AV332" s="27"/>
      <c r="AW332" s="27">
        <f t="shared" si="115"/>
        <v>4466666.666666667</v>
      </c>
      <c r="AX332" s="79">
        <f t="shared" si="119"/>
        <v>7798665.0000000009</v>
      </c>
      <c r="AY332" s="79">
        <f t="shared" si="120"/>
        <v>25701335</v>
      </c>
      <c r="AZ332" s="25">
        <v>1</v>
      </c>
      <c r="BA332" s="62" t="s">
        <v>79</v>
      </c>
      <c r="BB332" s="66">
        <v>1</v>
      </c>
      <c r="BC332" s="66"/>
      <c r="BD332" s="66"/>
      <c r="BE332" s="67">
        <f t="shared" si="109"/>
        <v>558333.33333333337</v>
      </c>
      <c r="BF332" s="67">
        <f t="shared" si="114"/>
        <v>0</v>
      </c>
      <c r="BG332" s="67">
        <f t="shared" si="121"/>
        <v>0</v>
      </c>
      <c r="BH332" s="66"/>
      <c r="BI332" s="68" t="s">
        <v>57</v>
      </c>
      <c r="BJ332" s="68" t="s">
        <v>58</v>
      </c>
      <c r="BK332" s="68" t="s">
        <v>59</v>
      </c>
      <c r="BL332" s="29"/>
      <c r="BO332" s="35" t="s">
        <v>1799</v>
      </c>
    </row>
    <row r="333" spans="1:68" ht="15" customHeight="1">
      <c r="A333" s="1" t="s">
        <v>43</v>
      </c>
      <c r="C333" s="1" t="str">
        <f t="shared" si="116"/>
        <v>2810</v>
      </c>
      <c r="D333" s="1" t="str">
        <f t="shared" si="117"/>
        <v>2011</v>
      </c>
      <c r="E333" s="19" t="s">
        <v>48</v>
      </c>
      <c r="F333" s="62" t="s">
        <v>49</v>
      </c>
      <c r="G333" s="62">
        <v>2114</v>
      </c>
      <c r="H333" s="62" t="s">
        <v>973</v>
      </c>
      <c r="I333" s="62" t="s">
        <v>974</v>
      </c>
      <c r="J333" s="118">
        <v>1</v>
      </c>
      <c r="K333" s="119" t="s">
        <v>271</v>
      </c>
      <c r="L333" s="62" t="s">
        <v>975</v>
      </c>
      <c r="M333" s="120" t="s">
        <v>976</v>
      </c>
      <c r="N333" s="63">
        <v>44136</v>
      </c>
      <c r="O333" s="24"/>
      <c r="P333" s="24"/>
      <c r="Q333" s="64">
        <v>72993000</v>
      </c>
      <c r="R333" s="64"/>
      <c r="S333" s="64"/>
      <c r="T333" s="64"/>
      <c r="U333" s="64"/>
      <c r="V333" s="121">
        <v>72993000</v>
      </c>
      <c r="W333" s="122">
        <v>0</v>
      </c>
      <c r="X333" s="64">
        <v>72993000</v>
      </c>
      <c r="Y333" s="121"/>
      <c r="Z333" s="121"/>
      <c r="AA333" s="121"/>
      <c r="AB333" s="121"/>
      <c r="AC333" s="64">
        <v>72993000</v>
      </c>
      <c r="AD333" s="65">
        <v>44136</v>
      </c>
      <c r="AE333" s="65">
        <v>47056</v>
      </c>
      <c r="AF333" s="62">
        <v>8</v>
      </c>
      <c r="AG333" s="119">
        <v>96</v>
      </c>
      <c r="AH333" s="25">
        <v>760343.75</v>
      </c>
      <c r="AI333" s="78">
        <v>28893069.5</v>
      </c>
      <c r="AJ333" s="78">
        <v>44099930.5</v>
      </c>
      <c r="AK333" s="27">
        <f t="shared" si="118"/>
        <v>760343.75</v>
      </c>
      <c r="AL333" s="27">
        <f t="shared" si="122"/>
        <v>760343.75</v>
      </c>
      <c r="AM333" s="27">
        <f t="shared" si="122"/>
        <v>760343.75</v>
      </c>
      <c r="AN333" s="27">
        <f t="shared" si="110"/>
        <v>760343.75</v>
      </c>
      <c r="AO333" s="27">
        <f t="shared" si="111"/>
        <v>760343.75</v>
      </c>
      <c r="AP333" s="27">
        <f t="shared" si="111"/>
        <v>760343.75</v>
      </c>
      <c r="AQ333" s="27">
        <f t="shared" si="112"/>
        <v>760343.75</v>
      </c>
      <c r="AR333" s="27">
        <f t="shared" si="113"/>
        <v>760343.75</v>
      </c>
      <c r="AS333" s="27"/>
      <c r="AT333" s="27"/>
      <c r="AU333" s="27"/>
      <c r="AV333" s="27"/>
      <c r="AW333" s="27">
        <f t="shared" si="115"/>
        <v>6082750</v>
      </c>
      <c r="AX333" s="79">
        <f t="shared" si="119"/>
        <v>38017180.5</v>
      </c>
      <c r="AY333" s="79">
        <f t="shared" si="120"/>
        <v>34975819.5</v>
      </c>
      <c r="AZ333" s="25">
        <v>1</v>
      </c>
      <c r="BA333" s="62" t="s">
        <v>79</v>
      </c>
      <c r="BB333" s="66"/>
      <c r="BC333" s="66">
        <v>1</v>
      </c>
      <c r="BD333" s="66"/>
      <c r="BE333" s="67">
        <f t="shared" si="109"/>
        <v>0</v>
      </c>
      <c r="BF333" s="67">
        <f t="shared" si="114"/>
        <v>760343.75</v>
      </c>
      <c r="BG333" s="67">
        <f t="shared" si="121"/>
        <v>0</v>
      </c>
      <c r="BH333" s="66"/>
      <c r="BI333" s="68" t="s">
        <v>977</v>
      </c>
      <c r="BJ333" s="68" t="s">
        <v>58</v>
      </c>
      <c r="BK333" s="68" t="s">
        <v>59</v>
      </c>
      <c r="BL333" s="29"/>
      <c r="BO333" s="35" t="s">
        <v>1799</v>
      </c>
    </row>
    <row r="334" spans="1:68" ht="15" customHeight="1">
      <c r="A334" s="1" t="s">
        <v>43</v>
      </c>
      <c r="C334" s="1" t="str">
        <f t="shared" si="116"/>
        <v>3101</v>
      </c>
      <c r="D334" s="1" t="str">
        <f t="shared" si="117"/>
        <v>2101</v>
      </c>
      <c r="E334" s="19" t="s">
        <v>48</v>
      </c>
      <c r="F334" s="62" t="s">
        <v>49</v>
      </c>
      <c r="G334" s="62">
        <v>2112</v>
      </c>
      <c r="H334" s="62" t="s">
        <v>978</v>
      </c>
      <c r="I334" s="62" t="s">
        <v>979</v>
      </c>
      <c r="J334" s="118">
        <v>1</v>
      </c>
      <c r="K334" s="119" t="s">
        <v>271</v>
      </c>
      <c r="L334" s="62" t="s">
        <v>980</v>
      </c>
      <c r="M334" s="120" t="s">
        <v>981</v>
      </c>
      <c r="N334" s="63">
        <v>44137</v>
      </c>
      <c r="O334" s="24">
        <v>63000</v>
      </c>
      <c r="P334" s="24">
        <v>23318.237837837838</v>
      </c>
      <c r="Q334" s="64">
        <v>1469048983.7837839</v>
      </c>
      <c r="R334" s="64"/>
      <c r="S334" s="64">
        <v>19837215.333333332</v>
      </c>
      <c r="T334" s="64">
        <v>4068361.75</v>
      </c>
      <c r="U334" s="64" t="s">
        <v>982</v>
      </c>
      <c r="V334" s="121">
        <v>1492954561</v>
      </c>
      <c r="W334" s="122">
        <v>0</v>
      </c>
      <c r="X334" s="64">
        <v>1492954561</v>
      </c>
      <c r="Y334" s="121"/>
      <c r="Z334" s="121"/>
      <c r="AA334" s="121"/>
      <c r="AB334" s="121"/>
      <c r="AC334" s="64">
        <v>1492954561</v>
      </c>
      <c r="AD334" s="65">
        <v>44224</v>
      </c>
      <c r="AE334" s="65">
        <v>47874</v>
      </c>
      <c r="AF334" s="62">
        <v>10</v>
      </c>
      <c r="AG334" s="119">
        <v>120</v>
      </c>
      <c r="AH334" s="25">
        <v>12441288.008333333</v>
      </c>
      <c r="AI334" s="265">
        <v>437050407.56720424</v>
      </c>
      <c r="AJ334" s="265">
        <v>1055904153.4327958</v>
      </c>
      <c r="AK334" s="27">
        <f t="shared" si="118"/>
        <v>12441288.008333333</v>
      </c>
      <c r="AL334" s="27">
        <f t="shared" si="122"/>
        <v>12441288.008333333</v>
      </c>
      <c r="AM334" s="27">
        <f t="shared" si="122"/>
        <v>12441288.008333333</v>
      </c>
      <c r="AN334" s="27">
        <f t="shared" si="110"/>
        <v>12441288.008333333</v>
      </c>
      <c r="AO334" s="27">
        <f t="shared" si="111"/>
        <v>12441288.008333333</v>
      </c>
      <c r="AP334" s="27">
        <f t="shared" si="111"/>
        <v>12441288.008333333</v>
      </c>
      <c r="AQ334" s="27">
        <f t="shared" si="112"/>
        <v>12441288.008333333</v>
      </c>
      <c r="AR334" s="27">
        <f t="shared" si="113"/>
        <v>12441288.008333333</v>
      </c>
      <c r="AS334" s="27"/>
      <c r="AT334" s="27"/>
      <c r="AU334" s="27"/>
      <c r="AV334" s="27"/>
      <c r="AW334" s="27">
        <f t="shared" si="115"/>
        <v>99530304.066666663</v>
      </c>
      <c r="AX334" s="27">
        <f t="shared" si="119"/>
        <v>956373849.36612916</v>
      </c>
      <c r="AY334" s="27">
        <f t="shared" si="120"/>
        <v>536580711.6338709</v>
      </c>
      <c r="AZ334" s="25">
        <v>1</v>
      </c>
      <c r="BA334" s="62" t="s">
        <v>97</v>
      </c>
      <c r="BB334" s="66">
        <v>1</v>
      </c>
      <c r="BC334" s="66"/>
      <c r="BD334" s="66"/>
      <c r="BE334" s="67">
        <f t="shared" si="109"/>
        <v>12441288.008333333</v>
      </c>
      <c r="BF334" s="67">
        <f t="shared" si="114"/>
        <v>0</v>
      </c>
      <c r="BG334" s="67">
        <f t="shared" si="121"/>
        <v>0</v>
      </c>
      <c r="BH334" s="66"/>
      <c r="BI334" s="68" t="s">
        <v>830</v>
      </c>
      <c r="BJ334" s="68" t="s">
        <v>81</v>
      </c>
      <c r="BK334" s="68" t="s">
        <v>81</v>
      </c>
      <c r="BL334" s="29"/>
      <c r="BO334" s="1" t="s">
        <v>1800</v>
      </c>
      <c r="BP334" s="1" t="s">
        <v>1816</v>
      </c>
    </row>
    <row r="335" spans="1:68" ht="15" customHeight="1">
      <c r="A335" s="1" t="s">
        <v>43</v>
      </c>
      <c r="C335" s="1" t="str">
        <f t="shared" si="116"/>
        <v>3101</v>
      </c>
      <c r="D335" s="1" t="str">
        <f t="shared" si="117"/>
        <v>2101</v>
      </c>
      <c r="E335" s="19" t="s">
        <v>48</v>
      </c>
      <c r="F335" s="62" t="s">
        <v>49</v>
      </c>
      <c r="G335" s="62">
        <v>2112</v>
      </c>
      <c r="H335" s="62" t="s">
        <v>985</v>
      </c>
      <c r="I335" s="62" t="s">
        <v>979</v>
      </c>
      <c r="J335" s="118">
        <v>1</v>
      </c>
      <c r="K335" s="119" t="s">
        <v>271</v>
      </c>
      <c r="L335" s="62" t="s">
        <v>980</v>
      </c>
      <c r="M335" s="120" t="s">
        <v>981</v>
      </c>
      <c r="N335" s="63">
        <v>44137</v>
      </c>
      <c r="O335" s="24">
        <v>63000</v>
      </c>
      <c r="P335" s="24">
        <v>23318.237837837838</v>
      </c>
      <c r="Q335" s="64">
        <v>1469048983.7837839</v>
      </c>
      <c r="R335" s="64"/>
      <c r="S335" s="64">
        <v>19837215.333333332</v>
      </c>
      <c r="T335" s="64">
        <v>4068361.75</v>
      </c>
      <c r="U335" s="64" t="s">
        <v>982</v>
      </c>
      <c r="V335" s="121">
        <v>1492954561</v>
      </c>
      <c r="W335" s="122">
        <v>0</v>
      </c>
      <c r="X335" s="64">
        <v>1492954561</v>
      </c>
      <c r="Y335" s="121"/>
      <c r="Z335" s="121"/>
      <c r="AA335" s="121"/>
      <c r="AB335" s="121"/>
      <c r="AC335" s="64">
        <v>1492954561</v>
      </c>
      <c r="AD335" s="65">
        <v>44224</v>
      </c>
      <c r="AE335" s="65">
        <v>47874</v>
      </c>
      <c r="AF335" s="62">
        <v>10</v>
      </c>
      <c r="AG335" s="119">
        <v>120</v>
      </c>
      <c r="AH335" s="25">
        <v>12441288.008333333</v>
      </c>
      <c r="AI335" s="265">
        <v>437050407.56720424</v>
      </c>
      <c r="AJ335" s="265">
        <v>1055904153.4327958</v>
      </c>
      <c r="AK335" s="27">
        <f t="shared" si="118"/>
        <v>12441288.008333333</v>
      </c>
      <c r="AL335" s="27">
        <f t="shared" si="122"/>
        <v>12441288.008333333</v>
      </c>
      <c r="AM335" s="27">
        <f t="shared" si="122"/>
        <v>12441288.008333333</v>
      </c>
      <c r="AN335" s="27">
        <f t="shared" si="110"/>
        <v>12441288.008333333</v>
      </c>
      <c r="AO335" s="27">
        <f t="shared" si="111"/>
        <v>12441288.008333333</v>
      </c>
      <c r="AP335" s="27">
        <f t="shared" si="111"/>
        <v>12441288.008333333</v>
      </c>
      <c r="AQ335" s="27">
        <f t="shared" si="112"/>
        <v>12441288.008333333</v>
      </c>
      <c r="AR335" s="27">
        <f t="shared" si="113"/>
        <v>12441288.008333333</v>
      </c>
      <c r="AS335" s="27"/>
      <c r="AT335" s="27"/>
      <c r="AU335" s="27"/>
      <c r="AV335" s="27"/>
      <c r="AW335" s="27">
        <f t="shared" si="115"/>
        <v>99530304.066666663</v>
      </c>
      <c r="AX335" s="27">
        <f t="shared" si="119"/>
        <v>956373849.36612916</v>
      </c>
      <c r="AY335" s="27">
        <f t="shared" si="120"/>
        <v>536580711.6338709</v>
      </c>
      <c r="AZ335" s="25">
        <v>1</v>
      </c>
      <c r="BA335" s="62" t="s">
        <v>97</v>
      </c>
      <c r="BB335" s="66">
        <v>1</v>
      </c>
      <c r="BC335" s="66"/>
      <c r="BD335" s="66"/>
      <c r="BE335" s="67">
        <f t="shared" si="109"/>
        <v>12441288.008333333</v>
      </c>
      <c r="BF335" s="67">
        <f t="shared" si="114"/>
        <v>0</v>
      </c>
      <c r="BG335" s="67">
        <f t="shared" si="121"/>
        <v>0</v>
      </c>
      <c r="BH335" s="66"/>
      <c r="BI335" s="68" t="s">
        <v>146</v>
      </c>
      <c r="BJ335" s="68" t="s">
        <v>81</v>
      </c>
      <c r="BK335" s="68" t="s">
        <v>81</v>
      </c>
      <c r="BL335" s="29"/>
      <c r="BO335" s="1" t="s">
        <v>1800</v>
      </c>
      <c r="BP335" s="1" t="s">
        <v>1822</v>
      </c>
    </row>
    <row r="336" spans="1:68" ht="15" customHeight="1">
      <c r="A336" s="1" t="s">
        <v>43</v>
      </c>
      <c r="C336" s="1" t="str">
        <f t="shared" si="116"/>
        <v>3102</v>
      </c>
      <c r="D336" s="1" t="str">
        <f t="shared" si="117"/>
        <v>2103</v>
      </c>
      <c r="E336" s="19" t="s">
        <v>48</v>
      </c>
      <c r="F336" s="62" t="s">
        <v>49</v>
      </c>
      <c r="G336" s="62">
        <v>2112</v>
      </c>
      <c r="H336" s="62" t="s">
        <v>986</v>
      </c>
      <c r="I336" s="62" t="s">
        <v>987</v>
      </c>
      <c r="J336" s="118">
        <v>1</v>
      </c>
      <c r="K336" s="119" t="s">
        <v>271</v>
      </c>
      <c r="L336" s="62" t="s">
        <v>980</v>
      </c>
      <c r="M336" s="120" t="s">
        <v>981</v>
      </c>
      <c r="N336" s="63">
        <v>44137</v>
      </c>
      <c r="O336" s="24">
        <v>63000</v>
      </c>
      <c r="P336" s="24">
        <v>23318.237837837838</v>
      </c>
      <c r="Q336" s="64">
        <v>1469048983.7837839</v>
      </c>
      <c r="R336" s="64"/>
      <c r="S336" s="64">
        <v>19837215.333333332</v>
      </c>
      <c r="T336" s="64">
        <v>4068361.5</v>
      </c>
      <c r="U336" s="64" t="s">
        <v>982</v>
      </c>
      <c r="V336" s="121">
        <v>1492954561</v>
      </c>
      <c r="W336" s="122">
        <v>0</v>
      </c>
      <c r="X336" s="64">
        <v>1492954561</v>
      </c>
      <c r="Y336" s="121"/>
      <c r="Z336" s="121"/>
      <c r="AA336" s="121"/>
      <c r="AB336" s="121"/>
      <c r="AC336" s="64">
        <v>1492954561</v>
      </c>
      <c r="AD336" s="65">
        <v>44256</v>
      </c>
      <c r="AE336" s="65">
        <v>47906</v>
      </c>
      <c r="AF336" s="62">
        <v>10</v>
      </c>
      <c r="AG336" s="119">
        <v>120</v>
      </c>
      <c r="AH336" s="25">
        <v>12441288.008333333</v>
      </c>
      <c r="AI336" s="265">
        <v>423003792.08333325</v>
      </c>
      <c r="AJ336" s="265">
        <v>1069950768.9166667</v>
      </c>
      <c r="AK336" s="27">
        <f t="shared" si="118"/>
        <v>12441288.008333333</v>
      </c>
      <c r="AL336" s="27">
        <f t="shared" si="122"/>
        <v>12441288.008333333</v>
      </c>
      <c r="AM336" s="27">
        <f t="shared" si="122"/>
        <v>12441288.008333333</v>
      </c>
      <c r="AN336" s="27">
        <f t="shared" si="110"/>
        <v>12441288.008333333</v>
      </c>
      <c r="AO336" s="27">
        <f t="shared" si="111"/>
        <v>12441288.008333333</v>
      </c>
      <c r="AP336" s="27">
        <f t="shared" si="111"/>
        <v>12441288.008333333</v>
      </c>
      <c r="AQ336" s="27">
        <f t="shared" si="112"/>
        <v>12441288.008333333</v>
      </c>
      <c r="AR336" s="27">
        <f t="shared" si="113"/>
        <v>12441288.008333333</v>
      </c>
      <c r="AS336" s="27"/>
      <c r="AT336" s="27"/>
      <c r="AU336" s="27"/>
      <c r="AV336" s="27"/>
      <c r="AW336" s="27">
        <f t="shared" si="115"/>
        <v>99530304.066666663</v>
      </c>
      <c r="AX336" s="27">
        <f t="shared" si="119"/>
        <v>970420464.85000014</v>
      </c>
      <c r="AY336" s="27">
        <f t="shared" si="120"/>
        <v>522534096.14999992</v>
      </c>
      <c r="AZ336" s="25">
        <v>1</v>
      </c>
      <c r="BA336" s="62" t="s">
        <v>97</v>
      </c>
      <c r="BB336" s="66">
        <v>1</v>
      </c>
      <c r="BC336" s="66"/>
      <c r="BD336" s="66"/>
      <c r="BE336" s="67">
        <f t="shared" si="109"/>
        <v>12441288.008333333</v>
      </c>
      <c r="BF336" s="67">
        <f t="shared" si="114"/>
        <v>0</v>
      </c>
      <c r="BG336" s="67">
        <f t="shared" si="121"/>
        <v>0</v>
      </c>
      <c r="BH336" s="66"/>
      <c r="BI336" s="68" t="s">
        <v>819</v>
      </c>
      <c r="BJ336" s="68" t="s">
        <v>81</v>
      </c>
      <c r="BK336" s="68" t="s">
        <v>81</v>
      </c>
      <c r="BL336" s="29"/>
      <c r="BO336" s="1" t="s">
        <v>1800</v>
      </c>
      <c r="BP336" s="1" t="s">
        <v>1821</v>
      </c>
    </row>
    <row r="337" spans="1:68" ht="15" customHeight="1">
      <c r="A337" s="1" t="s">
        <v>43</v>
      </c>
      <c r="C337" s="1" t="str">
        <f t="shared" si="116"/>
        <v>3102</v>
      </c>
      <c r="D337" s="1" t="str">
        <f t="shared" si="117"/>
        <v>2103</v>
      </c>
      <c r="E337" s="19" t="s">
        <v>48</v>
      </c>
      <c r="F337" s="62" t="s">
        <v>49</v>
      </c>
      <c r="G337" s="62">
        <v>2112</v>
      </c>
      <c r="H337" s="62" t="s">
        <v>988</v>
      </c>
      <c r="I337" s="62" t="s">
        <v>987</v>
      </c>
      <c r="J337" s="118">
        <v>1</v>
      </c>
      <c r="K337" s="119" t="s">
        <v>271</v>
      </c>
      <c r="L337" s="62" t="s">
        <v>980</v>
      </c>
      <c r="M337" s="120" t="s">
        <v>981</v>
      </c>
      <c r="N337" s="63">
        <v>44137</v>
      </c>
      <c r="O337" s="24">
        <v>63000</v>
      </c>
      <c r="P337" s="24">
        <v>23318.237837837838</v>
      </c>
      <c r="Q337" s="64">
        <v>1469048983.7837839</v>
      </c>
      <c r="R337" s="64"/>
      <c r="S337" s="64">
        <v>19837215.333333332</v>
      </c>
      <c r="T337" s="64">
        <v>4068361.5</v>
      </c>
      <c r="U337" s="64" t="s">
        <v>982</v>
      </c>
      <c r="V337" s="121">
        <v>1492954561</v>
      </c>
      <c r="W337" s="122">
        <v>0</v>
      </c>
      <c r="X337" s="64">
        <v>1492954561</v>
      </c>
      <c r="Y337" s="121"/>
      <c r="Z337" s="121"/>
      <c r="AA337" s="121"/>
      <c r="AB337" s="121"/>
      <c r="AC337" s="64">
        <v>1492954561</v>
      </c>
      <c r="AD337" s="65">
        <v>44256</v>
      </c>
      <c r="AE337" s="65">
        <v>47906</v>
      </c>
      <c r="AF337" s="62">
        <v>10</v>
      </c>
      <c r="AG337" s="119">
        <v>120</v>
      </c>
      <c r="AH337" s="25">
        <v>12441288.008333333</v>
      </c>
      <c r="AI337" s="265">
        <v>423003792.08333325</v>
      </c>
      <c r="AJ337" s="265">
        <v>1069950768.9166667</v>
      </c>
      <c r="AK337" s="27">
        <f t="shared" si="118"/>
        <v>12441288.008333333</v>
      </c>
      <c r="AL337" s="27">
        <f t="shared" si="122"/>
        <v>12441288.008333333</v>
      </c>
      <c r="AM337" s="27">
        <f t="shared" si="122"/>
        <v>12441288.008333333</v>
      </c>
      <c r="AN337" s="27">
        <f t="shared" si="110"/>
        <v>12441288.008333333</v>
      </c>
      <c r="AO337" s="27">
        <f t="shared" si="111"/>
        <v>12441288.008333333</v>
      </c>
      <c r="AP337" s="27">
        <f t="shared" si="111"/>
        <v>12441288.008333333</v>
      </c>
      <c r="AQ337" s="27">
        <f t="shared" si="112"/>
        <v>12441288.008333333</v>
      </c>
      <c r="AR337" s="27">
        <f t="shared" si="113"/>
        <v>12441288.008333333</v>
      </c>
      <c r="AS337" s="27"/>
      <c r="AT337" s="27"/>
      <c r="AU337" s="27"/>
      <c r="AV337" s="27"/>
      <c r="AW337" s="27">
        <f t="shared" si="115"/>
        <v>99530304.066666663</v>
      </c>
      <c r="AX337" s="27">
        <f t="shared" si="119"/>
        <v>970420464.85000014</v>
      </c>
      <c r="AY337" s="27">
        <f t="shared" si="120"/>
        <v>522534096.14999992</v>
      </c>
      <c r="AZ337" s="25">
        <v>1</v>
      </c>
      <c r="BA337" s="62" t="s">
        <v>97</v>
      </c>
      <c r="BB337" s="66">
        <v>1</v>
      </c>
      <c r="BC337" s="66"/>
      <c r="BD337" s="66"/>
      <c r="BE337" s="67">
        <f t="shared" si="109"/>
        <v>12441288.008333333</v>
      </c>
      <c r="BF337" s="67">
        <f t="shared" si="114"/>
        <v>0</v>
      </c>
      <c r="BG337" s="67">
        <f t="shared" si="121"/>
        <v>0</v>
      </c>
      <c r="BH337" s="66"/>
      <c r="BI337" s="68" t="s">
        <v>905</v>
      </c>
      <c r="BJ337" s="68" t="s">
        <v>81</v>
      </c>
      <c r="BK337" s="68" t="s">
        <v>81</v>
      </c>
      <c r="BL337" s="29"/>
      <c r="BO337" s="1" t="s">
        <v>1800</v>
      </c>
      <c r="BP337" s="1" t="s">
        <v>1810</v>
      </c>
    </row>
    <row r="338" spans="1:68" ht="15" customHeight="1">
      <c r="A338" s="1" t="s">
        <v>43</v>
      </c>
      <c r="C338" s="1" t="str">
        <f t="shared" si="116"/>
        <v>3012</v>
      </c>
      <c r="D338" s="1" t="str">
        <f t="shared" si="117"/>
        <v>2012</v>
      </c>
      <c r="E338" s="19" t="s">
        <v>48</v>
      </c>
      <c r="F338" s="62" t="s">
        <v>49</v>
      </c>
      <c r="G338" s="62">
        <v>2112</v>
      </c>
      <c r="H338" s="62" t="s">
        <v>989</v>
      </c>
      <c r="I338" s="62" t="s">
        <v>990</v>
      </c>
      <c r="J338" s="118">
        <v>1</v>
      </c>
      <c r="K338" s="119" t="s">
        <v>271</v>
      </c>
      <c r="L338" s="62" t="s">
        <v>980</v>
      </c>
      <c r="M338" s="120" t="s">
        <v>981</v>
      </c>
      <c r="N338" s="63">
        <v>44137</v>
      </c>
      <c r="O338" s="24">
        <v>199500</v>
      </c>
      <c r="P338" s="24">
        <v>23318.237837837838</v>
      </c>
      <c r="Q338" s="64">
        <v>4651988448.6486483</v>
      </c>
      <c r="R338" s="64"/>
      <c r="S338" s="64"/>
      <c r="T338" s="64">
        <v>12883145</v>
      </c>
      <c r="U338" s="64" t="s">
        <v>982</v>
      </c>
      <c r="V338" s="121">
        <v>4664871594</v>
      </c>
      <c r="W338" s="122">
        <v>0</v>
      </c>
      <c r="X338" s="64">
        <v>4664871594</v>
      </c>
      <c r="Y338" s="121"/>
      <c r="Z338" s="121"/>
      <c r="AA338" s="121"/>
      <c r="AB338" s="121"/>
      <c r="AC338" s="64">
        <v>4664871594</v>
      </c>
      <c r="AD338" s="65">
        <v>44180</v>
      </c>
      <c r="AE338" s="65">
        <v>47830</v>
      </c>
      <c r="AF338" s="62">
        <v>10</v>
      </c>
      <c r="AG338" s="119">
        <v>120</v>
      </c>
      <c r="AH338" s="25">
        <v>38873929.950000003</v>
      </c>
      <c r="AI338" s="78">
        <v>1420779441.5</v>
      </c>
      <c r="AJ338" s="78">
        <v>3244092152.5</v>
      </c>
      <c r="AK338" s="27">
        <f t="shared" si="118"/>
        <v>38873929.950000003</v>
      </c>
      <c r="AL338" s="27">
        <f t="shared" si="122"/>
        <v>38873929.950000003</v>
      </c>
      <c r="AM338" s="27">
        <f t="shared" si="122"/>
        <v>38873929.950000003</v>
      </c>
      <c r="AN338" s="27">
        <f t="shared" si="110"/>
        <v>38873929.950000003</v>
      </c>
      <c r="AO338" s="27">
        <f t="shared" si="111"/>
        <v>38873929.950000003</v>
      </c>
      <c r="AP338" s="27">
        <f t="shared" si="111"/>
        <v>38873929.950000003</v>
      </c>
      <c r="AQ338" s="27">
        <f t="shared" si="112"/>
        <v>38873929.950000003</v>
      </c>
      <c r="AR338" s="27">
        <f t="shared" si="113"/>
        <v>38873929.950000003</v>
      </c>
      <c r="AS338" s="27"/>
      <c r="AT338" s="27"/>
      <c r="AU338" s="27"/>
      <c r="AV338" s="27"/>
      <c r="AW338" s="27">
        <f t="shared" si="115"/>
        <v>310991439.59999996</v>
      </c>
      <c r="AX338" s="79">
        <f t="shared" si="119"/>
        <v>2933100712.9000001</v>
      </c>
      <c r="AY338" s="79">
        <f t="shared" si="120"/>
        <v>1731770881.0999999</v>
      </c>
      <c r="AZ338" s="25">
        <v>1</v>
      </c>
      <c r="BA338" s="62" t="s">
        <v>97</v>
      </c>
      <c r="BB338" s="66">
        <v>1</v>
      </c>
      <c r="BC338" s="66"/>
      <c r="BD338" s="66"/>
      <c r="BE338" s="67">
        <f t="shared" si="109"/>
        <v>38873929.950000003</v>
      </c>
      <c r="BF338" s="67">
        <f t="shared" si="114"/>
        <v>0</v>
      </c>
      <c r="BG338" s="67">
        <f t="shared" si="121"/>
        <v>0</v>
      </c>
      <c r="BH338" s="66"/>
      <c r="BI338" s="68" t="s">
        <v>819</v>
      </c>
      <c r="BJ338" s="68" t="s">
        <v>85</v>
      </c>
      <c r="BK338" s="68" t="s">
        <v>85</v>
      </c>
      <c r="BL338" s="29"/>
      <c r="BO338" s="35" t="s">
        <v>1800</v>
      </c>
      <c r="BP338" s="1" t="s">
        <v>1821</v>
      </c>
    </row>
    <row r="339" spans="1:68" ht="15" customHeight="1">
      <c r="A339" s="1" t="s">
        <v>43</v>
      </c>
      <c r="C339" s="1" t="str">
        <f t="shared" si="116"/>
        <v>3012</v>
      </c>
      <c r="D339" s="1" t="str">
        <f t="shared" si="117"/>
        <v>2012</v>
      </c>
      <c r="E339" s="19" t="s">
        <v>48</v>
      </c>
      <c r="F339" s="62" t="s">
        <v>49</v>
      </c>
      <c r="G339" s="62">
        <v>2112</v>
      </c>
      <c r="H339" s="62" t="s">
        <v>991</v>
      </c>
      <c r="I339" s="62" t="s">
        <v>990</v>
      </c>
      <c r="J339" s="118">
        <v>1</v>
      </c>
      <c r="K339" s="119" t="s">
        <v>271</v>
      </c>
      <c r="L339" s="62" t="s">
        <v>980</v>
      </c>
      <c r="M339" s="120" t="s">
        <v>981</v>
      </c>
      <c r="N339" s="63">
        <v>44137</v>
      </c>
      <c r="O339" s="24">
        <v>199500</v>
      </c>
      <c r="P339" s="24">
        <v>23318.237837837838</v>
      </c>
      <c r="Q339" s="64">
        <v>4651988448.6486483</v>
      </c>
      <c r="R339" s="64"/>
      <c r="S339" s="64"/>
      <c r="T339" s="64">
        <v>12883145</v>
      </c>
      <c r="U339" s="64" t="s">
        <v>982</v>
      </c>
      <c r="V339" s="121">
        <v>4664871594</v>
      </c>
      <c r="W339" s="122">
        <v>0</v>
      </c>
      <c r="X339" s="64">
        <v>4664871594</v>
      </c>
      <c r="Y339" s="121"/>
      <c r="Z339" s="121"/>
      <c r="AA339" s="121"/>
      <c r="AB339" s="121"/>
      <c r="AC339" s="64">
        <v>4664871594</v>
      </c>
      <c r="AD339" s="65">
        <v>44180</v>
      </c>
      <c r="AE339" s="65">
        <v>47830</v>
      </c>
      <c r="AF339" s="62">
        <v>10</v>
      </c>
      <c r="AG339" s="119">
        <v>120</v>
      </c>
      <c r="AH339" s="25">
        <v>38873929.950000003</v>
      </c>
      <c r="AI339" s="78">
        <v>1420779441.5</v>
      </c>
      <c r="AJ339" s="78">
        <v>3244092152.5</v>
      </c>
      <c r="AK339" s="27">
        <f t="shared" si="118"/>
        <v>38873929.950000003</v>
      </c>
      <c r="AL339" s="27">
        <f t="shared" si="122"/>
        <v>38873929.950000003</v>
      </c>
      <c r="AM339" s="27">
        <f t="shared" si="122"/>
        <v>38873929.950000003</v>
      </c>
      <c r="AN339" s="27">
        <f t="shared" si="110"/>
        <v>38873929.950000003</v>
      </c>
      <c r="AO339" s="27">
        <f t="shared" si="111"/>
        <v>38873929.950000003</v>
      </c>
      <c r="AP339" s="27">
        <f t="shared" si="111"/>
        <v>38873929.950000003</v>
      </c>
      <c r="AQ339" s="27">
        <f t="shared" si="112"/>
        <v>38873929.950000003</v>
      </c>
      <c r="AR339" s="27">
        <f t="shared" si="113"/>
        <v>38873929.950000003</v>
      </c>
      <c r="AS339" s="27"/>
      <c r="AT339" s="27"/>
      <c r="AU339" s="27"/>
      <c r="AV339" s="27"/>
      <c r="AW339" s="27">
        <f t="shared" si="115"/>
        <v>310991439.59999996</v>
      </c>
      <c r="AX339" s="79">
        <f t="shared" si="119"/>
        <v>2933100712.9000001</v>
      </c>
      <c r="AY339" s="79">
        <f t="shared" si="120"/>
        <v>1731770881.0999999</v>
      </c>
      <c r="AZ339" s="25">
        <v>1</v>
      </c>
      <c r="BA339" s="62" t="s">
        <v>97</v>
      </c>
      <c r="BB339" s="66">
        <v>1</v>
      </c>
      <c r="BC339" s="66"/>
      <c r="BD339" s="66"/>
      <c r="BE339" s="67">
        <f t="shared" si="109"/>
        <v>38873929.950000003</v>
      </c>
      <c r="BF339" s="67">
        <f t="shared" si="114"/>
        <v>0</v>
      </c>
      <c r="BG339" s="67">
        <f t="shared" si="121"/>
        <v>0</v>
      </c>
      <c r="BH339" s="66"/>
      <c r="BI339" s="68" t="s">
        <v>992</v>
      </c>
      <c r="BJ339" s="68" t="s">
        <v>85</v>
      </c>
      <c r="BK339" s="68" t="s">
        <v>85</v>
      </c>
      <c r="BL339" s="29"/>
      <c r="BO339" s="35" t="s">
        <v>1800</v>
      </c>
      <c r="BP339" s="1" t="s">
        <v>1810</v>
      </c>
    </row>
    <row r="340" spans="1:68" ht="15" customHeight="1">
      <c r="A340" s="1" t="s">
        <v>43</v>
      </c>
      <c r="C340" s="1" t="str">
        <f t="shared" si="116"/>
        <v>3101</v>
      </c>
      <c r="D340" s="1" t="str">
        <f t="shared" si="117"/>
        <v>2101</v>
      </c>
      <c r="E340" s="19" t="s">
        <v>48</v>
      </c>
      <c r="F340" s="62" t="s">
        <v>49</v>
      </c>
      <c r="G340" s="62">
        <v>2112</v>
      </c>
      <c r="H340" s="62" t="s">
        <v>993</v>
      </c>
      <c r="I340" s="62" t="s">
        <v>994</v>
      </c>
      <c r="J340" s="118">
        <v>1</v>
      </c>
      <c r="K340" s="119" t="s">
        <v>271</v>
      </c>
      <c r="L340" s="62" t="s">
        <v>742</v>
      </c>
      <c r="M340" s="120" t="s">
        <v>995</v>
      </c>
      <c r="N340" s="63">
        <v>44160</v>
      </c>
      <c r="O340" s="24">
        <v>163130</v>
      </c>
      <c r="P340" s="24">
        <v>23291.1</v>
      </c>
      <c r="Q340" s="64">
        <v>3799477143</v>
      </c>
      <c r="R340" s="64"/>
      <c r="S340" s="64"/>
      <c r="T340" s="64">
        <v>17300890</v>
      </c>
      <c r="U340" s="64" t="s">
        <v>996</v>
      </c>
      <c r="V340" s="121">
        <v>3816778033</v>
      </c>
      <c r="W340" s="122">
        <v>0</v>
      </c>
      <c r="X340" s="64">
        <v>3816778033</v>
      </c>
      <c r="Y340" s="121"/>
      <c r="Z340" s="121"/>
      <c r="AA340" s="121"/>
      <c r="AB340" s="121"/>
      <c r="AC340" s="64">
        <v>3816778033</v>
      </c>
      <c r="AD340" s="65">
        <v>44218</v>
      </c>
      <c r="AE340" s="65">
        <v>47868</v>
      </c>
      <c r="AF340" s="62">
        <v>10</v>
      </c>
      <c r="AG340" s="119">
        <v>120</v>
      </c>
      <c r="AH340" s="25">
        <v>31806483.608333334</v>
      </c>
      <c r="AI340" s="78">
        <v>1123487092.2123656</v>
      </c>
      <c r="AJ340" s="78">
        <v>2693290940.7876344</v>
      </c>
      <c r="AK340" s="27">
        <f t="shared" si="118"/>
        <v>31806483.608333334</v>
      </c>
      <c r="AL340" s="27">
        <f t="shared" si="122"/>
        <v>31806483.608333334</v>
      </c>
      <c r="AM340" s="27">
        <f t="shared" si="122"/>
        <v>31806483.608333334</v>
      </c>
      <c r="AN340" s="27">
        <f t="shared" si="110"/>
        <v>31806483.608333334</v>
      </c>
      <c r="AO340" s="27">
        <f t="shared" si="111"/>
        <v>31806483.608333334</v>
      </c>
      <c r="AP340" s="27">
        <f t="shared" si="111"/>
        <v>31806483.608333334</v>
      </c>
      <c r="AQ340" s="27">
        <f t="shared" si="112"/>
        <v>31806483.608333334</v>
      </c>
      <c r="AR340" s="27">
        <f t="shared" si="113"/>
        <v>31806483.608333334</v>
      </c>
      <c r="AS340" s="27"/>
      <c r="AT340" s="27"/>
      <c r="AU340" s="27"/>
      <c r="AV340" s="27"/>
      <c r="AW340" s="27">
        <f t="shared" si="115"/>
        <v>254451868.86666673</v>
      </c>
      <c r="AX340" s="79">
        <f t="shared" si="119"/>
        <v>2438839071.9209676</v>
      </c>
      <c r="AY340" s="79">
        <f t="shared" si="120"/>
        <v>1377938961.0790324</v>
      </c>
      <c r="AZ340" s="25">
        <v>1</v>
      </c>
      <c r="BA340" s="62" t="s">
        <v>97</v>
      </c>
      <c r="BB340" s="66">
        <v>1</v>
      </c>
      <c r="BC340" s="66"/>
      <c r="BD340" s="66"/>
      <c r="BE340" s="67">
        <f t="shared" si="109"/>
        <v>31806483.608333334</v>
      </c>
      <c r="BF340" s="67">
        <f t="shared" si="114"/>
        <v>0</v>
      </c>
      <c r="BG340" s="67">
        <f t="shared" si="121"/>
        <v>0</v>
      </c>
      <c r="BH340" s="66"/>
      <c r="BI340" s="68" t="s">
        <v>695</v>
      </c>
      <c r="BJ340" s="68" t="s">
        <v>85</v>
      </c>
      <c r="BK340" s="68" t="s">
        <v>85</v>
      </c>
      <c r="BL340" s="29"/>
      <c r="BO340" s="35" t="s">
        <v>1801</v>
      </c>
      <c r="BP340" s="1" t="s">
        <v>1820</v>
      </c>
    </row>
    <row r="341" spans="1:68" ht="15" customHeight="1">
      <c r="A341" s="1" t="s">
        <v>43</v>
      </c>
      <c r="C341" s="1" t="str">
        <f t="shared" si="116"/>
        <v>3101</v>
      </c>
      <c r="D341" s="1" t="str">
        <f t="shared" si="117"/>
        <v>2101</v>
      </c>
      <c r="E341" s="19" t="s">
        <v>48</v>
      </c>
      <c r="F341" s="62" t="s">
        <v>49</v>
      </c>
      <c r="G341" s="62">
        <v>2112</v>
      </c>
      <c r="H341" s="62" t="s">
        <v>997</v>
      </c>
      <c r="I341" s="62" t="s">
        <v>998</v>
      </c>
      <c r="J341" s="118">
        <v>1</v>
      </c>
      <c r="K341" s="119" t="s">
        <v>271</v>
      </c>
      <c r="L341" s="62" t="s">
        <v>742</v>
      </c>
      <c r="M341" s="120" t="s">
        <v>995</v>
      </c>
      <c r="N341" s="63">
        <v>44160</v>
      </c>
      <c r="O341" s="24">
        <v>132802</v>
      </c>
      <c r="P341" s="24">
        <v>23282.399961973464</v>
      </c>
      <c r="Q341" s="64">
        <v>3091949279.75</v>
      </c>
      <c r="R341" s="64"/>
      <c r="S341" s="64"/>
      <c r="T341" s="64">
        <v>14079189</v>
      </c>
      <c r="U341" s="64" t="s">
        <v>996</v>
      </c>
      <c r="V341" s="121">
        <v>3106028469</v>
      </c>
      <c r="W341" s="122">
        <v>0</v>
      </c>
      <c r="X341" s="64">
        <v>3106028469</v>
      </c>
      <c r="Y341" s="121"/>
      <c r="Z341" s="121"/>
      <c r="AA341" s="121"/>
      <c r="AB341" s="121"/>
      <c r="AC341" s="64">
        <v>3106028469</v>
      </c>
      <c r="AD341" s="65">
        <v>44221</v>
      </c>
      <c r="AE341" s="65">
        <v>47871</v>
      </c>
      <c r="AF341" s="62">
        <v>10</v>
      </c>
      <c r="AG341" s="119">
        <v>120</v>
      </c>
      <c r="AH341" s="25">
        <v>25883570.574999999</v>
      </c>
      <c r="AI341" s="78">
        <v>911769658.07258081</v>
      </c>
      <c r="AJ341" s="78">
        <v>2194258810.9274192</v>
      </c>
      <c r="AK341" s="27">
        <f t="shared" si="118"/>
        <v>25883570.574999999</v>
      </c>
      <c r="AL341" s="27">
        <f t="shared" si="122"/>
        <v>25883570.574999999</v>
      </c>
      <c r="AM341" s="27">
        <f t="shared" si="122"/>
        <v>25883570.574999999</v>
      </c>
      <c r="AN341" s="27">
        <f t="shared" si="110"/>
        <v>25883570.574999999</v>
      </c>
      <c r="AO341" s="27">
        <f t="shared" si="111"/>
        <v>25883570.574999999</v>
      </c>
      <c r="AP341" s="27">
        <f t="shared" si="111"/>
        <v>25883570.574999999</v>
      </c>
      <c r="AQ341" s="27">
        <f t="shared" si="112"/>
        <v>25883570.574999999</v>
      </c>
      <c r="AR341" s="27">
        <f t="shared" si="113"/>
        <v>25883570.574999999</v>
      </c>
      <c r="AS341" s="27"/>
      <c r="AT341" s="27"/>
      <c r="AU341" s="27"/>
      <c r="AV341" s="27"/>
      <c r="AW341" s="27">
        <f t="shared" si="115"/>
        <v>207068564.59999996</v>
      </c>
      <c r="AX341" s="79">
        <f t="shared" si="119"/>
        <v>1987190246.3274193</v>
      </c>
      <c r="AY341" s="79">
        <f t="shared" si="120"/>
        <v>1118838222.6725807</v>
      </c>
      <c r="AZ341" s="25">
        <v>1</v>
      </c>
      <c r="BA341" s="62" t="s">
        <v>97</v>
      </c>
      <c r="BB341" s="66">
        <v>1</v>
      </c>
      <c r="BC341" s="66"/>
      <c r="BD341" s="66"/>
      <c r="BE341" s="67">
        <f t="shared" si="109"/>
        <v>25883570.574999999</v>
      </c>
      <c r="BF341" s="67">
        <f t="shared" si="114"/>
        <v>0</v>
      </c>
      <c r="BG341" s="67">
        <f t="shared" si="121"/>
        <v>0</v>
      </c>
      <c r="BH341" s="66"/>
      <c r="BI341" s="68" t="s">
        <v>828</v>
      </c>
      <c r="BJ341" s="68" t="s">
        <v>85</v>
      </c>
      <c r="BK341" s="68" t="s">
        <v>85</v>
      </c>
      <c r="BL341" s="29"/>
      <c r="BO341" s="35" t="s">
        <v>1800</v>
      </c>
      <c r="BP341" s="1" t="s">
        <v>1822</v>
      </c>
    </row>
    <row r="342" spans="1:68" ht="15" customHeight="1">
      <c r="A342" s="1" t="s">
        <v>43</v>
      </c>
      <c r="C342" s="1" t="str">
        <f t="shared" si="116"/>
        <v>3102</v>
      </c>
      <c r="D342" s="1" t="str">
        <f t="shared" si="117"/>
        <v>2103</v>
      </c>
      <c r="E342" s="19" t="s">
        <v>48</v>
      </c>
      <c r="F342" s="62" t="s">
        <v>49</v>
      </c>
      <c r="G342" s="62">
        <v>2112</v>
      </c>
      <c r="H342" s="62" t="s">
        <v>1001</v>
      </c>
      <c r="I342" s="62" t="s">
        <v>998</v>
      </c>
      <c r="J342" s="118">
        <v>1</v>
      </c>
      <c r="K342" s="119" t="s">
        <v>271</v>
      </c>
      <c r="L342" s="62" t="s">
        <v>742</v>
      </c>
      <c r="M342" s="120" t="s">
        <v>995</v>
      </c>
      <c r="N342" s="63">
        <v>44160</v>
      </c>
      <c r="O342" s="24">
        <v>132802</v>
      </c>
      <c r="P342" s="24">
        <v>23282.399961973464</v>
      </c>
      <c r="Q342" s="64">
        <v>3091949279.75</v>
      </c>
      <c r="R342" s="64"/>
      <c r="S342" s="64"/>
      <c r="T342" s="64">
        <v>14079189</v>
      </c>
      <c r="U342" s="64" t="s">
        <v>996</v>
      </c>
      <c r="V342" s="121">
        <v>3106028469</v>
      </c>
      <c r="W342" s="122">
        <v>0</v>
      </c>
      <c r="X342" s="64">
        <v>3106028469</v>
      </c>
      <c r="Y342" s="121"/>
      <c r="Z342" s="121"/>
      <c r="AA342" s="128"/>
      <c r="AB342" s="121"/>
      <c r="AC342" s="64">
        <v>3106028469</v>
      </c>
      <c r="AD342" s="65">
        <v>44256</v>
      </c>
      <c r="AE342" s="65">
        <v>47906</v>
      </c>
      <c r="AF342" s="62">
        <v>10</v>
      </c>
      <c r="AG342" s="119">
        <v>120</v>
      </c>
      <c r="AH342" s="25">
        <v>25883570.574999999</v>
      </c>
      <c r="AI342" s="78">
        <v>880041409.75</v>
      </c>
      <c r="AJ342" s="78">
        <v>2225987059.25</v>
      </c>
      <c r="AK342" s="27">
        <f t="shared" si="118"/>
        <v>25883570.574999999</v>
      </c>
      <c r="AL342" s="27">
        <f t="shared" si="122"/>
        <v>25883570.574999999</v>
      </c>
      <c r="AM342" s="27">
        <f t="shared" si="122"/>
        <v>25883570.574999999</v>
      </c>
      <c r="AN342" s="27">
        <f t="shared" si="110"/>
        <v>25883570.574999999</v>
      </c>
      <c r="AO342" s="27">
        <f t="shared" si="111"/>
        <v>25883570.574999999</v>
      </c>
      <c r="AP342" s="27">
        <f t="shared" si="111"/>
        <v>25883570.574999999</v>
      </c>
      <c r="AQ342" s="27">
        <f t="shared" si="112"/>
        <v>25883570.574999999</v>
      </c>
      <c r="AR342" s="27">
        <f t="shared" si="113"/>
        <v>25883570.574999999</v>
      </c>
      <c r="AS342" s="27"/>
      <c r="AT342" s="27"/>
      <c r="AU342" s="27"/>
      <c r="AV342" s="27"/>
      <c r="AW342" s="27">
        <f t="shared" si="115"/>
        <v>207068564.59999996</v>
      </c>
      <c r="AX342" s="79">
        <f t="shared" si="119"/>
        <v>2018918494.6500001</v>
      </c>
      <c r="AY342" s="79">
        <f t="shared" si="120"/>
        <v>1087109974.3499999</v>
      </c>
      <c r="AZ342" s="25">
        <v>1</v>
      </c>
      <c r="BA342" s="62" t="s">
        <v>97</v>
      </c>
      <c r="BB342" s="66">
        <v>1</v>
      </c>
      <c r="BC342" s="66"/>
      <c r="BD342" s="66"/>
      <c r="BE342" s="67">
        <f t="shared" si="109"/>
        <v>25883570.574999999</v>
      </c>
      <c r="BF342" s="67">
        <f t="shared" si="114"/>
        <v>0</v>
      </c>
      <c r="BG342" s="67">
        <f t="shared" si="121"/>
        <v>0</v>
      </c>
      <c r="BH342" s="66"/>
      <c r="BI342" s="68" t="s">
        <v>830</v>
      </c>
      <c r="BJ342" s="68" t="s">
        <v>85</v>
      </c>
      <c r="BK342" s="68" t="s">
        <v>85</v>
      </c>
      <c r="BL342" s="29"/>
      <c r="BO342" s="35" t="s">
        <v>1800</v>
      </c>
      <c r="BP342" s="1" t="s">
        <v>1816</v>
      </c>
    </row>
    <row r="343" spans="1:68" ht="15" customHeight="1">
      <c r="A343" s="1" t="s">
        <v>43</v>
      </c>
      <c r="C343" s="1" t="str">
        <f t="shared" si="116"/>
        <v>2812</v>
      </c>
      <c r="D343" s="1" t="str">
        <f t="shared" si="117"/>
        <v>2012</v>
      </c>
      <c r="E343" s="19" t="s">
        <v>48</v>
      </c>
      <c r="F343" s="62" t="s">
        <v>49</v>
      </c>
      <c r="G343" s="62">
        <v>2112</v>
      </c>
      <c r="H343" s="62" t="s">
        <v>1002</v>
      </c>
      <c r="I343" s="62" t="s">
        <v>1003</v>
      </c>
      <c r="J343" s="118">
        <v>1</v>
      </c>
      <c r="K343" s="119" t="s">
        <v>271</v>
      </c>
      <c r="L343" s="62" t="s">
        <v>77</v>
      </c>
      <c r="M343" s="120" t="s">
        <v>1004</v>
      </c>
      <c r="N343" s="63">
        <v>44161</v>
      </c>
      <c r="O343" s="24">
        <v>157500</v>
      </c>
      <c r="P343" s="24">
        <v>23265</v>
      </c>
      <c r="Q343" s="64">
        <v>3664237500</v>
      </c>
      <c r="R343" s="64"/>
      <c r="S343" s="64"/>
      <c r="T343" s="64">
        <v>21154024</v>
      </c>
      <c r="U343" s="64" t="s">
        <v>1005</v>
      </c>
      <c r="V343" s="121">
        <v>3685391524</v>
      </c>
      <c r="W343" s="122">
        <v>0</v>
      </c>
      <c r="X343" s="64">
        <v>3685391524</v>
      </c>
      <c r="Y343" s="121"/>
      <c r="Z343" s="121"/>
      <c r="AA343" s="128"/>
      <c r="AB343" s="121"/>
      <c r="AC343" s="64">
        <v>3685391524</v>
      </c>
      <c r="AD343" s="65">
        <v>44180</v>
      </c>
      <c r="AE343" s="65">
        <v>47100</v>
      </c>
      <c r="AF343" s="62">
        <v>8</v>
      </c>
      <c r="AG343" s="119">
        <v>96</v>
      </c>
      <c r="AH343" s="25">
        <v>38389495.041666664</v>
      </c>
      <c r="AI343" s="78">
        <v>1403074124.4166667</v>
      </c>
      <c r="AJ343" s="78">
        <v>2282317399.583333</v>
      </c>
      <c r="AK343" s="27">
        <f t="shared" si="118"/>
        <v>38389495.041666664</v>
      </c>
      <c r="AL343" s="27">
        <f t="shared" si="122"/>
        <v>38389495.041666664</v>
      </c>
      <c r="AM343" s="27">
        <f t="shared" si="122"/>
        <v>38389495.041666664</v>
      </c>
      <c r="AN343" s="27">
        <f t="shared" si="110"/>
        <v>38389495.041666664</v>
      </c>
      <c r="AO343" s="27">
        <f t="shared" si="111"/>
        <v>38389495.041666664</v>
      </c>
      <c r="AP343" s="27">
        <f t="shared" si="111"/>
        <v>38389495.041666664</v>
      </c>
      <c r="AQ343" s="27">
        <f t="shared" si="112"/>
        <v>38389495.041666664</v>
      </c>
      <c r="AR343" s="27">
        <f t="shared" si="113"/>
        <v>38389495.041666664</v>
      </c>
      <c r="AS343" s="27"/>
      <c r="AT343" s="27"/>
      <c r="AU343" s="27"/>
      <c r="AV343" s="27"/>
      <c r="AW343" s="27">
        <f t="shared" si="115"/>
        <v>307115960.33333331</v>
      </c>
      <c r="AX343" s="79">
        <f t="shared" si="119"/>
        <v>1975201439.2499998</v>
      </c>
      <c r="AY343" s="79">
        <f t="shared" si="120"/>
        <v>1710190084.75</v>
      </c>
      <c r="AZ343" s="25">
        <v>1</v>
      </c>
      <c r="BA343" s="62" t="s">
        <v>97</v>
      </c>
      <c r="BB343" s="66">
        <v>1</v>
      </c>
      <c r="BC343" s="66"/>
      <c r="BD343" s="66"/>
      <c r="BE343" s="67">
        <f t="shared" si="109"/>
        <v>38389495.041666664</v>
      </c>
      <c r="BF343" s="67">
        <f t="shared" si="114"/>
        <v>0</v>
      </c>
      <c r="BG343" s="67">
        <f t="shared" si="121"/>
        <v>0</v>
      </c>
      <c r="BH343" s="66"/>
      <c r="BI343" s="68" t="s">
        <v>905</v>
      </c>
      <c r="BJ343" s="68" t="s">
        <v>85</v>
      </c>
      <c r="BK343" s="68" t="s">
        <v>85</v>
      </c>
      <c r="BL343" s="29"/>
      <c r="BO343" s="35" t="s">
        <v>1800</v>
      </c>
      <c r="BP343" s="1" t="s">
        <v>1823</v>
      </c>
    </row>
    <row r="344" spans="1:68" ht="15" customHeight="1">
      <c r="A344" s="1" t="s">
        <v>43</v>
      </c>
      <c r="C344" s="1" t="str">
        <f t="shared" si="116"/>
        <v>2902</v>
      </c>
      <c r="D344" s="1" t="str">
        <f t="shared" si="117"/>
        <v>2102</v>
      </c>
      <c r="E344" s="19" t="s">
        <v>48</v>
      </c>
      <c r="F344" s="62" t="s">
        <v>49</v>
      </c>
      <c r="G344" s="62">
        <v>2112</v>
      </c>
      <c r="H344" s="62" t="s">
        <v>1006</v>
      </c>
      <c r="I344" s="62" t="s">
        <v>1007</v>
      </c>
      <c r="J344" s="118">
        <v>1</v>
      </c>
      <c r="K344" s="119" t="s">
        <v>271</v>
      </c>
      <c r="L344" s="62" t="s">
        <v>77</v>
      </c>
      <c r="M344" s="120" t="s">
        <v>1004</v>
      </c>
      <c r="N344" s="63">
        <v>44161</v>
      </c>
      <c r="O344" s="24">
        <v>30000</v>
      </c>
      <c r="P344" s="24">
        <v>23265</v>
      </c>
      <c r="Q344" s="64">
        <v>697950000</v>
      </c>
      <c r="R344" s="64"/>
      <c r="S344" s="64"/>
      <c r="T344" s="64">
        <v>4029338</v>
      </c>
      <c r="U344" s="64" t="s">
        <v>1005</v>
      </c>
      <c r="V344" s="121">
        <v>701979338</v>
      </c>
      <c r="W344" s="122">
        <v>0</v>
      </c>
      <c r="X344" s="64">
        <v>701979338</v>
      </c>
      <c r="Y344" s="121"/>
      <c r="Z344" s="121"/>
      <c r="AA344" s="128"/>
      <c r="AB344" s="121"/>
      <c r="AC344" s="64">
        <v>701979338</v>
      </c>
      <c r="AD344" s="65">
        <v>44252</v>
      </c>
      <c r="AE344" s="65">
        <v>47172</v>
      </c>
      <c r="AF344" s="62">
        <v>8</v>
      </c>
      <c r="AG344" s="119">
        <v>96</v>
      </c>
      <c r="AH344" s="25">
        <v>7312284.770833333</v>
      </c>
      <c r="AI344" s="78">
        <v>249662299.85119039</v>
      </c>
      <c r="AJ344" s="78">
        <v>452317038.14880961</v>
      </c>
      <c r="AK344" s="27">
        <f t="shared" si="118"/>
        <v>7312284.770833333</v>
      </c>
      <c r="AL344" s="27">
        <f t="shared" si="122"/>
        <v>7312284.770833333</v>
      </c>
      <c r="AM344" s="27">
        <f t="shared" si="122"/>
        <v>7312284.770833333</v>
      </c>
      <c r="AN344" s="27">
        <f t="shared" si="110"/>
        <v>7312284.770833333</v>
      </c>
      <c r="AO344" s="27">
        <f t="shared" si="111"/>
        <v>7312284.770833333</v>
      </c>
      <c r="AP344" s="27">
        <f t="shared" si="111"/>
        <v>7312284.770833333</v>
      </c>
      <c r="AQ344" s="27">
        <f t="shared" si="112"/>
        <v>7312284.770833333</v>
      </c>
      <c r="AR344" s="27">
        <f t="shared" si="113"/>
        <v>7312284.770833333</v>
      </c>
      <c r="AS344" s="27"/>
      <c r="AT344" s="27"/>
      <c r="AU344" s="27"/>
      <c r="AV344" s="27"/>
      <c r="AW344" s="27">
        <f t="shared" si="115"/>
        <v>58498278.166666672</v>
      </c>
      <c r="AX344" s="79">
        <f t="shared" si="119"/>
        <v>393818759.98214293</v>
      </c>
      <c r="AY344" s="79">
        <f t="shared" si="120"/>
        <v>308160578.01785707</v>
      </c>
      <c r="AZ344" s="25">
        <v>1</v>
      </c>
      <c r="BA344" s="62" t="s">
        <v>97</v>
      </c>
      <c r="BB344" s="66">
        <v>1</v>
      </c>
      <c r="BC344" s="66"/>
      <c r="BD344" s="66"/>
      <c r="BE344" s="67">
        <f t="shared" si="109"/>
        <v>7312284.770833333</v>
      </c>
      <c r="BF344" s="67">
        <f t="shared" si="114"/>
        <v>0</v>
      </c>
      <c r="BG344" s="67">
        <f t="shared" si="121"/>
        <v>0</v>
      </c>
      <c r="BH344" s="66"/>
      <c r="BI344" s="68" t="s">
        <v>146</v>
      </c>
      <c r="BJ344" s="68" t="s">
        <v>81</v>
      </c>
      <c r="BK344" s="68" t="s">
        <v>81</v>
      </c>
      <c r="BL344" s="29"/>
      <c r="BO344" s="35" t="s">
        <v>1800</v>
      </c>
      <c r="BP344" s="1" t="s">
        <v>1806</v>
      </c>
    </row>
    <row r="345" spans="1:68" ht="15" customHeight="1">
      <c r="A345" s="1" t="s">
        <v>43</v>
      </c>
      <c r="C345" s="1" t="str">
        <f t="shared" si="116"/>
        <v>2902</v>
      </c>
      <c r="D345" s="1" t="str">
        <f t="shared" si="117"/>
        <v>2102</v>
      </c>
      <c r="E345" s="19" t="s">
        <v>48</v>
      </c>
      <c r="F345" s="62" t="s">
        <v>1896</v>
      </c>
      <c r="G345" s="62">
        <v>2112</v>
      </c>
      <c r="H345" s="62" t="s">
        <v>1008</v>
      </c>
      <c r="I345" s="62" t="s">
        <v>1009</v>
      </c>
      <c r="J345" s="118">
        <v>1</v>
      </c>
      <c r="K345" s="119" t="s">
        <v>271</v>
      </c>
      <c r="L345" s="62" t="s">
        <v>77</v>
      </c>
      <c r="M345" s="120" t="s">
        <v>1004</v>
      </c>
      <c r="N345" s="63">
        <v>44161</v>
      </c>
      <c r="O345" s="24">
        <v>34500</v>
      </c>
      <c r="P345" s="24">
        <v>23265</v>
      </c>
      <c r="Q345" s="64">
        <v>802642500</v>
      </c>
      <c r="R345" s="64"/>
      <c r="S345" s="64"/>
      <c r="T345" s="64">
        <v>4633738</v>
      </c>
      <c r="U345" s="64" t="s">
        <v>1005</v>
      </c>
      <c r="V345" s="121">
        <v>807276238</v>
      </c>
      <c r="W345" s="122">
        <v>0</v>
      </c>
      <c r="X345" s="64">
        <v>807276238</v>
      </c>
      <c r="Y345" s="121"/>
      <c r="Z345" s="121"/>
      <c r="AA345" s="128"/>
      <c r="AB345" s="121"/>
      <c r="AC345" s="64">
        <v>807276238</v>
      </c>
      <c r="AD345" s="65">
        <v>44252</v>
      </c>
      <c r="AE345" s="65">
        <v>47172</v>
      </c>
      <c r="AF345" s="62">
        <v>8</v>
      </c>
      <c r="AG345" s="119">
        <v>96</v>
      </c>
      <c r="AH345" s="25">
        <v>8409127.479166666</v>
      </c>
      <c r="AI345" s="78">
        <v>287111626.64880961</v>
      </c>
      <c r="AJ345" s="78">
        <v>520164611.35119039</v>
      </c>
      <c r="AK345" s="27">
        <f t="shared" si="118"/>
        <v>8409127.479166666</v>
      </c>
      <c r="AL345" s="27">
        <f t="shared" si="122"/>
        <v>8409127.479166666</v>
      </c>
      <c r="AM345" s="27">
        <f t="shared" si="122"/>
        <v>8409127.479166666</v>
      </c>
      <c r="AN345" s="27">
        <f t="shared" si="110"/>
        <v>8409127.479166666</v>
      </c>
      <c r="AO345" s="27">
        <f t="shared" si="111"/>
        <v>8409127.479166666</v>
      </c>
      <c r="AP345" s="27">
        <f t="shared" si="111"/>
        <v>8409127.479166666</v>
      </c>
      <c r="AQ345" s="27">
        <f t="shared" si="112"/>
        <v>8409127.479166666</v>
      </c>
      <c r="AR345" s="27">
        <f t="shared" si="113"/>
        <v>8409127.479166666</v>
      </c>
      <c r="AS345" s="27"/>
      <c r="AT345" s="27"/>
      <c r="AU345" s="27"/>
      <c r="AV345" s="27"/>
      <c r="AW345" s="27">
        <f t="shared" si="115"/>
        <v>67273019.833333328</v>
      </c>
      <c r="AX345" s="79">
        <f t="shared" si="119"/>
        <v>452891591.51785707</v>
      </c>
      <c r="AY345" s="79">
        <f t="shared" si="120"/>
        <v>354384646.48214293</v>
      </c>
      <c r="AZ345" s="25">
        <v>1</v>
      </c>
      <c r="BA345" s="62" t="s">
        <v>97</v>
      </c>
      <c r="BB345" s="66">
        <v>1</v>
      </c>
      <c r="BC345" s="66"/>
      <c r="BD345" s="66"/>
      <c r="BE345" s="67">
        <f t="shared" ref="BE345:BE408" si="123">+$AP345*BB345</f>
        <v>8409127.479166666</v>
      </c>
      <c r="BF345" s="67">
        <f t="shared" si="114"/>
        <v>0</v>
      </c>
      <c r="BG345" s="67">
        <f t="shared" si="121"/>
        <v>0</v>
      </c>
      <c r="BH345" s="66"/>
      <c r="BI345" s="68" t="s">
        <v>146</v>
      </c>
      <c r="BJ345" s="68" t="s">
        <v>1982</v>
      </c>
      <c r="BK345" s="68" t="s">
        <v>1982</v>
      </c>
      <c r="BL345" s="29"/>
      <c r="BO345" s="35" t="s">
        <v>1800</v>
      </c>
      <c r="BP345" s="1" t="s">
        <v>1815</v>
      </c>
    </row>
    <row r="346" spans="1:68" ht="15" customHeight="1">
      <c r="A346" s="1" t="s">
        <v>43</v>
      </c>
      <c r="C346" s="1" t="str">
        <f t="shared" si="116"/>
        <v>2901</v>
      </c>
      <c r="D346" s="1" t="str">
        <f t="shared" si="117"/>
        <v>2101</v>
      </c>
      <c r="E346" s="19" t="s">
        <v>48</v>
      </c>
      <c r="F346" s="62" t="s">
        <v>1896</v>
      </c>
      <c r="G346" s="62">
        <v>2114</v>
      </c>
      <c r="H346" s="62" t="s">
        <v>1010</v>
      </c>
      <c r="I346" s="62" t="s">
        <v>823</v>
      </c>
      <c r="J346" s="118">
        <v>1</v>
      </c>
      <c r="K346" s="119" t="s">
        <v>271</v>
      </c>
      <c r="L346" s="62" t="s">
        <v>601</v>
      </c>
      <c r="M346" s="120" t="s">
        <v>1011</v>
      </c>
      <c r="N346" s="63">
        <v>44161</v>
      </c>
      <c r="O346" s="24">
        <v>2050</v>
      </c>
      <c r="P346" s="24">
        <v>23270</v>
      </c>
      <c r="Q346" s="64">
        <v>47703500</v>
      </c>
      <c r="R346" s="64"/>
      <c r="S346" s="64"/>
      <c r="T346" s="64">
        <v>1045897.25</v>
      </c>
      <c r="U346" s="64" t="s">
        <v>1012</v>
      </c>
      <c r="V346" s="121">
        <v>48749397</v>
      </c>
      <c r="W346" s="122">
        <v>0</v>
      </c>
      <c r="X346" s="64">
        <v>48749397</v>
      </c>
      <c r="Y346" s="121"/>
      <c r="Z346" s="121"/>
      <c r="AA346" s="128"/>
      <c r="AB346" s="121"/>
      <c r="AC346" s="64">
        <v>48749397</v>
      </c>
      <c r="AD346" s="65">
        <v>44210</v>
      </c>
      <c r="AE346" s="65">
        <v>47130</v>
      </c>
      <c r="AF346" s="62">
        <v>8</v>
      </c>
      <c r="AG346" s="119">
        <v>96</v>
      </c>
      <c r="AH346" s="25">
        <v>507806.21875</v>
      </c>
      <c r="AI346" s="78">
        <v>18068067.284274191</v>
      </c>
      <c r="AJ346" s="78">
        <v>30681329.715725809</v>
      </c>
      <c r="AK346" s="27">
        <f t="shared" si="118"/>
        <v>507806.21875</v>
      </c>
      <c r="AL346" s="27">
        <f t="shared" si="122"/>
        <v>507806.21875</v>
      </c>
      <c r="AM346" s="27">
        <f t="shared" si="122"/>
        <v>507806.21875</v>
      </c>
      <c r="AN346" s="27">
        <f t="shared" si="110"/>
        <v>507806.21875</v>
      </c>
      <c r="AO346" s="27">
        <f t="shared" si="111"/>
        <v>507806.21875</v>
      </c>
      <c r="AP346" s="27">
        <f t="shared" si="111"/>
        <v>507806.21875</v>
      </c>
      <c r="AQ346" s="27">
        <f t="shared" si="112"/>
        <v>507806.21875</v>
      </c>
      <c r="AR346" s="27">
        <f t="shared" si="113"/>
        <v>507806.21875</v>
      </c>
      <c r="AS346" s="27"/>
      <c r="AT346" s="27"/>
      <c r="AU346" s="27"/>
      <c r="AV346" s="27"/>
      <c r="AW346" s="27">
        <f t="shared" si="115"/>
        <v>4062449.75</v>
      </c>
      <c r="AX346" s="79">
        <f t="shared" si="119"/>
        <v>26618879.965725809</v>
      </c>
      <c r="AY346" s="79">
        <f t="shared" si="120"/>
        <v>22130517.034274191</v>
      </c>
      <c r="AZ346" s="25">
        <v>1</v>
      </c>
      <c r="BA346" s="62" t="s">
        <v>79</v>
      </c>
      <c r="BB346" s="66">
        <v>1</v>
      </c>
      <c r="BC346" s="66"/>
      <c r="BD346" s="66"/>
      <c r="BE346" s="67">
        <f t="shared" si="123"/>
        <v>507806.21875</v>
      </c>
      <c r="BF346" s="67">
        <f t="shared" si="114"/>
        <v>0</v>
      </c>
      <c r="BG346" s="67">
        <f t="shared" si="121"/>
        <v>0</v>
      </c>
      <c r="BH346" s="66"/>
      <c r="BI346" s="68" t="s">
        <v>80</v>
      </c>
      <c r="BJ346" s="68" t="s">
        <v>1929</v>
      </c>
      <c r="BK346" s="68" t="s">
        <v>1989</v>
      </c>
      <c r="BL346" s="29"/>
      <c r="BO346" s="35" t="s">
        <v>1801</v>
      </c>
      <c r="BP346" s="1" t="s">
        <v>1820</v>
      </c>
    </row>
    <row r="347" spans="1:68" ht="15" customHeight="1">
      <c r="A347" s="1" t="s">
        <v>43</v>
      </c>
      <c r="C347" s="1" t="str">
        <f t="shared" si="116"/>
        <v>2901</v>
      </c>
      <c r="D347" s="1" t="str">
        <f t="shared" si="117"/>
        <v>2101</v>
      </c>
      <c r="E347" s="19" t="s">
        <v>48</v>
      </c>
      <c r="F347" s="62" t="s">
        <v>49</v>
      </c>
      <c r="G347" s="62">
        <v>2114</v>
      </c>
      <c r="H347" s="62" t="s">
        <v>1013</v>
      </c>
      <c r="I347" s="62" t="s">
        <v>823</v>
      </c>
      <c r="J347" s="118">
        <v>1</v>
      </c>
      <c r="K347" s="119" t="s">
        <v>271</v>
      </c>
      <c r="L347" s="62" t="s">
        <v>601</v>
      </c>
      <c r="M347" s="120" t="s">
        <v>1011</v>
      </c>
      <c r="N347" s="63">
        <v>44161</v>
      </c>
      <c r="O347" s="24">
        <v>2050</v>
      </c>
      <c r="P347" s="24">
        <v>23270</v>
      </c>
      <c r="Q347" s="64">
        <v>47703500</v>
      </c>
      <c r="R347" s="64"/>
      <c r="S347" s="64"/>
      <c r="T347" s="64">
        <v>1045897.25</v>
      </c>
      <c r="U347" s="64" t="s">
        <v>1012</v>
      </c>
      <c r="V347" s="121">
        <v>48749397</v>
      </c>
      <c r="W347" s="122">
        <v>0</v>
      </c>
      <c r="X347" s="64">
        <v>48749397</v>
      </c>
      <c r="Y347" s="121"/>
      <c r="Z347" s="121"/>
      <c r="AA347" s="128"/>
      <c r="AB347" s="121"/>
      <c r="AC347" s="64">
        <v>48749397</v>
      </c>
      <c r="AD347" s="65">
        <v>44210</v>
      </c>
      <c r="AE347" s="65">
        <v>47130</v>
      </c>
      <c r="AF347" s="62">
        <v>8</v>
      </c>
      <c r="AG347" s="119">
        <v>96</v>
      </c>
      <c r="AH347" s="25">
        <v>507806.21875</v>
      </c>
      <c r="AI347" s="78">
        <v>18068067.284274191</v>
      </c>
      <c r="AJ347" s="78">
        <v>30681329.715725809</v>
      </c>
      <c r="AK347" s="27">
        <f t="shared" si="118"/>
        <v>507806.21875</v>
      </c>
      <c r="AL347" s="27">
        <f t="shared" si="122"/>
        <v>507806.21875</v>
      </c>
      <c r="AM347" s="27">
        <f t="shared" si="122"/>
        <v>507806.21875</v>
      </c>
      <c r="AN347" s="27">
        <f t="shared" si="110"/>
        <v>507806.21875</v>
      </c>
      <c r="AO347" s="27">
        <f t="shared" si="111"/>
        <v>507806.21875</v>
      </c>
      <c r="AP347" s="27">
        <f t="shared" si="111"/>
        <v>507806.21875</v>
      </c>
      <c r="AQ347" s="27">
        <f t="shared" si="112"/>
        <v>507806.21875</v>
      </c>
      <c r="AR347" s="27">
        <f t="shared" si="113"/>
        <v>507806.21875</v>
      </c>
      <c r="AS347" s="27"/>
      <c r="AT347" s="27"/>
      <c r="AU347" s="27"/>
      <c r="AV347" s="27"/>
      <c r="AW347" s="27">
        <f t="shared" si="115"/>
        <v>4062449.75</v>
      </c>
      <c r="AX347" s="79">
        <f t="shared" si="119"/>
        <v>26618879.965725809</v>
      </c>
      <c r="AY347" s="79">
        <f t="shared" si="120"/>
        <v>22130517.034274191</v>
      </c>
      <c r="AZ347" s="25">
        <v>1</v>
      </c>
      <c r="BA347" s="62" t="s">
        <v>79</v>
      </c>
      <c r="BB347" s="66">
        <v>1</v>
      </c>
      <c r="BC347" s="66"/>
      <c r="BD347" s="66"/>
      <c r="BE347" s="67">
        <f t="shared" si="123"/>
        <v>507806.21875</v>
      </c>
      <c r="BF347" s="67">
        <f t="shared" si="114"/>
        <v>0</v>
      </c>
      <c r="BG347" s="67">
        <f t="shared" si="121"/>
        <v>0</v>
      </c>
      <c r="BH347" s="66"/>
      <c r="BI347" s="68" t="s">
        <v>427</v>
      </c>
      <c r="BJ347" s="68" t="s">
        <v>58</v>
      </c>
      <c r="BK347" s="68" t="s">
        <v>59</v>
      </c>
      <c r="BL347" s="29"/>
      <c r="BM347" s="1" t="s">
        <v>1887</v>
      </c>
      <c r="BO347" s="35" t="s">
        <v>1807</v>
      </c>
    </row>
    <row r="348" spans="1:68" ht="15" customHeight="1">
      <c r="A348" s="1" t="s">
        <v>43</v>
      </c>
      <c r="C348" s="1" t="str">
        <f t="shared" si="116"/>
        <v>2902</v>
      </c>
      <c r="D348" s="1" t="str">
        <f t="shared" si="117"/>
        <v>2102</v>
      </c>
      <c r="E348" s="19" t="s">
        <v>48</v>
      </c>
      <c r="F348" s="62" t="s">
        <v>1896</v>
      </c>
      <c r="G348" s="62">
        <v>2114</v>
      </c>
      <c r="H348" s="62" t="s">
        <v>1014</v>
      </c>
      <c r="I348" s="62" t="s">
        <v>823</v>
      </c>
      <c r="J348" s="118">
        <v>1</v>
      </c>
      <c r="K348" s="119" t="s">
        <v>271</v>
      </c>
      <c r="L348" s="62" t="s">
        <v>601</v>
      </c>
      <c r="M348" s="120" t="s">
        <v>1011</v>
      </c>
      <c r="N348" s="63">
        <v>44161</v>
      </c>
      <c r="O348" s="24">
        <v>2050</v>
      </c>
      <c r="P348" s="24">
        <v>23270</v>
      </c>
      <c r="Q348" s="64">
        <v>47703500</v>
      </c>
      <c r="R348" s="64"/>
      <c r="S348" s="64"/>
      <c r="T348" s="64">
        <v>1045897.25</v>
      </c>
      <c r="U348" s="64" t="s">
        <v>1012</v>
      </c>
      <c r="V348" s="121">
        <v>48749397</v>
      </c>
      <c r="W348" s="122">
        <v>0</v>
      </c>
      <c r="X348" s="64">
        <v>48749397</v>
      </c>
      <c r="Y348" s="121"/>
      <c r="Z348" s="121"/>
      <c r="AA348" s="128"/>
      <c r="AB348" s="121"/>
      <c r="AC348" s="64">
        <v>48749397</v>
      </c>
      <c r="AD348" s="65">
        <v>44242</v>
      </c>
      <c r="AE348" s="65">
        <v>47162</v>
      </c>
      <c r="AF348" s="62">
        <v>8</v>
      </c>
      <c r="AG348" s="119">
        <v>96</v>
      </c>
      <c r="AH348" s="25">
        <v>507806.21875</v>
      </c>
      <c r="AI348" s="78">
        <v>17519309.1875</v>
      </c>
      <c r="AJ348" s="78">
        <v>31230087.8125</v>
      </c>
      <c r="AK348" s="27">
        <f t="shared" si="118"/>
        <v>507806.21875</v>
      </c>
      <c r="AL348" s="27">
        <f t="shared" si="122"/>
        <v>507806.21875</v>
      </c>
      <c r="AM348" s="27">
        <f t="shared" si="122"/>
        <v>507806.21875</v>
      </c>
      <c r="AN348" s="27">
        <f t="shared" si="110"/>
        <v>507806.21875</v>
      </c>
      <c r="AO348" s="27">
        <f t="shared" si="111"/>
        <v>507806.21875</v>
      </c>
      <c r="AP348" s="27">
        <f t="shared" si="111"/>
        <v>507806.21875</v>
      </c>
      <c r="AQ348" s="27">
        <f t="shared" si="112"/>
        <v>507806.21875</v>
      </c>
      <c r="AR348" s="27">
        <f t="shared" si="113"/>
        <v>507806.21875</v>
      </c>
      <c r="AS348" s="27"/>
      <c r="AT348" s="27"/>
      <c r="AU348" s="27"/>
      <c r="AV348" s="27"/>
      <c r="AW348" s="27">
        <f t="shared" si="115"/>
        <v>4062449.75</v>
      </c>
      <c r="AX348" s="79">
        <f t="shared" si="119"/>
        <v>27167638.0625</v>
      </c>
      <c r="AY348" s="79">
        <f t="shared" si="120"/>
        <v>21581758.9375</v>
      </c>
      <c r="AZ348" s="25">
        <v>1</v>
      </c>
      <c r="BA348" s="62" t="s">
        <v>79</v>
      </c>
      <c r="BB348" s="66">
        <v>1</v>
      </c>
      <c r="BC348" s="66"/>
      <c r="BD348" s="66"/>
      <c r="BE348" s="67">
        <f t="shared" si="123"/>
        <v>507806.21875</v>
      </c>
      <c r="BF348" s="67">
        <f t="shared" si="114"/>
        <v>0</v>
      </c>
      <c r="BG348" s="67">
        <f t="shared" si="121"/>
        <v>0</v>
      </c>
      <c r="BH348" s="66"/>
      <c r="BI348" s="68" t="s">
        <v>695</v>
      </c>
      <c r="BJ348" s="68" t="s">
        <v>1929</v>
      </c>
      <c r="BK348" s="68" t="s">
        <v>1989</v>
      </c>
      <c r="BL348" s="29"/>
      <c r="BO348" s="35" t="s">
        <v>1801</v>
      </c>
      <c r="BP348" s="1" t="s">
        <v>1825</v>
      </c>
    </row>
    <row r="349" spans="1:68" ht="15" customHeight="1">
      <c r="A349" s="1" t="s">
        <v>43</v>
      </c>
      <c r="C349" s="1" t="str">
        <f t="shared" si="116"/>
        <v>2902</v>
      </c>
      <c r="D349" s="1" t="str">
        <f t="shared" si="117"/>
        <v>2102</v>
      </c>
      <c r="E349" s="19" t="s">
        <v>48</v>
      </c>
      <c r="F349" s="62" t="s">
        <v>1896</v>
      </c>
      <c r="G349" s="62">
        <v>2114</v>
      </c>
      <c r="H349" s="62" t="s">
        <v>1015</v>
      </c>
      <c r="I349" s="62" t="s">
        <v>823</v>
      </c>
      <c r="J349" s="118">
        <v>1</v>
      </c>
      <c r="K349" s="119" t="s">
        <v>271</v>
      </c>
      <c r="L349" s="62" t="s">
        <v>601</v>
      </c>
      <c r="M349" s="120" t="s">
        <v>1011</v>
      </c>
      <c r="N349" s="63">
        <v>44161</v>
      </c>
      <c r="O349" s="24">
        <v>2050</v>
      </c>
      <c r="P349" s="24">
        <v>23270</v>
      </c>
      <c r="Q349" s="64">
        <v>47703500</v>
      </c>
      <c r="R349" s="64"/>
      <c r="S349" s="64"/>
      <c r="T349" s="64">
        <v>1045897.25</v>
      </c>
      <c r="U349" s="64" t="s">
        <v>1012</v>
      </c>
      <c r="V349" s="121">
        <v>48749397</v>
      </c>
      <c r="W349" s="122">
        <v>0</v>
      </c>
      <c r="X349" s="64">
        <v>48749397</v>
      </c>
      <c r="Y349" s="121"/>
      <c r="Z349" s="121"/>
      <c r="AA349" s="128"/>
      <c r="AB349" s="121"/>
      <c r="AC349" s="64">
        <v>48749397</v>
      </c>
      <c r="AD349" s="65">
        <v>44242</v>
      </c>
      <c r="AE349" s="65">
        <v>47162</v>
      </c>
      <c r="AF349" s="62">
        <v>8</v>
      </c>
      <c r="AG349" s="119">
        <v>96</v>
      </c>
      <c r="AH349" s="25">
        <v>507806.21875</v>
      </c>
      <c r="AI349" s="78">
        <v>17519309.1875</v>
      </c>
      <c r="AJ349" s="78">
        <v>31230087.8125</v>
      </c>
      <c r="AK349" s="27">
        <f t="shared" si="118"/>
        <v>507806.21875</v>
      </c>
      <c r="AL349" s="27">
        <f t="shared" si="122"/>
        <v>507806.21875</v>
      </c>
      <c r="AM349" s="27">
        <f t="shared" si="122"/>
        <v>507806.21875</v>
      </c>
      <c r="AN349" s="27">
        <f t="shared" si="110"/>
        <v>507806.21875</v>
      </c>
      <c r="AO349" s="27">
        <f t="shared" si="111"/>
        <v>507806.21875</v>
      </c>
      <c r="AP349" s="27">
        <f t="shared" si="111"/>
        <v>507806.21875</v>
      </c>
      <c r="AQ349" s="27">
        <f t="shared" si="112"/>
        <v>507806.21875</v>
      </c>
      <c r="AR349" s="27">
        <f t="shared" si="113"/>
        <v>507806.21875</v>
      </c>
      <c r="AS349" s="27"/>
      <c r="AT349" s="27"/>
      <c r="AU349" s="27"/>
      <c r="AV349" s="27"/>
      <c r="AW349" s="27">
        <f t="shared" si="115"/>
        <v>4062449.75</v>
      </c>
      <c r="AX349" s="79">
        <f t="shared" si="119"/>
        <v>27167638.0625</v>
      </c>
      <c r="AY349" s="79">
        <f t="shared" si="120"/>
        <v>21581758.9375</v>
      </c>
      <c r="AZ349" s="25">
        <v>1</v>
      </c>
      <c r="BA349" s="62" t="s">
        <v>79</v>
      </c>
      <c r="BB349" s="66">
        <v>1</v>
      </c>
      <c r="BC349" s="66"/>
      <c r="BD349" s="66"/>
      <c r="BE349" s="67">
        <f t="shared" si="123"/>
        <v>507806.21875</v>
      </c>
      <c r="BF349" s="67">
        <f t="shared" si="114"/>
        <v>0</v>
      </c>
      <c r="BG349" s="67">
        <f t="shared" si="121"/>
        <v>0</v>
      </c>
      <c r="BH349" s="66"/>
      <c r="BI349" s="68" t="s">
        <v>932</v>
      </c>
      <c r="BJ349" s="68" t="s">
        <v>1929</v>
      </c>
      <c r="BK349" s="68" t="s">
        <v>1989</v>
      </c>
      <c r="BL349" s="29"/>
      <c r="BO349" s="35" t="s">
        <v>1801</v>
      </c>
      <c r="BP349" s="1" t="s">
        <v>1824</v>
      </c>
    </row>
    <row r="350" spans="1:68" ht="15" customHeight="1">
      <c r="A350" s="1" t="s">
        <v>43</v>
      </c>
      <c r="C350" s="1" t="str">
        <f t="shared" si="116"/>
        <v>2902</v>
      </c>
      <c r="D350" s="1" t="str">
        <f t="shared" si="117"/>
        <v>2102</v>
      </c>
      <c r="E350" s="19" t="s">
        <v>48</v>
      </c>
      <c r="F350" s="62" t="s">
        <v>49</v>
      </c>
      <c r="G350" s="62">
        <v>2114</v>
      </c>
      <c r="H350" s="62" t="s">
        <v>1016</v>
      </c>
      <c r="I350" s="62" t="s">
        <v>823</v>
      </c>
      <c r="J350" s="118">
        <v>1</v>
      </c>
      <c r="K350" s="119" t="s">
        <v>271</v>
      </c>
      <c r="L350" s="62" t="s">
        <v>601</v>
      </c>
      <c r="M350" s="120" t="s">
        <v>1011</v>
      </c>
      <c r="N350" s="63">
        <v>44161</v>
      </c>
      <c r="O350" s="24">
        <v>2050</v>
      </c>
      <c r="P350" s="24">
        <v>23270</v>
      </c>
      <c r="Q350" s="64">
        <v>47703500</v>
      </c>
      <c r="R350" s="64"/>
      <c r="S350" s="64"/>
      <c r="T350" s="64">
        <v>1045897.25</v>
      </c>
      <c r="U350" s="64" t="s">
        <v>1012</v>
      </c>
      <c r="V350" s="121">
        <v>48749397</v>
      </c>
      <c r="W350" s="122">
        <v>0</v>
      </c>
      <c r="X350" s="64">
        <v>48749397</v>
      </c>
      <c r="Y350" s="121"/>
      <c r="Z350" s="121"/>
      <c r="AA350" s="128"/>
      <c r="AB350" s="121"/>
      <c r="AC350" s="64">
        <v>48749397</v>
      </c>
      <c r="AD350" s="65">
        <v>44242</v>
      </c>
      <c r="AE350" s="65">
        <v>47162</v>
      </c>
      <c r="AF350" s="62">
        <v>8</v>
      </c>
      <c r="AG350" s="119">
        <v>96</v>
      </c>
      <c r="AH350" s="25">
        <v>507806.21875</v>
      </c>
      <c r="AI350" s="78">
        <v>17519309.1875</v>
      </c>
      <c r="AJ350" s="78">
        <v>31230087.8125</v>
      </c>
      <c r="AK350" s="27">
        <f t="shared" si="118"/>
        <v>507806.21875</v>
      </c>
      <c r="AL350" s="27">
        <f t="shared" si="122"/>
        <v>507806.21875</v>
      </c>
      <c r="AM350" s="27">
        <f t="shared" si="122"/>
        <v>507806.21875</v>
      </c>
      <c r="AN350" s="27">
        <f t="shared" si="110"/>
        <v>507806.21875</v>
      </c>
      <c r="AO350" s="27">
        <f t="shared" si="111"/>
        <v>507806.21875</v>
      </c>
      <c r="AP350" s="27">
        <f t="shared" si="111"/>
        <v>507806.21875</v>
      </c>
      <c r="AQ350" s="27">
        <f t="shared" si="112"/>
        <v>507806.21875</v>
      </c>
      <c r="AR350" s="27">
        <f t="shared" si="113"/>
        <v>507806.21875</v>
      </c>
      <c r="AS350" s="27"/>
      <c r="AT350" s="27"/>
      <c r="AU350" s="27"/>
      <c r="AV350" s="27"/>
      <c r="AW350" s="27">
        <f t="shared" si="115"/>
        <v>4062449.75</v>
      </c>
      <c r="AX350" s="79">
        <f t="shared" si="119"/>
        <v>27167638.0625</v>
      </c>
      <c r="AY350" s="79">
        <f t="shared" si="120"/>
        <v>21581758.9375</v>
      </c>
      <c r="AZ350" s="25">
        <v>1</v>
      </c>
      <c r="BA350" s="62" t="s">
        <v>79</v>
      </c>
      <c r="BB350" s="66">
        <v>1</v>
      </c>
      <c r="BC350" s="66"/>
      <c r="BD350" s="66"/>
      <c r="BE350" s="67">
        <f t="shared" si="123"/>
        <v>507806.21875</v>
      </c>
      <c r="BF350" s="67">
        <f t="shared" si="114"/>
        <v>0</v>
      </c>
      <c r="BG350" s="67">
        <f t="shared" si="121"/>
        <v>0</v>
      </c>
      <c r="BH350" s="66"/>
      <c r="BI350" s="68" t="s">
        <v>905</v>
      </c>
      <c r="BJ350" s="68" t="s">
        <v>58</v>
      </c>
      <c r="BK350" s="68" t="s">
        <v>59</v>
      </c>
      <c r="BL350" s="29"/>
      <c r="BO350" s="35" t="s">
        <v>1801</v>
      </c>
    </row>
    <row r="351" spans="1:68" ht="15" customHeight="1">
      <c r="A351" s="1" t="s">
        <v>43</v>
      </c>
      <c r="C351" s="1" t="str">
        <f t="shared" si="116"/>
        <v>2902</v>
      </c>
      <c r="D351" s="1" t="str">
        <f t="shared" si="117"/>
        <v>2102</v>
      </c>
      <c r="E351" s="19" t="s">
        <v>48</v>
      </c>
      <c r="F351" s="62" t="s">
        <v>1896</v>
      </c>
      <c r="G351" s="62">
        <v>2114</v>
      </c>
      <c r="H351" s="62" t="s">
        <v>1017</v>
      </c>
      <c r="I351" s="62" t="s">
        <v>823</v>
      </c>
      <c r="J351" s="118">
        <v>1</v>
      </c>
      <c r="K351" s="119" t="s">
        <v>271</v>
      </c>
      <c r="L351" s="62" t="s">
        <v>601</v>
      </c>
      <c r="M351" s="120" t="s">
        <v>1011</v>
      </c>
      <c r="N351" s="63">
        <v>44161</v>
      </c>
      <c r="O351" s="24">
        <v>2050</v>
      </c>
      <c r="P351" s="24">
        <v>23270</v>
      </c>
      <c r="Q351" s="64">
        <v>47703500</v>
      </c>
      <c r="R351" s="64"/>
      <c r="S351" s="64"/>
      <c r="T351" s="64">
        <v>1045897.25</v>
      </c>
      <c r="U351" s="64" t="s">
        <v>1012</v>
      </c>
      <c r="V351" s="121">
        <v>48749397</v>
      </c>
      <c r="W351" s="122">
        <v>0</v>
      </c>
      <c r="X351" s="64">
        <v>48749397</v>
      </c>
      <c r="Y351" s="121"/>
      <c r="Z351" s="121"/>
      <c r="AA351" s="128"/>
      <c r="AB351" s="121"/>
      <c r="AC351" s="64">
        <v>48749397</v>
      </c>
      <c r="AD351" s="65">
        <v>44242</v>
      </c>
      <c r="AE351" s="65">
        <v>47162</v>
      </c>
      <c r="AF351" s="62">
        <v>8</v>
      </c>
      <c r="AG351" s="119">
        <v>96</v>
      </c>
      <c r="AH351" s="25">
        <v>507806.21875</v>
      </c>
      <c r="AI351" s="78">
        <v>17519309.1875</v>
      </c>
      <c r="AJ351" s="78">
        <v>31230087.8125</v>
      </c>
      <c r="AK351" s="27">
        <f t="shared" si="118"/>
        <v>507806.21875</v>
      </c>
      <c r="AL351" s="27">
        <f t="shared" si="122"/>
        <v>507806.21875</v>
      </c>
      <c r="AM351" s="27">
        <f t="shared" si="122"/>
        <v>507806.21875</v>
      </c>
      <c r="AN351" s="27">
        <f t="shared" si="110"/>
        <v>507806.21875</v>
      </c>
      <c r="AO351" s="27">
        <f t="shared" si="111"/>
        <v>507806.21875</v>
      </c>
      <c r="AP351" s="27">
        <f t="shared" si="111"/>
        <v>507806.21875</v>
      </c>
      <c r="AQ351" s="27">
        <f t="shared" si="112"/>
        <v>507806.21875</v>
      </c>
      <c r="AR351" s="27">
        <f t="shared" si="113"/>
        <v>507806.21875</v>
      </c>
      <c r="AS351" s="27"/>
      <c r="AT351" s="27"/>
      <c r="AU351" s="27"/>
      <c r="AV351" s="27"/>
      <c r="AW351" s="27">
        <f t="shared" si="115"/>
        <v>4062449.75</v>
      </c>
      <c r="AX351" s="79">
        <f t="shared" si="119"/>
        <v>27167638.0625</v>
      </c>
      <c r="AY351" s="79">
        <f t="shared" si="120"/>
        <v>21581758.9375</v>
      </c>
      <c r="AZ351" s="25">
        <v>1</v>
      </c>
      <c r="BA351" s="62" t="s">
        <v>79</v>
      </c>
      <c r="BB351" s="66">
        <v>1</v>
      </c>
      <c r="BC351" s="66"/>
      <c r="BD351" s="66"/>
      <c r="BE351" s="67">
        <f t="shared" si="123"/>
        <v>507806.21875</v>
      </c>
      <c r="BF351" s="67">
        <f t="shared" si="114"/>
        <v>0</v>
      </c>
      <c r="BG351" s="67">
        <f t="shared" si="121"/>
        <v>0</v>
      </c>
      <c r="BH351" s="66"/>
      <c r="BI351" s="68" t="s">
        <v>819</v>
      </c>
      <c r="BJ351" s="68" t="s">
        <v>1929</v>
      </c>
      <c r="BK351" s="68" t="s">
        <v>1989</v>
      </c>
      <c r="BL351" s="29"/>
      <c r="BO351" s="35" t="s">
        <v>1805</v>
      </c>
    </row>
    <row r="352" spans="1:68" ht="15" customHeight="1">
      <c r="A352" s="1" t="s">
        <v>43</v>
      </c>
      <c r="C352" s="1" t="str">
        <f t="shared" si="116"/>
        <v>2902</v>
      </c>
      <c r="D352" s="1" t="str">
        <f t="shared" si="117"/>
        <v>2103</v>
      </c>
      <c r="E352" s="19" t="s">
        <v>48</v>
      </c>
      <c r="F352" s="62" t="s">
        <v>49</v>
      </c>
      <c r="G352" s="62">
        <v>2114</v>
      </c>
      <c r="H352" s="62" t="s">
        <v>1018</v>
      </c>
      <c r="I352" s="62" t="s">
        <v>823</v>
      </c>
      <c r="J352" s="118">
        <v>1</v>
      </c>
      <c r="K352" s="119" t="s">
        <v>271</v>
      </c>
      <c r="L352" s="62" t="s">
        <v>601</v>
      </c>
      <c r="M352" s="120" t="s">
        <v>1011</v>
      </c>
      <c r="N352" s="63">
        <v>44161</v>
      </c>
      <c r="O352" s="24">
        <v>2050</v>
      </c>
      <c r="P352" s="24">
        <v>23270</v>
      </c>
      <c r="Q352" s="64">
        <v>47703500</v>
      </c>
      <c r="R352" s="64"/>
      <c r="S352" s="64"/>
      <c r="T352" s="64">
        <v>1045897.25</v>
      </c>
      <c r="U352" s="64" t="s">
        <v>1012</v>
      </c>
      <c r="V352" s="121">
        <v>48749397</v>
      </c>
      <c r="W352" s="122">
        <v>0</v>
      </c>
      <c r="X352" s="64">
        <v>48749397</v>
      </c>
      <c r="Y352" s="121"/>
      <c r="Z352" s="121"/>
      <c r="AA352" s="128"/>
      <c r="AB352" s="121"/>
      <c r="AC352" s="64">
        <v>48749397</v>
      </c>
      <c r="AD352" s="65">
        <v>44256</v>
      </c>
      <c r="AE352" s="65">
        <v>47176</v>
      </c>
      <c r="AF352" s="62">
        <v>8</v>
      </c>
      <c r="AG352" s="119">
        <v>96</v>
      </c>
      <c r="AH352" s="25">
        <v>507806.21875</v>
      </c>
      <c r="AI352" s="78">
        <v>17265406.1875</v>
      </c>
      <c r="AJ352" s="78">
        <v>31483990.8125</v>
      </c>
      <c r="AK352" s="27">
        <f t="shared" si="118"/>
        <v>507806.21875</v>
      </c>
      <c r="AL352" s="27">
        <f t="shared" si="122"/>
        <v>507806.21875</v>
      </c>
      <c r="AM352" s="27">
        <f t="shared" si="122"/>
        <v>507806.21875</v>
      </c>
      <c r="AN352" s="27">
        <f t="shared" ref="AN352:AN415" si="124">+IF(AND(AN$3&gt;=$D352,AN$3&lt;$C352),$AH352,$AJ352-SUM(AL352:AM352))</f>
        <v>507806.21875</v>
      </c>
      <c r="AO352" s="27">
        <f t="shared" ref="AO352:AP415" si="125">+IF(AND(AO$3&gt;=$D352,AO$3&lt;$C352),$AH352,$AJ352-SUM(AM352:AN352))</f>
        <v>507806.21875</v>
      </c>
      <c r="AP352" s="27">
        <f t="shared" si="125"/>
        <v>507806.21875</v>
      </c>
      <c r="AQ352" s="27">
        <f t="shared" ref="AQ352:AQ415" si="126">+IF(AND(AQ$3&gt;=$D352,AQ$3&lt;$C352),$AH352,$AJ352-SUM(AK352:AP352))</f>
        <v>507806.21875</v>
      </c>
      <c r="AR352" s="27">
        <f t="shared" ref="AR352:AR415" si="127">+IF(AND(AR$3&gt;=$D352,AR$3&lt;$C352),$AH352,$AJ352-SUM(AL352:AQ352))</f>
        <v>507806.21875</v>
      </c>
      <c r="AS352" s="27"/>
      <c r="AT352" s="27"/>
      <c r="AU352" s="27"/>
      <c r="AV352" s="27"/>
      <c r="AW352" s="27">
        <f t="shared" si="115"/>
        <v>4062449.75</v>
      </c>
      <c r="AX352" s="79">
        <f t="shared" si="119"/>
        <v>27421541.0625</v>
      </c>
      <c r="AY352" s="79">
        <f t="shared" si="120"/>
        <v>21327855.9375</v>
      </c>
      <c r="AZ352" s="25">
        <v>1</v>
      </c>
      <c r="BA352" s="62" t="s">
        <v>79</v>
      </c>
      <c r="BB352" s="66">
        <v>1</v>
      </c>
      <c r="BC352" s="66"/>
      <c r="BD352" s="66"/>
      <c r="BE352" s="67">
        <f t="shared" si="123"/>
        <v>507806.21875</v>
      </c>
      <c r="BF352" s="67">
        <f t="shared" ref="BF352:BF415" si="128">+$AM352*BC352</f>
        <v>0</v>
      </c>
      <c r="BG352" s="67">
        <f t="shared" si="121"/>
        <v>0</v>
      </c>
      <c r="BH352" s="66"/>
      <c r="BI352" s="68" t="s">
        <v>894</v>
      </c>
      <c r="BJ352" s="68" t="s">
        <v>58</v>
      </c>
      <c r="BK352" s="68" t="s">
        <v>59</v>
      </c>
      <c r="BL352" s="29"/>
      <c r="BO352" s="35" t="s">
        <v>1802</v>
      </c>
    </row>
    <row r="353" spans="1:67" ht="15" customHeight="1">
      <c r="A353" s="1" t="s">
        <v>43</v>
      </c>
      <c r="C353" s="1" t="str">
        <f t="shared" si="116"/>
        <v>2902</v>
      </c>
      <c r="D353" s="1" t="str">
        <f t="shared" si="117"/>
        <v>2103</v>
      </c>
      <c r="E353" s="19" t="s">
        <v>48</v>
      </c>
      <c r="F353" s="62" t="s">
        <v>49</v>
      </c>
      <c r="G353" s="62">
        <v>2114</v>
      </c>
      <c r="H353" s="62" t="s">
        <v>1019</v>
      </c>
      <c r="I353" s="62" t="s">
        <v>823</v>
      </c>
      <c r="J353" s="118">
        <v>1</v>
      </c>
      <c r="K353" s="119" t="s">
        <v>271</v>
      </c>
      <c r="L353" s="62" t="s">
        <v>601</v>
      </c>
      <c r="M353" s="120" t="s">
        <v>1011</v>
      </c>
      <c r="N353" s="63">
        <v>44161</v>
      </c>
      <c r="O353" s="24">
        <v>2050</v>
      </c>
      <c r="P353" s="24">
        <v>23270</v>
      </c>
      <c r="Q353" s="64">
        <v>47703500</v>
      </c>
      <c r="R353" s="64"/>
      <c r="S353" s="64"/>
      <c r="T353" s="64">
        <v>1045897.25</v>
      </c>
      <c r="U353" s="64" t="s">
        <v>1012</v>
      </c>
      <c r="V353" s="121">
        <v>48749397</v>
      </c>
      <c r="W353" s="122">
        <v>0</v>
      </c>
      <c r="X353" s="64">
        <v>48749397</v>
      </c>
      <c r="Y353" s="121"/>
      <c r="Z353" s="121"/>
      <c r="AA353" s="128"/>
      <c r="AB353" s="121"/>
      <c r="AC353" s="64">
        <v>48749397</v>
      </c>
      <c r="AD353" s="65">
        <v>44256</v>
      </c>
      <c r="AE353" s="65">
        <v>47176</v>
      </c>
      <c r="AF353" s="62">
        <v>8</v>
      </c>
      <c r="AG353" s="119">
        <v>96</v>
      </c>
      <c r="AH353" s="25">
        <v>507806.21875</v>
      </c>
      <c r="AI353" s="78">
        <v>17265406.1875</v>
      </c>
      <c r="AJ353" s="78">
        <v>31483990.8125</v>
      </c>
      <c r="AK353" s="27">
        <f t="shared" si="118"/>
        <v>507806.21875</v>
      </c>
      <c r="AL353" s="27">
        <f t="shared" si="122"/>
        <v>507806.21875</v>
      </c>
      <c r="AM353" s="27">
        <f t="shared" si="122"/>
        <v>507806.21875</v>
      </c>
      <c r="AN353" s="27">
        <f t="shared" si="124"/>
        <v>507806.21875</v>
      </c>
      <c r="AO353" s="27">
        <f t="shared" si="125"/>
        <v>507806.21875</v>
      </c>
      <c r="AP353" s="27">
        <f t="shared" si="125"/>
        <v>507806.21875</v>
      </c>
      <c r="AQ353" s="27">
        <f t="shared" si="126"/>
        <v>507806.21875</v>
      </c>
      <c r="AR353" s="27">
        <f t="shared" si="127"/>
        <v>507806.21875</v>
      </c>
      <c r="AS353" s="27"/>
      <c r="AT353" s="27"/>
      <c r="AU353" s="27"/>
      <c r="AV353" s="27"/>
      <c r="AW353" s="27">
        <f t="shared" si="115"/>
        <v>4062449.75</v>
      </c>
      <c r="AX353" s="79">
        <f t="shared" si="119"/>
        <v>27421541.0625</v>
      </c>
      <c r="AY353" s="79">
        <f t="shared" si="120"/>
        <v>21327855.9375</v>
      </c>
      <c r="AZ353" s="25">
        <v>1</v>
      </c>
      <c r="BA353" s="62" t="s">
        <v>79</v>
      </c>
      <c r="BB353" s="66">
        <v>1</v>
      </c>
      <c r="BC353" s="66"/>
      <c r="BD353" s="66"/>
      <c r="BE353" s="67">
        <f t="shared" si="123"/>
        <v>507806.21875</v>
      </c>
      <c r="BF353" s="67">
        <f t="shared" si="128"/>
        <v>0</v>
      </c>
      <c r="BG353" s="67">
        <f t="shared" si="121"/>
        <v>0</v>
      </c>
      <c r="BH353" s="66"/>
      <c r="BI353" s="68" t="s">
        <v>242</v>
      </c>
      <c r="BJ353" s="68" t="s">
        <v>58</v>
      </c>
      <c r="BK353" s="68" t="s">
        <v>59</v>
      </c>
      <c r="BL353" s="29"/>
      <c r="BO353" s="35" t="s">
        <v>1800</v>
      </c>
    </row>
    <row r="354" spans="1:67" ht="15" customHeight="1">
      <c r="A354" s="1" t="s">
        <v>43</v>
      </c>
      <c r="C354" s="1" t="str">
        <f t="shared" si="116"/>
        <v>2711</v>
      </c>
      <c r="D354" s="1" t="str">
        <f t="shared" si="117"/>
        <v>2011</v>
      </c>
      <c r="E354" s="19" t="s">
        <v>48</v>
      </c>
      <c r="F354" s="62" t="s">
        <v>49</v>
      </c>
      <c r="G354" s="62">
        <v>2111</v>
      </c>
      <c r="H354" s="62" t="s">
        <v>1020</v>
      </c>
      <c r="I354" s="62" t="s">
        <v>1021</v>
      </c>
      <c r="J354" s="118">
        <v>1</v>
      </c>
      <c r="K354" s="119" t="s">
        <v>271</v>
      </c>
      <c r="L354" s="62" t="s">
        <v>1022</v>
      </c>
      <c r="M354" s="120" t="s">
        <v>1023</v>
      </c>
      <c r="N354" s="63">
        <v>44152</v>
      </c>
      <c r="O354" s="24"/>
      <c r="P354" s="24"/>
      <c r="Q354" s="64">
        <v>204361094</v>
      </c>
      <c r="R354" s="64"/>
      <c r="S354" s="64"/>
      <c r="T354" s="64"/>
      <c r="U354" s="64"/>
      <c r="V354" s="121">
        <v>204361094</v>
      </c>
      <c r="W354" s="122">
        <v>0</v>
      </c>
      <c r="X354" s="64">
        <v>204361094</v>
      </c>
      <c r="Y354" s="121"/>
      <c r="Z354" s="121"/>
      <c r="AA354" s="128"/>
      <c r="AB354" s="121"/>
      <c r="AC354" s="64">
        <v>204361094</v>
      </c>
      <c r="AD354" s="65">
        <v>44152</v>
      </c>
      <c r="AE354" s="65">
        <v>46707</v>
      </c>
      <c r="AF354" s="62">
        <v>7</v>
      </c>
      <c r="AG354" s="119">
        <v>84</v>
      </c>
      <c r="AH354" s="25">
        <v>2432870.1666666665</v>
      </c>
      <c r="AI354" s="78">
        <v>91151530.666666672</v>
      </c>
      <c r="AJ354" s="78">
        <v>113209563.33333333</v>
      </c>
      <c r="AK354" s="27">
        <f t="shared" si="118"/>
        <v>2432870.1666666665</v>
      </c>
      <c r="AL354" s="27">
        <f t="shared" si="122"/>
        <v>2432870.1666666665</v>
      </c>
      <c r="AM354" s="27">
        <f t="shared" si="122"/>
        <v>2432870.1666666665</v>
      </c>
      <c r="AN354" s="27">
        <f t="shared" si="124"/>
        <v>2432870.1666666665</v>
      </c>
      <c r="AO354" s="27">
        <f t="shared" si="125"/>
        <v>2432870.1666666665</v>
      </c>
      <c r="AP354" s="27">
        <f t="shared" si="125"/>
        <v>2432870.1666666665</v>
      </c>
      <c r="AQ354" s="27">
        <f t="shared" si="126"/>
        <v>2432870.1666666665</v>
      </c>
      <c r="AR354" s="27">
        <f t="shared" si="127"/>
        <v>2432870.1666666665</v>
      </c>
      <c r="AS354" s="27"/>
      <c r="AT354" s="27"/>
      <c r="AU354" s="27"/>
      <c r="AV354" s="27"/>
      <c r="AW354" s="27">
        <f t="shared" si="115"/>
        <v>19462961.333333332</v>
      </c>
      <c r="AX354" s="79">
        <f t="shared" si="119"/>
        <v>93746602</v>
      </c>
      <c r="AY354" s="79">
        <f t="shared" si="120"/>
        <v>110614492</v>
      </c>
      <c r="AZ354" s="25">
        <v>1</v>
      </c>
      <c r="BA354" s="62" t="s">
        <v>56</v>
      </c>
      <c r="BB354" s="66">
        <v>1</v>
      </c>
      <c r="BC354" s="66"/>
      <c r="BD354" s="66"/>
      <c r="BE354" s="67">
        <f t="shared" si="123"/>
        <v>2432870.1666666665</v>
      </c>
      <c r="BF354" s="67">
        <f t="shared" si="128"/>
        <v>0</v>
      </c>
      <c r="BG354" s="67">
        <f t="shared" si="121"/>
        <v>0</v>
      </c>
      <c r="BH354" s="66"/>
      <c r="BI354" s="68" t="s">
        <v>57</v>
      </c>
      <c r="BJ354" s="68" t="s">
        <v>58</v>
      </c>
      <c r="BK354" s="68" t="s">
        <v>59</v>
      </c>
      <c r="BL354" s="29"/>
      <c r="BO354" s="35" t="s">
        <v>1802</v>
      </c>
    </row>
    <row r="355" spans="1:67" ht="15" customHeight="1">
      <c r="A355" s="1" t="s">
        <v>43</v>
      </c>
      <c r="C355" s="1" t="str">
        <f t="shared" si="116"/>
        <v>2711</v>
      </c>
      <c r="D355" s="1" t="str">
        <f t="shared" si="117"/>
        <v>2011</v>
      </c>
      <c r="E355" s="19" t="s">
        <v>48</v>
      </c>
      <c r="F355" s="62" t="s">
        <v>515</v>
      </c>
      <c r="G355" s="62">
        <v>2111</v>
      </c>
      <c r="H355" s="62" t="s">
        <v>1024</v>
      </c>
      <c r="I355" s="62" t="s">
        <v>1021</v>
      </c>
      <c r="J355" s="118">
        <v>1</v>
      </c>
      <c r="K355" s="119" t="s">
        <v>271</v>
      </c>
      <c r="L355" s="62" t="s">
        <v>1022</v>
      </c>
      <c r="M355" s="120" t="s">
        <v>1023</v>
      </c>
      <c r="N355" s="63">
        <v>44152</v>
      </c>
      <c r="O355" s="24"/>
      <c r="P355" s="24"/>
      <c r="Q355" s="64">
        <v>590639000</v>
      </c>
      <c r="R355" s="64"/>
      <c r="S355" s="64"/>
      <c r="T355" s="64"/>
      <c r="U355" s="64"/>
      <c r="V355" s="121">
        <v>590639000</v>
      </c>
      <c r="W355" s="122">
        <v>0</v>
      </c>
      <c r="X355" s="64">
        <v>590639000</v>
      </c>
      <c r="Y355" s="121"/>
      <c r="Z355" s="121"/>
      <c r="AA355" s="128"/>
      <c r="AB355" s="121"/>
      <c r="AC355" s="64">
        <v>590639000</v>
      </c>
      <c r="AD355" s="65">
        <v>44152</v>
      </c>
      <c r="AE355" s="65">
        <v>46707</v>
      </c>
      <c r="AF355" s="62">
        <v>7</v>
      </c>
      <c r="AG355" s="119">
        <v>84</v>
      </c>
      <c r="AH355" s="25">
        <v>7031416.666666667</v>
      </c>
      <c r="AI355" s="78">
        <v>263443753.66666669</v>
      </c>
      <c r="AJ355" s="78">
        <v>327195246.33333331</v>
      </c>
      <c r="AK355" s="27">
        <f t="shared" si="118"/>
        <v>7031416.666666667</v>
      </c>
      <c r="AL355" s="27">
        <f t="shared" si="122"/>
        <v>7031416.666666667</v>
      </c>
      <c r="AM355" s="27">
        <f t="shared" si="122"/>
        <v>7031416.666666667</v>
      </c>
      <c r="AN355" s="27">
        <f t="shared" si="124"/>
        <v>7031416.666666667</v>
      </c>
      <c r="AO355" s="27">
        <f t="shared" si="125"/>
        <v>7031416.666666667</v>
      </c>
      <c r="AP355" s="27">
        <f t="shared" si="125"/>
        <v>7031416.666666667</v>
      </c>
      <c r="AQ355" s="27">
        <f t="shared" si="126"/>
        <v>7031416.666666667</v>
      </c>
      <c r="AR355" s="27">
        <f t="shared" si="127"/>
        <v>7031416.666666667</v>
      </c>
      <c r="AS355" s="27"/>
      <c r="AT355" s="27"/>
      <c r="AU355" s="27"/>
      <c r="AV355" s="27"/>
      <c r="AW355" s="27">
        <f t="shared" si="115"/>
        <v>56251333.333333328</v>
      </c>
      <c r="AX355" s="79">
        <f t="shared" si="119"/>
        <v>270943913</v>
      </c>
      <c r="AY355" s="79">
        <f t="shared" si="120"/>
        <v>319695087</v>
      </c>
      <c r="AZ355" s="25">
        <v>1</v>
      </c>
      <c r="BA355" s="62" t="s">
        <v>56</v>
      </c>
      <c r="BB355" s="66">
        <v>1</v>
      </c>
      <c r="BC355" s="66"/>
      <c r="BD355" s="66"/>
      <c r="BE355" s="67">
        <f t="shared" si="123"/>
        <v>7031416.666666667</v>
      </c>
      <c r="BF355" s="67">
        <f t="shared" si="128"/>
        <v>0</v>
      </c>
      <c r="BG355" s="67">
        <f t="shared" si="121"/>
        <v>0</v>
      </c>
      <c r="BH355" s="66"/>
      <c r="BI355" s="68" t="s">
        <v>871</v>
      </c>
      <c r="BJ355" s="68" t="s">
        <v>591</v>
      </c>
      <c r="BK355" s="68" t="s">
        <v>59</v>
      </c>
      <c r="BL355" s="29"/>
      <c r="BO355" s="35" t="s">
        <v>1802</v>
      </c>
    </row>
    <row r="356" spans="1:67" ht="15" customHeight="1">
      <c r="A356" s="1" t="s">
        <v>43</v>
      </c>
      <c r="C356" s="1" t="str">
        <f t="shared" si="116"/>
        <v>2512</v>
      </c>
      <c r="D356" s="1" t="str">
        <f t="shared" si="117"/>
        <v>2012</v>
      </c>
      <c r="E356" s="19" t="s">
        <v>48</v>
      </c>
      <c r="F356" s="62" t="s">
        <v>49</v>
      </c>
      <c r="G356" s="62">
        <v>2112</v>
      </c>
      <c r="H356" s="62" t="s">
        <v>1025</v>
      </c>
      <c r="I356" s="62" t="s">
        <v>1026</v>
      </c>
      <c r="J356" s="118">
        <v>1</v>
      </c>
      <c r="K356" s="119" t="s">
        <v>271</v>
      </c>
      <c r="L356" s="62" t="s">
        <v>1027</v>
      </c>
      <c r="M356" s="120" t="s">
        <v>1028</v>
      </c>
      <c r="N356" s="63">
        <v>44193</v>
      </c>
      <c r="O356" s="24"/>
      <c r="P356" s="24"/>
      <c r="Q356" s="64">
        <v>54617813</v>
      </c>
      <c r="R356" s="64"/>
      <c r="S356" s="64"/>
      <c r="T356" s="64"/>
      <c r="U356" s="64"/>
      <c r="V356" s="121">
        <v>54617813</v>
      </c>
      <c r="W356" s="122">
        <v>0</v>
      </c>
      <c r="X356" s="64">
        <v>54617813</v>
      </c>
      <c r="Y356" s="121"/>
      <c r="Z356" s="121"/>
      <c r="AA356" s="128"/>
      <c r="AB356" s="121"/>
      <c r="AC356" s="64">
        <v>54617813</v>
      </c>
      <c r="AD356" s="63">
        <v>44193</v>
      </c>
      <c r="AE356" s="65">
        <v>46018</v>
      </c>
      <c r="AF356" s="62">
        <v>5</v>
      </c>
      <c r="AG356" s="119">
        <v>60</v>
      </c>
      <c r="AH356" s="25">
        <v>910296.8833333333</v>
      </c>
      <c r="AI356" s="78">
        <v>32888148.833333328</v>
      </c>
      <c r="AJ356" s="78">
        <v>21729664.166666672</v>
      </c>
      <c r="AK356" s="27">
        <f t="shared" si="118"/>
        <v>910296.8833333333</v>
      </c>
      <c r="AL356" s="27">
        <f t="shared" si="122"/>
        <v>910296.8833333333</v>
      </c>
      <c r="AM356" s="27">
        <f t="shared" si="122"/>
        <v>910296.8833333333</v>
      </c>
      <c r="AN356" s="27">
        <f t="shared" si="124"/>
        <v>910296.8833333333</v>
      </c>
      <c r="AO356" s="27">
        <f t="shared" si="125"/>
        <v>910296.8833333333</v>
      </c>
      <c r="AP356" s="27">
        <f t="shared" si="125"/>
        <v>910296.8833333333</v>
      </c>
      <c r="AQ356" s="27">
        <f t="shared" si="126"/>
        <v>910296.8833333333</v>
      </c>
      <c r="AR356" s="27">
        <f t="shared" si="127"/>
        <v>910296.8833333333</v>
      </c>
      <c r="AS356" s="27"/>
      <c r="AT356" s="27"/>
      <c r="AU356" s="27"/>
      <c r="AV356" s="27"/>
      <c r="AW356" s="27">
        <f t="shared" si="115"/>
        <v>7282375.0666666646</v>
      </c>
      <c r="AX356" s="79">
        <f t="shared" si="119"/>
        <v>14447289.100000007</v>
      </c>
      <c r="AY356" s="79">
        <f t="shared" si="120"/>
        <v>40170523.899999991</v>
      </c>
      <c r="AZ356" s="25">
        <v>1</v>
      </c>
      <c r="BA356" s="62" t="s">
        <v>97</v>
      </c>
      <c r="BB356" s="66">
        <v>1</v>
      </c>
      <c r="BC356" s="66"/>
      <c r="BD356" s="66"/>
      <c r="BE356" s="67">
        <f t="shared" si="123"/>
        <v>910296.8833333333</v>
      </c>
      <c r="BF356" s="67">
        <f t="shared" si="128"/>
        <v>0</v>
      </c>
      <c r="BG356" s="67">
        <f t="shared" si="121"/>
        <v>0</v>
      </c>
      <c r="BH356" s="66"/>
      <c r="BI356" s="68" t="s">
        <v>57</v>
      </c>
      <c r="BJ356" s="68" t="s">
        <v>58</v>
      </c>
      <c r="BK356" s="68" t="s">
        <v>59</v>
      </c>
      <c r="BL356" s="29"/>
      <c r="BO356" s="35" t="s">
        <v>1804</v>
      </c>
    </row>
    <row r="357" spans="1:67" ht="15" customHeight="1">
      <c r="A357" s="1" t="s">
        <v>43</v>
      </c>
      <c r="C357" s="1" t="str">
        <f t="shared" si="116"/>
        <v>2812</v>
      </c>
      <c r="D357" s="1" t="str">
        <f t="shared" si="117"/>
        <v>2012</v>
      </c>
      <c r="E357" s="19" t="s">
        <v>48</v>
      </c>
      <c r="F357" s="62" t="s">
        <v>49</v>
      </c>
      <c r="G357" s="62">
        <v>2112</v>
      </c>
      <c r="H357" s="62" t="s">
        <v>1029</v>
      </c>
      <c r="I357" s="62" t="s">
        <v>1030</v>
      </c>
      <c r="J357" s="118">
        <v>1</v>
      </c>
      <c r="K357" s="119" t="s">
        <v>271</v>
      </c>
      <c r="L357" s="62" t="s">
        <v>62</v>
      </c>
      <c r="M357" s="120" t="s">
        <v>1031</v>
      </c>
      <c r="N357" s="63">
        <v>44175</v>
      </c>
      <c r="O357" s="24"/>
      <c r="P357" s="24"/>
      <c r="Q357" s="64">
        <v>1105230000</v>
      </c>
      <c r="R357" s="64"/>
      <c r="S357" s="64"/>
      <c r="T357" s="64"/>
      <c r="U357" s="64"/>
      <c r="V357" s="121">
        <v>1105230000</v>
      </c>
      <c r="W357" s="122">
        <v>0</v>
      </c>
      <c r="X357" s="64">
        <v>1105230000</v>
      </c>
      <c r="Y357" s="121"/>
      <c r="Z357" s="121"/>
      <c r="AA357" s="128"/>
      <c r="AB357" s="121"/>
      <c r="AC357" s="64">
        <v>1105230000</v>
      </c>
      <c r="AD357" s="63">
        <v>44175</v>
      </c>
      <c r="AE357" s="65">
        <v>47095</v>
      </c>
      <c r="AF357" s="62">
        <v>8</v>
      </c>
      <c r="AG357" s="119">
        <v>96</v>
      </c>
      <c r="AH357" s="25">
        <v>11512812.5</v>
      </c>
      <c r="AI357" s="78">
        <v>422631646</v>
      </c>
      <c r="AJ357" s="78">
        <v>682598354</v>
      </c>
      <c r="AK357" s="27">
        <f t="shared" si="118"/>
        <v>11512812.5</v>
      </c>
      <c r="AL357" s="27">
        <f t="shared" si="122"/>
        <v>11512812.5</v>
      </c>
      <c r="AM357" s="27">
        <f t="shared" si="122"/>
        <v>11512812.5</v>
      </c>
      <c r="AN357" s="27">
        <f t="shared" si="124"/>
        <v>11512812.5</v>
      </c>
      <c r="AO357" s="27">
        <f t="shared" si="125"/>
        <v>11512812.5</v>
      </c>
      <c r="AP357" s="27">
        <f t="shared" si="125"/>
        <v>11512812.5</v>
      </c>
      <c r="AQ357" s="27">
        <f t="shared" si="126"/>
        <v>11512812.5</v>
      </c>
      <c r="AR357" s="27">
        <f t="shared" si="127"/>
        <v>11512812.5</v>
      </c>
      <c r="AS357" s="27"/>
      <c r="AT357" s="27"/>
      <c r="AU357" s="27"/>
      <c r="AV357" s="27"/>
      <c r="AW357" s="27">
        <f t="shared" si="115"/>
        <v>92102500</v>
      </c>
      <c r="AX357" s="79">
        <f t="shared" si="119"/>
        <v>590495854</v>
      </c>
      <c r="AY357" s="79">
        <f t="shared" si="120"/>
        <v>514734146</v>
      </c>
      <c r="AZ357" s="25">
        <v>1</v>
      </c>
      <c r="BA357" s="62" t="s">
        <v>97</v>
      </c>
      <c r="BB357" s="66">
        <v>1</v>
      </c>
      <c r="BC357" s="66"/>
      <c r="BD357" s="66"/>
      <c r="BE357" s="67">
        <f t="shared" si="123"/>
        <v>11512812.5</v>
      </c>
      <c r="BF357" s="67">
        <f t="shared" si="128"/>
        <v>0</v>
      </c>
      <c r="BG357" s="67">
        <f t="shared" si="121"/>
        <v>0</v>
      </c>
      <c r="BH357" s="66"/>
      <c r="BI357" s="68" t="s">
        <v>57</v>
      </c>
      <c r="BJ357" s="68" t="s">
        <v>58</v>
      </c>
      <c r="BK357" s="68" t="s">
        <v>59</v>
      </c>
      <c r="BL357" s="29"/>
      <c r="BO357" s="35" t="s">
        <v>1804</v>
      </c>
    </row>
    <row r="358" spans="1:67" ht="15" customHeight="1">
      <c r="A358" s="1" t="s">
        <v>43</v>
      </c>
      <c r="C358" s="1" t="str">
        <f t="shared" si="116"/>
        <v>2711</v>
      </c>
      <c r="D358" s="1" t="str">
        <f t="shared" si="117"/>
        <v>2012</v>
      </c>
      <c r="E358" s="19" t="s">
        <v>48</v>
      </c>
      <c r="F358" s="62" t="s">
        <v>515</v>
      </c>
      <c r="G358" s="62">
        <v>2112</v>
      </c>
      <c r="H358" s="62" t="s">
        <v>1032</v>
      </c>
      <c r="I358" s="62" t="s">
        <v>1033</v>
      </c>
      <c r="J358" s="118">
        <v>1</v>
      </c>
      <c r="K358" s="119" t="s">
        <v>271</v>
      </c>
      <c r="L358" s="62" t="s">
        <v>1027</v>
      </c>
      <c r="M358" s="120" t="s">
        <v>1034</v>
      </c>
      <c r="N358" s="63">
        <v>43802</v>
      </c>
      <c r="O358" s="24"/>
      <c r="P358" s="24"/>
      <c r="Q358" s="64">
        <v>681193976</v>
      </c>
      <c r="R358" s="64"/>
      <c r="S358" s="64"/>
      <c r="T358" s="64"/>
      <c r="U358" s="64"/>
      <c r="V358" s="121">
        <v>681193976</v>
      </c>
      <c r="W358" s="122">
        <v>0</v>
      </c>
      <c r="X358" s="64">
        <v>681193976</v>
      </c>
      <c r="Y358" s="121"/>
      <c r="Z358" s="121"/>
      <c r="AA358" s="128"/>
      <c r="AB358" s="121"/>
      <c r="AC358" s="64">
        <v>681193976</v>
      </c>
      <c r="AD358" s="65">
        <v>44166</v>
      </c>
      <c r="AE358" s="65">
        <v>46721</v>
      </c>
      <c r="AF358" s="62">
        <v>7</v>
      </c>
      <c r="AG358" s="119">
        <v>84</v>
      </c>
      <c r="AH358" s="25">
        <v>8109452.0952380951</v>
      </c>
      <c r="AI358" s="78">
        <v>300049724.95238096</v>
      </c>
      <c r="AJ358" s="78">
        <v>381144251.04761904</v>
      </c>
      <c r="AK358" s="27">
        <f t="shared" si="118"/>
        <v>8109452.0952380951</v>
      </c>
      <c r="AL358" s="27">
        <f t="shared" si="122"/>
        <v>8109452.0952380951</v>
      </c>
      <c r="AM358" s="27">
        <f t="shared" si="122"/>
        <v>8109452.0952380951</v>
      </c>
      <c r="AN358" s="27">
        <f t="shared" si="124"/>
        <v>8109452.0952380951</v>
      </c>
      <c r="AO358" s="27">
        <f t="shared" si="125"/>
        <v>8109452.0952380951</v>
      </c>
      <c r="AP358" s="27">
        <f t="shared" si="125"/>
        <v>8109452.0952380951</v>
      </c>
      <c r="AQ358" s="27">
        <f t="shared" si="126"/>
        <v>8109452.0952380951</v>
      </c>
      <c r="AR358" s="27">
        <f t="shared" si="127"/>
        <v>8109452.0952380951</v>
      </c>
      <c r="AS358" s="27"/>
      <c r="AT358" s="27"/>
      <c r="AU358" s="27"/>
      <c r="AV358" s="27"/>
      <c r="AW358" s="27">
        <f t="shared" si="115"/>
        <v>64875616.761904769</v>
      </c>
      <c r="AX358" s="79">
        <f t="shared" si="119"/>
        <v>316268634.28571427</v>
      </c>
      <c r="AY358" s="79">
        <f t="shared" si="120"/>
        <v>364925341.71428573</v>
      </c>
      <c r="AZ358" s="25">
        <v>1</v>
      </c>
      <c r="BA358" s="62" t="s">
        <v>97</v>
      </c>
      <c r="BB358" s="66">
        <v>1</v>
      </c>
      <c r="BC358" s="66"/>
      <c r="BD358" s="66"/>
      <c r="BE358" s="67">
        <f t="shared" si="123"/>
        <v>8109452.0952380951</v>
      </c>
      <c r="BF358" s="67">
        <f t="shared" si="128"/>
        <v>0</v>
      </c>
      <c r="BG358" s="67">
        <f t="shared" si="121"/>
        <v>0</v>
      </c>
      <c r="BH358" s="66"/>
      <c r="BI358" s="68" t="s">
        <v>871</v>
      </c>
      <c r="BJ358" s="68" t="s">
        <v>591</v>
      </c>
      <c r="BK358" s="68" t="s">
        <v>59</v>
      </c>
      <c r="BL358" s="29"/>
      <c r="BO358" s="35" t="s">
        <v>1799</v>
      </c>
    </row>
    <row r="359" spans="1:67" ht="15" customHeight="1">
      <c r="A359" s="1" t="s">
        <v>43</v>
      </c>
      <c r="C359" s="1" t="str">
        <f t="shared" si="116"/>
        <v>4512</v>
      </c>
      <c r="D359" s="1" t="str">
        <f t="shared" si="117"/>
        <v>2101</v>
      </c>
      <c r="E359" s="19" t="s">
        <v>48</v>
      </c>
      <c r="F359" s="62" t="s">
        <v>515</v>
      </c>
      <c r="G359" s="62">
        <v>2111</v>
      </c>
      <c r="H359" s="62" t="s">
        <v>1035</v>
      </c>
      <c r="I359" s="62" t="s">
        <v>1036</v>
      </c>
      <c r="J359" s="118">
        <v>1</v>
      </c>
      <c r="K359" s="119" t="s">
        <v>271</v>
      </c>
      <c r="L359" s="62" t="s">
        <v>62</v>
      </c>
      <c r="M359" s="120" t="s">
        <v>1037</v>
      </c>
      <c r="N359" s="63">
        <v>44196</v>
      </c>
      <c r="O359" s="24"/>
      <c r="P359" s="24"/>
      <c r="Q359" s="64">
        <v>18971000000</v>
      </c>
      <c r="R359" s="64"/>
      <c r="S359" s="64"/>
      <c r="T359" s="64"/>
      <c r="U359" s="64"/>
      <c r="V359" s="121">
        <v>18971000000</v>
      </c>
      <c r="W359" s="122">
        <v>0</v>
      </c>
      <c r="X359" s="64">
        <v>18971000000</v>
      </c>
      <c r="Y359" s="121"/>
      <c r="Z359" s="121"/>
      <c r="AA359" s="128"/>
      <c r="AB359" s="121"/>
      <c r="AC359" s="64">
        <v>18971000000</v>
      </c>
      <c r="AD359" s="65">
        <v>44197</v>
      </c>
      <c r="AE359" s="65">
        <v>53322</v>
      </c>
      <c r="AF359" s="62">
        <v>25</v>
      </c>
      <c r="AG359" s="119">
        <v>300</v>
      </c>
      <c r="AH359" s="25">
        <v>63236666.666666664</v>
      </c>
      <c r="AI359" s="78">
        <v>2276520008.6666665</v>
      </c>
      <c r="AJ359" s="78">
        <v>16694479991.333334</v>
      </c>
      <c r="AK359" s="27">
        <f t="shared" si="118"/>
        <v>63236666.666666664</v>
      </c>
      <c r="AL359" s="27">
        <f t="shared" si="122"/>
        <v>63236666.666666664</v>
      </c>
      <c r="AM359" s="27">
        <f t="shared" si="122"/>
        <v>63236666.666666664</v>
      </c>
      <c r="AN359" s="27">
        <f t="shared" si="124"/>
        <v>63236666.666666664</v>
      </c>
      <c r="AO359" s="27">
        <f t="shared" si="125"/>
        <v>63236666.666666664</v>
      </c>
      <c r="AP359" s="27">
        <f t="shared" si="125"/>
        <v>63236666.666666664</v>
      </c>
      <c r="AQ359" s="27">
        <f t="shared" si="126"/>
        <v>63236666.666666664</v>
      </c>
      <c r="AR359" s="27">
        <f t="shared" si="127"/>
        <v>63236666.666666664</v>
      </c>
      <c r="AS359" s="27"/>
      <c r="AT359" s="27"/>
      <c r="AU359" s="27"/>
      <c r="AV359" s="27"/>
      <c r="AW359" s="27">
        <f t="shared" si="115"/>
        <v>505893333.33333337</v>
      </c>
      <c r="AX359" s="79">
        <f t="shared" si="119"/>
        <v>16188586658</v>
      </c>
      <c r="AY359" s="79">
        <f t="shared" si="120"/>
        <v>2782413342</v>
      </c>
      <c r="AZ359" s="25">
        <v>1</v>
      </c>
      <c r="BA359" s="62" t="s">
        <v>56</v>
      </c>
      <c r="BB359" s="66">
        <v>1</v>
      </c>
      <c r="BC359" s="66"/>
      <c r="BD359" s="66"/>
      <c r="BE359" s="67">
        <f t="shared" si="123"/>
        <v>63236666.666666664</v>
      </c>
      <c r="BF359" s="67">
        <f t="shared" si="128"/>
        <v>0</v>
      </c>
      <c r="BG359" s="67">
        <f t="shared" si="121"/>
        <v>0</v>
      </c>
      <c r="BH359" s="66"/>
      <c r="BI359" s="68" t="s">
        <v>871</v>
      </c>
      <c r="BJ359" s="68" t="s">
        <v>591</v>
      </c>
      <c r="BK359" s="68" t="s">
        <v>59</v>
      </c>
      <c r="BL359" s="29"/>
      <c r="BO359" s="35" t="s">
        <v>1799</v>
      </c>
    </row>
    <row r="360" spans="1:67" ht="15" customHeight="1">
      <c r="A360" s="1" t="s">
        <v>43</v>
      </c>
      <c r="C360" s="1" t="str">
        <f t="shared" si="116"/>
        <v>4512</v>
      </c>
      <c r="D360" s="1" t="str">
        <f t="shared" si="117"/>
        <v>2101</v>
      </c>
      <c r="E360" s="19" t="s">
        <v>48</v>
      </c>
      <c r="F360" s="62" t="s">
        <v>515</v>
      </c>
      <c r="G360" s="62">
        <v>2111</v>
      </c>
      <c r="H360" s="62" t="s">
        <v>1038</v>
      </c>
      <c r="I360" s="62" t="s">
        <v>1039</v>
      </c>
      <c r="J360" s="118">
        <v>1</v>
      </c>
      <c r="K360" s="119" t="s">
        <v>271</v>
      </c>
      <c r="L360" s="62" t="s">
        <v>62</v>
      </c>
      <c r="M360" s="120" t="s">
        <v>1040</v>
      </c>
      <c r="N360" s="63">
        <v>44196</v>
      </c>
      <c r="O360" s="24"/>
      <c r="P360" s="24"/>
      <c r="Q360" s="64">
        <v>4575000000</v>
      </c>
      <c r="R360" s="64"/>
      <c r="S360" s="64"/>
      <c r="T360" s="64"/>
      <c r="U360" s="64"/>
      <c r="V360" s="121">
        <v>4575000000</v>
      </c>
      <c r="W360" s="122">
        <v>0</v>
      </c>
      <c r="X360" s="64">
        <v>4575000000</v>
      </c>
      <c r="Y360" s="121"/>
      <c r="Z360" s="121"/>
      <c r="AA360" s="128"/>
      <c r="AB360" s="121"/>
      <c r="AC360" s="64">
        <v>4575000000</v>
      </c>
      <c r="AD360" s="65">
        <v>44197</v>
      </c>
      <c r="AE360" s="65">
        <v>53322</v>
      </c>
      <c r="AF360" s="62">
        <v>25</v>
      </c>
      <c r="AG360" s="119">
        <v>300</v>
      </c>
      <c r="AH360" s="25">
        <v>15250000</v>
      </c>
      <c r="AI360" s="78">
        <v>549000000</v>
      </c>
      <c r="AJ360" s="78">
        <v>4026000000</v>
      </c>
      <c r="AK360" s="27">
        <f t="shared" si="118"/>
        <v>15250000</v>
      </c>
      <c r="AL360" s="27">
        <f t="shared" si="122"/>
        <v>15250000</v>
      </c>
      <c r="AM360" s="27">
        <f t="shared" si="122"/>
        <v>15250000</v>
      </c>
      <c r="AN360" s="27">
        <f t="shared" si="124"/>
        <v>15250000</v>
      </c>
      <c r="AO360" s="27">
        <f t="shared" si="125"/>
        <v>15250000</v>
      </c>
      <c r="AP360" s="27">
        <f t="shared" si="125"/>
        <v>15250000</v>
      </c>
      <c r="AQ360" s="27">
        <f t="shared" si="126"/>
        <v>15250000</v>
      </c>
      <c r="AR360" s="27">
        <f t="shared" si="127"/>
        <v>15250000</v>
      </c>
      <c r="AS360" s="27"/>
      <c r="AT360" s="27"/>
      <c r="AU360" s="27"/>
      <c r="AV360" s="27"/>
      <c r="AW360" s="27">
        <f t="shared" si="115"/>
        <v>122000000</v>
      </c>
      <c r="AX360" s="79">
        <f t="shared" si="119"/>
        <v>3904000000</v>
      </c>
      <c r="AY360" s="79">
        <f t="shared" si="120"/>
        <v>671000000</v>
      </c>
      <c r="AZ360" s="25">
        <v>1</v>
      </c>
      <c r="BA360" s="62" t="s">
        <v>56</v>
      </c>
      <c r="BB360" s="66">
        <v>1</v>
      </c>
      <c r="BC360" s="66"/>
      <c r="BD360" s="66"/>
      <c r="BE360" s="67">
        <f t="shared" si="123"/>
        <v>15250000</v>
      </c>
      <c r="BF360" s="67">
        <f t="shared" si="128"/>
        <v>0</v>
      </c>
      <c r="BG360" s="67">
        <f t="shared" si="121"/>
        <v>0</v>
      </c>
      <c r="BH360" s="66"/>
      <c r="BI360" s="68" t="s">
        <v>871</v>
      </c>
      <c r="BJ360" s="68" t="s">
        <v>591</v>
      </c>
      <c r="BK360" s="68" t="s">
        <v>59</v>
      </c>
      <c r="BL360" s="29"/>
      <c r="BO360" s="35" t="s">
        <v>1799</v>
      </c>
    </row>
    <row r="361" spans="1:67" ht="15" customHeight="1">
      <c r="A361" s="1" t="s">
        <v>43</v>
      </c>
      <c r="C361" s="1" t="str">
        <f t="shared" si="116"/>
        <v>3512</v>
      </c>
      <c r="D361" s="1" t="str">
        <f t="shared" si="117"/>
        <v>2101</v>
      </c>
      <c r="E361" s="19" t="s">
        <v>48</v>
      </c>
      <c r="F361" s="62" t="s">
        <v>49</v>
      </c>
      <c r="G361" s="62">
        <v>2111</v>
      </c>
      <c r="H361" s="62" t="s">
        <v>1041</v>
      </c>
      <c r="I361" s="62" t="s">
        <v>1042</v>
      </c>
      <c r="J361" s="118">
        <v>1</v>
      </c>
      <c r="K361" s="119" t="s">
        <v>271</v>
      </c>
      <c r="L361" s="62" t="s">
        <v>62</v>
      </c>
      <c r="M361" s="120" t="s">
        <v>1043</v>
      </c>
      <c r="N361" s="63">
        <v>44196</v>
      </c>
      <c r="O361" s="24"/>
      <c r="P361" s="24"/>
      <c r="Q361" s="64">
        <v>463000000</v>
      </c>
      <c r="R361" s="64"/>
      <c r="S361" s="64"/>
      <c r="T361" s="64"/>
      <c r="U361" s="64"/>
      <c r="V361" s="121">
        <v>463000000</v>
      </c>
      <c r="W361" s="122">
        <v>0</v>
      </c>
      <c r="X361" s="64">
        <v>463000000</v>
      </c>
      <c r="Y361" s="121"/>
      <c r="Z361" s="121"/>
      <c r="AA361" s="128"/>
      <c r="AB361" s="121"/>
      <c r="AC361" s="64">
        <v>463000000</v>
      </c>
      <c r="AD361" s="65">
        <v>44197</v>
      </c>
      <c r="AE361" s="65">
        <v>49672</v>
      </c>
      <c r="AF361" s="62">
        <v>15</v>
      </c>
      <c r="AG361" s="119">
        <v>180</v>
      </c>
      <c r="AH361" s="25">
        <v>2572222.222222222</v>
      </c>
      <c r="AI361" s="78">
        <v>92599994.222222239</v>
      </c>
      <c r="AJ361" s="78">
        <v>370400005.77777779</v>
      </c>
      <c r="AK361" s="27">
        <f t="shared" si="118"/>
        <v>2572222.222222222</v>
      </c>
      <c r="AL361" s="27">
        <f t="shared" si="122"/>
        <v>2572222.222222222</v>
      </c>
      <c r="AM361" s="27">
        <f t="shared" si="122"/>
        <v>2572222.222222222</v>
      </c>
      <c r="AN361" s="27">
        <f t="shared" si="124"/>
        <v>2572222.222222222</v>
      </c>
      <c r="AO361" s="27">
        <f t="shared" si="125"/>
        <v>2572222.222222222</v>
      </c>
      <c r="AP361" s="27">
        <f t="shared" si="125"/>
        <v>2572222.222222222</v>
      </c>
      <c r="AQ361" s="27">
        <f t="shared" si="126"/>
        <v>2572222.222222222</v>
      </c>
      <c r="AR361" s="27">
        <f t="shared" si="127"/>
        <v>2572222.222222222</v>
      </c>
      <c r="AS361" s="27"/>
      <c r="AT361" s="27"/>
      <c r="AU361" s="27"/>
      <c r="AV361" s="27"/>
      <c r="AW361" s="27">
        <f t="shared" si="115"/>
        <v>20577777.777777776</v>
      </c>
      <c r="AX361" s="79">
        <f t="shared" si="119"/>
        <v>349822228</v>
      </c>
      <c r="AY361" s="79">
        <f t="shared" si="120"/>
        <v>113177772.00000001</v>
      </c>
      <c r="AZ361" s="25">
        <v>1</v>
      </c>
      <c r="BA361" s="62" t="s">
        <v>56</v>
      </c>
      <c r="BB361" s="66">
        <v>1</v>
      </c>
      <c r="BC361" s="66"/>
      <c r="BD361" s="66"/>
      <c r="BE361" s="67">
        <f t="shared" si="123"/>
        <v>2572222.222222222</v>
      </c>
      <c r="BF361" s="67">
        <f t="shared" si="128"/>
        <v>0</v>
      </c>
      <c r="BG361" s="67">
        <f t="shared" si="121"/>
        <v>0</v>
      </c>
      <c r="BH361" s="66"/>
      <c r="BI361" s="68" t="s">
        <v>57</v>
      </c>
      <c r="BJ361" s="68" t="s">
        <v>58</v>
      </c>
      <c r="BK361" s="68" t="s">
        <v>59</v>
      </c>
      <c r="BL361" s="29"/>
      <c r="BO361" s="35" t="s">
        <v>1799</v>
      </c>
    </row>
    <row r="362" spans="1:67" ht="15" customHeight="1">
      <c r="A362" s="1" t="s">
        <v>43</v>
      </c>
      <c r="C362" s="1" t="str">
        <f t="shared" si="116"/>
        <v>4512</v>
      </c>
      <c r="D362" s="1" t="str">
        <f t="shared" si="117"/>
        <v>2101</v>
      </c>
      <c r="E362" s="19" t="s">
        <v>48</v>
      </c>
      <c r="F362" s="62" t="s">
        <v>49</v>
      </c>
      <c r="G362" s="62">
        <v>2111</v>
      </c>
      <c r="H362" s="62" t="s">
        <v>1044</v>
      </c>
      <c r="I362" s="62" t="s">
        <v>1045</v>
      </c>
      <c r="J362" s="118">
        <v>1</v>
      </c>
      <c r="K362" s="119" t="s">
        <v>271</v>
      </c>
      <c r="L362" s="62" t="s">
        <v>62</v>
      </c>
      <c r="M362" s="120" t="s">
        <v>1046</v>
      </c>
      <c r="N362" s="63">
        <v>44196</v>
      </c>
      <c r="O362" s="24"/>
      <c r="P362" s="24"/>
      <c r="Q362" s="64">
        <v>2000000000</v>
      </c>
      <c r="R362" s="64"/>
      <c r="S362" s="64"/>
      <c r="T362" s="64"/>
      <c r="U362" s="64"/>
      <c r="V362" s="121">
        <v>2000000000</v>
      </c>
      <c r="W362" s="122">
        <v>0</v>
      </c>
      <c r="X362" s="64">
        <v>2000000000</v>
      </c>
      <c r="Y362" s="121"/>
      <c r="Z362" s="121"/>
      <c r="AA362" s="128"/>
      <c r="AB362" s="121"/>
      <c r="AC362" s="64">
        <v>2000000000</v>
      </c>
      <c r="AD362" s="65">
        <v>44197</v>
      </c>
      <c r="AE362" s="65">
        <v>53322</v>
      </c>
      <c r="AF362" s="62">
        <v>25</v>
      </c>
      <c r="AG362" s="119">
        <v>300</v>
      </c>
      <c r="AH362" s="25">
        <v>6666666.666666667</v>
      </c>
      <c r="AI362" s="78">
        <v>240000008.66666669</v>
      </c>
      <c r="AJ362" s="78">
        <v>1759999991.3333333</v>
      </c>
      <c r="AK362" s="27">
        <f t="shared" si="118"/>
        <v>6666666.666666667</v>
      </c>
      <c r="AL362" s="27">
        <f t="shared" si="122"/>
        <v>6666666.666666667</v>
      </c>
      <c r="AM362" s="27">
        <f t="shared" si="122"/>
        <v>6666666.666666667</v>
      </c>
      <c r="AN362" s="27">
        <f t="shared" si="124"/>
        <v>6666666.666666667</v>
      </c>
      <c r="AO362" s="27">
        <f t="shared" si="125"/>
        <v>6666666.666666667</v>
      </c>
      <c r="AP362" s="27">
        <f t="shared" si="125"/>
        <v>6666666.666666667</v>
      </c>
      <c r="AQ362" s="27">
        <f t="shared" si="126"/>
        <v>6666666.666666667</v>
      </c>
      <c r="AR362" s="27">
        <f t="shared" si="127"/>
        <v>6666666.666666667</v>
      </c>
      <c r="AS362" s="27"/>
      <c r="AT362" s="27"/>
      <c r="AU362" s="27"/>
      <c r="AV362" s="27"/>
      <c r="AW362" s="27">
        <f t="shared" si="115"/>
        <v>53333333.333333328</v>
      </c>
      <c r="AX362" s="79">
        <f t="shared" si="119"/>
        <v>1706666658</v>
      </c>
      <c r="AY362" s="79">
        <f t="shared" si="120"/>
        <v>293333342</v>
      </c>
      <c r="AZ362" s="25">
        <v>1</v>
      </c>
      <c r="BA362" s="62" t="s">
        <v>56</v>
      </c>
      <c r="BB362" s="66">
        <v>1</v>
      </c>
      <c r="BC362" s="66"/>
      <c r="BD362" s="66"/>
      <c r="BE362" s="67">
        <f t="shared" si="123"/>
        <v>6666666.666666667</v>
      </c>
      <c r="BF362" s="67">
        <f t="shared" si="128"/>
        <v>0</v>
      </c>
      <c r="BG362" s="67">
        <f t="shared" si="121"/>
        <v>0</v>
      </c>
      <c r="BH362" s="66"/>
      <c r="BI362" s="68" t="s">
        <v>135</v>
      </c>
      <c r="BJ362" s="68" t="s">
        <v>58</v>
      </c>
      <c r="BK362" s="68" t="s">
        <v>59</v>
      </c>
      <c r="BL362" s="29"/>
      <c r="BO362" s="35" t="s">
        <v>1799</v>
      </c>
    </row>
    <row r="363" spans="1:67" ht="15" customHeight="1">
      <c r="A363" s="1" t="s">
        <v>43</v>
      </c>
      <c r="C363" s="1" t="str">
        <f t="shared" si="116"/>
        <v>2512</v>
      </c>
      <c r="D363" s="1" t="str">
        <f t="shared" si="117"/>
        <v>2012</v>
      </c>
      <c r="E363" s="19" t="s">
        <v>48</v>
      </c>
      <c r="F363" s="62" t="s">
        <v>515</v>
      </c>
      <c r="G363" s="62">
        <v>2112</v>
      </c>
      <c r="H363" s="62" t="s">
        <v>1047</v>
      </c>
      <c r="I363" s="62" t="s">
        <v>1048</v>
      </c>
      <c r="J363" s="118">
        <v>1</v>
      </c>
      <c r="K363" s="119" t="s">
        <v>271</v>
      </c>
      <c r="L363" s="62" t="s">
        <v>911</v>
      </c>
      <c r="M363" s="120" t="s">
        <v>1049</v>
      </c>
      <c r="N363" s="63">
        <v>44177</v>
      </c>
      <c r="O363" s="24"/>
      <c r="P363" s="24"/>
      <c r="Q363" s="64">
        <v>58000000</v>
      </c>
      <c r="R363" s="64"/>
      <c r="S363" s="64"/>
      <c r="T363" s="64"/>
      <c r="U363" s="64"/>
      <c r="V363" s="121">
        <v>58000000</v>
      </c>
      <c r="W363" s="122">
        <v>0</v>
      </c>
      <c r="X363" s="64">
        <v>58000000</v>
      </c>
      <c r="Y363" s="121"/>
      <c r="Z363" s="121"/>
      <c r="AA363" s="128"/>
      <c r="AB363" s="121"/>
      <c r="AC363" s="64">
        <v>58000000</v>
      </c>
      <c r="AD363" s="63">
        <v>44177</v>
      </c>
      <c r="AE363" s="65">
        <v>46002</v>
      </c>
      <c r="AF363" s="62">
        <v>5</v>
      </c>
      <c r="AG363" s="119">
        <v>60</v>
      </c>
      <c r="AH363" s="25">
        <v>966666.66666666663</v>
      </c>
      <c r="AI363" s="78">
        <v>35423664.666666664</v>
      </c>
      <c r="AJ363" s="78">
        <v>22576335.333333336</v>
      </c>
      <c r="AK363" s="27">
        <f t="shared" si="118"/>
        <v>966666.66666666663</v>
      </c>
      <c r="AL363" s="27">
        <f t="shared" si="122"/>
        <v>966666.66666666663</v>
      </c>
      <c r="AM363" s="27">
        <f t="shared" si="122"/>
        <v>966666.66666666663</v>
      </c>
      <c r="AN363" s="27">
        <f t="shared" si="124"/>
        <v>966666.66666666663</v>
      </c>
      <c r="AO363" s="27">
        <f t="shared" si="125"/>
        <v>966666.66666666663</v>
      </c>
      <c r="AP363" s="27">
        <f t="shared" si="125"/>
        <v>966666.66666666663</v>
      </c>
      <c r="AQ363" s="27">
        <f t="shared" si="126"/>
        <v>966666.66666666663</v>
      </c>
      <c r="AR363" s="27">
        <f t="shared" si="127"/>
        <v>966666.66666666663</v>
      </c>
      <c r="AS363" s="27"/>
      <c r="AT363" s="27"/>
      <c r="AU363" s="27"/>
      <c r="AV363" s="27"/>
      <c r="AW363" s="27">
        <f t="shared" si="115"/>
        <v>7733333.333333334</v>
      </c>
      <c r="AX363" s="79">
        <f t="shared" si="119"/>
        <v>14843002.000000002</v>
      </c>
      <c r="AY363" s="79">
        <f t="shared" si="120"/>
        <v>43156998</v>
      </c>
      <c r="AZ363" s="25">
        <v>1</v>
      </c>
      <c r="BA363" s="62" t="s">
        <v>97</v>
      </c>
      <c r="BB363" s="66">
        <v>1</v>
      </c>
      <c r="BC363" s="66"/>
      <c r="BD363" s="66"/>
      <c r="BE363" s="67">
        <f t="shared" si="123"/>
        <v>966666.66666666663</v>
      </c>
      <c r="BF363" s="67">
        <f t="shared" si="128"/>
        <v>0</v>
      </c>
      <c r="BG363" s="67">
        <f t="shared" si="121"/>
        <v>0</v>
      </c>
      <c r="BH363" s="66"/>
      <c r="BI363" s="68" t="s">
        <v>1050</v>
      </c>
      <c r="BJ363" s="68" t="s">
        <v>349</v>
      </c>
      <c r="BK363" s="68" t="s">
        <v>349</v>
      </c>
      <c r="BL363" s="29"/>
      <c r="BO363" s="35" t="s">
        <v>1802</v>
      </c>
    </row>
    <row r="364" spans="1:67" ht="15" customHeight="1">
      <c r="A364" s="1" t="s">
        <v>43</v>
      </c>
      <c r="C364" s="1" t="str">
        <f t="shared" si="116"/>
        <v>2512</v>
      </c>
      <c r="D364" s="1" t="str">
        <f t="shared" si="117"/>
        <v>2012</v>
      </c>
      <c r="E364" s="19" t="s">
        <v>48</v>
      </c>
      <c r="F364" s="62" t="s">
        <v>49</v>
      </c>
      <c r="G364" s="62">
        <v>2114</v>
      </c>
      <c r="H364" s="62" t="s">
        <v>1051</v>
      </c>
      <c r="I364" s="62" t="s">
        <v>1052</v>
      </c>
      <c r="J364" s="118">
        <v>1</v>
      </c>
      <c r="K364" s="119" t="s">
        <v>271</v>
      </c>
      <c r="L364" s="62" t="s">
        <v>1053</v>
      </c>
      <c r="M364" s="120" t="s">
        <v>1054</v>
      </c>
      <c r="N364" s="63">
        <v>44195</v>
      </c>
      <c r="O364" s="24"/>
      <c r="P364" s="24"/>
      <c r="Q364" s="64">
        <v>74428680</v>
      </c>
      <c r="R364" s="64"/>
      <c r="S364" s="64"/>
      <c r="T364" s="64"/>
      <c r="U364" s="64"/>
      <c r="V364" s="121">
        <v>74428680</v>
      </c>
      <c r="W364" s="122">
        <v>0</v>
      </c>
      <c r="X364" s="64">
        <v>74428680</v>
      </c>
      <c r="Y364" s="121"/>
      <c r="Z364" s="121"/>
      <c r="AA364" s="128"/>
      <c r="AB364" s="121"/>
      <c r="AC364" s="64">
        <v>74428680</v>
      </c>
      <c r="AD364" s="63">
        <v>44195</v>
      </c>
      <c r="AE364" s="65">
        <v>46020</v>
      </c>
      <c r="AF364" s="62">
        <v>5</v>
      </c>
      <c r="AG364" s="119">
        <v>60</v>
      </c>
      <c r="AH364" s="25">
        <v>1240478</v>
      </c>
      <c r="AI364" s="78">
        <v>44737239</v>
      </c>
      <c r="AJ364" s="78">
        <v>29691441</v>
      </c>
      <c r="AK364" s="27">
        <f t="shared" si="118"/>
        <v>1240478</v>
      </c>
      <c r="AL364" s="27">
        <f t="shared" si="122"/>
        <v>1240478</v>
      </c>
      <c r="AM364" s="27">
        <f t="shared" si="122"/>
        <v>1240478</v>
      </c>
      <c r="AN364" s="27">
        <f t="shared" si="124"/>
        <v>1240478</v>
      </c>
      <c r="AO364" s="27">
        <f t="shared" si="125"/>
        <v>1240478</v>
      </c>
      <c r="AP364" s="27">
        <f t="shared" si="125"/>
        <v>1240478</v>
      </c>
      <c r="AQ364" s="27">
        <f t="shared" si="126"/>
        <v>1240478</v>
      </c>
      <c r="AR364" s="27">
        <f t="shared" si="127"/>
        <v>1240478</v>
      </c>
      <c r="AS364" s="27"/>
      <c r="AT364" s="27"/>
      <c r="AU364" s="27"/>
      <c r="AV364" s="27"/>
      <c r="AW364" s="27">
        <f t="shared" si="115"/>
        <v>9923824</v>
      </c>
      <c r="AX364" s="79">
        <f t="shared" si="119"/>
        <v>19767617</v>
      </c>
      <c r="AY364" s="79">
        <f t="shared" si="120"/>
        <v>54661063</v>
      </c>
      <c r="AZ364" s="25">
        <v>1</v>
      </c>
      <c r="BA364" s="62" t="s">
        <v>79</v>
      </c>
      <c r="BB364" s="66">
        <v>1</v>
      </c>
      <c r="BC364" s="66"/>
      <c r="BD364" s="66"/>
      <c r="BE364" s="67">
        <f t="shared" si="123"/>
        <v>1240478</v>
      </c>
      <c r="BF364" s="67">
        <f t="shared" si="128"/>
        <v>0</v>
      </c>
      <c r="BG364" s="67">
        <f t="shared" si="121"/>
        <v>0</v>
      </c>
      <c r="BH364" s="66"/>
      <c r="BI364" s="68" t="s">
        <v>57</v>
      </c>
      <c r="BJ364" s="68" t="s">
        <v>58</v>
      </c>
      <c r="BK364" s="68" t="s">
        <v>59</v>
      </c>
      <c r="BL364" s="29"/>
      <c r="BO364" s="35" t="s">
        <v>1804</v>
      </c>
    </row>
    <row r="365" spans="1:67" ht="15" customHeight="1">
      <c r="A365" s="1" t="s">
        <v>43</v>
      </c>
      <c r="C365" s="1" t="str">
        <f t="shared" si="116"/>
        <v>3512</v>
      </c>
      <c r="D365" s="1" t="str">
        <f t="shared" si="117"/>
        <v>2101</v>
      </c>
      <c r="E365" s="19" t="s">
        <v>48</v>
      </c>
      <c r="F365" s="62" t="s">
        <v>49</v>
      </c>
      <c r="G365" s="62">
        <v>2111</v>
      </c>
      <c r="H365" s="62" t="s">
        <v>1055</v>
      </c>
      <c r="I365" s="62" t="s">
        <v>1056</v>
      </c>
      <c r="J365" s="118">
        <v>1</v>
      </c>
      <c r="K365" s="119" t="s">
        <v>271</v>
      </c>
      <c r="L365" s="62" t="s">
        <v>1057</v>
      </c>
      <c r="M365" s="120" t="s">
        <v>1058</v>
      </c>
      <c r="N365" s="63">
        <v>44196</v>
      </c>
      <c r="O365" s="24"/>
      <c r="P365" s="24"/>
      <c r="Q365" s="64">
        <v>2000000000</v>
      </c>
      <c r="R365" s="64"/>
      <c r="S365" s="64"/>
      <c r="T365" s="64"/>
      <c r="U365" s="64"/>
      <c r="V365" s="121">
        <v>2000000000</v>
      </c>
      <c r="W365" s="122">
        <v>0</v>
      </c>
      <c r="X365" s="64">
        <v>2000000000</v>
      </c>
      <c r="Y365" s="121"/>
      <c r="Z365" s="121"/>
      <c r="AA365" s="128"/>
      <c r="AB365" s="121"/>
      <c r="AC365" s="64">
        <v>2000000000</v>
      </c>
      <c r="AD365" s="65">
        <v>44197</v>
      </c>
      <c r="AE365" s="65">
        <v>49672</v>
      </c>
      <c r="AF365" s="62">
        <v>15</v>
      </c>
      <c r="AG365" s="119">
        <v>180</v>
      </c>
      <c r="AH365" s="25">
        <v>11111111.111111112</v>
      </c>
      <c r="AI365" s="78">
        <v>399999997.11111104</v>
      </c>
      <c r="AJ365" s="78">
        <v>1600000002.8888888</v>
      </c>
      <c r="AK365" s="27">
        <f t="shared" si="118"/>
        <v>11111111.111111112</v>
      </c>
      <c r="AL365" s="27">
        <f t="shared" si="122"/>
        <v>11111111.111111112</v>
      </c>
      <c r="AM365" s="27">
        <f t="shared" si="122"/>
        <v>11111111.111111112</v>
      </c>
      <c r="AN365" s="27">
        <f t="shared" si="124"/>
        <v>11111111.111111112</v>
      </c>
      <c r="AO365" s="27">
        <f t="shared" si="125"/>
        <v>11111111.111111112</v>
      </c>
      <c r="AP365" s="27">
        <f t="shared" si="125"/>
        <v>11111111.111111112</v>
      </c>
      <c r="AQ365" s="27">
        <f t="shared" si="126"/>
        <v>11111111.111111112</v>
      </c>
      <c r="AR365" s="27">
        <f t="shared" si="127"/>
        <v>11111111.111111112</v>
      </c>
      <c r="AS365" s="27"/>
      <c r="AT365" s="27"/>
      <c r="AU365" s="27"/>
      <c r="AV365" s="27"/>
      <c r="AW365" s="27">
        <f t="shared" si="115"/>
        <v>88888888.888888896</v>
      </c>
      <c r="AX365" s="79">
        <f t="shared" si="119"/>
        <v>1511111114</v>
      </c>
      <c r="AY365" s="79">
        <f t="shared" si="120"/>
        <v>488888885.99999994</v>
      </c>
      <c r="AZ365" s="25">
        <v>1</v>
      </c>
      <c r="BA365" s="62" t="s">
        <v>56</v>
      </c>
      <c r="BB365" s="66">
        <v>1</v>
      </c>
      <c r="BC365" s="66"/>
      <c r="BD365" s="66"/>
      <c r="BE365" s="67">
        <f t="shared" si="123"/>
        <v>11111111.111111112</v>
      </c>
      <c r="BF365" s="67">
        <f t="shared" si="128"/>
        <v>0</v>
      </c>
      <c r="BG365" s="67">
        <f t="shared" si="121"/>
        <v>0</v>
      </c>
      <c r="BH365" s="66"/>
      <c r="BI365" s="68" t="s">
        <v>57</v>
      </c>
      <c r="BJ365" s="68" t="s">
        <v>591</v>
      </c>
      <c r="BK365" s="68" t="s">
        <v>59</v>
      </c>
      <c r="BL365" s="29"/>
      <c r="BO365" s="35" t="s">
        <v>1799</v>
      </c>
    </row>
    <row r="366" spans="1:67" ht="15" customHeight="1">
      <c r="A366" s="1" t="s">
        <v>43</v>
      </c>
      <c r="C366" s="1" t="str">
        <f t="shared" si="116"/>
        <v>2903</v>
      </c>
      <c r="D366" s="1" t="str">
        <f t="shared" si="117"/>
        <v>2103</v>
      </c>
      <c r="E366" s="19" t="s">
        <v>48</v>
      </c>
      <c r="F366" s="62" t="s">
        <v>1896</v>
      </c>
      <c r="G366" s="62">
        <v>2112</v>
      </c>
      <c r="H366" s="62" t="s">
        <v>1059</v>
      </c>
      <c r="I366" s="62" t="s">
        <v>1060</v>
      </c>
      <c r="J366" s="118">
        <v>1</v>
      </c>
      <c r="K366" s="119" t="s">
        <v>271</v>
      </c>
      <c r="L366" s="62" t="s">
        <v>77</v>
      </c>
      <c r="M366" s="120" t="s">
        <v>1061</v>
      </c>
      <c r="N366" s="63">
        <v>44229</v>
      </c>
      <c r="O366" s="24">
        <v>14000</v>
      </c>
      <c r="P366" s="24">
        <v>23176</v>
      </c>
      <c r="Q366" s="64">
        <v>324464000</v>
      </c>
      <c r="R366" s="64"/>
      <c r="S366" s="64"/>
      <c r="T366" s="64">
        <v>12943357</v>
      </c>
      <c r="U366" s="64" t="s">
        <v>1062</v>
      </c>
      <c r="V366" s="121">
        <v>337407357</v>
      </c>
      <c r="W366" s="122">
        <v>0</v>
      </c>
      <c r="X366" s="64">
        <v>337407357</v>
      </c>
      <c r="Y366" s="121"/>
      <c r="Z366" s="121"/>
      <c r="AA366" s="128"/>
      <c r="AB366" s="121"/>
      <c r="AC366" s="64">
        <v>337407357</v>
      </c>
      <c r="AD366" s="65">
        <v>44280</v>
      </c>
      <c r="AE366" s="65">
        <v>47200</v>
      </c>
      <c r="AF366" s="62">
        <v>8</v>
      </c>
      <c r="AG366" s="119">
        <v>96</v>
      </c>
      <c r="AH366" s="25">
        <v>3514659.96875</v>
      </c>
      <c r="AI366" s="78">
        <v>116777412.59072578</v>
      </c>
      <c r="AJ366" s="78">
        <v>220629944.40927422</v>
      </c>
      <c r="AK366" s="27">
        <f t="shared" si="118"/>
        <v>3514659.96875</v>
      </c>
      <c r="AL366" s="27">
        <f t="shared" si="122"/>
        <v>3514659.96875</v>
      </c>
      <c r="AM366" s="27">
        <f t="shared" si="122"/>
        <v>3514659.96875</v>
      </c>
      <c r="AN366" s="27">
        <f t="shared" si="124"/>
        <v>3514659.96875</v>
      </c>
      <c r="AO366" s="27">
        <f t="shared" si="125"/>
        <v>3514659.96875</v>
      </c>
      <c r="AP366" s="27">
        <f t="shared" si="125"/>
        <v>3514659.96875</v>
      </c>
      <c r="AQ366" s="27">
        <f t="shared" si="126"/>
        <v>3514659.96875</v>
      </c>
      <c r="AR366" s="27">
        <f t="shared" si="127"/>
        <v>3514659.96875</v>
      </c>
      <c r="AS366" s="27"/>
      <c r="AT366" s="27"/>
      <c r="AU366" s="27"/>
      <c r="AV366" s="27"/>
      <c r="AW366" s="27">
        <f t="shared" si="115"/>
        <v>28117279.75</v>
      </c>
      <c r="AX366" s="79">
        <f t="shared" si="119"/>
        <v>192512664.65927422</v>
      </c>
      <c r="AY366" s="79">
        <f t="shared" si="120"/>
        <v>144894692.34072578</v>
      </c>
      <c r="AZ366" s="25">
        <v>1</v>
      </c>
      <c r="BA366" s="62" t="s">
        <v>97</v>
      </c>
      <c r="BB366" s="66">
        <v>1</v>
      </c>
      <c r="BC366" s="66"/>
      <c r="BD366" s="66"/>
      <c r="BE366" s="67">
        <f t="shared" si="123"/>
        <v>3514659.96875</v>
      </c>
      <c r="BF366" s="67">
        <f t="shared" si="128"/>
        <v>0</v>
      </c>
      <c r="BG366" s="67">
        <f t="shared" si="121"/>
        <v>0</v>
      </c>
      <c r="BH366" s="66"/>
      <c r="BI366" s="68" t="s">
        <v>183</v>
      </c>
      <c r="BJ366" s="68" t="s">
        <v>1929</v>
      </c>
      <c r="BK366" s="68" t="s">
        <v>1989</v>
      </c>
      <c r="BL366" s="29"/>
      <c r="BO366" s="35" t="s">
        <v>1804</v>
      </c>
    </row>
    <row r="367" spans="1:67" ht="15" customHeight="1">
      <c r="A367" s="1" t="s">
        <v>43</v>
      </c>
      <c r="C367" s="1" t="str">
        <f t="shared" si="116"/>
        <v>2903</v>
      </c>
      <c r="D367" s="1" t="str">
        <f t="shared" si="117"/>
        <v>2103</v>
      </c>
      <c r="E367" s="19" t="s">
        <v>48</v>
      </c>
      <c r="F367" s="62" t="s">
        <v>1896</v>
      </c>
      <c r="G367" s="62">
        <v>2112</v>
      </c>
      <c r="H367" s="62" t="s">
        <v>1063</v>
      </c>
      <c r="I367" s="62" t="s">
        <v>1064</v>
      </c>
      <c r="J367" s="118">
        <v>1</v>
      </c>
      <c r="K367" s="119" t="s">
        <v>271</v>
      </c>
      <c r="L367" s="62" t="s">
        <v>77</v>
      </c>
      <c r="M367" s="120" t="s">
        <v>1061</v>
      </c>
      <c r="N367" s="63">
        <v>44229</v>
      </c>
      <c r="O367" s="24">
        <v>14000</v>
      </c>
      <c r="P367" s="24">
        <v>23176</v>
      </c>
      <c r="Q367" s="64">
        <v>324464000</v>
      </c>
      <c r="R367" s="64"/>
      <c r="S367" s="64"/>
      <c r="T367" s="64">
        <v>12943357</v>
      </c>
      <c r="U367" s="64" t="s">
        <v>1062</v>
      </c>
      <c r="V367" s="121">
        <v>337407357</v>
      </c>
      <c r="W367" s="122">
        <v>0</v>
      </c>
      <c r="X367" s="64">
        <v>337407357</v>
      </c>
      <c r="Y367" s="121"/>
      <c r="Z367" s="121"/>
      <c r="AA367" s="128"/>
      <c r="AB367" s="121"/>
      <c r="AC367" s="64">
        <v>337407357</v>
      </c>
      <c r="AD367" s="65">
        <v>44280</v>
      </c>
      <c r="AE367" s="65">
        <v>47200</v>
      </c>
      <c r="AF367" s="62">
        <v>8</v>
      </c>
      <c r="AG367" s="119">
        <v>96</v>
      </c>
      <c r="AH367" s="25">
        <v>3514659.96875</v>
      </c>
      <c r="AI367" s="78">
        <v>116777412.59072578</v>
      </c>
      <c r="AJ367" s="78">
        <v>220629944.40927422</v>
      </c>
      <c r="AK367" s="27">
        <f t="shared" si="118"/>
        <v>3514659.96875</v>
      </c>
      <c r="AL367" s="27">
        <f t="shared" si="122"/>
        <v>3514659.96875</v>
      </c>
      <c r="AM367" s="27">
        <f t="shared" si="122"/>
        <v>3514659.96875</v>
      </c>
      <c r="AN367" s="27">
        <f t="shared" si="124"/>
        <v>3514659.96875</v>
      </c>
      <c r="AO367" s="27">
        <f t="shared" si="125"/>
        <v>3514659.96875</v>
      </c>
      <c r="AP367" s="27">
        <f t="shared" si="125"/>
        <v>3514659.96875</v>
      </c>
      <c r="AQ367" s="27">
        <f t="shared" si="126"/>
        <v>3514659.96875</v>
      </c>
      <c r="AR367" s="27">
        <f t="shared" si="127"/>
        <v>3514659.96875</v>
      </c>
      <c r="AS367" s="27"/>
      <c r="AT367" s="27"/>
      <c r="AU367" s="27"/>
      <c r="AV367" s="27"/>
      <c r="AW367" s="27">
        <f t="shared" si="115"/>
        <v>28117279.75</v>
      </c>
      <c r="AX367" s="79">
        <f t="shared" si="119"/>
        <v>192512664.65927422</v>
      </c>
      <c r="AY367" s="79">
        <f t="shared" si="120"/>
        <v>144894692.34072578</v>
      </c>
      <c r="AZ367" s="25">
        <v>1</v>
      </c>
      <c r="BA367" s="62" t="s">
        <v>97</v>
      </c>
      <c r="BB367" s="66">
        <v>1</v>
      </c>
      <c r="BC367" s="66"/>
      <c r="BD367" s="66"/>
      <c r="BE367" s="67">
        <f t="shared" si="123"/>
        <v>3514659.96875</v>
      </c>
      <c r="BF367" s="67">
        <f t="shared" si="128"/>
        <v>0</v>
      </c>
      <c r="BG367" s="67">
        <f t="shared" si="121"/>
        <v>0</v>
      </c>
      <c r="BH367" s="66"/>
      <c r="BI367" s="68" t="s">
        <v>183</v>
      </c>
      <c r="BJ367" s="68" t="s">
        <v>1929</v>
      </c>
      <c r="BK367" s="68" t="s">
        <v>1989</v>
      </c>
      <c r="BL367" s="29"/>
      <c r="BO367" s="35" t="s">
        <v>1804</v>
      </c>
    </row>
    <row r="368" spans="1:67" ht="15" customHeight="1">
      <c r="A368" s="1" t="s">
        <v>43</v>
      </c>
      <c r="C368" s="1" t="str">
        <f t="shared" si="116"/>
        <v>2903</v>
      </c>
      <c r="D368" s="1" t="str">
        <f t="shared" si="117"/>
        <v>2103</v>
      </c>
      <c r="E368" s="19" t="s">
        <v>48</v>
      </c>
      <c r="F368" s="62" t="s">
        <v>1896</v>
      </c>
      <c r="G368" s="62">
        <v>2112</v>
      </c>
      <c r="H368" s="62" t="s">
        <v>1065</v>
      </c>
      <c r="I368" s="62" t="s">
        <v>1066</v>
      </c>
      <c r="J368" s="118">
        <v>1</v>
      </c>
      <c r="K368" s="119" t="s">
        <v>271</v>
      </c>
      <c r="L368" s="62" t="s">
        <v>77</v>
      </c>
      <c r="M368" s="120" t="s">
        <v>1061</v>
      </c>
      <c r="N368" s="63">
        <v>44229</v>
      </c>
      <c r="O368" s="24">
        <v>13500</v>
      </c>
      <c r="P368" s="24">
        <v>23176</v>
      </c>
      <c r="Q368" s="64">
        <v>312876000</v>
      </c>
      <c r="R368" s="64"/>
      <c r="S368" s="64"/>
      <c r="T368" s="64">
        <v>12481095</v>
      </c>
      <c r="U368" s="64" t="s">
        <v>1062</v>
      </c>
      <c r="V368" s="121">
        <v>325357095</v>
      </c>
      <c r="W368" s="122">
        <v>0</v>
      </c>
      <c r="X368" s="64">
        <v>325357095</v>
      </c>
      <c r="Y368" s="121"/>
      <c r="Z368" s="121"/>
      <c r="AA368" s="128"/>
      <c r="AB368" s="121"/>
      <c r="AC368" s="64">
        <v>325357095</v>
      </c>
      <c r="AD368" s="65">
        <v>44280</v>
      </c>
      <c r="AE368" s="65">
        <v>47200</v>
      </c>
      <c r="AF368" s="62">
        <v>8</v>
      </c>
      <c r="AG368" s="119">
        <v>96</v>
      </c>
      <c r="AH368" s="25">
        <v>3389136.40625</v>
      </c>
      <c r="AI368" s="78">
        <v>112606780.83669353</v>
      </c>
      <c r="AJ368" s="78">
        <v>212750314.16330647</v>
      </c>
      <c r="AK368" s="27">
        <f t="shared" si="118"/>
        <v>3389136.40625</v>
      </c>
      <c r="AL368" s="27">
        <f t="shared" si="122"/>
        <v>3389136.40625</v>
      </c>
      <c r="AM368" s="27">
        <f t="shared" si="122"/>
        <v>3389136.40625</v>
      </c>
      <c r="AN368" s="27">
        <f t="shared" si="124"/>
        <v>3389136.40625</v>
      </c>
      <c r="AO368" s="27">
        <f t="shared" si="125"/>
        <v>3389136.40625</v>
      </c>
      <c r="AP368" s="27">
        <f t="shared" si="125"/>
        <v>3389136.40625</v>
      </c>
      <c r="AQ368" s="27">
        <f t="shared" si="126"/>
        <v>3389136.40625</v>
      </c>
      <c r="AR368" s="27">
        <f t="shared" si="127"/>
        <v>3389136.40625</v>
      </c>
      <c r="AS368" s="27"/>
      <c r="AT368" s="27"/>
      <c r="AU368" s="27"/>
      <c r="AV368" s="27"/>
      <c r="AW368" s="27">
        <f t="shared" si="115"/>
        <v>27113091.25</v>
      </c>
      <c r="AX368" s="79">
        <f t="shared" si="119"/>
        <v>185637222.91330647</v>
      </c>
      <c r="AY368" s="79">
        <f t="shared" si="120"/>
        <v>139719872.08669353</v>
      </c>
      <c r="AZ368" s="25">
        <v>1</v>
      </c>
      <c r="BA368" s="62" t="s">
        <v>97</v>
      </c>
      <c r="BB368" s="66">
        <v>1</v>
      </c>
      <c r="BC368" s="66"/>
      <c r="BD368" s="66"/>
      <c r="BE368" s="67">
        <f t="shared" si="123"/>
        <v>3389136.40625</v>
      </c>
      <c r="BF368" s="67">
        <f t="shared" si="128"/>
        <v>0</v>
      </c>
      <c r="BG368" s="67">
        <f t="shared" si="121"/>
        <v>0</v>
      </c>
      <c r="BH368" s="66"/>
      <c r="BI368" s="68" t="s">
        <v>183</v>
      </c>
      <c r="BJ368" s="68" t="s">
        <v>1929</v>
      </c>
      <c r="BK368" s="68" t="s">
        <v>1989</v>
      </c>
      <c r="BL368" s="29"/>
      <c r="BO368" s="35" t="s">
        <v>1804</v>
      </c>
    </row>
    <row r="369" spans="1:68" ht="15" customHeight="1">
      <c r="A369" s="1" t="s">
        <v>43</v>
      </c>
      <c r="C369" s="1" t="str">
        <f t="shared" si="116"/>
        <v>2903</v>
      </c>
      <c r="D369" s="1" t="str">
        <f t="shared" si="117"/>
        <v>2103</v>
      </c>
      <c r="E369" s="19" t="s">
        <v>48</v>
      </c>
      <c r="F369" s="62" t="s">
        <v>1896</v>
      </c>
      <c r="G369" s="62">
        <v>2112</v>
      </c>
      <c r="H369" s="62" t="s">
        <v>1067</v>
      </c>
      <c r="I369" s="62" t="s">
        <v>1066</v>
      </c>
      <c r="J369" s="118">
        <v>1</v>
      </c>
      <c r="K369" s="119" t="s">
        <v>271</v>
      </c>
      <c r="L369" s="62" t="s">
        <v>77</v>
      </c>
      <c r="M369" s="120" t="s">
        <v>1061</v>
      </c>
      <c r="N369" s="63">
        <v>44229</v>
      </c>
      <c r="O369" s="24">
        <v>14000</v>
      </c>
      <c r="P369" s="24">
        <v>23176</v>
      </c>
      <c r="Q369" s="64">
        <v>324464000</v>
      </c>
      <c r="R369" s="64"/>
      <c r="S369" s="64"/>
      <c r="T369" s="64">
        <v>12943357</v>
      </c>
      <c r="U369" s="64" t="s">
        <v>1062</v>
      </c>
      <c r="V369" s="121">
        <v>337407357</v>
      </c>
      <c r="W369" s="122">
        <v>0</v>
      </c>
      <c r="X369" s="64">
        <v>337407357</v>
      </c>
      <c r="Y369" s="121"/>
      <c r="Z369" s="121"/>
      <c r="AA369" s="128"/>
      <c r="AB369" s="121"/>
      <c r="AC369" s="64">
        <v>337407357</v>
      </c>
      <c r="AD369" s="65">
        <v>44280</v>
      </c>
      <c r="AE369" s="65">
        <v>47200</v>
      </c>
      <c r="AF369" s="62">
        <v>8</v>
      </c>
      <c r="AG369" s="119">
        <v>96</v>
      </c>
      <c r="AH369" s="25">
        <v>3514659.96875</v>
      </c>
      <c r="AI369" s="78">
        <v>116777412.59072578</v>
      </c>
      <c r="AJ369" s="78">
        <v>220629944.40927422</v>
      </c>
      <c r="AK369" s="27">
        <f t="shared" si="118"/>
        <v>3514659.96875</v>
      </c>
      <c r="AL369" s="27">
        <f t="shared" si="122"/>
        <v>3514659.96875</v>
      </c>
      <c r="AM369" s="27">
        <f t="shared" si="122"/>
        <v>3514659.96875</v>
      </c>
      <c r="AN369" s="27">
        <f t="shared" si="124"/>
        <v>3514659.96875</v>
      </c>
      <c r="AO369" s="27">
        <f t="shared" si="125"/>
        <v>3514659.96875</v>
      </c>
      <c r="AP369" s="27">
        <f t="shared" si="125"/>
        <v>3514659.96875</v>
      </c>
      <c r="AQ369" s="27">
        <f t="shared" si="126"/>
        <v>3514659.96875</v>
      </c>
      <c r="AR369" s="27">
        <f t="shared" si="127"/>
        <v>3514659.96875</v>
      </c>
      <c r="AS369" s="27"/>
      <c r="AT369" s="27"/>
      <c r="AU369" s="27"/>
      <c r="AV369" s="27"/>
      <c r="AW369" s="27">
        <f t="shared" si="115"/>
        <v>28117279.75</v>
      </c>
      <c r="AX369" s="79">
        <f t="shared" si="119"/>
        <v>192512664.65927422</v>
      </c>
      <c r="AY369" s="79">
        <f t="shared" si="120"/>
        <v>144894692.34072578</v>
      </c>
      <c r="AZ369" s="25">
        <v>1</v>
      </c>
      <c r="BA369" s="62" t="s">
        <v>97</v>
      </c>
      <c r="BB369" s="66">
        <v>1</v>
      </c>
      <c r="BC369" s="66"/>
      <c r="BD369" s="66"/>
      <c r="BE369" s="67">
        <f t="shared" si="123"/>
        <v>3514659.96875</v>
      </c>
      <c r="BF369" s="67">
        <f t="shared" si="128"/>
        <v>0</v>
      </c>
      <c r="BG369" s="67">
        <f t="shared" si="121"/>
        <v>0</v>
      </c>
      <c r="BH369" s="66"/>
      <c r="BI369" s="68">
        <v>0</v>
      </c>
      <c r="BJ369" s="68" t="s">
        <v>1929</v>
      </c>
      <c r="BK369" s="68" t="s">
        <v>1989</v>
      </c>
      <c r="BL369" s="29"/>
      <c r="BO369" s="35" t="s">
        <v>1804</v>
      </c>
    </row>
    <row r="370" spans="1:68" ht="15" customHeight="1">
      <c r="A370" s="1" t="s">
        <v>43</v>
      </c>
      <c r="C370" s="1" t="str">
        <f t="shared" si="116"/>
        <v>2903</v>
      </c>
      <c r="D370" s="1" t="str">
        <f t="shared" si="117"/>
        <v>2103</v>
      </c>
      <c r="E370" s="19" t="s">
        <v>48</v>
      </c>
      <c r="F370" s="62" t="s">
        <v>1896</v>
      </c>
      <c r="G370" s="62">
        <v>2112</v>
      </c>
      <c r="H370" s="62" t="s">
        <v>1068</v>
      </c>
      <c r="I370" s="62" t="s">
        <v>1069</v>
      </c>
      <c r="J370" s="118">
        <v>1</v>
      </c>
      <c r="K370" s="119" t="s">
        <v>271</v>
      </c>
      <c r="L370" s="62" t="s">
        <v>77</v>
      </c>
      <c r="M370" s="120" t="s">
        <v>1061</v>
      </c>
      <c r="N370" s="63">
        <v>44229</v>
      </c>
      <c r="O370" s="24">
        <v>14000</v>
      </c>
      <c r="P370" s="24">
        <v>23176</v>
      </c>
      <c r="Q370" s="64">
        <v>324464000</v>
      </c>
      <c r="R370" s="64"/>
      <c r="S370" s="64"/>
      <c r="T370" s="64">
        <v>12943357</v>
      </c>
      <c r="U370" s="64" t="s">
        <v>1062</v>
      </c>
      <c r="V370" s="121">
        <v>337407357</v>
      </c>
      <c r="W370" s="122">
        <v>0</v>
      </c>
      <c r="X370" s="64">
        <v>337407357</v>
      </c>
      <c r="Y370" s="121"/>
      <c r="Z370" s="121"/>
      <c r="AA370" s="128"/>
      <c r="AB370" s="121"/>
      <c r="AC370" s="64">
        <v>337407357</v>
      </c>
      <c r="AD370" s="65">
        <v>44280</v>
      </c>
      <c r="AE370" s="65">
        <v>47200</v>
      </c>
      <c r="AF370" s="62">
        <v>8</v>
      </c>
      <c r="AG370" s="119">
        <v>96</v>
      </c>
      <c r="AH370" s="25">
        <v>3514659.96875</v>
      </c>
      <c r="AI370" s="78">
        <v>116777412.59072578</v>
      </c>
      <c r="AJ370" s="78">
        <v>220629944.40927422</v>
      </c>
      <c r="AK370" s="27">
        <f t="shared" si="118"/>
        <v>3514659.96875</v>
      </c>
      <c r="AL370" s="27">
        <f t="shared" si="122"/>
        <v>3514659.96875</v>
      </c>
      <c r="AM370" s="27">
        <f t="shared" si="122"/>
        <v>3514659.96875</v>
      </c>
      <c r="AN370" s="27">
        <f t="shared" si="124"/>
        <v>3514659.96875</v>
      </c>
      <c r="AO370" s="27">
        <f t="shared" si="125"/>
        <v>3514659.96875</v>
      </c>
      <c r="AP370" s="27">
        <f t="shared" si="125"/>
        <v>3514659.96875</v>
      </c>
      <c r="AQ370" s="27">
        <f t="shared" si="126"/>
        <v>3514659.96875</v>
      </c>
      <c r="AR370" s="27">
        <f t="shared" si="127"/>
        <v>3514659.96875</v>
      </c>
      <c r="AS370" s="27"/>
      <c r="AT370" s="27"/>
      <c r="AU370" s="27"/>
      <c r="AV370" s="27"/>
      <c r="AW370" s="27">
        <f t="shared" si="115"/>
        <v>28117279.75</v>
      </c>
      <c r="AX370" s="79">
        <f t="shared" si="119"/>
        <v>192512664.65927422</v>
      </c>
      <c r="AY370" s="79">
        <f t="shared" si="120"/>
        <v>144894692.34072578</v>
      </c>
      <c r="AZ370" s="25">
        <v>1</v>
      </c>
      <c r="BA370" s="62" t="s">
        <v>97</v>
      </c>
      <c r="BB370" s="66">
        <v>1</v>
      </c>
      <c r="BC370" s="66"/>
      <c r="BD370" s="66"/>
      <c r="BE370" s="67">
        <f t="shared" si="123"/>
        <v>3514659.96875</v>
      </c>
      <c r="BF370" s="67">
        <f t="shared" si="128"/>
        <v>0</v>
      </c>
      <c r="BG370" s="67">
        <f t="shared" si="121"/>
        <v>0</v>
      </c>
      <c r="BH370" s="66"/>
      <c r="BI370" s="68" t="s">
        <v>183</v>
      </c>
      <c r="BJ370" s="68" t="s">
        <v>1929</v>
      </c>
      <c r="BK370" s="68" t="s">
        <v>1989</v>
      </c>
      <c r="BL370" s="29"/>
      <c r="BO370" s="35" t="s">
        <v>1804</v>
      </c>
    </row>
    <row r="371" spans="1:68" ht="15" customHeight="1">
      <c r="A371" s="1" t="s">
        <v>43</v>
      </c>
      <c r="C371" s="1" t="str">
        <f t="shared" si="116"/>
        <v>2903</v>
      </c>
      <c r="D371" s="1" t="str">
        <f t="shared" si="117"/>
        <v>2103</v>
      </c>
      <c r="E371" s="19" t="s">
        <v>48</v>
      </c>
      <c r="F371" s="62" t="s">
        <v>1896</v>
      </c>
      <c r="G371" s="62">
        <v>2112</v>
      </c>
      <c r="H371" s="62" t="s">
        <v>1070</v>
      </c>
      <c r="I371" s="62" t="s">
        <v>1071</v>
      </c>
      <c r="J371" s="118">
        <v>1</v>
      </c>
      <c r="K371" s="119" t="s">
        <v>271</v>
      </c>
      <c r="L371" s="62" t="s">
        <v>77</v>
      </c>
      <c r="M371" s="120" t="s">
        <v>1061</v>
      </c>
      <c r="N371" s="63">
        <v>44229</v>
      </c>
      <c r="O371" s="24">
        <v>8000</v>
      </c>
      <c r="P371" s="24">
        <v>23176</v>
      </c>
      <c r="Q371" s="64">
        <v>185408000</v>
      </c>
      <c r="R371" s="64"/>
      <c r="S371" s="64"/>
      <c r="T371" s="64">
        <v>7396205.5</v>
      </c>
      <c r="U371" s="64" t="s">
        <v>1062</v>
      </c>
      <c r="V371" s="121">
        <v>192804206</v>
      </c>
      <c r="W371" s="122">
        <v>0</v>
      </c>
      <c r="X371" s="64">
        <v>192804206</v>
      </c>
      <c r="Y371" s="121"/>
      <c r="Z371" s="121"/>
      <c r="AA371" s="128"/>
      <c r="AB371" s="121"/>
      <c r="AC371" s="64">
        <v>192804206</v>
      </c>
      <c r="AD371" s="65">
        <v>44280</v>
      </c>
      <c r="AE371" s="65">
        <v>47200</v>
      </c>
      <c r="AF371" s="62">
        <v>8</v>
      </c>
      <c r="AG371" s="119">
        <v>96</v>
      </c>
      <c r="AH371" s="25">
        <v>2008377.1458333333</v>
      </c>
      <c r="AI371" s="78">
        <v>66729946.942204311</v>
      </c>
      <c r="AJ371" s="78">
        <v>126074259.05779569</v>
      </c>
      <c r="AK371" s="27">
        <f t="shared" si="118"/>
        <v>2008377.1458333333</v>
      </c>
      <c r="AL371" s="27">
        <f t="shared" si="122"/>
        <v>2008377.1458333333</v>
      </c>
      <c r="AM371" s="27">
        <f t="shared" si="122"/>
        <v>2008377.1458333333</v>
      </c>
      <c r="AN371" s="27">
        <f t="shared" si="124"/>
        <v>2008377.1458333333</v>
      </c>
      <c r="AO371" s="27">
        <f t="shared" si="125"/>
        <v>2008377.1458333333</v>
      </c>
      <c r="AP371" s="27">
        <f t="shared" si="125"/>
        <v>2008377.1458333333</v>
      </c>
      <c r="AQ371" s="27">
        <f t="shared" si="126"/>
        <v>2008377.1458333333</v>
      </c>
      <c r="AR371" s="27">
        <f t="shared" si="127"/>
        <v>2008377.1458333333</v>
      </c>
      <c r="AS371" s="27"/>
      <c r="AT371" s="27"/>
      <c r="AU371" s="27"/>
      <c r="AV371" s="27"/>
      <c r="AW371" s="27">
        <f t="shared" si="115"/>
        <v>16067017.166666668</v>
      </c>
      <c r="AX371" s="79">
        <f t="shared" si="119"/>
        <v>110007241.89112902</v>
      </c>
      <c r="AY371" s="79">
        <f t="shared" si="120"/>
        <v>82796964.108870983</v>
      </c>
      <c r="AZ371" s="25">
        <v>1</v>
      </c>
      <c r="BA371" s="62" t="s">
        <v>97</v>
      </c>
      <c r="BB371" s="66">
        <v>1</v>
      </c>
      <c r="BC371" s="66"/>
      <c r="BD371" s="66"/>
      <c r="BE371" s="67">
        <f t="shared" si="123"/>
        <v>2008377.1458333333</v>
      </c>
      <c r="BF371" s="67">
        <f t="shared" si="128"/>
        <v>0</v>
      </c>
      <c r="BG371" s="67">
        <f t="shared" si="121"/>
        <v>0</v>
      </c>
      <c r="BH371" s="66"/>
      <c r="BI371" s="68">
        <v>0</v>
      </c>
      <c r="BJ371" s="68" t="s">
        <v>1929</v>
      </c>
      <c r="BK371" s="68" t="s">
        <v>1989</v>
      </c>
      <c r="BL371" s="29"/>
      <c r="BO371" s="35" t="s">
        <v>1804</v>
      </c>
    </row>
    <row r="372" spans="1:68" ht="15" customHeight="1">
      <c r="A372" s="1" t="s">
        <v>43</v>
      </c>
      <c r="C372" s="1" t="str">
        <f t="shared" si="116"/>
        <v>2903</v>
      </c>
      <c r="D372" s="1" t="str">
        <f t="shared" si="117"/>
        <v>2103</v>
      </c>
      <c r="E372" s="19" t="s">
        <v>48</v>
      </c>
      <c r="F372" s="62" t="s">
        <v>1896</v>
      </c>
      <c r="G372" s="62">
        <v>2112</v>
      </c>
      <c r="H372" s="62" t="s">
        <v>1072</v>
      </c>
      <c r="I372" s="62" t="s">
        <v>1071</v>
      </c>
      <c r="J372" s="118">
        <v>1</v>
      </c>
      <c r="K372" s="119" t="s">
        <v>271</v>
      </c>
      <c r="L372" s="62" t="s">
        <v>77</v>
      </c>
      <c r="M372" s="120" t="s">
        <v>1061</v>
      </c>
      <c r="N372" s="63">
        <v>44229</v>
      </c>
      <c r="O372" s="24">
        <v>8000</v>
      </c>
      <c r="P372" s="24">
        <v>23176</v>
      </c>
      <c r="Q372" s="64">
        <v>185408000</v>
      </c>
      <c r="R372" s="64"/>
      <c r="S372" s="64"/>
      <c r="T372" s="64">
        <v>7396205.5</v>
      </c>
      <c r="U372" s="64" t="s">
        <v>1062</v>
      </c>
      <c r="V372" s="121">
        <v>192804206</v>
      </c>
      <c r="W372" s="122">
        <v>0</v>
      </c>
      <c r="X372" s="64">
        <v>192804206</v>
      </c>
      <c r="Y372" s="121"/>
      <c r="Z372" s="121"/>
      <c r="AA372" s="128"/>
      <c r="AB372" s="121"/>
      <c r="AC372" s="64">
        <v>192804206</v>
      </c>
      <c r="AD372" s="65">
        <v>44280</v>
      </c>
      <c r="AE372" s="65">
        <v>47200</v>
      </c>
      <c r="AF372" s="62">
        <v>8</v>
      </c>
      <c r="AG372" s="119">
        <v>96</v>
      </c>
      <c r="AH372" s="25">
        <v>2008377.1458333333</v>
      </c>
      <c r="AI372" s="78">
        <v>66729946.942204311</v>
      </c>
      <c r="AJ372" s="78">
        <v>126074259.05779569</v>
      </c>
      <c r="AK372" s="27">
        <f t="shared" si="118"/>
        <v>2008377.1458333333</v>
      </c>
      <c r="AL372" s="27">
        <f t="shared" si="122"/>
        <v>2008377.1458333333</v>
      </c>
      <c r="AM372" s="27">
        <f t="shared" si="122"/>
        <v>2008377.1458333333</v>
      </c>
      <c r="AN372" s="27">
        <f t="shared" si="124"/>
        <v>2008377.1458333333</v>
      </c>
      <c r="AO372" s="27">
        <f t="shared" si="125"/>
        <v>2008377.1458333333</v>
      </c>
      <c r="AP372" s="27">
        <f t="shared" si="125"/>
        <v>2008377.1458333333</v>
      </c>
      <c r="AQ372" s="27">
        <f t="shared" si="126"/>
        <v>2008377.1458333333</v>
      </c>
      <c r="AR372" s="27">
        <f t="shared" si="127"/>
        <v>2008377.1458333333</v>
      </c>
      <c r="AS372" s="27"/>
      <c r="AT372" s="27"/>
      <c r="AU372" s="27"/>
      <c r="AV372" s="27"/>
      <c r="AW372" s="27">
        <f t="shared" si="115"/>
        <v>16067017.166666668</v>
      </c>
      <c r="AX372" s="79">
        <f t="shared" si="119"/>
        <v>110007241.89112902</v>
      </c>
      <c r="AY372" s="79">
        <f t="shared" si="120"/>
        <v>82796964.108870983</v>
      </c>
      <c r="AZ372" s="25">
        <v>1</v>
      </c>
      <c r="BA372" s="62" t="s">
        <v>97</v>
      </c>
      <c r="BB372" s="66">
        <v>1</v>
      </c>
      <c r="BC372" s="66"/>
      <c r="BD372" s="66"/>
      <c r="BE372" s="67">
        <f t="shared" si="123"/>
        <v>2008377.1458333333</v>
      </c>
      <c r="BF372" s="67">
        <f t="shared" si="128"/>
        <v>0</v>
      </c>
      <c r="BG372" s="67">
        <f t="shared" si="121"/>
        <v>0</v>
      </c>
      <c r="BH372" s="66"/>
      <c r="BI372" s="68">
        <v>0</v>
      </c>
      <c r="BJ372" s="68" t="s">
        <v>1929</v>
      </c>
      <c r="BK372" s="68" t="s">
        <v>1989</v>
      </c>
      <c r="BL372" s="29"/>
      <c r="BO372" s="35" t="s">
        <v>1804</v>
      </c>
    </row>
    <row r="373" spans="1:68" ht="15" customHeight="1">
      <c r="A373" s="1" t="s">
        <v>43</v>
      </c>
      <c r="C373" s="1" t="str">
        <f t="shared" si="116"/>
        <v>2903</v>
      </c>
      <c r="D373" s="1" t="str">
        <f t="shared" si="117"/>
        <v>2103</v>
      </c>
      <c r="E373" s="19" t="s">
        <v>48</v>
      </c>
      <c r="F373" s="62" t="s">
        <v>1896</v>
      </c>
      <c r="G373" s="62">
        <v>2112</v>
      </c>
      <c r="H373" s="62" t="s">
        <v>1073</v>
      </c>
      <c r="I373" s="62" t="s">
        <v>1074</v>
      </c>
      <c r="J373" s="118">
        <v>1</v>
      </c>
      <c r="K373" s="119" t="s">
        <v>271</v>
      </c>
      <c r="L373" s="62" t="s">
        <v>77</v>
      </c>
      <c r="M373" s="120" t="s">
        <v>1061</v>
      </c>
      <c r="N373" s="63">
        <v>44229</v>
      </c>
      <c r="O373" s="24">
        <v>14000</v>
      </c>
      <c r="P373" s="24">
        <v>23176</v>
      </c>
      <c r="Q373" s="64">
        <v>324464000</v>
      </c>
      <c r="R373" s="64"/>
      <c r="S373" s="64"/>
      <c r="T373" s="64">
        <v>12943357</v>
      </c>
      <c r="U373" s="64" t="s">
        <v>1062</v>
      </c>
      <c r="V373" s="121">
        <v>337407357</v>
      </c>
      <c r="W373" s="122">
        <v>0</v>
      </c>
      <c r="X373" s="64">
        <v>337407357</v>
      </c>
      <c r="Y373" s="121"/>
      <c r="Z373" s="121"/>
      <c r="AA373" s="128"/>
      <c r="AB373" s="121"/>
      <c r="AC373" s="64">
        <v>337407357</v>
      </c>
      <c r="AD373" s="65">
        <v>44280</v>
      </c>
      <c r="AE373" s="65">
        <v>47200</v>
      </c>
      <c r="AF373" s="62">
        <v>8</v>
      </c>
      <c r="AG373" s="119">
        <v>96</v>
      </c>
      <c r="AH373" s="25">
        <v>3514659.96875</v>
      </c>
      <c r="AI373" s="78">
        <v>116777412.59072578</v>
      </c>
      <c r="AJ373" s="78">
        <v>220629944.40927422</v>
      </c>
      <c r="AK373" s="27">
        <f t="shared" si="118"/>
        <v>3514659.96875</v>
      </c>
      <c r="AL373" s="27">
        <f t="shared" si="122"/>
        <v>3514659.96875</v>
      </c>
      <c r="AM373" s="27">
        <f t="shared" si="122"/>
        <v>3514659.96875</v>
      </c>
      <c r="AN373" s="27">
        <f t="shared" si="124"/>
        <v>3514659.96875</v>
      </c>
      <c r="AO373" s="27">
        <f t="shared" si="125"/>
        <v>3514659.96875</v>
      </c>
      <c r="AP373" s="27">
        <f t="shared" si="125"/>
        <v>3514659.96875</v>
      </c>
      <c r="AQ373" s="27">
        <f t="shared" si="126"/>
        <v>3514659.96875</v>
      </c>
      <c r="AR373" s="27">
        <f t="shared" si="127"/>
        <v>3514659.96875</v>
      </c>
      <c r="AS373" s="27"/>
      <c r="AT373" s="27"/>
      <c r="AU373" s="27"/>
      <c r="AV373" s="27"/>
      <c r="AW373" s="27">
        <f t="shared" si="115"/>
        <v>28117279.75</v>
      </c>
      <c r="AX373" s="79">
        <f t="shared" si="119"/>
        <v>192512664.65927422</v>
      </c>
      <c r="AY373" s="79">
        <f t="shared" si="120"/>
        <v>144894692.34072578</v>
      </c>
      <c r="AZ373" s="25">
        <v>1</v>
      </c>
      <c r="BA373" s="62" t="s">
        <v>97</v>
      </c>
      <c r="BB373" s="66">
        <v>1</v>
      </c>
      <c r="BC373" s="66"/>
      <c r="BD373" s="66"/>
      <c r="BE373" s="67">
        <f t="shared" si="123"/>
        <v>3514659.96875</v>
      </c>
      <c r="BF373" s="67">
        <f t="shared" si="128"/>
        <v>0</v>
      </c>
      <c r="BG373" s="67">
        <f t="shared" si="121"/>
        <v>0</v>
      </c>
      <c r="BH373" s="66"/>
      <c r="BI373" s="68" t="s">
        <v>183</v>
      </c>
      <c r="BJ373" s="68" t="s">
        <v>1929</v>
      </c>
      <c r="BK373" s="68" t="s">
        <v>1989</v>
      </c>
      <c r="BL373" s="29"/>
      <c r="BO373" s="35" t="s">
        <v>1804</v>
      </c>
    </row>
    <row r="374" spans="1:68" ht="15" customHeight="1">
      <c r="A374" s="1" t="s">
        <v>43</v>
      </c>
      <c r="C374" s="1" t="str">
        <f t="shared" si="116"/>
        <v>2603</v>
      </c>
      <c r="D374" s="1" t="str">
        <f t="shared" si="117"/>
        <v>2103</v>
      </c>
      <c r="E374" s="19" t="s">
        <v>48</v>
      </c>
      <c r="F374" s="62" t="s">
        <v>49</v>
      </c>
      <c r="G374" s="62">
        <v>2114</v>
      </c>
      <c r="H374" s="62" t="s">
        <v>1075</v>
      </c>
      <c r="I374" s="62" t="s">
        <v>1076</v>
      </c>
      <c r="J374" s="118">
        <v>1</v>
      </c>
      <c r="K374" s="119" t="s">
        <v>271</v>
      </c>
      <c r="L374" s="62" t="s">
        <v>77</v>
      </c>
      <c r="M374" s="120" t="s">
        <v>1077</v>
      </c>
      <c r="N374" s="63">
        <v>44263</v>
      </c>
      <c r="O374" s="24">
        <v>1600</v>
      </c>
      <c r="P374" s="24">
        <v>23133</v>
      </c>
      <c r="Q374" s="64">
        <v>37012800</v>
      </c>
      <c r="R374" s="64">
        <v>1834400</v>
      </c>
      <c r="S374" s="64"/>
      <c r="T374" s="64">
        <v>7827766.666666667</v>
      </c>
      <c r="U374" s="64" t="s">
        <v>1078</v>
      </c>
      <c r="V374" s="121">
        <v>46674967</v>
      </c>
      <c r="W374" s="122">
        <v>0</v>
      </c>
      <c r="X374" s="64">
        <v>46674967</v>
      </c>
      <c r="Y374" s="121"/>
      <c r="Z374" s="121"/>
      <c r="AA374" s="128"/>
      <c r="AB374" s="121"/>
      <c r="AC374" s="64">
        <v>46674967</v>
      </c>
      <c r="AD374" s="65">
        <v>44265</v>
      </c>
      <c r="AE374" s="65">
        <v>46090</v>
      </c>
      <c r="AF374" s="62">
        <v>5</v>
      </c>
      <c r="AG374" s="119">
        <v>60</v>
      </c>
      <c r="AH374" s="25">
        <v>777916.1166666667</v>
      </c>
      <c r="AI374" s="78">
        <v>26223298.586021513</v>
      </c>
      <c r="AJ374" s="78">
        <v>20451668.413978487</v>
      </c>
      <c r="AK374" s="27">
        <f t="shared" si="118"/>
        <v>777916.1166666667</v>
      </c>
      <c r="AL374" s="27">
        <f t="shared" si="122"/>
        <v>777916.1166666667</v>
      </c>
      <c r="AM374" s="27">
        <f t="shared" si="122"/>
        <v>777916.1166666667</v>
      </c>
      <c r="AN374" s="27">
        <f t="shared" si="124"/>
        <v>777916.1166666667</v>
      </c>
      <c r="AO374" s="27">
        <f t="shared" si="125"/>
        <v>777916.1166666667</v>
      </c>
      <c r="AP374" s="27">
        <f t="shared" si="125"/>
        <v>777916.1166666667</v>
      </c>
      <c r="AQ374" s="27">
        <f t="shared" si="126"/>
        <v>777916.1166666667</v>
      </c>
      <c r="AR374" s="27">
        <f t="shared" si="127"/>
        <v>777916.1166666667</v>
      </c>
      <c r="AS374" s="27"/>
      <c r="AT374" s="27"/>
      <c r="AU374" s="27"/>
      <c r="AV374" s="27"/>
      <c r="AW374" s="27">
        <f t="shared" si="115"/>
        <v>6223328.9333333336</v>
      </c>
      <c r="AX374" s="79">
        <f t="shared" si="119"/>
        <v>14228339.480645154</v>
      </c>
      <c r="AY374" s="79">
        <f t="shared" si="120"/>
        <v>32446627.519354846</v>
      </c>
      <c r="AZ374" s="25">
        <v>1</v>
      </c>
      <c r="BA374" s="62" t="s">
        <v>79</v>
      </c>
      <c r="BB374" s="66"/>
      <c r="BC374" s="66">
        <v>1</v>
      </c>
      <c r="BD374" s="66"/>
      <c r="BE374" s="67">
        <f t="shared" si="123"/>
        <v>0</v>
      </c>
      <c r="BF374" s="67">
        <f t="shared" si="128"/>
        <v>777916.1166666667</v>
      </c>
      <c r="BG374" s="67">
        <f t="shared" si="121"/>
        <v>0</v>
      </c>
      <c r="BH374" s="66"/>
      <c r="BI374" s="68" t="s">
        <v>1079</v>
      </c>
      <c r="BJ374" s="68" t="s">
        <v>58</v>
      </c>
      <c r="BK374" s="68" t="s">
        <v>1080</v>
      </c>
      <c r="BL374" s="29"/>
      <c r="BO374" s="35" t="s">
        <v>1799</v>
      </c>
    </row>
    <row r="375" spans="1:68" ht="15" customHeight="1">
      <c r="A375" s="1" t="s">
        <v>43</v>
      </c>
      <c r="C375" s="1" t="str">
        <f t="shared" si="116"/>
        <v>2603</v>
      </c>
      <c r="D375" s="1" t="str">
        <f t="shared" si="117"/>
        <v>2103</v>
      </c>
      <c r="E375" s="19" t="s">
        <v>48</v>
      </c>
      <c r="F375" s="62" t="s">
        <v>49</v>
      </c>
      <c r="G375" s="62">
        <v>2114</v>
      </c>
      <c r="H375" s="62" t="s">
        <v>1081</v>
      </c>
      <c r="I375" s="62" t="s">
        <v>1076</v>
      </c>
      <c r="J375" s="118">
        <v>1</v>
      </c>
      <c r="K375" s="119" t="s">
        <v>271</v>
      </c>
      <c r="L375" s="62" t="s">
        <v>77</v>
      </c>
      <c r="M375" s="120" t="s">
        <v>1077</v>
      </c>
      <c r="N375" s="63">
        <v>44263</v>
      </c>
      <c r="O375" s="24">
        <v>1600</v>
      </c>
      <c r="P375" s="24">
        <v>23133</v>
      </c>
      <c r="Q375" s="64">
        <v>37012800</v>
      </c>
      <c r="R375" s="64">
        <v>1834400</v>
      </c>
      <c r="S375" s="64"/>
      <c r="T375" s="64">
        <v>7827766.666666667</v>
      </c>
      <c r="U375" s="64" t="s">
        <v>1078</v>
      </c>
      <c r="V375" s="121">
        <v>46674967</v>
      </c>
      <c r="W375" s="122">
        <v>0</v>
      </c>
      <c r="X375" s="64">
        <v>46674967</v>
      </c>
      <c r="Y375" s="121"/>
      <c r="Z375" s="121"/>
      <c r="AA375" s="128"/>
      <c r="AB375" s="121"/>
      <c r="AC375" s="64">
        <v>46674967</v>
      </c>
      <c r="AD375" s="65">
        <v>44265</v>
      </c>
      <c r="AE375" s="65">
        <v>46090</v>
      </c>
      <c r="AF375" s="62">
        <v>5</v>
      </c>
      <c r="AG375" s="119">
        <v>60</v>
      </c>
      <c r="AH375" s="25">
        <v>777916.1166666667</v>
      </c>
      <c r="AI375" s="78">
        <v>26223298.586021513</v>
      </c>
      <c r="AJ375" s="78">
        <v>20451668.413978487</v>
      </c>
      <c r="AK375" s="27">
        <f t="shared" si="118"/>
        <v>777916.1166666667</v>
      </c>
      <c r="AL375" s="27">
        <f t="shared" si="122"/>
        <v>777916.1166666667</v>
      </c>
      <c r="AM375" s="27">
        <f t="shared" si="122"/>
        <v>777916.1166666667</v>
      </c>
      <c r="AN375" s="27">
        <f t="shared" si="124"/>
        <v>777916.1166666667</v>
      </c>
      <c r="AO375" s="27">
        <f t="shared" si="125"/>
        <v>777916.1166666667</v>
      </c>
      <c r="AP375" s="27">
        <f t="shared" si="125"/>
        <v>777916.1166666667</v>
      </c>
      <c r="AQ375" s="27">
        <f t="shared" si="126"/>
        <v>777916.1166666667</v>
      </c>
      <c r="AR375" s="27">
        <f t="shared" si="127"/>
        <v>777916.1166666667</v>
      </c>
      <c r="AS375" s="27"/>
      <c r="AT375" s="27"/>
      <c r="AU375" s="27"/>
      <c r="AV375" s="27"/>
      <c r="AW375" s="27">
        <f t="shared" si="115"/>
        <v>6223328.9333333336</v>
      </c>
      <c r="AX375" s="79">
        <f t="shared" si="119"/>
        <v>14228339.480645154</v>
      </c>
      <c r="AY375" s="79">
        <f t="shared" si="120"/>
        <v>32446627.519354846</v>
      </c>
      <c r="AZ375" s="25">
        <v>1</v>
      </c>
      <c r="BA375" s="62" t="s">
        <v>79</v>
      </c>
      <c r="BB375" s="66">
        <v>1</v>
      </c>
      <c r="BC375" s="66"/>
      <c r="BD375" s="66"/>
      <c r="BE375" s="67">
        <f t="shared" si="123"/>
        <v>777916.1166666667</v>
      </c>
      <c r="BF375" s="67">
        <f t="shared" si="128"/>
        <v>0</v>
      </c>
      <c r="BG375" s="67">
        <f t="shared" si="121"/>
        <v>0</v>
      </c>
      <c r="BH375" s="66"/>
      <c r="BI375" s="68" t="s">
        <v>57</v>
      </c>
      <c r="BJ375" s="68" t="s">
        <v>58</v>
      </c>
      <c r="BK375" s="68" t="s">
        <v>59</v>
      </c>
      <c r="BL375" s="29"/>
      <c r="BO375" s="35" t="s">
        <v>1799</v>
      </c>
    </row>
    <row r="376" spans="1:68" ht="15" customHeight="1">
      <c r="A376" s="1" t="s">
        <v>43</v>
      </c>
      <c r="C376" s="1" t="str">
        <f t="shared" si="116"/>
        <v>2603</v>
      </c>
      <c r="D376" s="1" t="str">
        <f t="shared" si="117"/>
        <v>2103</v>
      </c>
      <c r="E376" s="19" t="s">
        <v>48</v>
      </c>
      <c r="F376" s="62" t="s">
        <v>515</v>
      </c>
      <c r="G376" s="62">
        <v>2114</v>
      </c>
      <c r="H376" s="62" t="s">
        <v>1082</v>
      </c>
      <c r="I376" s="62" t="s">
        <v>1076</v>
      </c>
      <c r="J376" s="118">
        <v>1</v>
      </c>
      <c r="K376" s="119" t="s">
        <v>271</v>
      </c>
      <c r="L376" s="62" t="s">
        <v>77</v>
      </c>
      <c r="M376" s="120" t="s">
        <v>1077</v>
      </c>
      <c r="N376" s="63">
        <v>44263</v>
      </c>
      <c r="O376" s="24">
        <v>1600</v>
      </c>
      <c r="P376" s="24">
        <v>23133</v>
      </c>
      <c r="Q376" s="64">
        <v>37012800</v>
      </c>
      <c r="R376" s="64">
        <v>1834400</v>
      </c>
      <c r="S376" s="64"/>
      <c r="T376" s="64">
        <v>7827766.666666667</v>
      </c>
      <c r="U376" s="64" t="s">
        <v>1078</v>
      </c>
      <c r="V376" s="121">
        <v>46674967</v>
      </c>
      <c r="W376" s="122">
        <v>0</v>
      </c>
      <c r="X376" s="64">
        <v>46674967</v>
      </c>
      <c r="Y376" s="121"/>
      <c r="Z376" s="121"/>
      <c r="AA376" s="128"/>
      <c r="AB376" s="121"/>
      <c r="AC376" s="64">
        <v>46674967</v>
      </c>
      <c r="AD376" s="65">
        <v>44265</v>
      </c>
      <c r="AE376" s="65">
        <v>46090</v>
      </c>
      <c r="AF376" s="62">
        <v>5</v>
      </c>
      <c r="AG376" s="119">
        <v>60</v>
      </c>
      <c r="AH376" s="25">
        <v>777916.1166666667</v>
      </c>
      <c r="AI376" s="78">
        <v>26223298.586021513</v>
      </c>
      <c r="AJ376" s="78">
        <v>20451668.413978487</v>
      </c>
      <c r="AK376" s="27">
        <f t="shared" si="118"/>
        <v>777916.1166666667</v>
      </c>
      <c r="AL376" s="27">
        <f t="shared" si="122"/>
        <v>777916.1166666667</v>
      </c>
      <c r="AM376" s="27">
        <f t="shared" si="122"/>
        <v>777916.1166666667</v>
      </c>
      <c r="AN376" s="27">
        <f t="shared" si="124"/>
        <v>777916.1166666667</v>
      </c>
      <c r="AO376" s="27">
        <f t="shared" si="125"/>
        <v>777916.1166666667</v>
      </c>
      <c r="AP376" s="27">
        <f t="shared" si="125"/>
        <v>777916.1166666667</v>
      </c>
      <c r="AQ376" s="27">
        <f t="shared" si="126"/>
        <v>777916.1166666667</v>
      </c>
      <c r="AR376" s="27">
        <f t="shared" si="127"/>
        <v>777916.1166666667</v>
      </c>
      <c r="AS376" s="27"/>
      <c r="AT376" s="27"/>
      <c r="AU376" s="27"/>
      <c r="AV376" s="27"/>
      <c r="AW376" s="27">
        <f t="shared" si="115"/>
        <v>6223328.9333333336</v>
      </c>
      <c r="AX376" s="79">
        <f t="shared" si="119"/>
        <v>14228339.480645154</v>
      </c>
      <c r="AY376" s="79">
        <f t="shared" si="120"/>
        <v>32446627.519354846</v>
      </c>
      <c r="AZ376" s="25">
        <v>1</v>
      </c>
      <c r="BA376" s="62" t="s">
        <v>79</v>
      </c>
      <c r="BB376" s="66">
        <v>1</v>
      </c>
      <c r="BC376" s="66"/>
      <c r="BD376" s="66"/>
      <c r="BE376" s="67">
        <f t="shared" si="123"/>
        <v>777916.1166666667</v>
      </c>
      <c r="BF376" s="67">
        <f t="shared" si="128"/>
        <v>0</v>
      </c>
      <c r="BG376" s="67">
        <f t="shared" si="121"/>
        <v>0</v>
      </c>
      <c r="BH376" s="66"/>
      <c r="BI376" s="68" t="s">
        <v>871</v>
      </c>
      <c r="BJ376" s="68" t="s">
        <v>591</v>
      </c>
      <c r="BK376" s="68" t="s">
        <v>59</v>
      </c>
      <c r="BL376" s="29"/>
      <c r="BO376" s="35" t="s">
        <v>1799</v>
      </c>
    </row>
    <row r="377" spans="1:68" ht="15" customHeight="1">
      <c r="A377" s="1" t="s">
        <v>43</v>
      </c>
      <c r="C377" s="1" t="str">
        <f t="shared" si="116"/>
        <v>3104</v>
      </c>
      <c r="D377" s="1" t="str">
        <f t="shared" si="117"/>
        <v>2104</v>
      </c>
      <c r="E377" s="19" t="s">
        <v>48</v>
      </c>
      <c r="F377" s="62" t="s">
        <v>49</v>
      </c>
      <c r="G377" s="62">
        <v>2112</v>
      </c>
      <c r="H377" s="62" t="s">
        <v>1083</v>
      </c>
      <c r="I377" s="62" t="s">
        <v>1084</v>
      </c>
      <c r="J377" s="118">
        <v>1</v>
      </c>
      <c r="K377" s="119" t="s">
        <v>271</v>
      </c>
      <c r="L377" s="62" t="s">
        <v>77</v>
      </c>
      <c r="M377" s="120" t="s">
        <v>1085</v>
      </c>
      <c r="N377" s="63">
        <v>44280</v>
      </c>
      <c r="O377" s="24">
        <v>6996</v>
      </c>
      <c r="P377" s="24">
        <v>23173</v>
      </c>
      <c r="Q377" s="64">
        <v>162118308</v>
      </c>
      <c r="R377" s="64"/>
      <c r="S377" s="64"/>
      <c r="T377" s="64">
        <v>1476865.7</v>
      </c>
      <c r="U377" s="64" t="s">
        <v>1086</v>
      </c>
      <c r="V377" s="121">
        <v>163595174</v>
      </c>
      <c r="W377" s="122">
        <v>0</v>
      </c>
      <c r="X377" s="64">
        <v>163595174</v>
      </c>
      <c r="Y377" s="121"/>
      <c r="Z377" s="121"/>
      <c r="AA377" s="128"/>
      <c r="AB377" s="121"/>
      <c r="AC377" s="64">
        <v>163595174</v>
      </c>
      <c r="AD377" s="65">
        <v>44306</v>
      </c>
      <c r="AE377" s="65">
        <v>47956</v>
      </c>
      <c r="AF377" s="62">
        <v>10</v>
      </c>
      <c r="AG377" s="119">
        <v>120</v>
      </c>
      <c r="AH377" s="25">
        <v>1363293.1166666667</v>
      </c>
      <c r="AI377" s="78">
        <v>44125251.266666666</v>
      </c>
      <c r="AJ377" s="78">
        <v>119469922.73333333</v>
      </c>
      <c r="AK377" s="27">
        <f t="shared" si="118"/>
        <v>1363293.1166666667</v>
      </c>
      <c r="AL377" s="27">
        <f t="shared" si="122"/>
        <v>1363293.1166666667</v>
      </c>
      <c r="AM377" s="27">
        <f t="shared" si="122"/>
        <v>1363293.1166666667</v>
      </c>
      <c r="AN377" s="27">
        <f t="shared" si="124"/>
        <v>1363293.1166666667</v>
      </c>
      <c r="AO377" s="27">
        <f t="shared" si="125"/>
        <v>1363293.1166666667</v>
      </c>
      <c r="AP377" s="27">
        <f t="shared" si="125"/>
        <v>1363293.1166666667</v>
      </c>
      <c r="AQ377" s="27">
        <f t="shared" si="126"/>
        <v>1363293.1166666667</v>
      </c>
      <c r="AR377" s="27">
        <f t="shared" si="127"/>
        <v>1363293.1166666667</v>
      </c>
      <c r="AS377" s="27"/>
      <c r="AT377" s="27"/>
      <c r="AU377" s="27"/>
      <c r="AV377" s="27"/>
      <c r="AW377" s="27">
        <f t="shared" si="115"/>
        <v>10906344.933333335</v>
      </c>
      <c r="AX377" s="79">
        <f t="shared" si="119"/>
        <v>108563577.8</v>
      </c>
      <c r="AY377" s="79">
        <f t="shared" si="120"/>
        <v>55031596.200000003</v>
      </c>
      <c r="AZ377" s="25">
        <v>1</v>
      </c>
      <c r="BA377" s="62" t="s">
        <v>97</v>
      </c>
      <c r="BB377" s="66">
        <v>1</v>
      </c>
      <c r="BC377" s="66"/>
      <c r="BD377" s="66"/>
      <c r="BE377" s="67">
        <f t="shared" si="123"/>
        <v>1363293.1166666667</v>
      </c>
      <c r="BF377" s="67">
        <f t="shared" si="128"/>
        <v>0</v>
      </c>
      <c r="BG377" s="67">
        <f t="shared" si="121"/>
        <v>0</v>
      </c>
      <c r="BH377" s="66"/>
      <c r="BI377" s="68" t="s">
        <v>1087</v>
      </c>
      <c r="BJ377" s="68" t="s">
        <v>58</v>
      </c>
      <c r="BK377" s="68" t="s">
        <v>59</v>
      </c>
      <c r="BL377" s="29"/>
      <c r="BO377" s="35" t="s">
        <v>1800</v>
      </c>
      <c r="BP377" s="1" t="s">
        <v>1808</v>
      </c>
    </row>
    <row r="378" spans="1:68" ht="15" customHeight="1">
      <c r="A378" s="1" t="s">
        <v>43</v>
      </c>
      <c r="C378" s="1" t="str">
        <f t="shared" si="116"/>
        <v>3104</v>
      </c>
      <c r="D378" s="1" t="str">
        <f t="shared" si="117"/>
        <v>2104</v>
      </c>
      <c r="E378" s="19" t="s">
        <v>48</v>
      </c>
      <c r="F378" s="62" t="s">
        <v>49</v>
      </c>
      <c r="G378" s="62">
        <v>2112</v>
      </c>
      <c r="H378" s="62" t="s">
        <v>1088</v>
      </c>
      <c r="I378" s="62" t="s">
        <v>1084</v>
      </c>
      <c r="J378" s="118">
        <v>1</v>
      </c>
      <c r="K378" s="119" t="s">
        <v>271</v>
      </c>
      <c r="L378" s="62" t="s">
        <v>77</v>
      </c>
      <c r="M378" s="120" t="s">
        <v>1085</v>
      </c>
      <c r="N378" s="63">
        <v>44280</v>
      </c>
      <c r="O378" s="24">
        <v>6996</v>
      </c>
      <c r="P378" s="24">
        <v>23173</v>
      </c>
      <c r="Q378" s="64">
        <v>162118308</v>
      </c>
      <c r="R378" s="64"/>
      <c r="S378" s="64"/>
      <c r="T378" s="64">
        <v>1476865.7</v>
      </c>
      <c r="U378" s="64" t="s">
        <v>1086</v>
      </c>
      <c r="V378" s="121">
        <v>163595174</v>
      </c>
      <c r="W378" s="122">
        <v>0</v>
      </c>
      <c r="X378" s="64">
        <v>163595174</v>
      </c>
      <c r="Y378" s="121"/>
      <c r="Z378" s="121"/>
      <c r="AA378" s="128"/>
      <c r="AB378" s="121"/>
      <c r="AC378" s="64">
        <v>163595174</v>
      </c>
      <c r="AD378" s="65">
        <v>44306</v>
      </c>
      <c r="AE378" s="65">
        <v>47956</v>
      </c>
      <c r="AF378" s="62">
        <v>10</v>
      </c>
      <c r="AG378" s="119">
        <v>120</v>
      </c>
      <c r="AH378" s="25">
        <v>1363293.1166666667</v>
      </c>
      <c r="AI378" s="78">
        <v>44125251.266666666</v>
      </c>
      <c r="AJ378" s="78">
        <v>119469922.73333333</v>
      </c>
      <c r="AK378" s="27">
        <f t="shared" si="118"/>
        <v>1363293.1166666667</v>
      </c>
      <c r="AL378" s="27">
        <f t="shared" si="122"/>
        <v>1363293.1166666667</v>
      </c>
      <c r="AM378" s="27">
        <f t="shared" si="122"/>
        <v>1363293.1166666667</v>
      </c>
      <c r="AN378" s="27">
        <f t="shared" si="124"/>
        <v>1363293.1166666667</v>
      </c>
      <c r="AO378" s="27">
        <f t="shared" si="125"/>
        <v>1363293.1166666667</v>
      </c>
      <c r="AP378" s="27">
        <f t="shared" si="125"/>
        <v>1363293.1166666667</v>
      </c>
      <c r="AQ378" s="27">
        <f t="shared" si="126"/>
        <v>1363293.1166666667</v>
      </c>
      <c r="AR378" s="27">
        <f t="shared" si="127"/>
        <v>1363293.1166666667</v>
      </c>
      <c r="AS378" s="27"/>
      <c r="AT378" s="27"/>
      <c r="AU378" s="27"/>
      <c r="AV378" s="27"/>
      <c r="AW378" s="27">
        <f t="shared" si="115"/>
        <v>10906344.933333335</v>
      </c>
      <c r="AX378" s="79">
        <f t="shared" si="119"/>
        <v>108563577.8</v>
      </c>
      <c r="AY378" s="79">
        <f t="shared" si="120"/>
        <v>55031596.200000003</v>
      </c>
      <c r="AZ378" s="25">
        <v>1</v>
      </c>
      <c r="BA378" s="62" t="s">
        <v>97</v>
      </c>
      <c r="BB378" s="66">
        <v>1</v>
      </c>
      <c r="BC378" s="66"/>
      <c r="BD378" s="66"/>
      <c r="BE378" s="67">
        <f t="shared" si="123"/>
        <v>1363293.1166666667</v>
      </c>
      <c r="BF378" s="67">
        <f t="shared" si="128"/>
        <v>0</v>
      </c>
      <c r="BG378" s="67">
        <f t="shared" si="121"/>
        <v>0</v>
      </c>
      <c r="BH378" s="66"/>
      <c r="BI378" s="68" t="s">
        <v>1087</v>
      </c>
      <c r="BJ378" s="68" t="s">
        <v>58</v>
      </c>
      <c r="BK378" s="68" t="s">
        <v>59</v>
      </c>
      <c r="BL378" s="29"/>
      <c r="BO378" s="35" t="s">
        <v>1800</v>
      </c>
      <c r="BP378" s="1" t="s">
        <v>1803</v>
      </c>
    </row>
    <row r="379" spans="1:68" ht="15" customHeight="1">
      <c r="A379" s="1" t="s">
        <v>43</v>
      </c>
      <c r="C379" s="1" t="str">
        <f t="shared" si="116"/>
        <v>3104</v>
      </c>
      <c r="D379" s="1" t="str">
        <f t="shared" si="117"/>
        <v>2104</v>
      </c>
      <c r="E379" s="19" t="s">
        <v>48</v>
      </c>
      <c r="F379" s="62" t="s">
        <v>49</v>
      </c>
      <c r="G379" s="62">
        <v>2112</v>
      </c>
      <c r="H379" s="62" t="s">
        <v>1089</v>
      </c>
      <c r="I379" s="62" t="s">
        <v>1084</v>
      </c>
      <c r="J379" s="118">
        <v>1</v>
      </c>
      <c r="K379" s="119" t="s">
        <v>271</v>
      </c>
      <c r="L379" s="62" t="s">
        <v>77</v>
      </c>
      <c r="M379" s="120" t="s">
        <v>1085</v>
      </c>
      <c r="N379" s="63">
        <v>44280</v>
      </c>
      <c r="O379" s="24">
        <v>6996</v>
      </c>
      <c r="P379" s="24">
        <v>23173</v>
      </c>
      <c r="Q379" s="64">
        <v>162118308</v>
      </c>
      <c r="R379" s="64"/>
      <c r="S379" s="64"/>
      <c r="T379" s="64">
        <v>1476865.7</v>
      </c>
      <c r="U379" s="64" t="s">
        <v>1086</v>
      </c>
      <c r="V379" s="121">
        <v>163595174</v>
      </c>
      <c r="W379" s="122">
        <v>0</v>
      </c>
      <c r="X379" s="64">
        <v>163595174</v>
      </c>
      <c r="Y379" s="121"/>
      <c r="Z379" s="121"/>
      <c r="AA379" s="128"/>
      <c r="AB379" s="121"/>
      <c r="AC379" s="64">
        <v>163595174</v>
      </c>
      <c r="AD379" s="65">
        <v>44306</v>
      </c>
      <c r="AE379" s="65">
        <v>47956</v>
      </c>
      <c r="AF379" s="62">
        <v>10</v>
      </c>
      <c r="AG379" s="119">
        <v>120</v>
      </c>
      <c r="AH379" s="25">
        <v>1363293.1166666667</v>
      </c>
      <c r="AI379" s="78">
        <v>44125251.266666666</v>
      </c>
      <c r="AJ379" s="78">
        <v>119469922.73333333</v>
      </c>
      <c r="AK379" s="27">
        <f t="shared" si="118"/>
        <v>1363293.1166666667</v>
      </c>
      <c r="AL379" s="27">
        <f t="shared" si="122"/>
        <v>1363293.1166666667</v>
      </c>
      <c r="AM379" s="27">
        <f t="shared" si="122"/>
        <v>1363293.1166666667</v>
      </c>
      <c r="AN379" s="27">
        <f t="shared" si="124"/>
        <v>1363293.1166666667</v>
      </c>
      <c r="AO379" s="27">
        <f t="shared" si="125"/>
        <v>1363293.1166666667</v>
      </c>
      <c r="AP379" s="27">
        <f t="shared" si="125"/>
        <v>1363293.1166666667</v>
      </c>
      <c r="AQ379" s="27">
        <f t="shared" si="126"/>
        <v>1363293.1166666667</v>
      </c>
      <c r="AR379" s="27">
        <f t="shared" si="127"/>
        <v>1363293.1166666667</v>
      </c>
      <c r="AS379" s="27"/>
      <c r="AT379" s="27"/>
      <c r="AU379" s="27"/>
      <c r="AV379" s="27"/>
      <c r="AW379" s="27">
        <f t="shared" si="115"/>
        <v>10906344.933333335</v>
      </c>
      <c r="AX379" s="79">
        <f t="shared" si="119"/>
        <v>108563577.8</v>
      </c>
      <c r="AY379" s="79">
        <f t="shared" si="120"/>
        <v>55031596.200000003</v>
      </c>
      <c r="AZ379" s="25">
        <v>1</v>
      </c>
      <c r="BA379" s="62" t="s">
        <v>97</v>
      </c>
      <c r="BB379" s="66">
        <v>1</v>
      </c>
      <c r="BC379" s="66"/>
      <c r="BD379" s="66"/>
      <c r="BE379" s="67">
        <f t="shared" si="123"/>
        <v>1363293.1166666667</v>
      </c>
      <c r="BF379" s="67">
        <f t="shared" si="128"/>
        <v>0</v>
      </c>
      <c r="BG379" s="67">
        <f t="shared" si="121"/>
        <v>0</v>
      </c>
      <c r="BH379" s="66"/>
      <c r="BI379" s="68" t="s">
        <v>1090</v>
      </c>
      <c r="BJ379" s="68" t="s">
        <v>58</v>
      </c>
      <c r="BK379" s="68" t="s">
        <v>59</v>
      </c>
      <c r="BL379" s="29"/>
      <c r="BO379" s="35" t="s">
        <v>1800</v>
      </c>
      <c r="BP379" s="1" t="s">
        <v>1812</v>
      </c>
    </row>
    <row r="380" spans="1:68" ht="15" customHeight="1">
      <c r="A380" s="1" t="s">
        <v>43</v>
      </c>
      <c r="C380" s="1" t="str">
        <f t="shared" si="116"/>
        <v>3104</v>
      </c>
      <c r="D380" s="1" t="str">
        <f t="shared" si="117"/>
        <v>2104</v>
      </c>
      <c r="E380" s="19" t="s">
        <v>48</v>
      </c>
      <c r="F380" s="62" t="s">
        <v>49</v>
      </c>
      <c r="G380" s="62">
        <v>2112</v>
      </c>
      <c r="H380" s="62" t="s">
        <v>1091</v>
      </c>
      <c r="I380" s="62" t="s">
        <v>1084</v>
      </c>
      <c r="J380" s="118">
        <v>1</v>
      </c>
      <c r="K380" s="119" t="s">
        <v>271</v>
      </c>
      <c r="L380" s="62" t="s">
        <v>77</v>
      </c>
      <c r="M380" s="120" t="s">
        <v>1085</v>
      </c>
      <c r="N380" s="63">
        <v>44280</v>
      </c>
      <c r="O380" s="24">
        <v>6996</v>
      </c>
      <c r="P380" s="24">
        <v>23173</v>
      </c>
      <c r="Q380" s="64">
        <v>162118308</v>
      </c>
      <c r="R380" s="64"/>
      <c r="S380" s="64"/>
      <c r="T380" s="64">
        <v>1476865.7</v>
      </c>
      <c r="U380" s="64" t="s">
        <v>1086</v>
      </c>
      <c r="V380" s="121">
        <v>163595174</v>
      </c>
      <c r="W380" s="122">
        <v>0</v>
      </c>
      <c r="X380" s="64">
        <v>163595174</v>
      </c>
      <c r="Y380" s="121"/>
      <c r="Z380" s="121"/>
      <c r="AA380" s="128"/>
      <c r="AB380" s="121"/>
      <c r="AC380" s="64">
        <v>163595174</v>
      </c>
      <c r="AD380" s="65">
        <v>44306</v>
      </c>
      <c r="AE380" s="65">
        <v>47956</v>
      </c>
      <c r="AF380" s="62">
        <v>10</v>
      </c>
      <c r="AG380" s="119">
        <v>120</v>
      </c>
      <c r="AH380" s="25">
        <v>1363293.1166666667</v>
      </c>
      <c r="AI380" s="78">
        <v>44125251.266666666</v>
      </c>
      <c r="AJ380" s="78">
        <v>119469922.73333333</v>
      </c>
      <c r="AK380" s="27">
        <f t="shared" si="118"/>
        <v>1363293.1166666667</v>
      </c>
      <c r="AL380" s="27">
        <f t="shared" si="122"/>
        <v>1363293.1166666667</v>
      </c>
      <c r="AM380" s="27">
        <f t="shared" si="122"/>
        <v>1363293.1166666667</v>
      </c>
      <c r="AN380" s="27">
        <f t="shared" si="124"/>
        <v>1363293.1166666667</v>
      </c>
      <c r="AO380" s="27">
        <f t="shared" si="125"/>
        <v>1363293.1166666667</v>
      </c>
      <c r="AP380" s="27">
        <f t="shared" si="125"/>
        <v>1363293.1166666667</v>
      </c>
      <c r="AQ380" s="27">
        <f t="shared" si="126"/>
        <v>1363293.1166666667</v>
      </c>
      <c r="AR380" s="27">
        <f t="shared" si="127"/>
        <v>1363293.1166666667</v>
      </c>
      <c r="AS380" s="27"/>
      <c r="AT380" s="27"/>
      <c r="AU380" s="27"/>
      <c r="AV380" s="27"/>
      <c r="AW380" s="27">
        <f t="shared" si="115"/>
        <v>10906344.933333335</v>
      </c>
      <c r="AX380" s="79">
        <f t="shared" si="119"/>
        <v>108563577.8</v>
      </c>
      <c r="AY380" s="79">
        <f t="shared" si="120"/>
        <v>55031596.200000003</v>
      </c>
      <c r="AZ380" s="25">
        <v>1</v>
      </c>
      <c r="BA380" s="62" t="s">
        <v>97</v>
      </c>
      <c r="BB380" s="66">
        <v>1</v>
      </c>
      <c r="BC380" s="66"/>
      <c r="BD380" s="66"/>
      <c r="BE380" s="67">
        <f t="shared" si="123"/>
        <v>1363293.1166666667</v>
      </c>
      <c r="BF380" s="67">
        <f t="shared" si="128"/>
        <v>0</v>
      </c>
      <c r="BG380" s="67">
        <f t="shared" si="121"/>
        <v>0</v>
      </c>
      <c r="BH380" s="66"/>
      <c r="BI380" s="68" t="s">
        <v>1092</v>
      </c>
      <c r="BJ380" s="68" t="s">
        <v>58</v>
      </c>
      <c r="BK380" s="68" t="s">
        <v>59</v>
      </c>
      <c r="BL380" s="29"/>
      <c r="BO380" s="35" t="s">
        <v>1800</v>
      </c>
      <c r="BP380" s="1" t="s">
        <v>1815</v>
      </c>
    </row>
    <row r="381" spans="1:68" ht="15" customHeight="1">
      <c r="A381" s="1" t="s">
        <v>43</v>
      </c>
      <c r="C381" s="1" t="str">
        <f t="shared" si="116"/>
        <v>3104</v>
      </c>
      <c r="D381" s="1" t="str">
        <f t="shared" si="117"/>
        <v>2104</v>
      </c>
      <c r="E381" s="19" t="s">
        <v>48</v>
      </c>
      <c r="F381" s="62" t="s">
        <v>49</v>
      </c>
      <c r="G381" s="62">
        <v>2112</v>
      </c>
      <c r="H381" s="62" t="s">
        <v>1093</v>
      </c>
      <c r="I381" s="62" t="s">
        <v>1084</v>
      </c>
      <c r="J381" s="118">
        <v>1</v>
      </c>
      <c r="K381" s="119" t="s">
        <v>271</v>
      </c>
      <c r="L381" s="62" t="s">
        <v>77</v>
      </c>
      <c r="M381" s="120" t="s">
        <v>1085</v>
      </c>
      <c r="N381" s="63">
        <v>44280</v>
      </c>
      <c r="O381" s="24">
        <v>6996</v>
      </c>
      <c r="P381" s="24">
        <v>23173</v>
      </c>
      <c r="Q381" s="64">
        <v>162118308</v>
      </c>
      <c r="R381" s="64"/>
      <c r="S381" s="64"/>
      <c r="T381" s="64">
        <v>1476865.7</v>
      </c>
      <c r="U381" s="64" t="s">
        <v>1086</v>
      </c>
      <c r="V381" s="121">
        <v>163595174</v>
      </c>
      <c r="W381" s="122">
        <v>0</v>
      </c>
      <c r="X381" s="64">
        <v>163595174</v>
      </c>
      <c r="Y381" s="121"/>
      <c r="Z381" s="121"/>
      <c r="AA381" s="128"/>
      <c r="AB381" s="121"/>
      <c r="AC381" s="64">
        <v>163595174</v>
      </c>
      <c r="AD381" s="65">
        <v>44306</v>
      </c>
      <c r="AE381" s="65">
        <v>47956</v>
      </c>
      <c r="AF381" s="62">
        <v>10</v>
      </c>
      <c r="AG381" s="119">
        <v>120</v>
      </c>
      <c r="AH381" s="25">
        <v>1363293.1166666667</v>
      </c>
      <c r="AI381" s="78">
        <v>44125251.266666666</v>
      </c>
      <c r="AJ381" s="78">
        <v>119469922.73333333</v>
      </c>
      <c r="AK381" s="27">
        <f t="shared" si="118"/>
        <v>1363293.1166666667</v>
      </c>
      <c r="AL381" s="27">
        <f t="shared" si="122"/>
        <v>1363293.1166666667</v>
      </c>
      <c r="AM381" s="27">
        <f t="shared" si="122"/>
        <v>1363293.1166666667</v>
      </c>
      <c r="AN381" s="27">
        <f t="shared" si="124"/>
        <v>1363293.1166666667</v>
      </c>
      <c r="AO381" s="27">
        <f t="shared" si="125"/>
        <v>1363293.1166666667</v>
      </c>
      <c r="AP381" s="27">
        <f t="shared" si="125"/>
        <v>1363293.1166666667</v>
      </c>
      <c r="AQ381" s="27">
        <f t="shared" si="126"/>
        <v>1363293.1166666667</v>
      </c>
      <c r="AR381" s="27">
        <f t="shared" si="127"/>
        <v>1363293.1166666667</v>
      </c>
      <c r="AS381" s="27"/>
      <c r="AT381" s="27"/>
      <c r="AU381" s="27"/>
      <c r="AV381" s="27"/>
      <c r="AW381" s="27">
        <f t="shared" si="115"/>
        <v>10906344.933333335</v>
      </c>
      <c r="AX381" s="79">
        <f t="shared" si="119"/>
        <v>108563577.8</v>
      </c>
      <c r="AY381" s="79">
        <f t="shared" si="120"/>
        <v>55031596.200000003</v>
      </c>
      <c r="AZ381" s="25">
        <v>1</v>
      </c>
      <c r="BA381" s="62" t="s">
        <v>97</v>
      </c>
      <c r="BB381" s="66">
        <v>1</v>
      </c>
      <c r="BC381" s="66"/>
      <c r="BD381" s="66"/>
      <c r="BE381" s="67">
        <f t="shared" si="123"/>
        <v>1363293.1166666667</v>
      </c>
      <c r="BF381" s="67">
        <f t="shared" si="128"/>
        <v>0</v>
      </c>
      <c r="BG381" s="67">
        <f t="shared" si="121"/>
        <v>0</v>
      </c>
      <c r="BH381" s="66"/>
      <c r="BI381" s="68" t="s">
        <v>1094</v>
      </c>
      <c r="BJ381" s="68" t="s">
        <v>58</v>
      </c>
      <c r="BK381" s="68" t="s">
        <v>59</v>
      </c>
      <c r="BL381" s="29"/>
      <c r="BO381" s="35" t="s">
        <v>1800</v>
      </c>
      <c r="BP381" s="1" t="s">
        <v>1822</v>
      </c>
    </row>
    <row r="382" spans="1:68" ht="15" customHeight="1">
      <c r="A382" s="1" t="s">
        <v>43</v>
      </c>
      <c r="C382" s="1" t="str">
        <f t="shared" si="116"/>
        <v>3104</v>
      </c>
      <c r="D382" s="1" t="str">
        <f t="shared" si="117"/>
        <v>2104</v>
      </c>
      <c r="E382" s="19" t="s">
        <v>48</v>
      </c>
      <c r="F382" s="62" t="s">
        <v>49</v>
      </c>
      <c r="G382" s="62">
        <v>2112</v>
      </c>
      <c r="H382" s="62" t="s">
        <v>1095</v>
      </c>
      <c r="I382" s="62" t="s">
        <v>1084</v>
      </c>
      <c r="J382" s="118">
        <v>1</v>
      </c>
      <c r="K382" s="119" t="s">
        <v>271</v>
      </c>
      <c r="L382" s="62" t="s">
        <v>77</v>
      </c>
      <c r="M382" s="120" t="s">
        <v>1085</v>
      </c>
      <c r="N382" s="63">
        <v>44280</v>
      </c>
      <c r="O382" s="24">
        <v>6996</v>
      </c>
      <c r="P382" s="24">
        <v>23173</v>
      </c>
      <c r="Q382" s="64">
        <v>162118308</v>
      </c>
      <c r="R382" s="64"/>
      <c r="S382" s="64"/>
      <c r="T382" s="64">
        <v>1476865.7</v>
      </c>
      <c r="U382" s="64" t="s">
        <v>1086</v>
      </c>
      <c r="V382" s="121">
        <v>163595174</v>
      </c>
      <c r="W382" s="122">
        <v>0</v>
      </c>
      <c r="X382" s="64">
        <v>163595174</v>
      </c>
      <c r="Y382" s="121"/>
      <c r="Z382" s="121"/>
      <c r="AA382" s="128"/>
      <c r="AB382" s="121"/>
      <c r="AC382" s="64">
        <v>163595174</v>
      </c>
      <c r="AD382" s="65">
        <v>44306</v>
      </c>
      <c r="AE382" s="65">
        <v>47956</v>
      </c>
      <c r="AF382" s="62">
        <v>10</v>
      </c>
      <c r="AG382" s="119">
        <v>120</v>
      </c>
      <c r="AH382" s="25">
        <v>1363293.1166666667</v>
      </c>
      <c r="AI382" s="78">
        <v>44125251.266666666</v>
      </c>
      <c r="AJ382" s="78">
        <v>119469922.73333333</v>
      </c>
      <c r="AK382" s="27">
        <f t="shared" si="118"/>
        <v>1363293.1166666667</v>
      </c>
      <c r="AL382" s="27">
        <f t="shared" si="122"/>
        <v>1363293.1166666667</v>
      </c>
      <c r="AM382" s="27">
        <f t="shared" si="122"/>
        <v>1363293.1166666667</v>
      </c>
      <c r="AN382" s="27">
        <f t="shared" si="124"/>
        <v>1363293.1166666667</v>
      </c>
      <c r="AO382" s="27">
        <f t="shared" si="125"/>
        <v>1363293.1166666667</v>
      </c>
      <c r="AP382" s="27">
        <f t="shared" si="125"/>
        <v>1363293.1166666667</v>
      </c>
      <c r="AQ382" s="27">
        <f t="shared" si="126"/>
        <v>1363293.1166666667</v>
      </c>
      <c r="AR382" s="27">
        <f t="shared" si="127"/>
        <v>1363293.1166666667</v>
      </c>
      <c r="AS382" s="27"/>
      <c r="AT382" s="27"/>
      <c r="AU382" s="27"/>
      <c r="AV382" s="27"/>
      <c r="AW382" s="27">
        <f t="shared" ref="AW382:AW444" si="129">+SUM(AK382:AV382)</f>
        <v>10906344.933333335</v>
      </c>
      <c r="AX382" s="79">
        <f t="shared" si="119"/>
        <v>108563577.8</v>
      </c>
      <c r="AY382" s="79">
        <f t="shared" si="120"/>
        <v>55031596.200000003</v>
      </c>
      <c r="AZ382" s="25">
        <v>1</v>
      </c>
      <c r="BA382" s="62" t="s">
        <v>97</v>
      </c>
      <c r="BB382" s="66">
        <v>1</v>
      </c>
      <c r="BC382" s="66"/>
      <c r="BD382" s="66"/>
      <c r="BE382" s="67">
        <f t="shared" si="123"/>
        <v>1363293.1166666667</v>
      </c>
      <c r="BF382" s="67">
        <f t="shared" si="128"/>
        <v>0</v>
      </c>
      <c r="BG382" s="67">
        <f t="shared" si="121"/>
        <v>0</v>
      </c>
      <c r="BH382" s="66"/>
      <c r="BI382" s="68" t="s">
        <v>1096</v>
      </c>
      <c r="BJ382" s="68" t="s">
        <v>58</v>
      </c>
      <c r="BK382" s="68" t="s">
        <v>59</v>
      </c>
      <c r="BL382" s="29"/>
      <c r="BO382" s="35" t="s">
        <v>1800</v>
      </c>
      <c r="BP382" s="1" t="s">
        <v>1810</v>
      </c>
    </row>
    <row r="383" spans="1:68" ht="15" customHeight="1">
      <c r="A383" s="1" t="s">
        <v>43</v>
      </c>
      <c r="C383" s="1" t="str">
        <f t="shared" ref="C383:C445" si="130">+RIGHT(YEAR(AE383),2)&amp;IF(LEN(MONTH(AE383))=2,MONTH(AE383),"0"&amp;MONTH(AE383))</f>
        <v>3104</v>
      </c>
      <c r="D383" s="1" t="str">
        <f t="shared" ref="D383:D445" si="131">+RIGHT(YEAR(AD383),2)&amp;IF(LEN(MONTH(AD383))=2,MONTH(AD383),"0"&amp;MONTH(AD383))</f>
        <v>2104</v>
      </c>
      <c r="E383" s="19" t="s">
        <v>48</v>
      </c>
      <c r="F383" s="62" t="s">
        <v>49</v>
      </c>
      <c r="G383" s="62">
        <v>2112</v>
      </c>
      <c r="H383" s="62" t="s">
        <v>1097</v>
      </c>
      <c r="I383" s="62" t="s">
        <v>1084</v>
      </c>
      <c r="J383" s="118">
        <v>1</v>
      </c>
      <c r="K383" s="119" t="s">
        <v>271</v>
      </c>
      <c r="L383" s="62" t="s">
        <v>77</v>
      </c>
      <c r="M383" s="120" t="s">
        <v>1085</v>
      </c>
      <c r="N383" s="63">
        <v>44280</v>
      </c>
      <c r="O383" s="24">
        <v>6996</v>
      </c>
      <c r="P383" s="24">
        <v>23173</v>
      </c>
      <c r="Q383" s="64">
        <v>162118308</v>
      </c>
      <c r="R383" s="64"/>
      <c r="S383" s="64"/>
      <c r="T383" s="64">
        <v>1476865.7</v>
      </c>
      <c r="U383" s="64" t="s">
        <v>1086</v>
      </c>
      <c r="V383" s="121">
        <v>163595174</v>
      </c>
      <c r="W383" s="122">
        <v>0</v>
      </c>
      <c r="X383" s="64">
        <v>163595174</v>
      </c>
      <c r="Y383" s="121"/>
      <c r="Z383" s="121"/>
      <c r="AA383" s="128"/>
      <c r="AB383" s="121"/>
      <c r="AC383" s="64">
        <v>163595174</v>
      </c>
      <c r="AD383" s="65">
        <v>44306</v>
      </c>
      <c r="AE383" s="65">
        <v>47956</v>
      </c>
      <c r="AF383" s="62">
        <v>10</v>
      </c>
      <c r="AG383" s="119">
        <v>120</v>
      </c>
      <c r="AH383" s="25">
        <v>1363293.1166666667</v>
      </c>
      <c r="AI383" s="78">
        <v>44125251.266666666</v>
      </c>
      <c r="AJ383" s="78">
        <v>119469922.73333333</v>
      </c>
      <c r="AK383" s="27">
        <f t="shared" ref="AK383:AK445" si="132">+IF(AND(AK$3&gt;=$D383,AK$3&lt;$C383),$AH383,$AJ383)</f>
        <v>1363293.1166666667</v>
      </c>
      <c r="AL383" s="27">
        <f t="shared" si="122"/>
        <v>1363293.1166666667</v>
      </c>
      <c r="AM383" s="27">
        <f t="shared" si="122"/>
        <v>1363293.1166666667</v>
      </c>
      <c r="AN383" s="27">
        <f t="shared" si="124"/>
        <v>1363293.1166666667</v>
      </c>
      <c r="AO383" s="27">
        <f t="shared" si="125"/>
        <v>1363293.1166666667</v>
      </c>
      <c r="AP383" s="27">
        <f t="shared" si="125"/>
        <v>1363293.1166666667</v>
      </c>
      <c r="AQ383" s="27">
        <f t="shared" si="126"/>
        <v>1363293.1166666667</v>
      </c>
      <c r="AR383" s="27">
        <f t="shared" si="127"/>
        <v>1363293.1166666667</v>
      </c>
      <c r="AS383" s="27"/>
      <c r="AT383" s="27"/>
      <c r="AU383" s="27"/>
      <c r="AV383" s="27"/>
      <c r="AW383" s="27">
        <f t="shared" si="129"/>
        <v>10906344.933333335</v>
      </c>
      <c r="AX383" s="79">
        <f t="shared" ref="AX383:AX445" si="133">AC383-AI383-AW383</f>
        <v>108563577.8</v>
      </c>
      <c r="AY383" s="79">
        <f t="shared" ref="AY383:AY445" si="134">AW383+AI383</f>
        <v>55031596.200000003</v>
      </c>
      <c r="AZ383" s="25">
        <v>1</v>
      </c>
      <c r="BA383" s="62" t="s">
        <v>97</v>
      </c>
      <c r="BB383" s="66">
        <v>1</v>
      </c>
      <c r="BC383" s="66"/>
      <c r="BD383" s="66"/>
      <c r="BE383" s="67">
        <f t="shared" si="123"/>
        <v>1363293.1166666667</v>
      </c>
      <c r="BF383" s="67">
        <f t="shared" si="128"/>
        <v>0</v>
      </c>
      <c r="BG383" s="67">
        <f t="shared" si="121"/>
        <v>0</v>
      </c>
      <c r="BH383" s="66"/>
      <c r="BI383" s="68" t="s">
        <v>1098</v>
      </c>
      <c r="BJ383" s="68" t="s">
        <v>58</v>
      </c>
      <c r="BK383" s="68" t="s">
        <v>59</v>
      </c>
      <c r="BL383" s="29"/>
      <c r="BO383" s="35" t="s">
        <v>1800</v>
      </c>
      <c r="BP383" s="1" t="s">
        <v>1821</v>
      </c>
    </row>
    <row r="384" spans="1:68" ht="15" customHeight="1">
      <c r="A384" s="1" t="s">
        <v>43</v>
      </c>
      <c r="C384" s="1" t="str">
        <f t="shared" si="130"/>
        <v>3104</v>
      </c>
      <c r="D384" s="1" t="str">
        <f t="shared" si="131"/>
        <v>2104</v>
      </c>
      <c r="E384" s="19" t="s">
        <v>48</v>
      </c>
      <c r="F384" s="62" t="s">
        <v>1896</v>
      </c>
      <c r="G384" s="62">
        <v>2112</v>
      </c>
      <c r="H384" s="62" t="s">
        <v>1099</v>
      </c>
      <c r="I384" s="62" t="s">
        <v>1084</v>
      </c>
      <c r="J384" s="118">
        <v>1</v>
      </c>
      <c r="K384" s="119" t="s">
        <v>271</v>
      </c>
      <c r="L384" s="62" t="s">
        <v>77</v>
      </c>
      <c r="M384" s="120" t="s">
        <v>1085</v>
      </c>
      <c r="N384" s="63">
        <v>44280</v>
      </c>
      <c r="O384" s="24">
        <v>6996</v>
      </c>
      <c r="P384" s="24">
        <v>23173</v>
      </c>
      <c r="Q384" s="64">
        <v>162118308</v>
      </c>
      <c r="R384" s="64"/>
      <c r="S384" s="64"/>
      <c r="T384" s="64">
        <v>1476865.7</v>
      </c>
      <c r="U384" s="64" t="s">
        <v>1086</v>
      </c>
      <c r="V384" s="121">
        <v>163595174</v>
      </c>
      <c r="W384" s="122">
        <v>0</v>
      </c>
      <c r="X384" s="64">
        <v>163595174</v>
      </c>
      <c r="Y384" s="121"/>
      <c r="Z384" s="121"/>
      <c r="AA384" s="128"/>
      <c r="AB384" s="121"/>
      <c r="AC384" s="64">
        <v>163595174</v>
      </c>
      <c r="AD384" s="65">
        <v>44306</v>
      </c>
      <c r="AE384" s="65">
        <v>47956</v>
      </c>
      <c r="AF384" s="62">
        <v>10</v>
      </c>
      <c r="AG384" s="119">
        <v>120</v>
      </c>
      <c r="AH384" s="25">
        <v>1363293.1166666667</v>
      </c>
      <c r="AI384" s="78">
        <v>44125251.266666666</v>
      </c>
      <c r="AJ384" s="78">
        <v>119469922.73333333</v>
      </c>
      <c r="AK384" s="27">
        <f t="shared" si="132"/>
        <v>1363293.1166666667</v>
      </c>
      <c r="AL384" s="27">
        <f t="shared" si="122"/>
        <v>1363293.1166666667</v>
      </c>
      <c r="AM384" s="27">
        <f t="shared" si="122"/>
        <v>1363293.1166666667</v>
      </c>
      <c r="AN384" s="27">
        <f t="shared" si="124"/>
        <v>1363293.1166666667</v>
      </c>
      <c r="AO384" s="27">
        <f t="shared" si="125"/>
        <v>1363293.1166666667</v>
      </c>
      <c r="AP384" s="27">
        <f t="shared" si="125"/>
        <v>1363293.1166666667</v>
      </c>
      <c r="AQ384" s="27">
        <f t="shared" si="126"/>
        <v>1363293.1166666667</v>
      </c>
      <c r="AR384" s="27">
        <f t="shared" si="127"/>
        <v>1363293.1166666667</v>
      </c>
      <c r="AS384" s="27"/>
      <c r="AT384" s="27"/>
      <c r="AU384" s="27"/>
      <c r="AV384" s="27"/>
      <c r="AW384" s="27">
        <f t="shared" si="129"/>
        <v>10906344.933333335</v>
      </c>
      <c r="AX384" s="79">
        <f t="shared" si="133"/>
        <v>108563577.8</v>
      </c>
      <c r="AY384" s="79">
        <f t="shared" si="134"/>
        <v>55031596.200000003</v>
      </c>
      <c r="AZ384" s="25">
        <v>1</v>
      </c>
      <c r="BA384" s="62" t="s">
        <v>97</v>
      </c>
      <c r="BB384" s="66">
        <v>1</v>
      </c>
      <c r="BC384" s="66"/>
      <c r="BD384" s="66"/>
      <c r="BE384" s="67">
        <f t="shared" si="123"/>
        <v>1363293.1166666667</v>
      </c>
      <c r="BF384" s="67">
        <f t="shared" si="128"/>
        <v>0</v>
      </c>
      <c r="BG384" s="67">
        <f t="shared" si="121"/>
        <v>0</v>
      </c>
      <c r="BH384" s="66"/>
      <c r="BI384" s="68" t="s">
        <v>1100</v>
      </c>
      <c r="BJ384" s="68" t="s">
        <v>1929</v>
      </c>
      <c r="BK384" s="68" t="s">
        <v>1989</v>
      </c>
      <c r="BL384" s="29"/>
      <c r="BO384" s="35" t="s">
        <v>1801</v>
      </c>
      <c r="BP384" s="1" t="s">
        <v>1825</v>
      </c>
    </row>
    <row r="385" spans="1:68" ht="15" customHeight="1">
      <c r="A385" s="1" t="s">
        <v>43</v>
      </c>
      <c r="C385" s="1" t="str">
        <f t="shared" si="130"/>
        <v>3104</v>
      </c>
      <c r="D385" s="1" t="str">
        <f t="shared" si="131"/>
        <v>2104</v>
      </c>
      <c r="E385" s="19" t="s">
        <v>48</v>
      </c>
      <c r="F385" s="62" t="s">
        <v>49</v>
      </c>
      <c r="G385" s="62">
        <v>2112</v>
      </c>
      <c r="H385" s="62" t="s">
        <v>1101</v>
      </c>
      <c r="I385" s="62" t="s">
        <v>1084</v>
      </c>
      <c r="J385" s="118">
        <v>1</v>
      </c>
      <c r="K385" s="119" t="s">
        <v>271</v>
      </c>
      <c r="L385" s="62" t="s">
        <v>77</v>
      </c>
      <c r="M385" s="120" t="s">
        <v>1085</v>
      </c>
      <c r="N385" s="63">
        <v>44280</v>
      </c>
      <c r="O385" s="24">
        <v>6996</v>
      </c>
      <c r="P385" s="24">
        <v>23173</v>
      </c>
      <c r="Q385" s="64">
        <v>162118308</v>
      </c>
      <c r="R385" s="64"/>
      <c r="S385" s="64"/>
      <c r="T385" s="64">
        <v>1476865.7</v>
      </c>
      <c r="U385" s="64" t="s">
        <v>1086</v>
      </c>
      <c r="V385" s="121">
        <v>163595174</v>
      </c>
      <c r="W385" s="122">
        <v>0</v>
      </c>
      <c r="X385" s="64">
        <v>163595174</v>
      </c>
      <c r="Y385" s="121"/>
      <c r="Z385" s="121"/>
      <c r="AA385" s="128"/>
      <c r="AB385" s="121"/>
      <c r="AC385" s="64">
        <v>163595174</v>
      </c>
      <c r="AD385" s="65">
        <v>44306</v>
      </c>
      <c r="AE385" s="65">
        <v>47956</v>
      </c>
      <c r="AF385" s="62">
        <v>10</v>
      </c>
      <c r="AG385" s="119">
        <v>120</v>
      </c>
      <c r="AH385" s="25">
        <v>1363293.1166666667</v>
      </c>
      <c r="AI385" s="78">
        <v>44125251.266666666</v>
      </c>
      <c r="AJ385" s="78">
        <v>119469922.73333333</v>
      </c>
      <c r="AK385" s="27">
        <f t="shared" si="132"/>
        <v>1363293.1166666667</v>
      </c>
      <c r="AL385" s="27">
        <f t="shared" si="122"/>
        <v>1363293.1166666667</v>
      </c>
      <c r="AM385" s="27">
        <f t="shared" si="122"/>
        <v>1363293.1166666667</v>
      </c>
      <c r="AN385" s="27">
        <f t="shared" si="124"/>
        <v>1363293.1166666667</v>
      </c>
      <c r="AO385" s="27">
        <f t="shared" si="125"/>
        <v>1363293.1166666667</v>
      </c>
      <c r="AP385" s="27">
        <f t="shared" si="125"/>
        <v>1363293.1166666667</v>
      </c>
      <c r="AQ385" s="27">
        <f t="shared" si="126"/>
        <v>1363293.1166666667</v>
      </c>
      <c r="AR385" s="27">
        <f t="shared" si="127"/>
        <v>1363293.1166666667</v>
      </c>
      <c r="AS385" s="27"/>
      <c r="AT385" s="27"/>
      <c r="AU385" s="27"/>
      <c r="AV385" s="27"/>
      <c r="AW385" s="27">
        <f t="shared" si="129"/>
        <v>10906344.933333335</v>
      </c>
      <c r="AX385" s="79">
        <f t="shared" si="133"/>
        <v>108563577.8</v>
      </c>
      <c r="AY385" s="79">
        <f t="shared" si="134"/>
        <v>55031596.200000003</v>
      </c>
      <c r="AZ385" s="25">
        <v>1</v>
      </c>
      <c r="BA385" s="62" t="s">
        <v>97</v>
      </c>
      <c r="BB385" s="66">
        <v>1</v>
      </c>
      <c r="BC385" s="66"/>
      <c r="BD385" s="66"/>
      <c r="BE385" s="67">
        <f t="shared" si="123"/>
        <v>1363293.1166666667</v>
      </c>
      <c r="BF385" s="67">
        <f t="shared" si="128"/>
        <v>0</v>
      </c>
      <c r="BG385" s="67">
        <f t="shared" si="121"/>
        <v>0</v>
      </c>
      <c r="BH385" s="66"/>
      <c r="BI385" s="68" t="s">
        <v>1102</v>
      </c>
      <c r="BJ385" s="68" t="s">
        <v>58</v>
      </c>
      <c r="BK385" s="68" t="s">
        <v>59</v>
      </c>
      <c r="BL385" s="29"/>
      <c r="BO385" s="35" t="s">
        <v>1801</v>
      </c>
      <c r="BP385" s="1" t="s">
        <v>1813</v>
      </c>
    </row>
    <row r="386" spans="1:68" ht="15" customHeight="1">
      <c r="A386" s="1" t="s">
        <v>43</v>
      </c>
      <c r="C386" s="1" t="str">
        <f t="shared" si="130"/>
        <v>3104</v>
      </c>
      <c r="D386" s="1" t="str">
        <f t="shared" si="131"/>
        <v>2104</v>
      </c>
      <c r="E386" s="19" t="s">
        <v>48</v>
      </c>
      <c r="F386" s="62" t="s">
        <v>49</v>
      </c>
      <c r="G386" s="62">
        <v>2112</v>
      </c>
      <c r="H386" s="62" t="s">
        <v>1103</v>
      </c>
      <c r="I386" s="62" t="s">
        <v>1084</v>
      </c>
      <c r="J386" s="118">
        <v>1</v>
      </c>
      <c r="K386" s="119" t="s">
        <v>271</v>
      </c>
      <c r="L386" s="62" t="s">
        <v>77</v>
      </c>
      <c r="M386" s="120" t="s">
        <v>1085</v>
      </c>
      <c r="N386" s="63">
        <v>44280</v>
      </c>
      <c r="O386" s="24">
        <v>6996</v>
      </c>
      <c r="P386" s="24">
        <v>23173</v>
      </c>
      <c r="Q386" s="64">
        <v>162118308</v>
      </c>
      <c r="R386" s="64"/>
      <c r="S386" s="64"/>
      <c r="T386" s="64">
        <v>1476865.7</v>
      </c>
      <c r="U386" s="64" t="s">
        <v>1086</v>
      </c>
      <c r="V386" s="121">
        <v>163595174</v>
      </c>
      <c r="W386" s="122">
        <v>0</v>
      </c>
      <c r="X386" s="64">
        <v>163595174</v>
      </c>
      <c r="Y386" s="121"/>
      <c r="Z386" s="121"/>
      <c r="AA386" s="128"/>
      <c r="AB386" s="121"/>
      <c r="AC386" s="64">
        <v>163595174</v>
      </c>
      <c r="AD386" s="65">
        <v>44306</v>
      </c>
      <c r="AE386" s="65">
        <v>47956</v>
      </c>
      <c r="AF386" s="62">
        <v>10</v>
      </c>
      <c r="AG386" s="119">
        <v>120</v>
      </c>
      <c r="AH386" s="25">
        <v>1363293.1166666667</v>
      </c>
      <c r="AI386" s="78">
        <v>44125251.266666666</v>
      </c>
      <c r="AJ386" s="78">
        <v>119469922.73333333</v>
      </c>
      <c r="AK386" s="27">
        <f t="shared" si="132"/>
        <v>1363293.1166666667</v>
      </c>
      <c r="AL386" s="27">
        <f t="shared" si="122"/>
        <v>1363293.1166666667</v>
      </c>
      <c r="AM386" s="27">
        <f t="shared" si="122"/>
        <v>1363293.1166666667</v>
      </c>
      <c r="AN386" s="27">
        <f t="shared" si="124"/>
        <v>1363293.1166666667</v>
      </c>
      <c r="AO386" s="27">
        <f t="shared" si="125"/>
        <v>1363293.1166666667</v>
      </c>
      <c r="AP386" s="27">
        <f t="shared" si="125"/>
        <v>1363293.1166666667</v>
      </c>
      <c r="AQ386" s="27">
        <f t="shared" si="126"/>
        <v>1363293.1166666667</v>
      </c>
      <c r="AR386" s="27">
        <f t="shared" si="127"/>
        <v>1363293.1166666667</v>
      </c>
      <c r="AS386" s="27"/>
      <c r="AT386" s="27"/>
      <c r="AU386" s="27"/>
      <c r="AV386" s="27"/>
      <c r="AW386" s="27">
        <f t="shared" si="129"/>
        <v>10906344.933333335</v>
      </c>
      <c r="AX386" s="79">
        <f t="shared" si="133"/>
        <v>108563577.8</v>
      </c>
      <c r="AY386" s="79">
        <f t="shared" si="134"/>
        <v>55031596.200000003</v>
      </c>
      <c r="AZ386" s="25">
        <v>1</v>
      </c>
      <c r="BA386" s="62" t="s">
        <v>97</v>
      </c>
      <c r="BB386" s="66">
        <v>1</v>
      </c>
      <c r="BC386" s="66"/>
      <c r="BD386" s="66"/>
      <c r="BE386" s="67">
        <f t="shared" si="123"/>
        <v>1363293.1166666667</v>
      </c>
      <c r="BF386" s="67">
        <f t="shared" si="128"/>
        <v>0</v>
      </c>
      <c r="BG386" s="67">
        <f t="shared" ref="BG386:BG448" si="135">+$AL386*BD386</f>
        <v>0</v>
      </c>
      <c r="BH386" s="66"/>
      <c r="BI386" s="68" t="s">
        <v>1104</v>
      </c>
      <c r="BJ386" s="68" t="s">
        <v>58</v>
      </c>
      <c r="BK386" s="68" t="s">
        <v>59</v>
      </c>
      <c r="BL386" s="29"/>
      <c r="BO386" s="35" t="s">
        <v>1800</v>
      </c>
      <c r="BP386" s="1" t="s">
        <v>1806</v>
      </c>
    </row>
    <row r="387" spans="1:68" ht="15" customHeight="1">
      <c r="A387" s="1" t="s">
        <v>43</v>
      </c>
      <c r="C387" s="1" t="str">
        <f t="shared" si="130"/>
        <v>3104</v>
      </c>
      <c r="D387" s="1" t="str">
        <f t="shared" si="131"/>
        <v>2104</v>
      </c>
      <c r="E387" s="19" t="s">
        <v>48</v>
      </c>
      <c r="F387" s="62" t="s">
        <v>49</v>
      </c>
      <c r="G387" s="62">
        <v>2112</v>
      </c>
      <c r="H387" s="62" t="s">
        <v>1105</v>
      </c>
      <c r="I387" s="62" t="s">
        <v>1106</v>
      </c>
      <c r="J387" s="118">
        <v>1</v>
      </c>
      <c r="K387" s="119" t="s">
        <v>271</v>
      </c>
      <c r="L387" s="62" t="s">
        <v>77</v>
      </c>
      <c r="M387" s="120" t="s">
        <v>1085</v>
      </c>
      <c r="N387" s="63">
        <v>44280</v>
      </c>
      <c r="O387" s="24">
        <v>9752</v>
      </c>
      <c r="P387" s="24">
        <v>23173</v>
      </c>
      <c r="Q387" s="64">
        <v>225983096</v>
      </c>
      <c r="R387" s="64"/>
      <c r="S387" s="64"/>
      <c r="T387" s="64">
        <v>2058661</v>
      </c>
      <c r="U387" s="64" t="s">
        <v>1086</v>
      </c>
      <c r="V387" s="121">
        <v>228041757</v>
      </c>
      <c r="W387" s="122">
        <v>0</v>
      </c>
      <c r="X387" s="64">
        <v>228041757</v>
      </c>
      <c r="Y387" s="121"/>
      <c r="Z387" s="121"/>
      <c r="AA387" s="128"/>
      <c r="AB387" s="121"/>
      <c r="AC387" s="64">
        <v>228041757</v>
      </c>
      <c r="AD387" s="65">
        <v>44306</v>
      </c>
      <c r="AE387" s="65">
        <v>47956</v>
      </c>
      <c r="AF387" s="62">
        <v>10</v>
      </c>
      <c r="AG387" s="119">
        <v>120</v>
      </c>
      <c r="AH387" s="25">
        <v>1900347.9750000001</v>
      </c>
      <c r="AI387" s="78">
        <v>61507930.016666651</v>
      </c>
      <c r="AJ387" s="78">
        <v>166533826.98333335</v>
      </c>
      <c r="AK387" s="27">
        <f t="shared" si="132"/>
        <v>1900347.9750000001</v>
      </c>
      <c r="AL387" s="27">
        <f t="shared" si="122"/>
        <v>1900347.9750000001</v>
      </c>
      <c r="AM387" s="27">
        <f t="shared" si="122"/>
        <v>1900347.9750000001</v>
      </c>
      <c r="AN387" s="27">
        <f t="shared" si="124"/>
        <v>1900347.9750000001</v>
      </c>
      <c r="AO387" s="27">
        <f t="shared" si="125"/>
        <v>1900347.9750000001</v>
      </c>
      <c r="AP387" s="27">
        <f t="shared" si="125"/>
        <v>1900347.9750000001</v>
      </c>
      <c r="AQ387" s="27">
        <f t="shared" si="126"/>
        <v>1900347.9750000001</v>
      </c>
      <c r="AR387" s="27">
        <f t="shared" si="127"/>
        <v>1900347.9750000001</v>
      </c>
      <c r="AS387" s="27"/>
      <c r="AT387" s="27"/>
      <c r="AU387" s="27"/>
      <c r="AV387" s="27"/>
      <c r="AW387" s="27">
        <f t="shared" si="129"/>
        <v>15202783.799999999</v>
      </c>
      <c r="AX387" s="79">
        <f t="shared" si="133"/>
        <v>151331043.18333334</v>
      </c>
      <c r="AY387" s="79">
        <f t="shared" si="134"/>
        <v>76710713.816666648</v>
      </c>
      <c r="AZ387" s="25">
        <v>1</v>
      </c>
      <c r="BA387" s="62" t="s">
        <v>97</v>
      </c>
      <c r="BB387" s="66">
        <v>1</v>
      </c>
      <c r="BC387" s="66"/>
      <c r="BD387" s="66"/>
      <c r="BE387" s="67">
        <f t="shared" si="123"/>
        <v>1900347.9750000001</v>
      </c>
      <c r="BF387" s="67">
        <f t="shared" si="128"/>
        <v>0</v>
      </c>
      <c r="BG387" s="67">
        <f t="shared" si="135"/>
        <v>0</v>
      </c>
      <c r="BH387" s="66"/>
      <c r="BI387" s="68" t="s">
        <v>1107</v>
      </c>
      <c r="BJ387" s="68" t="s">
        <v>58</v>
      </c>
      <c r="BK387" s="68" t="s">
        <v>59</v>
      </c>
      <c r="BL387" s="29"/>
      <c r="BO387" s="35" t="s">
        <v>1800</v>
      </c>
      <c r="BP387" s="1" t="s">
        <v>1811</v>
      </c>
    </row>
    <row r="388" spans="1:68" ht="15" customHeight="1">
      <c r="A388" s="1" t="s">
        <v>43</v>
      </c>
      <c r="C388" s="1" t="str">
        <f t="shared" si="130"/>
        <v>2804</v>
      </c>
      <c r="D388" s="1" t="str">
        <f t="shared" si="131"/>
        <v>2104</v>
      </c>
      <c r="E388" s="19" t="s">
        <v>48</v>
      </c>
      <c r="F388" s="62" t="s">
        <v>49</v>
      </c>
      <c r="G388" s="62">
        <v>2112</v>
      </c>
      <c r="H388" s="62" t="s">
        <v>1108</v>
      </c>
      <c r="I388" s="62" t="s">
        <v>1109</v>
      </c>
      <c r="J388" s="118">
        <v>1</v>
      </c>
      <c r="K388" s="119" t="s">
        <v>271</v>
      </c>
      <c r="L388" s="62" t="s">
        <v>77</v>
      </c>
      <c r="M388" s="120" t="s">
        <v>1110</v>
      </c>
      <c r="N388" s="63">
        <v>44258</v>
      </c>
      <c r="O388" s="24">
        <v>5000</v>
      </c>
      <c r="P388" s="24">
        <v>23125</v>
      </c>
      <c r="Q388" s="64">
        <v>115625000</v>
      </c>
      <c r="R388" s="64"/>
      <c r="S388" s="64"/>
      <c r="T388" s="64">
        <v>2713186</v>
      </c>
      <c r="U388" s="64" t="s">
        <v>1111</v>
      </c>
      <c r="V388" s="121">
        <v>118338186</v>
      </c>
      <c r="W388" s="122">
        <v>0</v>
      </c>
      <c r="X388" s="64">
        <v>118338186</v>
      </c>
      <c r="Y388" s="121"/>
      <c r="Z388" s="121"/>
      <c r="AA388" s="128"/>
      <c r="AB388" s="121"/>
      <c r="AC388" s="64">
        <v>118338186</v>
      </c>
      <c r="AD388" s="65">
        <v>44306</v>
      </c>
      <c r="AE388" s="65">
        <v>46861</v>
      </c>
      <c r="AF388" s="62">
        <v>7</v>
      </c>
      <c r="AG388" s="119">
        <v>84</v>
      </c>
      <c r="AH388" s="25">
        <v>1408787.9285714286</v>
      </c>
      <c r="AI388" s="78">
        <v>45597770.885714285</v>
      </c>
      <c r="AJ388" s="78">
        <v>72740415.114285707</v>
      </c>
      <c r="AK388" s="27">
        <f t="shared" si="132"/>
        <v>1408787.9285714286</v>
      </c>
      <c r="AL388" s="27">
        <f t="shared" si="122"/>
        <v>1408787.9285714286</v>
      </c>
      <c r="AM388" s="27">
        <f t="shared" si="122"/>
        <v>1408787.9285714286</v>
      </c>
      <c r="AN388" s="27">
        <f t="shared" si="124"/>
        <v>1408787.9285714286</v>
      </c>
      <c r="AO388" s="27">
        <f t="shared" si="125"/>
        <v>1408787.9285714286</v>
      </c>
      <c r="AP388" s="27">
        <f t="shared" si="125"/>
        <v>1408787.9285714286</v>
      </c>
      <c r="AQ388" s="27">
        <f t="shared" si="126"/>
        <v>1408787.9285714286</v>
      </c>
      <c r="AR388" s="27">
        <f t="shared" si="127"/>
        <v>1408787.9285714286</v>
      </c>
      <c r="AS388" s="27"/>
      <c r="AT388" s="27"/>
      <c r="AU388" s="27"/>
      <c r="AV388" s="27"/>
      <c r="AW388" s="27">
        <f t="shared" si="129"/>
        <v>11270303.428571431</v>
      </c>
      <c r="AX388" s="79">
        <f t="shared" si="133"/>
        <v>61470111.685714275</v>
      </c>
      <c r="AY388" s="79">
        <f t="shared" si="134"/>
        <v>56868074.314285718</v>
      </c>
      <c r="AZ388" s="25">
        <v>1</v>
      </c>
      <c r="BA388" s="62" t="s">
        <v>97</v>
      </c>
      <c r="BB388" s="66">
        <v>1</v>
      </c>
      <c r="BC388" s="66"/>
      <c r="BD388" s="66"/>
      <c r="BE388" s="67">
        <f t="shared" si="123"/>
        <v>1408787.9285714286</v>
      </c>
      <c r="BF388" s="67">
        <f t="shared" si="128"/>
        <v>0</v>
      </c>
      <c r="BG388" s="67">
        <f t="shared" si="135"/>
        <v>0</v>
      </c>
      <c r="BH388" s="66"/>
      <c r="BI388" s="68" t="s">
        <v>1107</v>
      </c>
      <c r="BJ388" s="68" t="s">
        <v>58</v>
      </c>
      <c r="BK388" s="68" t="s">
        <v>59</v>
      </c>
      <c r="BL388" s="29"/>
      <c r="BO388" s="35" t="s">
        <v>1805</v>
      </c>
    </row>
    <row r="389" spans="1:68" ht="15" customHeight="1">
      <c r="A389" s="1" t="s">
        <v>43</v>
      </c>
      <c r="C389" s="1" t="str">
        <f t="shared" si="130"/>
        <v>2804</v>
      </c>
      <c r="D389" s="1" t="str">
        <f t="shared" si="131"/>
        <v>2104</v>
      </c>
      <c r="E389" s="19" t="s">
        <v>48</v>
      </c>
      <c r="F389" s="62" t="s">
        <v>1896</v>
      </c>
      <c r="G389" s="62">
        <v>2112</v>
      </c>
      <c r="H389" s="62" t="s">
        <v>1112</v>
      </c>
      <c r="I389" s="62" t="s">
        <v>1113</v>
      </c>
      <c r="J389" s="118">
        <v>1</v>
      </c>
      <c r="K389" s="119" t="s">
        <v>271</v>
      </c>
      <c r="L389" s="62" t="s">
        <v>77</v>
      </c>
      <c r="M389" s="120" t="s">
        <v>1110</v>
      </c>
      <c r="N389" s="63">
        <v>44258</v>
      </c>
      <c r="O389" s="24">
        <v>5500</v>
      </c>
      <c r="P389" s="24">
        <v>23125</v>
      </c>
      <c r="Q389" s="64">
        <v>127187500</v>
      </c>
      <c r="R389" s="64"/>
      <c r="S389" s="64"/>
      <c r="T389" s="64">
        <v>2984502</v>
      </c>
      <c r="U389" s="64" t="s">
        <v>1111</v>
      </c>
      <c r="V389" s="121">
        <v>130172002</v>
      </c>
      <c r="W389" s="122">
        <v>0</v>
      </c>
      <c r="X389" s="64">
        <v>130172002</v>
      </c>
      <c r="Y389" s="121"/>
      <c r="Z389" s="121"/>
      <c r="AA389" s="128"/>
      <c r="AB389" s="121"/>
      <c r="AC389" s="64">
        <v>130172002</v>
      </c>
      <c r="AD389" s="65">
        <v>44306</v>
      </c>
      <c r="AE389" s="65">
        <v>46861</v>
      </c>
      <c r="AF389" s="62">
        <v>7</v>
      </c>
      <c r="AG389" s="119">
        <v>84</v>
      </c>
      <c r="AH389" s="25">
        <v>1549666.6904761905</v>
      </c>
      <c r="AI389" s="78">
        <v>50157552.138095237</v>
      </c>
      <c r="AJ389" s="78">
        <v>80014449.86190477</v>
      </c>
      <c r="AK389" s="27">
        <f t="shared" si="132"/>
        <v>1549666.6904761905</v>
      </c>
      <c r="AL389" s="27">
        <f t="shared" ref="AL389:AM451" si="136">+IF(AND(AL$3&gt;=$D389,AL$3&lt;$C389),$AH389,$AJ389-SUM(AJ389:AK389))</f>
        <v>1549666.6904761905</v>
      </c>
      <c r="AM389" s="27">
        <f t="shared" si="136"/>
        <v>1549666.6904761905</v>
      </c>
      <c r="AN389" s="27">
        <f t="shared" si="124"/>
        <v>1549666.6904761905</v>
      </c>
      <c r="AO389" s="27">
        <f t="shared" si="125"/>
        <v>1549666.6904761905</v>
      </c>
      <c r="AP389" s="27">
        <f t="shared" si="125"/>
        <v>1549666.6904761905</v>
      </c>
      <c r="AQ389" s="27">
        <f t="shared" si="126"/>
        <v>1549666.6904761905</v>
      </c>
      <c r="AR389" s="27">
        <f t="shared" si="127"/>
        <v>1549666.6904761905</v>
      </c>
      <c r="AS389" s="27"/>
      <c r="AT389" s="27"/>
      <c r="AU389" s="27"/>
      <c r="AV389" s="27"/>
      <c r="AW389" s="27">
        <f t="shared" si="129"/>
        <v>12397333.523809524</v>
      </c>
      <c r="AX389" s="79">
        <f t="shared" si="133"/>
        <v>67617116.338095248</v>
      </c>
      <c r="AY389" s="79">
        <f t="shared" si="134"/>
        <v>62554885.66190476</v>
      </c>
      <c r="AZ389" s="25">
        <v>1</v>
      </c>
      <c r="BA389" s="62" t="s">
        <v>97</v>
      </c>
      <c r="BB389" s="66">
        <v>1</v>
      </c>
      <c r="BC389" s="66"/>
      <c r="BD389" s="66"/>
      <c r="BE389" s="67">
        <f t="shared" si="123"/>
        <v>1549666.6904761905</v>
      </c>
      <c r="BF389" s="67">
        <f t="shared" si="128"/>
        <v>0</v>
      </c>
      <c r="BG389" s="67">
        <f t="shared" si="135"/>
        <v>0</v>
      </c>
      <c r="BH389" s="66"/>
      <c r="BI389" s="68" t="s">
        <v>1107</v>
      </c>
      <c r="BJ389" s="68" t="s">
        <v>1929</v>
      </c>
      <c r="BK389" s="68" t="s">
        <v>1989</v>
      </c>
      <c r="BL389" s="29"/>
      <c r="BO389" s="35" t="s">
        <v>1805</v>
      </c>
    </row>
    <row r="390" spans="1:68" ht="15" customHeight="1">
      <c r="A390" s="1" t="s">
        <v>43</v>
      </c>
      <c r="C390" s="1" t="str">
        <f t="shared" si="130"/>
        <v>2804</v>
      </c>
      <c r="D390" s="1" t="str">
        <f t="shared" si="131"/>
        <v>2104</v>
      </c>
      <c r="E390" s="19" t="s">
        <v>48</v>
      </c>
      <c r="F390" s="62" t="s">
        <v>49</v>
      </c>
      <c r="G390" s="62">
        <v>2112</v>
      </c>
      <c r="H390" s="62" t="s">
        <v>1114</v>
      </c>
      <c r="I390" s="62" t="s">
        <v>1115</v>
      </c>
      <c r="J390" s="118">
        <v>1</v>
      </c>
      <c r="K390" s="119" t="s">
        <v>271</v>
      </c>
      <c r="L390" s="62" t="s">
        <v>77</v>
      </c>
      <c r="M390" s="120" t="s">
        <v>1110</v>
      </c>
      <c r="N390" s="63">
        <v>44258</v>
      </c>
      <c r="O390" s="24">
        <v>7000</v>
      </c>
      <c r="P390" s="24">
        <v>23125</v>
      </c>
      <c r="Q390" s="64">
        <v>161875000</v>
      </c>
      <c r="R390" s="64"/>
      <c r="S390" s="64"/>
      <c r="T390" s="64">
        <v>3798459</v>
      </c>
      <c r="U390" s="64" t="s">
        <v>1111</v>
      </c>
      <c r="V390" s="121">
        <v>165673459</v>
      </c>
      <c r="W390" s="122">
        <v>0</v>
      </c>
      <c r="X390" s="64">
        <v>165673459</v>
      </c>
      <c r="Y390" s="121"/>
      <c r="Z390" s="121"/>
      <c r="AA390" s="128"/>
      <c r="AB390" s="121"/>
      <c r="AC390" s="64">
        <v>165673459</v>
      </c>
      <c r="AD390" s="65">
        <v>44306</v>
      </c>
      <c r="AE390" s="65">
        <v>46861</v>
      </c>
      <c r="AF390" s="62">
        <v>7</v>
      </c>
      <c r="AG390" s="119">
        <v>84</v>
      </c>
      <c r="AH390" s="25">
        <v>1972303.0833333333</v>
      </c>
      <c r="AI390" s="78">
        <v>63836874.599999979</v>
      </c>
      <c r="AJ390" s="78">
        <v>101836584.40000002</v>
      </c>
      <c r="AK390" s="27">
        <f t="shared" si="132"/>
        <v>1972303.0833333333</v>
      </c>
      <c r="AL390" s="27">
        <f t="shared" si="136"/>
        <v>1972303.0833333333</v>
      </c>
      <c r="AM390" s="27">
        <f t="shared" si="136"/>
        <v>1972303.0833333333</v>
      </c>
      <c r="AN390" s="27">
        <f t="shared" si="124"/>
        <v>1972303.0833333333</v>
      </c>
      <c r="AO390" s="27">
        <f t="shared" si="125"/>
        <v>1972303.0833333333</v>
      </c>
      <c r="AP390" s="27">
        <f t="shared" si="125"/>
        <v>1972303.0833333333</v>
      </c>
      <c r="AQ390" s="27">
        <f t="shared" si="126"/>
        <v>1972303.0833333333</v>
      </c>
      <c r="AR390" s="27">
        <f t="shared" si="127"/>
        <v>1972303.0833333333</v>
      </c>
      <c r="AS390" s="27"/>
      <c r="AT390" s="27"/>
      <c r="AU390" s="27"/>
      <c r="AV390" s="27"/>
      <c r="AW390" s="27">
        <f t="shared" si="129"/>
        <v>15778424.666666668</v>
      </c>
      <c r="AX390" s="79">
        <f t="shared" si="133"/>
        <v>86058159.733333349</v>
      </c>
      <c r="AY390" s="79">
        <f t="shared" si="134"/>
        <v>79615299.266666651</v>
      </c>
      <c r="AZ390" s="25">
        <v>1</v>
      </c>
      <c r="BA390" s="62" t="s">
        <v>97</v>
      </c>
      <c r="BB390" s="66">
        <v>1</v>
      </c>
      <c r="BC390" s="66"/>
      <c r="BD390" s="66"/>
      <c r="BE390" s="67">
        <f t="shared" si="123"/>
        <v>1972303.0833333333</v>
      </c>
      <c r="BF390" s="67">
        <f t="shared" si="128"/>
        <v>0</v>
      </c>
      <c r="BG390" s="67">
        <f t="shared" si="135"/>
        <v>0</v>
      </c>
      <c r="BH390" s="66"/>
      <c r="BI390" s="68" t="s">
        <v>1107</v>
      </c>
      <c r="BJ390" s="68" t="s">
        <v>58</v>
      </c>
      <c r="BK390" s="68" t="s">
        <v>59</v>
      </c>
      <c r="BL390" s="29"/>
      <c r="BO390" s="35" t="s">
        <v>1805</v>
      </c>
    </row>
    <row r="391" spans="1:68" ht="15" customHeight="1">
      <c r="A391" s="1" t="s">
        <v>43</v>
      </c>
      <c r="C391" s="1" t="str">
        <f t="shared" si="130"/>
        <v>2804</v>
      </c>
      <c r="D391" s="1" t="str">
        <f t="shared" si="131"/>
        <v>2104</v>
      </c>
      <c r="E391" s="19" t="s">
        <v>48</v>
      </c>
      <c r="F391" s="62" t="s">
        <v>49</v>
      </c>
      <c r="G391" s="62">
        <v>2112</v>
      </c>
      <c r="H391" s="62" t="s">
        <v>1116</v>
      </c>
      <c r="I391" s="62" t="s">
        <v>1117</v>
      </c>
      <c r="J391" s="118">
        <v>1</v>
      </c>
      <c r="K391" s="119" t="s">
        <v>271</v>
      </c>
      <c r="L391" s="62" t="s">
        <v>77</v>
      </c>
      <c r="M391" s="120" t="s">
        <v>1110</v>
      </c>
      <c r="N391" s="63">
        <v>44258</v>
      </c>
      <c r="O391" s="24">
        <v>10500</v>
      </c>
      <c r="P391" s="24">
        <v>23125</v>
      </c>
      <c r="Q391" s="64">
        <v>242812500</v>
      </c>
      <c r="R391" s="64"/>
      <c r="S391" s="64"/>
      <c r="T391" s="64">
        <v>5697688</v>
      </c>
      <c r="U391" s="64" t="s">
        <v>1111</v>
      </c>
      <c r="V391" s="121">
        <v>248510188</v>
      </c>
      <c r="W391" s="122">
        <v>0</v>
      </c>
      <c r="X391" s="64">
        <v>248510188</v>
      </c>
      <c r="Y391" s="121"/>
      <c r="Z391" s="121"/>
      <c r="AA391" s="128"/>
      <c r="AB391" s="121"/>
      <c r="AC391" s="64">
        <v>248510188</v>
      </c>
      <c r="AD391" s="65">
        <v>44306</v>
      </c>
      <c r="AE391" s="65">
        <v>46861</v>
      </c>
      <c r="AF391" s="62">
        <v>7</v>
      </c>
      <c r="AG391" s="119">
        <v>84</v>
      </c>
      <c r="AH391" s="25">
        <v>2958454.6190476189</v>
      </c>
      <c r="AI391" s="78">
        <v>95755323.023809537</v>
      </c>
      <c r="AJ391" s="78">
        <v>152754864.97619045</v>
      </c>
      <c r="AK391" s="27">
        <f t="shared" si="132"/>
        <v>2958454.6190476189</v>
      </c>
      <c r="AL391" s="27">
        <f t="shared" si="136"/>
        <v>2958454.6190476189</v>
      </c>
      <c r="AM391" s="27">
        <f t="shared" si="136"/>
        <v>2958454.6190476189</v>
      </c>
      <c r="AN391" s="27">
        <f t="shared" si="124"/>
        <v>2958454.6190476189</v>
      </c>
      <c r="AO391" s="27">
        <f t="shared" si="125"/>
        <v>2958454.6190476189</v>
      </c>
      <c r="AP391" s="27">
        <f t="shared" si="125"/>
        <v>2958454.6190476189</v>
      </c>
      <c r="AQ391" s="27">
        <f t="shared" si="126"/>
        <v>2958454.6190476189</v>
      </c>
      <c r="AR391" s="27">
        <f t="shared" si="127"/>
        <v>2958454.6190476189</v>
      </c>
      <c r="AS391" s="27"/>
      <c r="AT391" s="27"/>
      <c r="AU391" s="27"/>
      <c r="AV391" s="27"/>
      <c r="AW391" s="27">
        <f t="shared" si="129"/>
        <v>23667636.952380951</v>
      </c>
      <c r="AX391" s="79">
        <f t="shared" si="133"/>
        <v>129087228.02380949</v>
      </c>
      <c r="AY391" s="79">
        <f t="shared" si="134"/>
        <v>119422959.97619049</v>
      </c>
      <c r="AZ391" s="25">
        <v>1</v>
      </c>
      <c r="BA391" s="62" t="s">
        <v>97</v>
      </c>
      <c r="BB391" s="66">
        <v>1</v>
      </c>
      <c r="BC391" s="66"/>
      <c r="BD391" s="66"/>
      <c r="BE391" s="67">
        <f t="shared" si="123"/>
        <v>2958454.6190476189</v>
      </c>
      <c r="BF391" s="67">
        <f t="shared" si="128"/>
        <v>0</v>
      </c>
      <c r="BG391" s="67">
        <f t="shared" si="135"/>
        <v>0</v>
      </c>
      <c r="BH391" s="66"/>
      <c r="BI391" s="68" t="s">
        <v>57</v>
      </c>
      <c r="BJ391" s="68" t="s">
        <v>58</v>
      </c>
      <c r="BK391" s="68" t="s">
        <v>59</v>
      </c>
      <c r="BL391" s="29"/>
      <c r="BO391" s="35" t="s">
        <v>1801</v>
      </c>
    </row>
    <row r="392" spans="1:68" ht="15" customHeight="1">
      <c r="A392" s="1" t="s">
        <v>43</v>
      </c>
      <c r="C392" s="1" t="str">
        <f t="shared" si="130"/>
        <v>3103</v>
      </c>
      <c r="D392" s="1" t="str">
        <f t="shared" si="131"/>
        <v>2103</v>
      </c>
      <c r="E392" s="19" t="s">
        <v>48</v>
      </c>
      <c r="F392" s="62" t="s">
        <v>49</v>
      </c>
      <c r="G392" s="62">
        <v>2112</v>
      </c>
      <c r="H392" s="62" t="s">
        <v>1118</v>
      </c>
      <c r="I392" s="62" t="s">
        <v>1119</v>
      </c>
      <c r="J392" s="118">
        <v>1</v>
      </c>
      <c r="K392" s="119" t="s">
        <v>271</v>
      </c>
      <c r="L392" s="62" t="s">
        <v>858</v>
      </c>
      <c r="M392" s="120" t="s">
        <v>1120</v>
      </c>
      <c r="N392" s="63">
        <v>44260</v>
      </c>
      <c r="O392" s="24">
        <v>27000</v>
      </c>
      <c r="P392" s="24">
        <v>23169</v>
      </c>
      <c r="Q392" s="64">
        <v>625563000</v>
      </c>
      <c r="R392" s="64"/>
      <c r="S392" s="64"/>
      <c r="T392" s="64">
        <v>15174175</v>
      </c>
      <c r="U392" s="64" t="s">
        <v>1121</v>
      </c>
      <c r="V392" s="121">
        <v>640737175</v>
      </c>
      <c r="W392" s="122">
        <v>0</v>
      </c>
      <c r="X392" s="64">
        <v>640737175</v>
      </c>
      <c r="Y392" s="121"/>
      <c r="Z392" s="121"/>
      <c r="AA392" s="128"/>
      <c r="AB392" s="121"/>
      <c r="AC392" s="64">
        <v>640737175</v>
      </c>
      <c r="AD392" s="65">
        <v>44278</v>
      </c>
      <c r="AE392" s="65">
        <v>47928</v>
      </c>
      <c r="AF392" s="62">
        <v>10</v>
      </c>
      <c r="AG392" s="119">
        <v>120</v>
      </c>
      <c r="AH392" s="25">
        <v>5339476.458333333</v>
      </c>
      <c r="AI392" s="78">
        <v>177752883.03494629</v>
      </c>
      <c r="AJ392" s="78">
        <v>462984291.96505368</v>
      </c>
      <c r="AK392" s="27">
        <f t="shared" si="132"/>
        <v>5339476.458333333</v>
      </c>
      <c r="AL392" s="27">
        <f t="shared" si="136"/>
        <v>5339476.458333333</v>
      </c>
      <c r="AM392" s="27">
        <f t="shared" si="136"/>
        <v>5339476.458333333</v>
      </c>
      <c r="AN392" s="27">
        <f t="shared" si="124"/>
        <v>5339476.458333333</v>
      </c>
      <c r="AO392" s="27">
        <f t="shared" si="125"/>
        <v>5339476.458333333</v>
      </c>
      <c r="AP392" s="27">
        <f t="shared" si="125"/>
        <v>5339476.458333333</v>
      </c>
      <c r="AQ392" s="27">
        <f t="shared" si="126"/>
        <v>5339476.458333333</v>
      </c>
      <c r="AR392" s="27">
        <f t="shared" si="127"/>
        <v>5339476.458333333</v>
      </c>
      <c r="AS392" s="27"/>
      <c r="AT392" s="27"/>
      <c r="AU392" s="27"/>
      <c r="AV392" s="27"/>
      <c r="AW392" s="27">
        <f t="shared" si="129"/>
        <v>42715811.666666664</v>
      </c>
      <c r="AX392" s="79">
        <f t="shared" si="133"/>
        <v>420268480.29838699</v>
      </c>
      <c r="AY392" s="79">
        <f t="shared" si="134"/>
        <v>220468694.70161295</v>
      </c>
      <c r="AZ392" s="25">
        <v>1</v>
      </c>
      <c r="BA392" s="62" t="s">
        <v>97</v>
      </c>
      <c r="BB392" s="66">
        <v>1</v>
      </c>
      <c r="BC392" s="66"/>
      <c r="BD392" s="66"/>
      <c r="BE392" s="67">
        <f t="shared" si="123"/>
        <v>5339476.458333333</v>
      </c>
      <c r="BF392" s="67">
        <f t="shared" si="128"/>
        <v>0</v>
      </c>
      <c r="BG392" s="67">
        <f t="shared" si="135"/>
        <v>0</v>
      </c>
      <c r="BH392" s="66"/>
      <c r="BI392" s="68" t="s">
        <v>861</v>
      </c>
      <c r="BJ392" s="68" t="s">
        <v>58</v>
      </c>
      <c r="BK392" s="68" t="s">
        <v>59</v>
      </c>
      <c r="BL392" s="29"/>
      <c r="BO392" s="35" t="s">
        <v>1800</v>
      </c>
    </row>
    <row r="393" spans="1:68" ht="15" customHeight="1">
      <c r="A393" s="1" t="s">
        <v>43</v>
      </c>
      <c r="C393" s="1" t="str">
        <f t="shared" si="130"/>
        <v>2903</v>
      </c>
      <c r="D393" s="1" t="str">
        <f t="shared" si="131"/>
        <v>2103</v>
      </c>
      <c r="E393" s="19" t="s">
        <v>48</v>
      </c>
      <c r="F393" s="62" t="s">
        <v>49</v>
      </c>
      <c r="G393" s="62">
        <v>2113</v>
      </c>
      <c r="H393" s="62" t="s">
        <v>1122</v>
      </c>
      <c r="I393" s="62" t="s">
        <v>1123</v>
      </c>
      <c r="J393" s="118">
        <v>1</v>
      </c>
      <c r="K393" s="119" t="s">
        <v>271</v>
      </c>
      <c r="L393" s="62" t="s">
        <v>1124</v>
      </c>
      <c r="M393" s="120" t="s">
        <v>800</v>
      </c>
      <c r="N393" s="63">
        <v>44286</v>
      </c>
      <c r="O393" s="24"/>
      <c r="P393" s="24"/>
      <c r="Q393" s="64">
        <v>230000000</v>
      </c>
      <c r="R393" s="64"/>
      <c r="S393" s="64"/>
      <c r="T393" s="64"/>
      <c r="U393" s="64"/>
      <c r="V393" s="121">
        <v>230000000</v>
      </c>
      <c r="W393" s="122">
        <v>0</v>
      </c>
      <c r="X393" s="64">
        <v>230000000</v>
      </c>
      <c r="Y393" s="121"/>
      <c r="Z393" s="121"/>
      <c r="AA393" s="128"/>
      <c r="AB393" s="121"/>
      <c r="AC393" s="64">
        <v>230000000</v>
      </c>
      <c r="AD393" s="65">
        <v>44286</v>
      </c>
      <c r="AE393" s="65">
        <v>47206</v>
      </c>
      <c r="AF393" s="62">
        <v>8</v>
      </c>
      <c r="AG393" s="119">
        <v>96</v>
      </c>
      <c r="AH393" s="25">
        <v>2395833.3333333335</v>
      </c>
      <c r="AI393" s="78">
        <v>79139777.268817201</v>
      </c>
      <c r="AJ393" s="78">
        <v>150860222.73118278</v>
      </c>
      <c r="AK393" s="27">
        <f t="shared" si="132"/>
        <v>2395833.3333333335</v>
      </c>
      <c r="AL393" s="27">
        <f t="shared" si="136"/>
        <v>2395833.3333333335</v>
      </c>
      <c r="AM393" s="27">
        <f t="shared" si="136"/>
        <v>2395833.3333333335</v>
      </c>
      <c r="AN393" s="27">
        <f t="shared" si="124"/>
        <v>2395833.3333333335</v>
      </c>
      <c r="AO393" s="27">
        <f t="shared" si="125"/>
        <v>2395833.3333333335</v>
      </c>
      <c r="AP393" s="27">
        <f t="shared" si="125"/>
        <v>2395833.3333333335</v>
      </c>
      <c r="AQ393" s="27">
        <f t="shared" si="126"/>
        <v>2395833.3333333335</v>
      </c>
      <c r="AR393" s="27">
        <f t="shared" si="127"/>
        <v>2395833.3333333335</v>
      </c>
      <c r="AS393" s="27"/>
      <c r="AT393" s="27"/>
      <c r="AU393" s="27"/>
      <c r="AV393" s="27"/>
      <c r="AW393" s="27">
        <f t="shared" si="129"/>
        <v>19166666.666666668</v>
      </c>
      <c r="AX393" s="79">
        <f t="shared" si="133"/>
        <v>131693556.06451614</v>
      </c>
      <c r="AY393" s="79">
        <f t="shared" si="134"/>
        <v>98306443.935483873</v>
      </c>
      <c r="AZ393" s="25">
        <v>1</v>
      </c>
      <c r="BA393" s="62" t="s">
        <v>275</v>
      </c>
      <c r="BB393" s="66">
        <v>1</v>
      </c>
      <c r="BC393" s="66"/>
      <c r="BD393" s="66"/>
      <c r="BE393" s="67">
        <f t="shared" si="123"/>
        <v>2395833.3333333335</v>
      </c>
      <c r="BF393" s="67">
        <f t="shared" si="128"/>
        <v>0</v>
      </c>
      <c r="BG393" s="67">
        <f t="shared" si="135"/>
        <v>0</v>
      </c>
      <c r="BH393" s="66"/>
      <c r="BI393" s="68" t="s">
        <v>135</v>
      </c>
      <c r="BJ393" s="68" t="s">
        <v>58</v>
      </c>
      <c r="BK393" s="68" t="s">
        <v>59</v>
      </c>
      <c r="BL393" s="29"/>
      <c r="BO393" s="35" t="s">
        <v>1804</v>
      </c>
    </row>
    <row r="394" spans="1:68" ht="15" customHeight="1">
      <c r="A394" s="1" t="s">
        <v>43</v>
      </c>
      <c r="C394" s="1" t="str">
        <f t="shared" si="130"/>
        <v>2903</v>
      </c>
      <c r="D394" s="1" t="str">
        <f t="shared" si="131"/>
        <v>2103</v>
      </c>
      <c r="E394" s="19" t="s">
        <v>48</v>
      </c>
      <c r="F394" s="62" t="s">
        <v>49</v>
      </c>
      <c r="G394" s="62">
        <v>2111</v>
      </c>
      <c r="H394" s="62" t="s">
        <v>1125</v>
      </c>
      <c r="I394" s="62" t="s">
        <v>1126</v>
      </c>
      <c r="J394" s="118">
        <v>1</v>
      </c>
      <c r="K394" s="119" t="s">
        <v>271</v>
      </c>
      <c r="L394" s="62" t="s">
        <v>1127</v>
      </c>
      <c r="M394" s="120" t="s">
        <v>1128</v>
      </c>
      <c r="N394" s="63">
        <v>44282</v>
      </c>
      <c r="O394" s="24"/>
      <c r="P394" s="24"/>
      <c r="Q394" s="64">
        <v>138000000</v>
      </c>
      <c r="R394" s="64"/>
      <c r="S394" s="64"/>
      <c r="T394" s="64"/>
      <c r="U394" s="64"/>
      <c r="V394" s="121">
        <v>138000000</v>
      </c>
      <c r="W394" s="122">
        <v>0</v>
      </c>
      <c r="X394" s="64">
        <v>138000000</v>
      </c>
      <c r="Y394" s="121"/>
      <c r="Z394" s="121"/>
      <c r="AA394" s="128"/>
      <c r="AB394" s="121"/>
      <c r="AC394" s="64">
        <v>138000000</v>
      </c>
      <c r="AD394" s="65">
        <v>44282</v>
      </c>
      <c r="AE394" s="65">
        <v>47202</v>
      </c>
      <c r="AF394" s="62">
        <v>8</v>
      </c>
      <c r="AG394" s="119">
        <v>96</v>
      </c>
      <c r="AH394" s="25">
        <v>1437500</v>
      </c>
      <c r="AI394" s="78">
        <v>47669354.838709682</v>
      </c>
      <c r="AJ394" s="78">
        <v>90330645.161290318</v>
      </c>
      <c r="AK394" s="27">
        <f t="shared" si="132"/>
        <v>1437500</v>
      </c>
      <c r="AL394" s="27">
        <f t="shared" si="136"/>
        <v>1437500</v>
      </c>
      <c r="AM394" s="27">
        <f t="shared" si="136"/>
        <v>1437500</v>
      </c>
      <c r="AN394" s="27">
        <f t="shared" si="124"/>
        <v>1437500</v>
      </c>
      <c r="AO394" s="27">
        <f t="shared" si="125"/>
        <v>1437500</v>
      </c>
      <c r="AP394" s="27">
        <f t="shared" si="125"/>
        <v>1437500</v>
      </c>
      <c r="AQ394" s="27">
        <f t="shared" si="126"/>
        <v>1437500</v>
      </c>
      <c r="AR394" s="27">
        <f t="shared" si="127"/>
        <v>1437500</v>
      </c>
      <c r="AS394" s="27"/>
      <c r="AT394" s="27"/>
      <c r="AU394" s="27"/>
      <c r="AV394" s="27"/>
      <c r="AW394" s="27">
        <f t="shared" si="129"/>
        <v>11500000</v>
      </c>
      <c r="AX394" s="79">
        <f t="shared" si="133"/>
        <v>78830645.161290318</v>
      </c>
      <c r="AY394" s="79">
        <f t="shared" si="134"/>
        <v>59169354.838709682</v>
      </c>
      <c r="AZ394" s="25">
        <v>1</v>
      </c>
      <c r="BA394" s="62" t="s">
        <v>56</v>
      </c>
      <c r="BB394" s="66">
        <v>1</v>
      </c>
      <c r="BC394" s="66"/>
      <c r="BD394" s="66"/>
      <c r="BE394" s="67">
        <f t="shared" si="123"/>
        <v>1437500</v>
      </c>
      <c r="BF394" s="67">
        <f t="shared" si="128"/>
        <v>0</v>
      </c>
      <c r="BG394" s="67">
        <f t="shared" si="135"/>
        <v>0</v>
      </c>
      <c r="BH394" s="66"/>
      <c r="BI394" s="68" t="s">
        <v>57</v>
      </c>
      <c r="BJ394" s="68" t="s">
        <v>58</v>
      </c>
      <c r="BK394" s="68" t="s">
        <v>59</v>
      </c>
      <c r="BL394" s="29"/>
      <c r="BO394" s="35" t="s">
        <v>1799</v>
      </c>
    </row>
    <row r="395" spans="1:68" ht="15" customHeight="1">
      <c r="A395" s="1" t="s">
        <v>43</v>
      </c>
      <c r="C395" s="1" t="str">
        <f t="shared" si="130"/>
        <v>2705</v>
      </c>
      <c r="D395" s="1" t="str">
        <f t="shared" si="131"/>
        <v>2105</v>
      </c>
      <c r="E395" s="19" t="s">
        <v>48</v>
      </c>
      <c r="F395" s="62" t="s">
        <v>1129</v>
      </c>
      <c r="G395" s="62">
        <v>2114</v>
      </c>
      <c r="H395" s="62" t="s">
        <v>1130</v>
      </c>
      <c r="I395" s="62" t="s">
        <v>1131</v>
      </c>
      <c r="J395" s="118">
        <v>1</v>
      </c>
      <c r="K395" s="119" t="s">
        <v>271</v>
      </c>
      <c r="L395" s="62" t="s">
        <v>77</v>
      </c>
      <c r="M395" s="120" t="s">
        <v>1132</v>
      </c>
      <c r="N395" s="63">
        <v>44315</v>
      </c>
      <c r="O395" s="24">
        <v>2718</v>
      </c>
      <c r="P395" s="24">
        <v>23165</v>
      </c>
      <c r="Q395" s="64">
        <v>62962470</v>
      </c>
      <c r="R395" s="64">
        <v>4373126</v>
      </c>
      <c r="S395" s="64"/>
      <c r="T395" s="64">
        <v>6284564</v>
      </c>
      <c r="U395" s="64" t="s">
        <v>1133</v>
      </c>
      <c r="V395" s="121">
        <v>73620160</v>
      </c>
      <c r="W395" s="122">
        <v>0</v>
      </c>
      <c r="X395" s="64">
        <v>73620160</v>
      </c>
      <c r="Y395" s="121"/>
      <c r="Z395" s="121"/>
      <c r="AA395" s="128"/>
      <c r="AB395" s="121"/>
      <c r="AC395" s="64">
        <v>73620160</v>
      </c>
      <c r="AD395" s="65">
        <v>44319</v>
      </c>
      <c r="AE395" s="65">
        <v>46509</v>
      </c>
      <c r="AF395" s="62">
        <v>6</v>
      </c>
      <c r="AG395" s="119">
        <v>72</v>
      </c>
      <c r="AH395" s="25">
        <v>1022502.2222222222</v>
      </c>
      <c r="AI395" s="78">
        <v>32654098.351254474</v>
      </c>
      <c r="AJ395" s="78">
        <v>40966061.648745522</v>
      </c>
      <c r="AK395" s="27">
        <f t="shared" si="132"/>
        <v>1022502.2222222222</v>
      </c>
      <c r="AL395" s="27">
        <f t="shared" si="136"/>
        <v>1022502.2222222222</v>
      </c>
      <c r="AM395" s="27">
        <f t="shared" si="136"/>
        <v>1022502.2222222222</v>
      </c>
      <c r="AN395" s="27">
        <f t="shared" si="124"/>
        <v>1022502.2222222222</v>
      </c>
      <c r="AO395" s="27">
        <f t="shared" si="125"/>
        <v>1022502.2222222222</v>
      </c>
      <c r="AP395" s="27">
        <f t="shared" si="125"/>
        <v>1022502.2222222222</v>
      </c>
      <c r="AQ395" s="27">
        <f t="shared" si="126"/>
        <v>1022502.2222222222</v>
      </c>
      <c r="AR395" s="27">
        <f t="shared" si="127"/>
        <v>1022502.2222222222</v>
      </c>
      <c r="AS395" s="27"/>
      <c r="AT395" s="27"/>
      <c r="AU395" s="27"/>
      <c r="AV395" s="27"/>
      <c r="AW395" s="27">
        <f t="shared" si="129"/>
        <v>8180017.7777777771</v>
      </c>
      <c r="AX395" s="79">
        <f t="shared" si="133"/>
        <v>32786043.870967746</v>
      </c>
      <c r="AY395" s="79">
        <f t="shared" si="134"/>
        <v>40834116.129032254</v>
      </c>
      <c r="AZ395" s="25">
        <v>1</v>
      </c>
      <c r="BA395" s="62" t="s">
        <v>79</v>
      </c>
      <c r="BB395" s="66">
        <v>1</v>
      </c>
      <c r="BC395" s="66"/>
      <c r="BD395" s="66"/>
      <c r="BE395" s="67">
        <f t="shared" si="123"/>
        <v>1022502.2222222222</v>
      </c>
      <c r="BF395" s="67">
        <f t="shared" si="128"/>
        <v>0</v>
      </c>
      <c r="BG395" s="67">
        <f t="shared" si="135"/>
        <v>0</v>
      </c>
      <c r="BH395" s="66"/>
      <c r="BI395" s="68" t="s">
        <v>1134</v>
      </c>
      <c r="BJ395" s="68" t="s">
        <v>85</v>
      </c>
      <c r="BK395" s="68" t="s">
        <v>85</v>
      </c>
      <c r="BL395" s="29"/>
      <c r="BO395" s="35" t="s">
        <v>1804</v>
      </c>
    </row>
    <row r="396" spans="1:68" ht="15" customHeight="1">
      <c r="A396" s="1" t="s">
        <v>43</v>
      </c>
      <c r="C396" s="1" t="str">
        <f t="shared" si="130"/>
        <v>2605</v>
      </c>
      <c r="D396" s="1" t="str">
        <f t="shared" si="131"/>
        <v>2105</v>
      </c>
      <c r="E396" s="19" t="s">
        <v>48</v>
      </c>
      <c r="F396" s="62" t="s">
        <v>49</v>
      </c>
      <c r="G396" s="62">
        <v>2112</v>
      </c>
      <c r="H396" s="62" t="s">
        <v>1135</v>
      </c>
      <c r="I396" s="62" t="s">
        <v>1136</v>
      </c>
      <c r="J396" s="118">
        <v>1</v>
      </c>
      <c r="K396" s="119" t="s">
        <v>271</v>
      </c>
      <c r="L396" s="62" t="s">
        <v>911</v>
      </c>
      <c r="M396" s="120" t="s">
        <v>1137</v>
      </c>
      <c r="N396" s="63">
        <v>44321</v>
      </c>
      <c r="O396" s="24"/>
      <c r="P396" s="24"/>
      <c r="Q396" s="64">
        <v>87000000</v>
      </c>
      <c r="R396" s="64"/>
      <c r="S396" s="64"/>
      <c r="T396" s="64"/>
      <c r="U396" s="64"/>
      <c r="V396" s="121">
        <v>87000000</v>
      </c>
      <c r="W396" s="122">
        <v>0</v>
      </c>
      <c r="X396" s="64">
        <v>87000000</v>
      </c>
      <c r="Y396" s="121"/>
      <c r="Z396" s="121"/>
      <c r="AA396" s="128"/>
      <c r="AB396" s="121"/>
      <c r="AC396" s="64">
        <v>87000000</v>
      </c>
      <c r="AD396" s="65">
        <v>44336</v>
      </c>
      <c r="AE396" s="65">
        <v>46161</v>
      </c>
      <c r="AF396" s="62">
        <v>5</v>
      </c>
      <c r="AG396" s="119">
        <v>60</v>
      </c>
      <c r="AH396" s="25">
        <v>1450000</v>
      </c>
      <c r="AI396" s="78">
        <v>45511290.32258065</v>
      </c>
      <c r="AJ396" s="78">
        <v>41488709.67741935</v>
      </c>
      <c r="AK396" s="27">
        <f t="shared" si="132"/>
        <v>1450000</v>
      </c>
      <c r="AL396" s="27">
        <f t="shared" si="136"/>
        <v>1450000</v>
      </c>
      <c r="AM396" s="27">
        <f t="shared" si="136"/>
        <v>1450000</v>
      </c>
      <c r="AN396" s="27">
        <f t="shared" si="124"/>
        <v>1450000</v>
      </c>
      <c r="AO396" s="27">
        <f t="shared" si="125"/>
        <v>1450000</v>
      </c>
      <c r="AP396" s="27">
        <f t="shared" si="125"/>
        <v>1450000</v>
      </c>
      <c r="AQ396" s="27">
        <f t="shared" si="126"/>
        <v>1450000</v>
      </c>
      <c r="AR396" s="27">
        <f t="shared" si="127"/>
        <v>1450000</v>
      </c>
      <c r="AS396" s="27"/>
      <c r="AT396" s="27"/>
      <c r="AU396" s="27"/>
      <c r="AV396" s="27"/>
      <c r="AW396" s="27">
        <f t="shared" si="129"/>
        <v>11600000</v>
      </c>
      <c r="AX396" s="79">
        <f t="shared" si="133"/>
        <v>29888709.67741935</v>
      </c>
      <c r="AY396" s="79">
        <f t="shared" si="134"/>
        <v>57111290.32258065</v>
      </c>
      <c r="AZ396" s="25">
        <v>1</v>
      </c>
      <c r="BA396" s="62" t="s">
        <v>97</v>
      </c>
      <c r="BB396" s="66">
        <v>1</v>
      </c>
      <c r="BC396" s="66"/>
      <c r="BD396" s="66"/>
      <c r="BE396" s="67">
        <f t="shared" si="123"/>
        <v>1450000</v>
      </c>
      <c r="BF396" s="67">
        <f t="shared" si="128"/>
        <v>0</v>
      </c>
      <c r="BG396" s="67">
        <f t="shared" si="135"/>
        <v>0</v>
      </c>
      <c r="BH396" s="66"/>
      <c r="BI396" s="68" t="s">
        <v>1138</v>
      </c>
      <c r="BJ396" s="68" t="s">
        <v>58</v>
      </c>
      <c r="BK396" s="68" t="s">
        <v>59</v>
      </c>
      <c r="BL396" s="29"/>
      <c r="BO396" s="35" t="s">
        <v>1804</v>
      </c>
    </row>
    <row r="397" spans="1:68" ht="15" customHeight="1">
      <c r="A397" s="1" t="s">
        <v>43</v>
      </c>
      <c r="C397" s="1" t="str">
        <f t="shared" si="130"/>
        <v>2705</v>
      </c>
      <c r="D397" s="1" t="str">
        <f t="shared" si="131"/>
        <v>2105</v>
      </c>
      <c r="E397" s="19" t="s">
        <v>48</v>
      </c>
      <c r="F397" s="62" t="s">
        <v>515</v>
      </c>
      <c r="G397" s="62">
        <v>2112</v>
      </c>
      <c r="H397" s="62" t="s">
        <v>1139</v>
      </c>
      <c r="I397" s="62" t="s">
        <v>1140</v>
      </c>
      <c r="J397" s="118">
        <v>1</v>
      </c>
      <c r="K397" s="119" t="s">
        <v>271</v>
      </c>
      <c r="L397" s="62" t="s">
        <v>1141</v>
      </c>
      <c r="M397" s="120" t="s">
        <v>1142</v>
      </c>
      <c r="N397" s="63">
        <v>44341</v>
      </c>
      <c r="O397" s="24"/>
      <c r="P397" s="24"/>
      <c r="Q397" s="64">
        <v>92500000</v>
      </c>
      <c r="R397" s="64"/>
      <c r="S397" s="64"/>
      <c r="T397" s="64"/>
      <c r="U397" s="64"/>
      <c r="V397" s="121">
        <v>92500000</v>
      </c>
      <c r="W397" s="122">
        <v>0</v>
      </c>
      <c r="X397" s="64">
        <v>92500000</v>
      </c>
      <c r="Y397" s="121"/>
      <c r="Z397" s="121"/>
      <c r="AA397" s="128"/>
      <c r="AB397" s="121"/>
      <c r="AC397" s="64">
        <v>92500000</v>
      </c>
      <c r="AD397" s="65">
        <v>44341</v>
      </c>
      <c r="AE397" s="65">
        <v>46531</v>
      </c>
      <c r="AF397" s="62">
        <v>6</v>
      </c>
      <c r="AG397" s="119">
        <v>72</v>
      </c>
      <c r="AH397" s="25">
        <v>1284722.2222222222</v>
      </c>
      <c r="AI397" s="78">
        <v>40116482.738351256</v>
      </c>
      <c r="AJ397" s="78">
        <v>52383517.261648744</v>
      </c>
      <c r="AK397" s="27">
        <f t="shared" si="132"/>
        <v>1284722.2222222222</v>
      </c>
      <c r="AL397" s="27">
        <f t="shared" si="136"/>
        <v>1284722.2222222222</v>
      </c>
      <c r="AM397" s="27">
        <f t="shared" si="136"/>
        <v>1284722.2222222222</v>
      </c>
      <c r="AN397" s="27">
        <f t="shared" si="124"/>
        <v>1284722.2222222222</v>
      </c>
      <c r="AO397" s="27">
        <f t="shared" si="125"/>
        <v>1284722.2222222222</v>
      </c>
      <c r="AP397" s="27">
        <f t="shared" si="125"/>
        <v>1284722.2222222222</v>
      </c>
      <c r="AQ397" s="27">
        <f t="shared" si="126"/>
        <v>1284722.2222222222</v>
      </c>
      <c r="AR397" s="27">
        <f t="shared" si="127"/>
        <v>1284722.2222222222</v>
      </c>
      <c r="AS397" s="27"/>
      <c r="AT397" s="27"/>
      <c r="AU397" s="27"/>
      <c r="AV397" s="27"/>
      <c r="AW397" s="27">
        <f t="shared" si="129"/>
        <v>10277777.777777778</v>
      </c>
      <c r="AX397" s="79">
        <f t="shared" si="133"/>
        <v>42105739.483870968</v>
      </c>
      <c r="AY397" s="79">
        <f t="shared" si="134"/>
        <v>50394260.516129032</v>
      </c>
      <c r="AZ397" s="25">
        <v>1</v>
      </c>
      <c r="BA397" s="62" t="s">
        <v>97</v>
      </c>
      <c r="BB397" s="66"/>
      <c r="BC397" s="66">
        <v>1</v>
      </c>
      <c r="BD397" s="66"/>
      <c r="BE397" s="67">
        <f t="shared" si="123"/>
        <v>0</v>
      </c>
      <c r="BF397" s="67">
        <f t="shared" si="128"/>
        <v>1284722.2222222222</v>
      </c>
      <c r="BG397" s="67">
        <f t="shared" si="135"/>
        <v>0</v>
      </c>
      <c r="BH397" s="62" t="s">
        <v>1668</v>
      </c>
      <c r="BI397" s="19" t="s">
        <v>1624</v>
      </c>
      <c r="BJ397" s="68" t="s">
        <v>1438</v>
      </c>
      <c r="BK397" s="68" t="s">
        <v>1438</v>
      </c>
      <c r="BL397" s="29"/>
      <c r="BM397" s="1" t="s">
        <v>1886</v>
      </c>
      <c r="BN397" s="1" t="s">
        <v>1666</v>
      </c>
      <c r="BO397" s="35" t="s">
        <v>1804</v>
      </c>
    </row>
    <row r="398" spans="1:68" ht="15" customHeight="1">
      <c r="A398" s="1" t="s">
        <v>43</v>
      </c>
      <c r="C398" s="1" t="str">
        <f t="shared" si="130"/>
        <v>2906</v>
      </c>
      <c r="D398" s="1" t="str">
        <f t="shared" si="131"/>
        <v>2106</v>
      </c>
      <c r="E398" s="19" t="s">
        <v>48</v>
      </c>
      <c r="F398" s="62" t="s">
        <v>515</v>
      </c>
      <c r="G398" s="62">
        <v>2112</v>
      </c>
      <c r="H398" s="62" t="s">
        <v>1143</v>
      </c>
      <c r="I398" s="62" t="s">
        <v>1144</v>
      </c>
      <c r="J398" s="118">
        <v>1</v>
      </c>
      <c r="K398" s="119" t="s">
        <v>271</v>
      </c>
      <c r="L398" s="62" t="s">
        <v>1145</v>
      </c>
      <c r="M398" s="120" t="s">
        <v>1146</v>
      </c>
      <c r="N398" s="63">
        <v>44376</v>
      </c>
      <c r="O398" s="24"/>
      <c r="P398" s="24"/>
      <c r="Q398" s="64">
        <v>144210000</v>
      </c>
      <c r="R398" s="64"/>
      <c r="S398" s="64"/>
      <c r="T398" s="64"/>
      <c r="U398" s="64"/>
      <c r="V398" s="121">
        <v>144210000</v>
      </c>
      <c r="W398" s="122">
        <v>0</v>
      </c>
      <c r="X398" s="64">
        <v>144210000</v>
      </c>
      <c r="Y398" s="121"/>
      <c r="Z398" s="121"/>
      <c r="AA398" s="128"/>
      <c r="AB398" s="121"/>
      <c r="AC398" s="64">
        <v>144210000</v>
      </c>
      <c r="AD398" s="63">
        <v>44376</v>
      </c>
      <c r="AE398" s="65">
        <v>47296</v>
      </c>
      <c r="AF398" s="62">
        <v>8</v>
      </c>
      <c r="AG398" s="119">
        <v>96</v>
      </c>
      <c r="AH398" s="25">
        <v>1502187.5</v>
      </c>
      <c r="AI398" s="78">
        <v>45165780.866666675</v>
      </c>
      <c r="AJ398" s="78">
        <v>99044219.133333325</v>
      </c>
      <c r="AK398" s="27">
        <f t="shared" si="132"/>
        <v>1502187.5</v>
      </c>
      <c r="AL398" s="27">
        <f t="shared" si="136"/>
        <v>1502187.5</v>
      </c>
      <c r="AM398" s="27">
        <f t="shared" si="136"/>
        <v>1502187.5</v>
      </c>
      <c r="AN398" s="27">
        <f t="shared" si="124"/>
        <v>1502187.5</v>
      </c>
      <c r="AO398" s="27">
        <f t="shared" si="125"/>
        <v>1502187.5</v>
      </c>
      <c r="AP398" s="27">
        <f t="shared" si="125"/>
        <v>1502187.5</v>
      </c>
      <c r="AQ398" s="27">
        <f t="shared" si="126"/>
        <v>1502187.5</v>
      </c>
      <c r="AR398" s="27">
        <f t="shared" si="127"/>
        <v>1502187.5</v>
      </c>
      <c r="AS398" s="27"/>
      <c r="AT398" s="27"/>
      <c r="AU398" s="27"/>
      <c r="AV398" s="27"/>
      <c r="AW398" s="27">
        <f t="shared" si="129"/>
        <v>12017500</v>
      </c>
      <c r="AX398" s="79">
        <f t="shared" si="133"/>
        <v>87026719.133333325</v>
      </c>
      <c r="AY398" s="79">
        <f t="shared" si="134"/>
        <v>57183280.866666675</v>
      </c>
      <c r="AZ398" s="25">
        <v>1</v>
      </c>
      <c r="BA398" s="62" t="s">
        <v>97</v>
      </c>
      <c r="BB398" s="66">
        <v>1</v>
      </c>
      <c r="BC398" s="66"/>
      <c r="BD398" s="66"/>
      <c r="BE398" s="67">
        <f t="shared" si="123"/>
        <v>1502187.5</v>
      </c>
      <c r="BF398" s="67">
        <f t="shared" si="128"/>
        <v>0</v>
      </c>
      <c r="BG398" s="67">
        <f t="shared" si="135"/>
        <v>0</v>
      </c>
      <c r="BH398" s="66"/>
      <c r="BI398" s="68" t="s">
        <v>737</v>
      </c>
      <c r="BJ398" s="68" t="s">
        <v>644</v>
      </c>
      <c r="BK398" s="68" t="s">
        <v>644</v>
      </c>
      <c r="BL398" s="29"/>
      <c r="BO398" s="35" t="s">
        <v>1802</v>
      </c>
    </row>
    <row r="399" spans="1:68" ht="15" customHeight="1">
      <c r="A399" s="1" t="s">
        <v>1147</v>
      </c>
      <c r="B399" s="1" t="s">
        <v>1148</v>
      </c>
      <c r="C399" s="1" t="str">
        <f t="shared" si="130"/>
        <v>3107</v>
      </c>
      <c r="D399" s="1" t="str">
        <f t="shared" si="131"/>
        <v>2107</v>
      </c>
      <c r="E399" s="19" t="s">
        <v>1149</v>
      </c>
      <c r="F399" s="62" t="s">
        <v>49</v>
      </c>
      <c r="G399" s="62">
        <v>2112</v>
      </c>
      <c r="H399" s="62" t="s">
        <v>1150</v>
      </c>
      <c r="I399" s="62" t="s">
        <v>1151</v>
      </c>
      <c r="J399" s="118">
        <v>1</v>
      </c>
      <c r="K399" s="119" t="s">
        <v>1152</v>
      </c>
      <c r="L399" s="62" t="s">
        <v>1153</v>
      </c>
      <c r="M399" s="120" t="s">
        <v>1154</v>
      </c>
      <c r="N399" s="63">
        <v>44396</v>
      </c>
      <c r="O399" s="24"/>
      <c r="P399" s="24"/>
      <c r="Q399" s="64">
        <v>746000000</v>
      </c>
      <c r="R399" s="64"/>
      <c r="S399" s="64"/>
      <c r="T399" s="64"/>
      <c r="U399" s="64"/>
      <c r="V399" s="121">
        <v>746000000</v>
      </c>
      <c r="W399" s="122"/>
      <c r="X399" s="64">
        <v>746000000</v>
      </c>
      <c r="Y399" s="121"/>
      <c r="Z399" s="121"/>
      <c r="AA399" s="128"/>
      <c r="AB399" s="121"/>
      <c r="AC399" s="64">
        <v>746000000</v>
      </c>
      <c r="AD399" s="63">
        <v>44396</v>
      </c>
      <c r="AE399" s="65">
        <v>48046</v>
      </c>
      <c r="AF399" s="62">
        <v>10</v>
      </c>
      <c r="AG399" s="119">
        <v>120</v>
      </c>
      <c r="AH399" s="25">
        <v>6216666.666666667</v>
      </c>
      <c r="AI399" s="78">
        <v>182890328.66666669</v>
      </c>
      <c r="AJ399" s="78">
        <v>563109671.33333337</v>
      </c>
      <c r="AK399" s="27">
        <f t="shared" si="132"/>
        <v>6216666.666666667</v>
      </c>
      <c r="AL399" s="27">
        <f t="shared" si="136"/>
        <v>6216666.666666667</v>
      </c>
      <c r="AM399" s="27">
        <f t="shared" si="136"/>
        <v>6216666.666666667</v>
      </c>
      <c r="AN399" s="27">
        <f t="shared" si="124"/>
        <v>6216666.666666667</v>
      </c>
      <c r="AO399" s="27">
        <f t="shared" si="125"/>
        <v>6216666.666666667</v>
      </c>
      <c r="AP399" s="27">
        <f t="shared" si="125"/>
        <v>6216666.666666667</v>
      </c>
      <c r="AQ399" s="27">
        <f t="shared" si="126"/>
        <v>6216666.666666667</v>
      </c>
      <c r="AR399" s="27">
        <f t="shared" si="127"/>
        <v>6216666.666666667</v>
      </c>
      <c r="AS399" s="27"/>
      <c r="AT399" s="27"/>
      <c r="AU399" s="27"/>
      <c r="AV399" s="27"/>
      <c r="AW399" s="27">
        <f t="shared" si="129"/>
        <v>49733333.333333328</v>
      </c>
      <c r="AX399" s="79">
        <f t="shared" si="133"/>
        <v>513376337.99999994</v>
      </c>
      <c r="AY399" s="79">
        <f t="shared" si="134"/>
        <v>232623662</v>
      </c>
      <c r="AZ399" s="25">
        <v>1</v>
      </c>
      <c r="BA399" s="62" t="s">
        <v>97</v>
      </c>
      <c r="BB399" s="66">
        <v>1</v>
      </c>
      <c r="BC399" s="66"/>
      <c r="BD399" s="66"/>
      <c r="BE399" s="67">
        <f t="shared" si="123"/>
        <v>6216666.666666667</v>
      </c>
      <c r="BF399" s="67">
        <f t="shared" si="128"/>
        <v>0</v>
      </c>
      <c r="BG399" s="67">
        <f t="shared" si="135"/>
        <v>0</v>
      </c>
      <c r="BH399" s="66"/>
      <c r="BI399" s="68" t="s">
        <v>1155</v>
      </c>
      <c r="BJ399" s="68" t="s">
        <v>121</v>
      </c>
      <c r="BK399" s="68" t="s">
        <v>121</v>
      </c>
      <c r="BL399" s="29"/>
      <c r="BO399" s="35" t="s">
        <v>1804</v>
      </c>
    </row>
    <row r="400" spans="1:68" ht="15" customHeight="1">
      <c r="A400" s="1" t="s">
        <v>1147</v>
      </c>
      <c r="B400" s="1" t="s">
        <v>1156</v>
      </c>
      <c r="C400" s="1" t="str">
        <f t="shared" si="130"/>
        <v>3107</v>
      </c>
      <c r="D400" s="1" t="str">
        <f t="shared" si="131"/>
        <v>2107</v>
      </c>
      <c r="E400" s="19" t="s">
        <v>1149</v>
      </c>
      <c r="F400" s="62" t="s">
        <v>1157</v>
      </c>
      <c r="G400" s="62">
        <v>2112</v>
      </c>
      <c r="H400" s="62" t="s">
        <v>1158</v>
      </c>
      <c r="I400" s="62" t="s">
        <v>1159</v>
      </c>
      <c r="J400" s="118">
        <v>1</v>
      </c>
      <c r="K400" s="119" t="s">
        <v>1152</v>
      </c>
      <c r="L400" s="62" t="s">
        <v>1160</v>
      </c>
      <c r="M400" s="120" t="s">
        <v>1161</v>
      </c>
      <c r="N400" s="63">
        <v>44404</v>
      </c>
      <c r="O400" s="24"/>
      <c r="P400" s="24"/>
      <c r="Q400" s="64">
        <v>114150000</v>
      </c>
      <c r="R400" s="64"/>
      <c r="S400" s="64"/>
      <c r="T400" s="64"/>
      <c r="U400" s="64"/>
      <c r="V400" s="121">
        <v>114150000</v>
      </c>
      <c r="W400" s="122"/>
      <c r="X400" s="64">
        <v>114150000</v>
      </c>
      <c r="Y400" s="121"/>
      <c r="Z400" s="121"/>
      <c r="AA400" s="128"/>
      <c r="AB400" s="121"/>
      <c r="AC400" s="64">
        <v>114150000</v>
      </c>
      <c r="AD400" s="63">
        <v>44404</v>
      </c>
      <c r="AE400" s="65">
        <v>48054</v>
      </c>
      <c r="AF400" s="62">
        <v>10</v>
      </c>
      <c r="AG400" s="119">
        <v>120</v>
      </c>
      <c r="AH400" s="25">
        <v>951250</v>
      </c>
      <c r="AI400" s="78">
        <v>27739677</v>
      </c>
      <c r="AJ400" s="78">
        <v>86410323</v>
      </c>
      <c r="AK400" s="27">
        <f t="shared" si="132"/>
        <v>951250</v>
      </c>
      <c r="AL400" s="27">
        <f t="shared" si="136"/>
        <v>951250</v>
      </c>
      <c r="AM400" s="27">
        <f t="shared" si="136"/>
        <v>951250</v>
      </c>
      <c r="AN400" s="27">
        <f t="shared" si="124"/>
        <v>951250</v>
      </c>
      <c r="AO400" s="27">
        <f t="shared" si="125"/>
        <v>951250</v>
      </c>
      <c r="AP400" s="27">
        <f t="shared" si="125"/>
        <v>951250</v>
      </c>
      <c r="AQ400" s="27">
        <f t="shared" si="126"/>
        <v>951250</v>
      </c>
      <c r="AR400" s="27">
        <f t="shared" si="127"/>
        <v>951250</v>
      </c>
      <c r="AS400" s="27"/>
      <c r="AT400" s="27"/>
      <c r="AU400" s="27"/>
      <c r="AV400" s="27"/>
      <c r="AW400" s="27">
        <f t="shared" si="129"/>
        <v>7610000</v>
      </c>
      <c r="AX400" s="79">
        <f t="shared" si="133"/>
        <v>78800323</v>
      </c>
      <c r="AY400" s="79">
        <f t="shared" si="134"/>
        <v>35349677</v>
      </c>
      <c r="AZ400" s="25">
        <v>1</v>
      </c>
      <c r="BA400" s="62" t="s">
        <v>97</v>
      </c>
      <c r="BB400" s="66">
        <v>1</v>
      </c>
      <c r="BC400" s="66"/>
      <c r="BD400" s="66"/>
      <c r="BE400" s="67">
        <f t="shared" si="123"/>
        <v>951250</v>
      </c>
      <c r="BF400" s="67">
        <f t="shared" si="128"/>
        <v>0</v>
      </c>
      <c r="BG400" s="67">
        <f t="shared" si="135"/>
        <v>0</v>
      </c>
      <c r="BH400" s="66"/>
      <c r="BI400" s="68" t="s">
        <v>1162</v>
      </c>
      <c r="BJ400" s="68" t="s">
        <v>117</v>
      </c>
      <c r="BK400" s="68" t="s">
        <v>117</v>
      </c>
      <c r="BL400" s="29"/>
      <c r="BO400" s="35" t="s">
        <v>1807</v>
      </c>
    </row>
    <row r="401" spans="1:68" ht="15" customHeight="1">
      <c r="A401" s="1" t="s">
        <v>1163</v>
      </c>
      <c r="B401" s="1" t="s">
        <v>1164</v>
      </c>
      <c r="C401" s="1" t="str">
        <f t="shared" si="130"/>
        <v>2906</v>
      </c>
      <c r="D401" s="1" t="str">
        <f t="shared" si="131"/>
        <v>2107</v>
      </c>
      <c r="E401" s="19" t="s">
        <v>1165</v>
      </c>
      <c r="F401" s="62" t="s">
        <v>49</v>
      </c>
      <c r="G401" s="62">
        <v>2112</v>
      </c>
      <c r="H401" s="62" t="s">
        <v>1166</v>
      </c>
      <c r="I401" s="62" t="s">
        <v>1167</v>
      </c>
      <c r="J401" s="118">
        <v>1</v>
      </c>
      <c r="K401" s="119" t="s">
        <v>271</v>
      </c>
      <c r="L401" s="62" t="s">
        <v>742</v>
      </c>
      <c r="M401" s="120" t="s">
        <v>1168</v>
      </c>
      <c r="N401" s="63">
        <v>44341</v>
      </c>
      <c r="O401" s="24">
        <v>4800</v>
      </c>
      <c r="P401" s="24">
        <v>23154</v>
      </c>
      <c r="Q401" s="64">
        <v>111139200</v>
      </c>
      <c r="R401" s="64"/>
      <c r="S401" s="64"/>
      <c r="T401" s="64">
        <v>742500</v>
      </c>
      <c r="U401" s="64" t="s">
        <v>1169</v>
      </c>
      <c r="V401" s="121">
        <v>111881700</v>
      </c>
      <c r="W401" s="122"/>
      <c r="X401" s="64">
        <v>111881700</v>
      </c>
      <c r="Y401" s="121"/>
      <c r="Z401" s="121"/>
      <c r="AA401" s="128"/>
      <c r="AB401" s="121"/>
      <c r="AC401" s="64">
        <v>111881700</v>
      </c>
      <c r="AD401" s="63">
        <v>44378</v>
      </c>
      <c r="AE401" s="65">
        <v>47298</v>
      </c>
      <c r="AF401" s="62">
        <v>8</v>
      </c>
      <c r="AG401" s="119">
        <v>96</v>
      </c>
      <c r="AH401" s="25">
        <v>1165434.375</v>
      </c>
      <c r="AI401" s="78">
        <v>34963023.75</v>
      </c>
      <c r="AJ401" s="78">
        <v>76918676.25</v>
      </c>
      <c r="AK401" s="27">
        <f t="shared" si="132"/>
        <v>1165434.375</v>
      </c>
      <c r="AL401" s="27">
        <f t="shared" si="136"/>
        <v>1165434.375</v>
      </c>
      <c r="AM401" s="27">
        <f t="shared" si="136"/>
        <v>1165434.375</v>
      </c>
      <c r="AN401" s="27">
        <f t="shared" si="124"/>
        <v>1165434.375</v>
      </c>
      <c r="AO401" s="27">
        <f t="shared" si="125"/>
        <v>1165434.375</v>
      </c>
      <c r="AP401" s="27">
        <f t="shared" si="125"/>
        <v>1165434.375</v>
      </c>
      <c r="AQ401" s="27">
        <f t="shared" si="126"/>
        <v>1165434.375</v>
      </c>
      <c r="AR401" s="27">
        <f t="shared" si="127"/>
        <v>1165434.375</v>
      </c>
      <c r="AS401" s="27"/>
      <c r="AT401" s="27"/>
      <c r="AU401" s="27"/>
      <c r="AV401" s="27"/>
      <c r="AW401" s="27">
        <f t="shared" si="129"/>
        <v>9323475</v>
      </c>
      <c r="AX401" s="79">
        <f t="shared" si="133"/>
        <v>67595201.25</v>
      </c>
      <c r="AY401" s="79">
        <f t="shared" si="134"/>
        <v>44286498.75</v>
      </c>
      <c r="AZ401" s="25">
        <v>1</v>
      </c>
      <c r="BA401" s="62" t="s">
        <v>97</v>
      </c>
      <c r="BB401" s="66">
        <v>1</v>
      </c>
      <c r="BC401" s="66"/>
      <c r="BD401" s="66"/>
      <c r="BE401" s="67">
        <f t="shared" si="123"/>
        <v>1165434.375</v>
      </c>
      <c r="BF401" s="67">
        <f t="shared" si="128"/>
        <v>0</v>
      </c>
      <c r="BG401" s="67">
        <f t="shared" si="135"/>
        <v>0</v>
      </c>
      <c r="BH401" s="66"/>
      <c r="BI401" s="68" t="s">
        <v>695</v>
      </c>
      <c r="BJ401" s="68" t="s">
        <v>85</v>
      </c>
      <c r="BK401" s="68" t="s">
        <v>85</v>
      </c>
      <c r="BL401" s="29"/>
      <c r="BO401" s="35" t="s">
        <v>1801</v>
      </c>
      <c r="BP401" s="1" t="s">
        <v>1820</v>
      </c>
    </row>
    <row r="402" spans="1:68" ht="15" customHeight="1">
      <c r="A402" s="1" t="s">
        <v>1163</v>
      </c>
      <c r="B402" s="1" t="s">
        <v>1164</v>
      </c>
      <c r="C402" s="1" t="str">
        <f t="shared" si="130"/>
        <v>2807</v>
      </c>
      <c r="D402" s="1" t="str">
        <f t="shared" si="131"/>
        <v>2107</v>
      </c>
      <c r="E402" s="19" t="s">
        <v>1165</v>
      </c>
      <c r="F402" s="62" t="s">
        <v>49</v>
      </c>
      <c r="G402" s="62">
        <v>2112</v>
      </c>
      <c r="H402" s="62" t="s">
        <v>1170</v>
      </c>
      <c r="I402" s="62" t="s">
        <v>1171</v>
      </c>
      <c r="J402" s="118">
        <v>1</v>
      </c>
      <c r="K402" s="119" t="s">
        <v>271</v>
      </c>
      <c r="L402" s="62" t="s">
        <v>77</v>
      </c>
      <c r="M402" s="120" t="s">
        <v>1172</v>
      </c>
      <c r="N402" s="63">
        <v>44371</v>
      </c>
      <c r="O402" s="24">
        <v>3387.73</v>
      </c>
      <c r="P402" s="24">
        <v>23098</v>
      </c>
      <c r="Q402" s="64">
        <v>78249787.540000007</v>
      </c>
      <c r="R402" s="64"/>
      <c r="S402" s="64"/>
      <c r="T402" s="64">
        <v>824494.73</v>
      </c>
      <c r="U402" s="64" t="s">
        <v>1173</v>
      </c>
      <c r="V402" s="121">
        <v>79074282</v>
      </c>
      <c r="W402" s="122"/>
      <c r="X402" s="64">
        <v>79074282</v>
      </c>
      <c r="Y402" s="121"/>
      <c r="Z402" s="121"/>
      <c r="AA402" s="128"/>
      <c r="AB402" s="121"/>
      <c r="AC402" s="64">
        <v>79074282</v>
      </c>
      <c r="AD402" s="63">
        <v>44402</v>
      </c>
      <c r="AE402" s="65">
        <v>46957</v>
      </c>
      <c r="AF402" s="62">
        <v>7</v>
      </c>
      <c r="AG402" s="119">
        <v>84</v>
      </c>
      <c r="AH402" s="25">
        <v>941360.5</v>
      </c>
      <c r="AI402" s="78">
        <v>27512029</v>
      </c>
      <c r="AJ402" s="78">
        <v>51562253</v>
      </c>
      <c r="AK402" s="27">
        <f t="shared" si="132"/>
        <v>941360.5</v>
      </c>
      <c r="AL402" s="27">
        <f t="shared" si="136"/>
        <v>941360.5</v>
      </c>
      <c r="AM402" s="27">
        <f t="shared" si="136"/>
        <v>941360.5</v>
      </c>
      <c r="AN402" s="27">
        <f t="shared" si="124"/>
        <v>941360.5</v>
      </c>
      <c r="AO402" s="27">
        <f t="shared" si="125"/>
        <v>941360.5</v>
      </c>
      <c r="AP402" s="27">
        <f t="shared" si="125"/>
        <v>941360.5</v>
      </c>
      <c r="AQ402" s="27">
        <f t="shared" si="126"/>
        <v>941360.5</v>
      </c>
      <c r="AR402" s="27">
        <f t="shared" si="127"/>
        <v>941360.5</v>
      </c>
      <c r="AS402" s="27"/>
      <c r="AT402" s="27"/>
      <c r="AU402" s="27"/>
      <c r="AV402" s="27"/>
      <c r="AW402" s="27">
        <f t="shared" si="129"/>
        <v>7530884</v>
      </c>
      <c r="AX402" s="79">
        <f t="shared" si="133"/>
        <v>44031369</v>
      </c>
      <c r="AY402" s="79">
        <f t="shared" si="134"/>
        <v>35042913</v>
      </c>
      <c r="AZ402" s="25">
        <v>1</v>
      </c>
      <c r="BA402" s="62" t="s">
        <v>79</v>
      </c>
      <c r="BB402" s="66">
        <v>1</v>
      </c>
      <c r="BC402" s="66"/>
      <c r="BD402" s="66"/>
      <c r="BE402" s="67">
        <f t="shared" si="123"/>
        <v>941360.5</v>
      </c>
      <c r="BF402" s="67">
        <f t="shared" si="128"/>
        <v>0</v>
      </c>
      <c r="BG402" s="67">
        <f t="shared" si="135"/>
        <v>0</v>
      </c>
      <c r="BH402" s="66"/>
      <c r="BI402" s="68" t="s">
        <v>1174</v>
      </c>
      <c r="BJ402" s="68" t="s">
        <v>98</v>
      </c>
      <c r="BK402" s="68" t="s">
        <v>98</v>
      </c>
      <c r="BL402" s="29"/>
      <c r="BO402" s="35" t="s">
        <v>1800</v>
      </c>
      <c r="BP402" s="1" t="s">
        <v>1821</v>
      </c>
    </row>
    <row r="403" spans="1:68" ht="15" customHeight="1">
      <c r="A403" s="1" t="s">
        <v>1147</v>
      </c>
      <c r="B403" s="1" t="s">
        <v>1175</v>
      </c>
      <c r="C403" s="1" t="str">
        <f t="shared" si="130"/>
        <v>2908</v>
      </c>
      <c r="D403" s="1" t="str">
        <f t="shared" si="131"/>
        <v>2108</v>
      </c>
      <c r="E403" s="19" t="s">
        <v>1176</v>
      </c>
      <c r="F403" s="62" t="s">
        <v>1157</v>
      </c>
      <c r="G403" s="62">
        <v>2112</v>
      </c>
      <c r="H403" s="62" t="s">
        <v>1177</v>
      </c>
      <c r="I403" s="62" t="s">
        <v>1178</v>
      </c>
      <c r="J403" s="118">
        <v>1</v>
      </c>
      <c r="K403" s="119" t="s">
        <v>1152</v>
      </c>
      <c r="L403" s="62" t="s">
        <v>1179</v>
      </c>
      <c r="M403" s="120" t="s">
        <v>1180</v>
      </c>
      <c r="N403" s="63">
        <v>44414</v>
      </c>
      <c r="O403" s="24"/>
      <c r="P403" s="24"/>
      <c r="Q403" s="64">
        <v>70000000</v>
      </c>
      <c r="R403" s="64"/>
      <c r="S403" s="64"/>
      <c r="T403" s="64"/>
      <c r="U403" s="64"/>
      <c r="V403" s="121">
        <v>70000000</v>
      </c>
      <c r="W403" s="122"/>
      <c r="X403" s="64">
        <v>70000000</v>
      </c>
      <c r="Y403" s="121"/>
      <c r="Z403" s="121"/>
      <c r="AA403" s="128"/>
      <c r="AB403" s="121"/>
      <c r="AC403" s="64">
        <v>70000000</v>
      </c>
      <c r="AD403" s="63">
        <v>44414</v>
      </c>
      <c r="AE403" s="65">
        <v>47334</v>
      </c>
      <c r="AF403" s="62">
        <v>8</v>
      </c>
      <c r="AG403" s="119">
        <v>96</v>
      </c>
      <c r="AH403" s="25">
        <v>729166.66666666663</v>
      </c>
      <c r="AI403" s="78">
        <v>21028231.666666668</v>
      </c>
      <c r="AJ403" s="78">
        <v>48971768.333333328</v>
      </c>
      <c r="AK403" s="27">
        <f t="shared" si="132"/>
        <v>729166.66666666663</v>
      </c>
      <c r="AL403" s="27">
        <f t="shared" si="136"/>
        <v>729166.66666666663</v>
      </c>
      <c r="AM403" s="27">
        <f t="shared" si="136"/>
        <v>729166.66666666663</v>
      </c>
      <c r="AN403" s="27">
        <f t="shared" si="124"/>
        <v>729166.66666666663</v>
      </c>
      <c r="AO403" s="27">
        <f t="shared" si="125"/>
        <v>729166.66666666663</v>
      </c>
      <c r="AP403" s="27">
        <f t="shared" si="125"/>
        <v>729166.66666666663</v>
      </c>
      <c r="AQ403" s="27">
        <f t="shared" si="126"/>
        <v>729166.66666666663</v>
      </c>
      <c r="AR403" s="27">
        <f t="shared" si="127"/>
        <v>729166.66666666663</v>
      </c>
      <c r="AS403" s="27"/>
      <c r="AT403" s="27"/>
      <c r="AU403" s="27"/>
      <c r="AV403" s="27"/>
      <c r="AW403" s="27">
        <f t="shared" si="129"/>
        <v>5833333.333333334</v>
      </c>
      <c r="AX403" s="79">
        <f t="shared" si="133"/>
        <v>43138434.999999993</v>
      </c>
      <c r="AY403" s="79">
        <f t="shared" si="134"/>
        <v>26861565</v>
      </c>
      <c r="AZ403" s="25">
        <v>1</v>
      </c>
      <c r="BA403" s="62" t="s">
        <v>97</v>
      </c>
      <c r="BB403" s="66">
        <v>1</v>
      </c>
      <c r="BC403" s="66"/>
      <c r="BD403" s="66"/>
      <c r="BE403" s="67">
        <f t="shared" si="123"/>
        <v>729166.66666666663</v>
      </c>
      <c r="BF403" s="67">
        <f t="shared" si="128"/>
        <v>0</v>
      </c>
      <c r="BG403" s="67">
        <f t="shared" si="135"/>
        <v>0</v>
      </c>
      <c r="BH403" s="66"/>
      <c r="BI403" s="68" t="s">
        <v>1162</v>
      </c>
      <c r="BJ403" s="68" t="s">
        <v>117</v>
      </c>
      <c r="BK403" s="68" t="s">
        <v>117</v>
      </c>
      <c r="BL403" s="29"/>
      <c r="BO403" s="35" t="s">
        <v>1807</v>
      </c>
    </row>
    <row r="404" spans="1:68" ht="15" customHeight="1">
      <c r="A404" s="1" t="s">
        <v>1147</v>
      </c>
      <c r="B404" s="1" t="s">
        <v>1181</v>
      </c>
      <c r="C404" s="1" t="str">
        <f t="shared" si="130"/>
        <v>3108</v>
      </c>
      <c r="D404" s="1" t="str">
        <f t="shared" si="131"/>
        <v>2108</v>
      </c>
      <c r="E404" s="19" t="s">
        <v>1176</v>
      </c>
      <c r="F404" s="62" t="s">
        <v>1182</v>
      </c>
      <c r="G404" s="62">
        <v>2112</v>
      </c>
      <c r="H404" s="62" t="s">
        <v>1183</v>
      </c>
      <c r="I404" s="62" t="s">
        <v>1184</v>
      </c>
      <c r="J404" s="118">
        <v>1</v>
      </c>
      <c r="K404" s="119" t="s">
        <v>1152</v>
      </c>
      <c r="L404" s="62" t="s">
        <v>1185</v>
      </c>
      <c r="M404" s="120" t="s">
        <v>1186</v>
      </c>
      <c r="N404" s="63">
        <v>44419</v>
      </c>
      <c r="O404" s="24"/>
      <c r="P404" s="24"/>
      <c r="Q404" s="64">
        <v>97580000</v>
      </c>
      <c r="R404" s="64"/>
      <c r="S404" s="64"/>
      <c r="T404" s="64"/>
      <c r="U404" s="64"/>
      <c r="V404" s="121">
        <v>97580000</v>
      </c>
      <c r="W404" s="122"/>
      <c r="X404" s="64">
        <v>97580000</v>
      </c>
      <c r="Y404" s="121"/>
      <c r="Z404" s="121"/>
      <c r="AA404" s="128"/>
      <c r="AB404" s="121"/>
      <c r="AC404" s="64">
        <v>97580000</v>
      </c>
      <c r="AD404" s="63">
        <v>44419</v>
      </c>
      <c r="AE404" s="65">
        <v>48069</v>
      </c>
      <c r="AF404" s="62">
        <v>10</v>
      </c>
      <c r="AG404" s="119">
        <v>120</v>
      </c>
      <c r="AH404" s="25">
        <v>813166.66666666663</v>
      </c>
      <c r="AI404" s="78">
        <v>23319527.666666664</v>
      </c>
      <c r="AJ404" s="78">
        <v>74260472.333333328</v>
      </c>
      <c r="AK404" s="27">
        <f t="shared" si="132"/>
        <v>813166.66666666663</v>
      </c>
      <c r="AL404" s="27">
        <f t="shared" si="136"/>
        <v>813166.66666666663</v>
      </c>
      <c r="AM404" s="27">
        <f t="shared" si="136"/>
        <v>813166.66666666663</v>
      </c>
      <c r="AN404" s="27">
        <f t="shared" si="124"/>
        <v>813166.66666666663</v>
      </c>
      <c r="AO404" s="27">
        <f t="shared" si="125"/>
        <v>813166.66666666663</v>
      </c>
      <c r="AP404" s="27">
        <f t="shared" si="125"/>
        <v>813166.66666666663</v>
      </c>
      <c r="AQ404" s="27">
        <f t="shared" si="126"/>
        <v>813166.66666666663</v>
      </c>
      <c r="AR404" s="27">
        <f t="shared" si="127"/>
        <v>813166.66666666663</v>
      </c>
      <c r="AS404" s="27"/>
      <c r="AT404" s="27"/>
      <c r="AU404" s="27"/>
      <c r="AV404" s="27"/>
      <c r="AW404" s="27">
        <f t="shared" si="129"/>
        <v>6505333.333333334</v>
      </c>
      <c r="AX404" s="79">
        <f t="shared" si="133"/>
        <v>67755139.000000015</v>
      </c>
      <c r="AY404" s="79">
        <f t="shared" si="134"/>
        <v>29824861</v>
      </c>
      <c r="AZ404" s="25">
        <v>1</v>
      </c>
      <c r="BA404" s="62" t="s">
        <v>97</v>
      </c>
      <c r="BB404" s="66">
        <v>1</v>
      </c>
      <c r="BC404" s="66"/>
      <c r="BD404" s="66"/>
      <c r="BE404" s="67">
        <f t="shared" si="123"/>
        <v>813166.66666666663</v>
      </c>
      <c r="BF404" s="67">
        <f t="shared" si="128"/>
        <v>0</v>
      </c>
      <c r="BG404" s="67">
        <f t="shared" si="135"/>
        <v>0</v>
      </c>
      <c r="BH404" s="66"/>
      <c r="BI404" s="68" t="s">
        <v>1187</v>
      </c>
      <c r="BJ404" s="68" t="s">
        <v>644</v>
      </c>
      <c r="BK404" s="68" t="s">
        <v>644</v>
      </c>
      <c r="BL404" s="29"/>
      <c r="BO404" s="35" t="s">
        <v>1799</v>
      </c>
    </row>
    <row r="405" spans="1:68" ht="15" customHeight="1">
      <c r="A405" s="1" t="s">
        <v>1188</v>
      </c>
      <c r="B405" s="1" t="s">
        <v>1189</v>
      </c>
      <c r="C405" s="1" t="str">
        <f t="shared" si="130"/>
        <v>2908</v>
      </c>
      <c r="D405" s="1" t="str">
        <f t="shared" si="131"/>
        <v>2108</v>
      </c>
      <c r="E405" s="19" t="s">
        <v>1176</v>
      </c>
      <c r="F405" s="62" t="s">
        <v>515</v>
      </c>
      <c r="G405" s="62">
        <v>2112</v>
      </c>
      <c r="H405" s="62" t="s">
        <v>1190</v>
      </c>
      <c r="I405" s="62" t="s">
        <v>1191</v>
      </c>
      <c r="J405" s="118">
        <v>1</v>
      </c>
      <c r="K405" s="119" t="s">
        <v>1192</v>
      </c>
      <c r="L405" s="62" t="s">
        <v>1193</v>
      </c>
      <c r="M405" s="120" t="s">
        <v>1194</v>
      </c>
      <c r="N405" s="63">
        <v>44439</v>
      </c>
      <c r="O405" s="24"/>
      <c r="P405" s="24"/>
      <c r="Q405" s="64">
        <v>53000000</v>
      </c>
      <c r="R405" s="64"/>
      <c r="S405" s="64"/>
      <c r="T405" s="64"/>
      <c r="U405" s="64"/>
      <c r="V405" s="121">
        <v>53000000</v>
      </c>
      <c r="W405" s="122"/>
      <c r="X405" s="64">
        <v>53000000</v>
      </c>
      <c r="Y405" s="121"/>
      <c r="Z405" s="121"/>
      <c r="AA405" s="128"/>
      <c r="AB405" s="121"/>
      <c r="AC405" s="64">
        <v>53000000</v>
      </c>
      <c r="AD405" s="63">
        <v>44439</v>
      </c>
      <c r="AE405" s="65">
        <v>47359</v>
      </c>
      <c r="AF405" s="62">
        <v>8</v>
      </c>
      <c r="AG405" s="119">
        <v>96</v>
      </c>
      <c r="AH405" s="25">
        <v>552083.33333333337</v>
      </c>
      <c r="AI405" s="78">
        <v>15476136.333333332</v>
      </c>
      <c r="AJ405" s="78">
        <v>37523863.666666664</v>
      </c>
      <c r="AK405" s="27">
        <f t="shared" si="132"/>
        <v>552083.33333333337</v>
      </c>
      <c r="AL405" s="27">
        <f t="shared" si="136"/>
        <v>552083.33333333337</v>
      </c>
      <c r="AM405" s="27">
        <f t="shared" si="136"/>
        <v>552083.33333333337</v>
      </c>
      <c r="AN405" s="27">
        <f t="shared" si="124"/>
        <v>552083.33333333337</v>
      </c>
      <c r="AO405" s="27">
        <f t="shared" si="125"/>
        <v>552083.33333333337</v>
      </c>
      <c r="AP405" s="27">
        <f t="shared" si="125"/>
        <v>552083.33333333337</v>
      </c>
      <c r="AQ405" s="27">
        <f t="shared" si="126"/>
        <v>552083.33333333337</v>
      </c>
      <c r="AR405" s="27">
        <f t="shared" si="127"/>
        <v>552083.33333333337</v>
      </c>
      <c r="AS405" s="27"/>
      <c r="AT405" s="27"/>
      <c r="AU405" s="27"/>
      <c r="AV405" s="27"/>
      <c r="AW405" s="27">
        <f t="shared" si="129"/>
        <v>4416666.666666667</v>
      </c>
      <c r="AX405" s="79">
        <f t="shared" si="133"/>
        <v>33107197.000000004</v>
      </c>
      <c r="AY405" s="79">
        <f t="shared" si="134"/>
        <v>19892803</v>
      </c>
      <c r="AZ405" s="25">
        <v>1</v>
      </c>
      <c r="BA405" s="62" t="s">
        <v>97</v>
      </c>
      <c r="BB405" s="66">
        <v>1</v>
      </c>
      <c r="BC405" s="66"/>
      <c r="BD405" s="66"/>
      <c r="BE405" s="67">
        <f t="shared" si="123"/>
        <v>552083.33333333337</v>
      </c>
      <c r="BF405" s="67">
        <f t="shared" si="128"/>
        <v>0</v>
      </c>
      <c r="BG405" s="67">
        <f t="shared" si="135"/>
        <v>0</v>
      </c>
      <c r="BH405" s="66"/>
      <c r="BI405" s="68" t="s">
        <v>1195</v>
      </c>
      <c r="BJ405" s="68" t="s">
        <v>644</v>
      </c>
      <c r="BK405" s="68" t="s">
        <v>644</v>
      </c>
      <c r="BL405" s="29"/>
      <c r="BO405" s="35" t="s">
        <v>1802</v>
      </c>
    </row>
    <row r="406" spans="1:68" ht="15" customHeight="1">
      <c r="A406" s="1" t="s">
        <v>1196</v>
      </c>
      <c r="B406" s="1" t="s">
        <v>1197</v>
      </c>
      <c r="C406" s="1" t="str">
        <f t="shared" si="130"/>
        <v>2908</v>
      </c>
      <c r="D406" s="1" t="str">
        <f t="shared" si="131"/>
        <v>2108</v>
      </c>
      <c r="E406" s="19" t="s">
        <v>1176</v>
      </c>
      <c r="F406" s="62" t="s">
        <v>1198</v>
      </c>
      <c r="G406" s="62">
        <v>2114</v>
      </c>
      <c r="H406" s="62" t="s">
        <v>1199</v>
      </c>
      <c r="I406" s="62" t="s">
        <v>1200</v>
      </c>
      <c r="J406" s="118">
        <v>1</v>
      </c>
      <c r="K406" s="119" t="s">
        <v>1192</v>
      </c>
      <c r="L406" s="62" t="s">
        <v>1185</v>
      </c>
      <c r="M406" s="120" t="s">
        <v>1201</v>
      </c>
      <c r="N406" s="63">
        <v>44439</v>
      </c>
      <c r="O406" s="24"/>
      <c r="P406" s="24"/>
      <c r="Q406" s="64">
        <v>58168824</v>
      </c>
      <c r="R406" s="64"/>
      <c r="S406" s="64"/>
      <c r="T406" s="64"/>
      <c r="U406" s="64"/>
      <c r="V406" s="121">
        <v>58168824</v>
      </c>
      <c r="W406" s="122"/>
      <c r="X406" s="64">
        <v>58168824</v>
      </c>
      <c r="Y406" s="121"/>
      <c r="Z406" s="121"/>
      <c r="AA406" s="128"/>
      <c r="AB406" s="121"/>
      <c r="AC406" s="64">
        <v>58168824</v>
      </c>
      <c r="AD406" s="63">
        <v>44439</v>
      </c>
      <c r="AE406" s="65">
        <v>47359</v>
      </c>
      <c r="AF406" s="62">
        <v>8</v>
      </c>
      <c r="AG406" s="119">
        <v>96</v>
      </c>
      <c r="AH406" s="25">
        <v>605925.25</v>
      </c>
      <c r="AI406" s="78">
        <v>16985448.5</v>
      </c>
      <c r="AJ406" s="78">
        <v>41183375.5</v>
      </c>
      <c r="AK406" s="27">
        <f t="shared" si="132"/>
        <v>605925.25</v>
      </c>
      <c r="AL406" s="27">
        <f t="shared" si="136"/>
        <v>605925.25</v>
      </c>
      <c r="AM406" s="27">
        <f t="shared" si="136"/>
        <v>605925.25</v>
      </c>
      <c r="AN406" s="27">
        <f t="shared" si="124"/>
        <v>605925.25</v>
      </c>
      <c r="AO406" s="27">
        <f t="shared" si="125"/>
        <v>605925.25</v>
      </c>
      <c r="AP406" s="27">
        <f t="shared" si="125"/>
        <v>605925.25</v>
      </c>
      <c r="AQ406" s="27">
        <f t="shared" si="126"/>
        <v>605925.25</v>
      </c>
      <c r="AR406" s="27">
        <f t="shared" si="127"/>
        <v>605925.25</v>
      </c>
      <c r="AS406" s="27"/>
      <c r="AT406" s="27"/>
      <c r="AU406" s="27"/>
      <c r="AV406" s="27"/>
      <c r="AW406" s="27">
        <f t="shared" si="129"/>
        <v>4847402</v>
      </c>
      <c r="AX406" s="79">
        <f t="shared" si="133"/>
        <v>36335973.5</v>
      </c>
      <c r="AY406" s="79">
        <f t="shared" si="134"/>
        <v>21832850.5</v>
      </c>
      <c r="AZ406" s="25">
        <v>1</v>
      </c>
      <c r="BA406" s="62" t="s">
        <v>97</v>
      </c>
      <c r="BB406" s="66"/>
      <c r="BC406" s="66">
        <v>1</v>
      </c>
      <c r="BD406" s="66"/>
      <c r="BE406" s="67">
        <f t="shared" si="123"/>
        <v>0</v>
      </c>
      <c r="BF406" s="67">
        <f t="shared" si="128"/>
        <v>605925.25</v>
      </c>
      <c r="BG406" s="67">
        <f t="shared" si="135"/>
        <v>0</v>
      </c>
      <c r="BH406" s="66"/>
      <c r="BI406" s="68" t="s">
        <v>1202</v>
      </c>
      <c r="BJ406" s="68" t="s">
        <v>58</v>
      </c>
      <c r="BK406" s="68" t="s">
        <v>59</v>
      </c>
      <c r="BL406" s="29"/>
      <c r="BO406" s="35" t="s">
        <v>1799</v>
      </c>
    </row>
    <row r="407" spans="1:68" ht="15" customHeight="1">
      <c r="A407" s="1" t="s">
        <v>1163</v>
      </c>
      <c r="B407" s="1" t="s">
        <v>1203</v>
      </c>
      <c r="C407" s="1" t="str">
        <f t="shared" si="130"/>
        <v>2908</v>
      </c>
      <c r="D407" s="1" t="str">
        <f t="shared" si="131"/>
        <v>2108</v>
      </c>
      <c r="E407" s="19" t="s">
        <v>1204</v>
      </c>
      <c r="F407" s="62" t="s">
        <v>49</v>
      </c>
      <c r="G407" s="62">
        <v>2112</v>
      </c>
      <c r="H407" s="62" t="s">
        <v>1205</v>
      </c>
      <c r="I407" s="62" t="s">
        <v>1206</v>
      </c>
      <c r="J407" s="118">
        <v>1</v>
      </c>
      <c r="K407" s="119" t="s">
        <v>271</v>
      </c>
      <c r="L407" s="62" t="s">
        <v>77</v>
      </c>
      <c r="M407" s="120" t="s">
        <v>615</v>
      </c>
      <c r="N407" s="63">
        <v>43833</v>
      </c>
      <c r="O407" s="24">
        <v>1415.98</v>
      </c>
      <c r="P407" s="24">
        <v>23229</v>
      </c>
      <c r="Q407" s="64">
        <v>32891799.420000002</v>
      </c>
      <c r="R407" s="64">
        <v>0</v>
      </c>
      <c r="S407" s="64"/>
      <c r="T407" s="64">
        <v>118548.094</v>
      </c>
      <c r="U407" s="64" t="s">
        <v>616</v>
      </c>
      <c r="V407" s="121">
        <v>33010348</v>
      </c>
      <c r="W407" s="122"/>
      <c r="X407" s="64">
        <v>33010348</v>
      </c>
      <c r="Y407" s="121"/>
      <c r="Z407" s="121"/>
      <c r="AA407" s="128"/>
      <c r="AB407" s="121"/>
      <c r="AC407" s="64">
        <v>33010348</v>
      </c>
      <c r="AD407" s="63">
        <v>44415</v>
      </c>
      <c r="AE407" s="65">
        <v>47335</v>
      </c>
      <c r="AF407" s="62">
        <v>8</v>
      </c>
      <c r="AG407" s="119">
        <v>96</v>
      </c>
      <c r="AH407" s="25">
        <v>343857.79166666669</v>
      </c>
      <c r="AI407" s="78">
        <v>9905326.916666666</v>
      </c>
      <c r="AJ407" s="78">
        <v>23105021.083333336</v>
      </c>
      <c r="AK407" s="27">
        <f t="shared" si="132"/>
        <v>343857.79166666669</v>
      </c>
      <c r="AL407" s="27">
        <f t="shared" si="136"/>
        <v>343857.79166666669</v>
      </c>
      <c r="AM407" s="27">
        <f t="shared" si="136"/>
        <v>343857.79166666669</v>
      </c>
      <c r="AN407" s="27">
        <f t="shared" si="124"/>
        <v>343857.79166666669</v>
      </c>
      <c r="AO407" s="27">
        <f t="shared" si="125"/>
        <v>343857.79166666669</v>
      </c>
      <c r="AP407" s="27">
        <f t="shared" si="125"/>
        <v>343857.79166666669</v>
      </c>
      <c r="AQ407" s="27">
        <f t="shared" si="126"/>
        <v>343857.79166666669</v>
      </c>
      <c r="AR407" s="27">
        <f t="shared" si="127"/>
        <v>343857.79166666669</v>
      </c>
      <c r="AS407" s="27"/>
      <c r="AT407" s="27"/>
      <c r="AU407" s="27"/>
      <c r="AV407" s="27"/>
      <c r="AW407" s="27">
        <f t="shared" si="129"/>
        <v>2750862.3333333335</v>
      </c>
      <c r="AX407" s="79">
        <f t="shared" si="133"/>
        <v>20354158.750000004</v>
      </c>
      <c r="AY407" s="79">
        <f t="shared" si="134"/>
        <v>12656189.25</v>
      </c>
      <c r="AZ407" s="25">
        <v>1</v>
      </c>
      <c r="BA407" s="62" t="s">
        <v>97</v>
      </c>
      <c r="BB407" s="66">
        <v>1</v>
      </c>
      <c r="BC407" s="66"/>
      <c r="BD407" s="66"/>
      <c r="BE407" s="67">
        <f t="shared" si="123"/>
        <v>343857.79166666669</v>
      </c>
      <c r="BF407" s="67">
        <f t="shared" si="128"/>
        <v>0</v>
      </c>
      <c r="BG407" s="67">
        <f t="shared" si="135"/>
        <v>0</v>
      </c>
      <c r="BH407" s="66"/>
      <c r="BI407" s="68" t="s">
        <v>1207</v>
      </c>
      <c r="BJ407" s="68" t="s">
        <v>85</v>
      </c>
      <c r="BK407" s="68" t="s">
        <v>85</v>
      </c>
      <c r="BL407" s="29"/>
      <c r="BO407" s="35" t="s">
        <v>1804</v>
      </c>
    </row>
    <row r="408" spans="1:68" ht="15" customHeight="1">
      <c r="A408" s="1" t="s">
        <v>1163</v>
      </c>
      <c r="B408" s="1" t="s">
        <v>1203</v>
      </c>
      <c r="C408" s="1" t="str">
        <f t="shared" si="130"/>
        <v>3108</v>
      </c>
      <c r="D408" s="1" t="str">
        <f t="shared" si="131"/>
        <v>2108</v>
      </c>
      <c r="E408" s="19" t="s">
        <v>1204</v>
      </c>
      <c r="F408" s="62" t="s">
        <v>1896</v>
      </c>
      <c r="G408" s="62">
        <v>2112</v>
      </c>
      <c r="H408" s="62" t="s">
        <v>1208</v>
      </c>
      <c r="I408" s="62" t="s">
        <v>1209</v>
      </c>
      <c r="J408" s="118">
        <v>1</v>
      </c>
      <c r="K408" s="119" t="s">
        <v>619</v>
      </c>
      <c r="L408" s="62" t="s">
        <v>77</v>
      </c>
      <c r="M408" s="120" t="s">
        <v>678</v>
      </c>
      <c r="N408" s="63">
        <v>43916</v>
      </c>
      <c r="O408" s="24">
        <v>10000</v>
      </c>
      <c r="P408" s="24">
        <v>23665</v>
      </c>
      <c r="Q408" s="64">
        <v>236650000</v>
      </c>
      <c r="R408" s="64">
        <v>0</v>
      </c>
      <c r="S408" s="64"/>
      <c r="T408" s="64">
        <v>3681359.16</v>
      </c>
      <c r="U408" s="64" t="s">
        <v>679</v>
      </c>
      <c r="V408" s="121">
        <v>240331359</v>
      </c>
      <c r="W408" s="122"/>
      <c r="X408" s="64">
        <v>240331359</v>
      </c>
      <c r="Y408" s="121"/>
      <c r="Z408" s="121"/>
      <c r="AA408" s="128"/>
      <c r="AB408" s="121"/>
      <c r="AC408" s="64">
        <v>240331359</v>
      </c>
      <c r="AD408" s="63">
        <v>44413</v>
      </c>
      <c r="AE408" s="65">
        <v>48063</v>
      </c>
      <c r="AF408" s="62">
        <v>10</v>
      </c>
      <c r="AG408" s="119">
        <v>120</v>
      </c>
      <c r="AH408" s="25">
        <v>2002761.325</v>
      </c>
      <c r="AI408" s="78">
        <v>57821651.25</v>
      </c>
      <c r="AJ408" s="78">
        <v>182509707.75</v>
      </c>
      <c r="AK408" s="27">
        <f t="shared" si="132"/>
        <v>2002761.325</v>
      </c>
      <c r="AL408" s="27">
        <f t="shared" si="136"/>
        <v>2002761.325</v>
      </c>
      <c r="AM408" s="27">
        <f t="shared" si="136"/>
        <v>2002761.325</v>
      </c>
      <c r="AN408" s="27">
        <f t="shared" si="124"/>
        <v>2002761.325</v>
      </c>
      <c r="AO408" s="27">
        <f t="shared" si="125"/>
        <v>2002761.325</v>
      </c>
      <c r="AP408" s="27">
        <f t="shared" si="125"/>
        <v>2002761.325</v>
      </c>
      <c r="AQ408" s="27">
        <f t="shared" si="126"/>
        <v>2002761.325</v>
      </c>
      <c r="AR408" s="27">
        <f t="shared" si="127"/>
        <v>2002761.325</v>
      </c>
      <c r="AS408" s="27"/>
      <c r="AT408" s="27"/>
      <c r="AU408" s="27"/>
      <c r="AV408" s="27"/>
      <c r="AW408" s="27">
        <f t="shared" si="129"/>
        <v>16022090.599999998</v>
      </c>
      <c r="AX408" s="79">
        <f t="shared" si="133"/>
        <v>166487617.15000001</v>
      </c>
      <c r="AY408" s="79">
        <f t="shared" si="134"/>
        <v>73843741.849999994</v>
      </c>
      <c r="AZ408" s="25">
        <v>1</v>
      </c>
      <c r="BA408" s="62" t="s">
        <v>97</v>
      </c>
      <c r="BB408" s="66">
        <v>1</v>
      </c>
      <c r="BC408" s="66"/>
      <c r="BD408" s="66"/>
      <c r="BE408" s="67">
        <f t="shared" si="123"/>
        <v>2002761.325</v>
      </c>
      <c r="BF408" s="67">
        <f t="shared" si="128"/>
        <v>0</v>
      </c>
      <c r="BG408" s="67">
        <f t="shared" si="135"/>
        <v>0</v>
      </c>
      <c r="BH408" s="66"/>
      <c r="BI408" s="68" t="s">
        <v>188</v>
      </c>
      <c r="BJ408" s="68" t="s">
        <v>1929</v>
      </c>
      <c r="BK408" s="68" t="s">
        <v>1989</v>
      </c>
      <c r="BL408" s="29"/>
      <c r="BO408" s="35" t="s">
        <v>1805</v>
      </c>
    </row>
    <row r="409" spans="1:68" ht="15" customHeight="1">
      <c r="A409" s="1" t="s">
        <v>1196</v>
      </c>
      <c r="B409" s="1" t="s">
        <v>1203</v>
      </c>
      <c r="C409" s="1" t="str">
        <f t="shared" si="130"/>
        <v>3108</v>
      </c>
      <c r="D409" s="1" t="str">
        <f t="shared" si="131"/>
        <v>2108</v>
      </c>
      <c r="E409" s="19" t="s">
        <v>1204</v>
      </c>
      <c r="F409" s="62" t="s">
        <v>1210</v>
      </c>
      <c r="G409" s="62">
        <v>2112</v>
      </c>
      <c r="H409" s="62" t="s">
        <v>1211</v>
      </c>
      <c r="I409" s="62" t="s">
        <v>1212</v>
      </c>
      <c r="J409" s="118">
        <v>1</v>
      </c>
      <c r="K409" s="119" t="s">
        <v>271</v>
      </c>
      <c r="L409" s="62" t="s">
        <v>77</v>
      </c>
      <c r="M409" s="120" t="s">
        <v>1213</v>
      </c>
      <c r="N409" s="63">
        <v>44330</v>
      </c>
      <c r="O409" s="24">
        <v>25000</v>
      </c>
      <c r="P409" s="24">
        <v>23160</v>
      </c>
      <c r="Q409" s="64">
        <v>579000000</v>
      </c>
      <c r="R409" s="64"/>
      <c r="S409" s="64"/>
      <c r="T409" s="64">
        <v>1692159</v>
      </c>
      <c r="U409" s="64" t="s">
        <v>1214</v>
      </c>
      <c r="V409" s="121">
        <v>580692159</v>
      </c>
      <c r="W409" s="122"/>
      <c r="X409" s="64">
        <v>580692159</v>
      </c>
      <c r="Y409" s="121"/>
      <c r="Z409" s="121"/>
      <c r="AA409" s="128"/>
      <c r="AB409" s="121"/>
      <c r="AC409" s="64">
        <v>580692159</v>
      </c>
      <c r="AD409" s="63">
        <v>44428</v>
      </c>
      <c r="AE409" s="65">
        <v>48078</v>
      </c>
      <c r="AF409" s="62">
        <v>10</v>
      </c>
      <c r="AG409" s="119">
        <v>120</v>
      </c>
      <c r="AH409" s="25">
        <v>4839101.3250000002</v>
      </c>
      <c r="AI409" s="78">
        <v>137368031.25</v>
      </c>
      <c r="AJ409" s="78">
        <v>443324127.75</v>
      </c>
      <c r="AK409" s="27">
        <f t="shared" si="132"/>
        <v>4839101.3250000002</v>
      </c>
      <c r="AL409" s="27">
        <f t="shared" si="136"/>
        <v>4839101.3250000002</v>
      </c>
      <c r="AM409" s="27">
        <f t="shared" si="136"/>
        <v>4839101.3250000002</v>
      </c>
      <c r="AN409" s="27">
        <f t="shared" si="124"/>
        <v>4839101.3250000002</v>
      </c>
      <c r="AO409" s="27">
        <f t="shared" si="125"/>
        <v>4839101.3250000002</v>
      </c>
      <c r="AP409" s="27">
        <f t="shared" si="125"/>
        <v>4839101.3250000002</v>
      </c>
      <c r="AQ409" s="27">
        <f t="shared" si="126"/>
        <v>4839101.3250000002</v>
      </c>
      <c r="AR409" s="27">
        <f t="shared" si="127"/>
        <v>4839101.3250000002</v>
      </c>
      <c r="AS409" s="27"/>
      <c r="AT409" s="27"/>
      <c r="AU409" s="27"/>
      <c r="AV409" s="27"/>
      <c r="AW409" s="27">
        <f t="shared" si="129"/>
        <v>38712810.600000001</v>
      </c>
      <c r="AX409" s="79">
        <f t="shared" si="133"/>
        <v>404611317.14999998</v>
      </c>
      <c r="AY409" s="79">
        <f t="shared" si="134"/>
        <v>176080841.84999999</v>
      </c>
      <c r="AZ409" s="25">
        <v>1</v>
      </c>
      <c r="BA409" s="62" t="s">
        <v>97</v>
      </c>
      <c r="BB409" s="66">
        <v>1</v>
      </c>
      <c r="BC409" s="66"/>
      <c r="BD409" s="66"/>
      <c r="BE409" s="67">
        <f t="shared" ref="BE409:BE471" si="137">+$AP409*BB409</f>
        <v>4839101.3250000002</v>
      </c>
      <c r="BF409" s="67">
        <f t="shared" si="128"/>
        <v>0</v>
      </c>
      <c r="BG409" s="67">
        <f t="shared" si="135"/>
        <v>0</v>
      </c>
      <c r="BH409" s="66"/>
      <c r="BI409" s="68" t="s">
        <v>1215</v>
      </c>
      <c r="BJ409" s="68" t="s">
        <v>58</v>
      </c>
      <c r="BK409" s="68" t="s">
        <v>159</v>
      </c>
      <c r="BL409" s="29"/>
      <c r="BM409" s="1" t="s">
        <v>1887</v>
      </c>
      <c r="BO409" s="35" t="s">
        <v>1807</v>
      </c>
    </row>
    <row r="410" spans="1:68" ht="15" customHeight="1">
      <c r="A410" s="1" t="s">
        <v>1216</v>
      </c>
      <c r="B410" s="1" t="s">
        <v>1203</v>
      </c>
      <c r="C410" s="1" t="str">
        <f t="shared" si="130"/>
        <v>2707</v>
      </c>
      <c r="D410" s="1" t="str">
        <f t="shared" si="131"/>
        <v>2108</v>
      </c>
      <c r="E410" s="19" t="s">
        <v>1204</v>
      </c>
      <c r="F410" s="62" t="s">
        <v>515</v>
      </c>
      <c r="G410" s="62">
        <v>2112</v>
      </c>
      <c r="H410" s="62" t="s">
        <v>1217</v>
      </c>
      <c r="I410" s="62" t="s">
        <v>1218</v>
      </c>
      <c r="J410" s="118">
        <v>1</v>
      </c>
      <c r="K410" s="119" t="s">
        <v>271</v>
      </c>
      <c r="L410" s="62" t="s">
        <v>1219</v>
      </c>
      <c r="M410" s="120" t="s">
        <v>305</v>
      </c>
      <c r="N410" s="63">
        <v>44348</v>
      </c>
      <c r="O410" s="24"/>
      <c r="P410" s="24"/>
      <c r="Q410" s="64">
        <v>53950000</v>
      </c>
      <c r="R410" s="64"/>
      <c r="S410" s="64"/>
      <c r="T410" s="64"/>
      <c r="U410" s="64"/>
      <c r="V410" s="121">
        <v>53950000</v>
      </c>
      <c r="W410" s="122"/>
      <c r="X410" s="64">
        <v>53950000</v>
      </c>
      <c r="Y410" s="121"/>
      <c r="Z410" s="121"/>
      <c r="AA410" s="128"/>
      <c r="AB410" s="121"/>
      <c r="AC410" s="64">
        <v>53950000</v>
      </c>
      <c r="AD410" s="63">
        <v>44409</v>
      </c>
      <c r="AE410" s="65">
        <v>46599</v>
      </c>
      <c r="AF410" s="62">
        <v>6</v>
      </c>
      <c r="AG410" s="119">
        <v>72</v>
      </c>
      <c r="AH410" s="25">
        <v>749305.5555555555</v>
      </c>
      <c r="AI410" s="78">
        <v>21729869.55555556</v>
      </c>
      <c r="AJ410" s="78">
        <v>32220130.44444444</v>
      </c>
      <c r="AK410" s="27">
        <f t="shared" si="132"/>
        <v>749305.5555555555</v>
      </c>
      <c r="AL410" s="27">
        <f t="shared" si="136"/>
        <v>749305.5555555555</v>
      </c>
      <c r="AM410" s="27">
        <f t="shared" si="136"/>
        <v>749305.5555555555</v>
      </c>
      <c r="AN410" s="27">
        <f t="shared" si="124"/>
        <v>749305.5555555555</v>
      </c>
      <c r="AO410" s="27">
        <f t="shared" si="125"/>
        <v>749305.5555555555</v>
      </c>
      <c r="AP410" s="27">
        <f t="shared" si="125"/>
        <v>749305.5555555555</v>
      </c>
      <c r="AQ410" s="27">
        <f t="shared" si="126"/>
        <v>749305.5555555555</v>
      </c>
      <c r="AR410" s="27">
        <f t="shared" si="127"/>
        <v>749305.5555555555</v>
      </c>
      <c r="AS410" s="27"/>
      <c r="AT410" s="27"/>
      <c r="AU410" s="27"/>
      <c r="AV410" s="27"/>
      <c r="AW410" s="27">
        <f t="shared" si="129"/>
        <v>5994444.444444444</v>
      </c>
      <c r="AX410" s="79">
        <f t="shared" si="133"/>
        <v>26225685.999999996</v>
      </c>
      <c r="AY410" s="79">
        <f t="shared" si="134"/>
        <v>27724314.000000004</v>
      </c>
      <c r="AZ410" s="25">
        <v>1</v>
      </c>
      <c r="BA410" s="62" t="s">
        <v>97</v>
      </c>
      <c r="BB410" s="66">
        <v>1</v>
      </c>
      <c r="BC410" s="66"/>
      <c r="BD410" s="66"/>
      <c r="BE410" s="67">
        <f t="shared" si="137"/>
        <v>749305.5555555555</v>
      </c>
      <c r="BF410" s="67">
        <f t="shared" si="128"/>
        <v>0</v>
      </c>
      <c r="BG410" s="67">
        <f t="shared" si="135"/>
        <v>0</v>
      </c>
      <c r="BH410" s="66"/>
      <c r="BI410" s="68" t="s">
        <v>1220</v>
      </c>
      <c r="BJ410" s="68" t="s">
        <v>58</v>
      </c>
      <c r="BK410" s="68" t="s">
        <v>1221</v>
      </c>
      <c r="BL410" s="29"/>
      <c r="BO410" s="35" t="s">
        <v>1804</v>
      </c>
    </row>
    <row r="411" spans="1:68" ht="15" customHeight="1">
      <c r="A411" s="1" t="s">
        <v>1196</v>
      </c>
      <c r="B411" s="1" t="s">
        <v>1222</v>
      </c>
      <c r="C411" s="1" t="str">
        <f t="shared" si="130"/>
        <v>2909</v>
      </c>
      <c r="D411" s="1" t="str">
        <f t="shared" si="131"/>
        <v>2109</v>
      </c>
      <c r="E411" s="19" t="s">
        <v>1223</v>
      </c>
      <c r="F411" s="62" t="s">
        <v>49</v>
      </c>
      <c r="G411" s="62">
        <v>2112</v>
      </c>
      <c r="H411" s="62" t="s">
        <v>1224</v>
      </c>
      <c r="I411" s="62" t="s">
        <v>1225</v>
      </c>
      <c r="J411" s="118">
        <v>1</v>
      </c>
      <c r="K411" s="119" t="s">
        <v>1226</v>
      </c>
      <c r="L411" s="62" t="s">
        <v>1141</v>
      </c>
      <c r="M411" s="137" t="s">
        <v>1227</v>
      </c>
      <c r="N411" s="63">
        <v>44467</v>
      </c>
      <c r="O411" s="24"/>
      <c r="P411" s="24"/>
      <c r="Q411" s="64">
        <v>50900000</v>
      </c>
      <c r="R411" s="64"/>
      <c r="S411" s="64"/>
      <c r="T411" s="64"/>
      <c r="U411" s="64"/>
      <c r="V411" s="121">
        <v>50900000</v>
      </c>
      <c r="W411" s="122"/>
      <c r="X411" s="64">
        <v>50900000</v>
      </c>
      <c r="Y411" s="121"/>
      <c r="Z411" s="121"/>
      <c r="AA411" s="128"/>
      <c r="AB411" s="121"/>
      <c r="AC411" s="64">
        <v>50900000</v>
      </c>
      <c r="AD411" s="63">
        <v>44467</v>
      </c>
      <c r="AE411" s="65">
        <v>47387</v>
      </c>
      <c r="AF411" s="62">
        <v>8</v>
      </c>
      <c r="AG411" s="119">
        <v>96</v>
      </c>
      <c r="AH411" s="25">
        <v>530208.33333333337</v>
      </c>
      <c r="AI411" s="78">
        <v>14368640.333333332</v>
      </c>
      <c r="AJ411" s="78">
        <v>36531359.666666664</v>
      </c>
      <c r="AK411" s="27">
        <f t="shared" si="132"/>
        <v>530208.33333333337</v>
      </c>
      <c r="AL411" s="27">
        <f t="shared" si="136"/>
        <v>530208.33333333337</v>
      </c>
      <c r="AM411" s="27">
        <f t="shared" si="136"/>
        <v>530208.33333333337</v>
      </c>
      <c r="AN411" s="27">
        <f t="shared" si="124"/>
        <v>530208.33333333337</v>
      </c>
      <c r="AO411" s="27">
        <f t="shared" si="125"/>
        <v>530208.33333333337</v>
      </c>
      <c r="AP411" s="27">
        <f t="shared" si="125"/>
        <v>530208.33333333337</v>
      </c>
      <c r="AQ411" s="27">
        <f t="shared" si="126"/>
        <v>530208.33333333337</v>
      </c>
      <c r="AR411" s="27">
        <f t="shared" si="127"/>
        <v>530208.33333333337</v>
      </c>
      <c r="AS411" s="27"/>
      <c r="AT411" s="27"/>
      <c r="AU411" s="27"/>
      <c r="AV411" s="27"/>
      <c r="AW411" s="27">
        <f t="shared" si="129"/>
        <v>4241666.666666667</v>
      </c>
      <c r="AX411" s="79">
        <f t="shared" si="133"/>
        <v>32289693.000000004</v>
      </c>
      <c r="AY411" s="79">
        <f t="shared" si="134"/>
        <v>18610307</v>
      </c>
      <c r="AZ411" s="25">
        <v>1</v>
      </c>
      <c r="BA411" s="62" t="s">
        <v>97</v>
      </c>
      <c r="BB411" s="66">
        <v>1</v>
      </c>
      <c r="BC411" s="66"/>
      <c r="BD411" s="66"/>
      <c r="BE411" s="67">
        <f t="shared" si="137"/>
        <v>530208.33333333337</v>
      </c>
      <c r="BF411" s="67">
        <f t="shared" si="128"/>
        <v>0</v>
      </c>
      <c r="BG411" s="67">
        <f t="shared" si="135"/>
        <v>0</v>
      </c>
      <c r="BH411" s="66"/>
      <c r="BI411" s="68" t="s">
        <v>1228</v>
      </c>
      <c r="BJ411" s="68" t="s">
        <v>58</v>
      </c>
      <c r="BK411" s="68" t="s">
        <v>159</v>
      </c>
      <c r="BL411" s="29"/>
      <c r="BO411" s="35" t="s">
        <v>1804</v>
      </c>
    </row>
    <row r="412" spans="1:68" ht="15" customHeight="1">
      <c r="A412" s="1" t="s">
        <v>1196</v>
      </c>
      <c r="B412" s="1" t="s">
        <v>1229</v>
      </c>
      <c r="C412" s="1" t="str">
        <f t="shared" si="130"/>
        <v>2909</v>
      </c>
      <c r="D412" s="1" t="str">
        <f t="shared" si="131"/>
        <v>2109</v>
      </c>
      <c r="E412" s="19" t="s">
        <v>1223</v>
      </c>
      <c r="F412" s="62" t="s">
        <v>1230</v>
      </c>
      <c r="G412" s="62">
        <v>2114</v>
      </c>
      <c r="H412" s="62" t="s">
        <v>1231</v>
      </c>
      <c r="I412" s="62" t="s">
        <v>1232</v>
      </c>
      <c r="J412" s="118">
        <v>1</v>
      </c>
      <c r="K412" s="119" t="s">
        <v>1233</v>
      </c>
      <c r="L412" s="62" t="s">
        <v>1234</v>
      </c>
      <c r="M412" s="137" t="s">
        <v>1235</v>
      </c>
      <c r="N412" s="63">
        <v>44443</v>
      </c>
      <c r="O412" s="24"/>
      <c r="P412" s="24"/>
      <c r="Q412" s="64">
        <v>105000000</v>
      </c>
      <c r="R412" s="64"/>
      <c r="S412" s="64"/>
      <c r="T412" s="64"/>
      <c r="U412" s="64"/>
      <c r="V412" s="121">
        <v>105000000</v>
      </c>
      <c r="W412" s="122"/>
      <c r="X412" s="64">
        <v>105000000</v>
      </c>
      <c r="Y412" s="121"/>
      <c r="Z412" s="121"/>
      <c r="AA412" s="128"/>
      <c r="AB412" s="121"/>
      <c r="AC412" s="64">
        <v>105000000</v>
      </c>
      <c r="AD412" s="63">
        <v>44443</v>
      </c>
      <c r="AE412" s="65">
        <v>47363</v>
      </c>
      <c r="AF412" s="62">
        <v>8</v>
      </c>
      <c r="AG412" s="119">
        <v>96</v>
      </c>
      <c r="AH412" s="25">
        <v>1093750</v>
      </c>
      <c r="AI412" s="78">
        <v>30515625</v>
      </c>
      <c r="AJ412" s="78">
        <v>74484375</v>
      </c>
      <c r="AK412" s="27">
        <f t="shared" si="132"/>
        <v>1093750</v>
      </c>
      <c r="AL412" s="27">
        <f t="shared" si="136"/>
        <v>1093750</v>
      </c>
      <c r="AM412" s="27">
        <f t="shared" si="136"/>
        <v>1093750</v>
      </c>
      <c r="AN412" s="27">
        <f t="shared" si="124"/>
        <v>1093750</v>
      </c>
      <c r="AO412" s="27">
        <f t="shared" si="125"/>
        <v>1093750</v>
      </c>
      <c r="AP412" s="27">
        <f t="shared" si="125"/>
        <v>1093750</v>
      </c>
      <c r="AQ412" s="27">
        <f t="shared" si="126"/>
        <v>1093750</v>
      </c>
      <c r="AR412" s="27">
        <f t="shared" si="127"/>
        <v>1093750</v>
      </c>
      <c r="AS412" s="27"/>
      <c r="AT412" s="27"/>
      <c r="AU412" s="27"/>
      <c r="AV412" s="27"/>
      <c r="AW412" s="27">
        <f t="shared" si="129"/>
        <v>8750000</v>
      </c>
      <c r="AX412" s="79">
        <f t="shared" si="133"/>
        <v>65734375</v>
      </c>
      <c r="AY412" s="79">
        <f t="shared" si="134"/>
        <v>39265625</v>
      </c>
      <c r="AZ412" s="25">
        <v>1</v>
      </c>
      <c r="BA412" s="62" t="s">
        <v>79</v>
      </c>
      <c r="BB412" s="66"/>
      <c r="BC412" s="66">
        <v>1</v>
      </c>
      <c r="BD412" s="66"/>
      <c r="BE412" s="67">
        <f t="shared" si="137"/>
        <v>0</v>
      </c>
      <c r="BF412" s="67">
        <f t="shared" si="128"/>
        <v>1093750</v>
      </c>
      <c r="BG412" s="67">
        <f t="shared" si="135"/>
        <v>0</v>
      </c>
      <c r="BH412" s="66"/>
      <c r="BI412" s="68" t="s">
        <v>1236</v>
      </c>
      <c r="BJ412" s="68" t="s">
        <v>58</v>
      </c>
      <c r="BK412" s="68" t="s">
        <v>59</v>
      </c>
      <c r="BL412" s="29"/>
      <c r="BO412" s="35" t="s">
        <v>1799</v>
      </c>
    </row>
    <row r="413" spans="1:68" ht="15" customHeight="1">
      <c r="A413" s="1" t="s">
        <v>1196</v>
      </c>
      <c r="B413" s="1" t="s">
        <v>1203</v>
      </c>
      <c r="C413" s="1" t="str">
        <f t="shared" si="130"/>
        <v>3109</v>
      </c>
      <c r="D413" s="1" t="str">
        <f t="shared" si="131"/>
        <v>2109</v>
      </c>
      <c r="E413" s="19" t="s">
        <v>1223</v>
      </c>
      <c r="F413" s="62" t="s">
        <v>1896</v>
      </c>
      <c r="G413" s="62">
        <v>2112</v>
      </c>
      <c r="H413" s="62" t="s">
        <v>1237</v>
      </c>
      <c r="I413" s="62" t="s">
        <v>1238</v>
      </c>
      <c r="J413" s="118">
        <v>1</v>
      </c>
      <c r="K413" s="119" t="s">
        <v>619</v>
      </c>
      <c r="L413" s="62" t="s">
        <v>924</v>
      </c>
      <c r="M413" s="120" t="s">
        <v>1239</v>
      </c>
      <c r="N413" s="63">
        <v>44445</v>
      </c>
      <c r="O413" s="24">
        <v>153000</v>
      </c>
      <c r="P413" s="24">
        <v>22924</v>
      </c>
      <c r="Q413" s="64">
        <v>3507372000</v>
      </c>
      <c r="R413" s="64">
        <v>0</v>
      </c>
      <c r="S413" s="64"/>
      <c r="T413" s="64">
        <v>17565460</v>
      </c>
      <c r="U413" s="64" t="s">
        <v>1241</v>
      </c>
      <c r="V413" s="121">
        <v>3524937460</v>
      </c>
      <c r="W413" s="122"/>
      <c r="X413" s="64">
        <v>3524937460</v>
      </c>
      <c r="Y413" s="121"/>
      <c r="Z413" s="121"/>
      <c r="AA413" s="128"/>
      <c r="AB413" s="121"/>
      <c r="AC413" s="64">
        <v>3524937460</v>
      </c>
      <c r="AD413" s="63">
        <v>44456</v>
      </c>
      <c r="AE413" s="65">
        <v>48106</v>
      </c>
      <c r="AF413" s="62">
        <v>10</v>
      </c>
      <c r="AG413" s="119">
        <v>120</v>
      </c>
      <c r="AH413" s="25">
        <v>29374478.833333332</v>
      </c>
      <c r="AI413" s="78">
        <v>806819021.33333325</v>
      </c>
      <c r="AJ413" s="78">
        <v>2718118438.6666665</v>
      </c>
      <c r="AK413" s="27">
        <f t="shared" si="132"/>
        <v>29374478.833333332</v>
      </c>
      <c r="AL413" s="27">
        <f t="shared" si="136"/>
        <v>29374478.833333332</v>
      </c>
      <c r="AM413" s="27">
        <f t="shared" si="136"/>
        <v>29374478.833333332</v>
      </c>
      <c r="AN413" s="27">
        <f t="shared" si="124"/>
        <v>29374478.833333332</v>
      </c>
      <c r="AO413" s="27">
        <f t="shared" si="125"/>
        <v>29374478.833333332</v>
      </c>
      <c r="AP413" s="27">
        <f t="shared" si="125"/>
        <v>29374478.833333332</v>
      </c>
      <c r="AQ413" s="27">
        <f t="shared" si="126"/>
        <v>29374478.833333332</v>
      </c>
      <c r="AR413" s="27">
        <f t="shared" si="127"/>
        <v>29374478.833333332</v>
      </c>
      <c r="AS413" s="27"/>
      <c r="AT413" s="27"/>
      <c r="AU413" s="27"/>
      <c r="AV413" s="27"/>
      <c r="AW413" s="27">
        <f t="shared" si="129"/>
        <v>234995830.66666669</v>
      </c>
      <c r="AX413" s="79">
        <f t="shared" si="133"/>
        <v>2483122608.0000005</v>
      </c>
      <c r="AY413" s="79">
        <f t="shared" si="134"/>
        <v>1041814852</v>
      </c>
      <c r="AZ413" s="25">
        <v>1</v>
      </c>
      <c r="BA413" s="62" t="s">
        <v>97</v>
      </c>
      <c r="BB413" s="66">
        <v>1</v>
      </c>
      <c r="BC413" s="66"/>
      <c r="BD413" s="66"/>
      <c r="BE413" s="67">
        <f t="shared" si="137"/>
        <v>29374478.833333332</v>
      </c>
      <c r="BF413" s="67">
        <f t="shared" si="128"/>
        <v>0</v>
      </c>
      <c r="BG413" s="67">
        <f t="shared" si="135"/>
        <v>0</v>
      </c>
      <c r="BH413" s="66"/>
      <c r="BI413" s="68" t="s">
        <v>871</v>
      </c>
      <c r="BJ413" s="68" t="s">
        <v>1979</v>
      </c>
      <c r="BK413" s="68" t="s">
        <v>1979</v>
      </c>
      <c r="BL413" s="29"/>
      <c r="BO413" s="35" t="s">
        <v>1805</v>
      </c>
    </row>
    <row r="414" spans="1:68" ht="15" customHeight="1">
      <c r="A414" s="1" t="s">
        <v>1196</v>
      </c>
      <c r="B414" s="1" t="s">
        <v>1203</v>
      </c>
      <c r="C414" s="1" t="str">
        <f t="shared" si="130"/>
        <v>3109</v>
      </c>
      <c r="D414" s="1" t="str">
        <f t="shared" si="131"/>
        <v>2109</v>
      </c>
      <c r="E414" s="19" t="s">
        <v>1223</v>
      </c>
      <c r="F414" s="62" t="s">
        <v>1896</v>
      </c>
      <c r="G414" s="62">
        <v>2112</v>
      </c>
      <c r="H414" s="62" t="s">
        <v>1242</v>
      </c>
      <c r="I414" s="62" t="s">
        <v>1243</v>
      </c>
      <c r="J414" s="118">
        <v>1</v>
      </c>
      <c r="K414" s="119" t="s">
        <v>619</v>
      </c>
      <c r="L414" s="62" t="s">
        <v>924</v>
      </c>
      <c r="M414" s="120" t="s">
        <v>1239</v>
      </c>
      <c r="N414" s="63">
        <v>44445</v>
      </c>
      <c r="O414" s="24">
        <v>154000</v>
      </c>
      <c r="P414" s="24">
        <v>22975</v>
      </c>
      <c r="Q414" s="64">
        <v>3538150000</v>
      </c>
      <c r="R414" s="64">
        <v>0</v>
      </c>
      <c r="S414" s="64"/>
      <c r="T414" s="64">
        <v>17680267</v>
      </c>
      <c r="U414" s="64" t="s">
        <v>1241</v>
      </c>
      <c r="V414" s="121">
        <v>3555830267</v>
      </c>
      <c r="W414" s="122"/>
      <c r="X414" s="64">
        <v>3555830267</v>
      </c>
      <c r="Y414" s="121"/>
      <c r="Z414" s="121"/>
      <c r="AA414" s="128"/>
      <c r="AB414" s="121"/>
      <c r="AC414" s="64">
        <v>3555830267</v>
      </c>
      <c r="AD414" s="63">
        <v>44454</v>
      </c>
      <c r="AE414" s="65">
        <v>48104</v>
      </c>
      <c r="AF414" s="62">
        <v>10</v>
      </c>
      <c r="AG414" s="119">
        <v>120</v>
      </c>
      <c r="AH414" s="25">
        <v>29631918.891666666</v>
      </c>
      <c r="AI414" s="78">
        <v>815865501.91666651</v>
      </c>
      <c r="AJ414" s="78">
        <v>2739964765.0833335</v>
      </c>
      <c r="AK414" s="27">
        <f t="shared" si="132"/>
        <v>29631918.891666666</v>
      </c>
      <c r="AL414" s="27">
        <f t="shared" si="136"/>
        <v>29631918.891666666</v>
      </c>
      <c r="AM414" s="27">
        <f t="shared" si="136"/>
        <v>29631918.891666666</v>
      </c>
      <c r="AN414" s="27">
        <f t="shared" si="124"/>
        <v>29631918.891666666</v>
      </c>
      <c r="AO414" s="27">
        <f t="shared" si="125"/>
        <v>29631918.891666666</v>
      </c>
      <c r="AP414" s="27">
        <f t="shared" si="125"/>
        <v>29631918.891666666</v>
      </c>
      <c r="AQ414" s="27">
        <f t="shared" si="126"/>
        <v>29631918.891666666</v>
      </c>
      <c r="AR414" s="27">
        <f t="shared" si="127"/>
        <v>29631918.891666666</v>
      </c>
      <c r="AS414" s="27"/>
      <c r="AT414" s="27"/>
      <c r="AU414" s="27"/>
      <c r="AV414" s="27"/>
      <c r="AW414" s="27">
        <f t="shared" si="129"/>
        <v>237055351.13333327</v>
      </c>
      <c r="AX414" s="79">
        <f t="shared" si="133"/>
        <v>2502909413.9500003</v>
      </c>
      <c r="AY414" s="79">
        <f t="shared" si="134"/>
        <v>1052920853.0499997</v>
      </c>
      <c r="AZ414" s="25">
        <v>1</v>
      </c>
      <c r="BA414" s="62" t="s">
        <v>97</v>
      </c>
      <c r="BB414" s="66">
        <v>1</v>
      </c>
      <c r="BC414" s="66"/>
      <c r="BD414" s="66"/>
      <c r="BE414" s="67">
        <f t="shared" si="137"/>
        <v>29631918.891666666</v>
      </c>
      <c r="BF414" s="67">
        <f t="shared" si="128"/>
        <v>0</v>
      </c>
      <c r="BG414" s="67">
        <f t="shared" si="135"/>
        <v>0</v>
      </c>
      <c r="BH414" s="66"/>
      <c r="BI414" s="68" t="s">
        <v>871</v>
      </c>
      <c r="BJ414" s="68" t="s">
        <v>1979</v>
      </c>
      <c r="BK414" s="68" t="s">
        <v>1979</v>
      </c>
      <c r="BL414" s="29"/>
      <c r="BO414" s="35" t="s">
        <v>1805</v>
      </c>
    </row>
    <row r="415" spans="1:68" ht="15" customHeight="1">
      <c r="A415" s="1" t="s">
        <v>1196</v>
      </c>
      <c r="B415" s="1" t="s">
        <v>1203</v>
      </c>
      <c r="C415" s="1" t="str">
        <f t="shared" si="130"/>
        <v>3109</v>
      </c>
      <c r="D415" s="1" t="str">
        <f t="shared" si="131"/>
        <v>2109</v>
      </c>
      <c r="E415" s="19" t="s">
        <v>1223</v>
      </c>
      <c r="F415" s="62" t="s">
        <v>515</v>
      </c>
      <c r="G415" s="62">
        <v>2112</v>
      </c>
      <c r="H415" s="62" t="s">
        <v>1244</v>
      </c>
      <c r="I415" s="62" t="s">
        <v>1245</v>
      </c>
      <c r="J415" s="118">
        <v>1</v>
      </c>
      <c r="K415" s="119" t="s">
        <v>619</v>
      </c>
      <c r="L415" s="62" t="s">
        <v>77</v>
      </c>
      <c r="M415" s="120" t="s">
        <v>1246</v>
      </c>
      <c r="N415" s="65">
        <v>44446</v>
      </c>
      <c r="O415" s="24">
        <v>65000</v>
      </c>
      <c r="P415" s="24">
        <v>22880</v>
      </c>
      <c r="Q415" s="64">
        <v>1487200000</v>
      </c>
      <c r="R415" s="64">
        <v>0</v>
      </c>
      <c r="S415" s="64"/>
      <c r="T415" s="64">
        <v>58711091</v>
      </c>
      <c r="U415" s="64" t="s">
        <v>1247</v>
      </c>
      <c r="V415" s="121">
        <v>1545911091</v>
      </c>
      <c r="W415" s="122"/>
      <c r="X415" s="64">
        <v>1545911091</v>
      </c>
      <c r="Y415" s="121"/>
      <c r="Z415" s="121"/>
      <c r="AA415" s="128"/>
      <c r="AB415" s="121"/>
      <c r="AC415" s="64">
        <v>1545911091</v>
      </c>
      <c r="AD415" s="63">
        <v>44468</v>
      </c>
      <c r="AE415" s="65">
        <v>48118</v>
      </c>
      <c r="AF415" s="62">
        <v>10</v>
      </c>
      <c r="AG415" s="119">
        <v>120</v>
      </c>
      <c r="AH415" s="25">
        <v>12882592.425000001</v>
      </c>
      <c r="AI415" s="78">
        <v>348688827.25</v>
      </c>
      <c r="AJ415" s="78">
        <v>1197222263.75</v>
      </c>
      <c r="AK415" s="27">
        <f t="shared" si="132"/>
        <v>12882592.425000001</v>
      </c>
      <c r="AL415" s="27">
        <f t="shared" si="136"/>
        <v>12882592.425000001</v>
      </c>
      <c r="AM415" s="27">
        <f t="shared" si="136"/>
        <v>12882592.425000001</v>
      </c>
      <c r="AN415" s="27">
        <f t="shared" si="124"/>
        <v>12882592.425000001</v>
      </c>
      <c r="AO415" s="27">
        <f t="shared" si="125"/>
        <v>12882592.425000001</v>
      </c>
      <c r="AP415" s="27">
        <f t="shared" si="125"/>
        <v>12882592.425000001</v>
      </c>
      <c r="AQ415" s="27">
        <f t="shared" si="126"/>
        <v>12882592.425000001</v>
      </c>
      <c r="AR415" s="27">
        <f t="shared" si="127"/>
        <v>12882592.425000001</v>
      </c>
      <c r="AS415" s="27"/>
      <c r="AT415" s="27"/>
      <c r="AU415" s="27"/>
      <c r="AV415" s="27"/>
      <c r="AW415" s="27">
        <f t="shared" si="129"/>
        <v>103060739.39999999</v>
      </c>
      <c r="AX415" s="79">
        <f t="shared" si="133"/>
        <v>1094161524.3499999</v>
      </c>
      <c r="AY415" s="79">
        <f t="shared" si="134"/>
        <v>451749566.64999998</v>
      </c>
      <c r="AZ415" s="25">
        <v>1</v>
      </c>
      <c r="BA415" s="62" t="s">
        <v>97</v>
      </c>
      <c r="BB415" s="66">
        <v>1</v>
      </c>
      <c r="BC415" s="66"/>
      <c r="BD415" s="66"/>
      <c r="BE415" s="67">
        <f t="shared" si="137"/>
        <v>12882592.425000001</v>
      </c>
      <c r="BF415" s="67">
        <f t="shared" si="128"/>
        <v>0</v>
      </c>
      <c r="BG415" s="67">
        <f t="shared" si="135"/>
        <v>0</v>
      </c>
      <c r="BH415" s="66"/>
      <c r="BI415" s="68" t="s">
        <v>1248</v>
      </c>
      <c r="BJ415" s="68" t="s">
        <v>644</v>
      </c>
      <c r="BK415" s="68" t="s">
        <v>1249</v>
      </c>
      <c r="BL415" s="29"/>
      <c r="BO415" s="35" t="s">
        <v>1802</v>
      </c>
    </row>
    <row r="416" spans="1:68" ht="15" customHeight="1">
      <c r="A416" s="1" t="s">
        <v>1250</v>
      </c>
      <c r="C416" s="1" t="str">
        <f t="shared" si="130"/>
        <v>2910</v>
      </c>
      <c r="D416" s="1" t="str">
        <f t="shared" si="131"/>
        <v>2110</v>
      </c>
      <c r="E416" s="19" t="s">
        <v>1176</v>
      </c>
      <c r="F416" s="62" t="s">
        <v>1230</v>
      </c>
      <c r="G416" s="62">
        <v>2112</v>
      </c>
      <c r="H416" s="62" t="s">
        <v>1251</v>
      </c>
      <c r="I416" s="62" t="s">
        <v>1252</v>
      </c>
      <c r="J416" s="118">
        <v>1</v>
      </c>
      <c r="K416" s="119"/>
      <c r="L416" s="62" t="s">
        <v>1179</v>
      </c>
      <c r="M416" s="137" t="s">
        <v>1253</v>
      </c>
      <c r="N416" s="63">
        <v>44487</v>
      </c>
      <c r="O416" s="24"/>
      <c r="P416" s="24"/>
      <c r="Q416" s="64">
        <v>95650000</v>
      </c>
      <c r="R416" s="64"/>
      <c r="S416" s="64"/>
      <c r="T416" s="64"/>
      <c r="U416" s="64"/>
      <c r="V416" s="121">
        <v>95650000</v>
      </c>
      <c r="W416" s="122"/>
      <c r="X416" s="64">
        <v>95650000</v>
      </c>
      <c r="Y416" s="121"/>
      <c r="Z416" s="121"/>
      <c r="AA416" s="128"/>
      <c r="AB416" s="121"/>
      <c r="AC416" s="64">
        <v>95650000</v>
      </c>
      <c r="AD416" s="63">
        <v>44487</v>
      </c>
      <c r="AE416" s="65">
        <v>47407</v>
      </c>
      <c r="AF416" s="62">
        <v>8</v>
      </c>
      <c r="AG416" s="119">
        <v>96</v>
      </c>
      <c r="AH416" s="25">
        <v>996354.16666666663</v>
      </c>
      <c r="AI416" s="78">
        <v>26355171.666666664</v>
      </c>
      <c r="AJ416" s="78">
        <v>69294828.333333328</v>
      </c>
      <c r="AK416" s="27">
        <f t="shared" si="132"/>
        <v>996354.16666666663</v>
      </c>
      <c r="AL416" s="27">
        <f t="shared" si="136"/>
        <v>996354.16666666663</v>
      </c>
      <c r="AM416" s="27">
        <f t="shared" si="136"/>
        <v>996354.16666666663</v>
      </c>
      <c r="AN416" s="27">
        <f t="shared" ref="AN416:AN478" si="138">+IF(AND(AN$3&gt;=$D416,AN$3&lt;$C416),$AH416,$AJ416-SUM(AL416:AM416))</f>
        <v>996354.16666666663</v>
      </c>
      <c r="AO416" s="27">
        <f t="shared" ref="AO416:AP478" si="139">+IF(AND(AO$3&gt;=$D416,AO$3&lt;$C416),$AH416,$AJ416-SUM(AM416:AN416))</f>
        <v>996354.16666666663</v>
      </c>
      <c r="AP416" s="27">
        <f t="shared" si="139"/>
        <v>996354.16666666663</v>
      </c>
      <c r="AQ416" s="27">
        <f t="shared" ref="AQ416:AQ478" si="140">+IF(AND(AQ$3&gt;=$D416,AQ$3&lt;$C416),$AH416,$AJ416-SUM(AK416:AP416))</f>
        <v>996354.16666666663</v>
      </c>
      <c r="AR416" s="27">
        <f t="shared" ref="AR416:AR478" si="141">+IF(AND(AR$3&gt;=$D416,AR$3&lt;$C416),$AH416,$AJ416-SUM(AL416:AQ416))</f>
        <v>996354.16666666663</v>
      </c>
      <c r="AS416" s="27"/>
      <c r="AT416" s="27"/>
      <c r="AU416" s="27"/>
      <c r="AV416" s="27"/>
      <c r="AW416" s="27">
        <f t="shared" si="129"/>
        <v>7970833.333333334</v>
      </c>
      <c r="AX416" s="79">
        <f t="shared" si="133"/>
        <v>61323995.000000007</v>
      </c>
      <c r="AY416" s="79">
        <f t="shared" si="134"/>
        <v>34326005</v>
      </c>
      <c r="AZ416" s="25">
        <v>1</v>
      </c>
      <c r="BA416" s="62" t="s">
        <v>97</v>
      </c>
      <c r="BB416" s="66"/>
      <c r="BC416" s="66">
        <v>1</v>
      </c>
      <c r="BD416" s="66"/>
      <c r="BE416" s="67">
        <f t="shared" si="137"/>
        <v>0</v>
      </c>
      <c r="BF416" s="67">
        <f t="shared" ref="BF416:BF478" si="142">+$AM416*BC416</f>
        <v>996354.16666666663</v>
      </c>
      <c r="BG416" s="67">
        <f t="shared" si="135"/>
        <v>0</v>
      </c>
      <c r="BH416" s="66"/>
      <c r="BI416" s="68" t="s">
        <v>1254</v>
      </c>
      <c r="BJ416" s="68" t="s">
        <v>58</v>
      </c>
      <c r="BK416" s="68" t="s">
        <v>59</v>
      </c>
      <c r="BL416" s="29"/>
      <c r="BO416" s="35" t="s">
        <v>1438</v>
      </c>
    </row>
    <row r="417" spans="1:68" ht="15" customHeight="1">
      <c r="A417" s="1" t="s">
        <v>1260</v>
      </c>
      <c r="B417" s="1" t="s">
        <v>1256</v>
      </c>
      <c r="C417" s="1" t="str">
        <f t="shared" si="130"/>
        <v>3110</v>
      </c>
      <c r="D417" s="1" t="str">
        <f t="shared" si="131"/>
        <v>2110</v>
      </c>
      <c r="E417" s="19" t="s">
        <v>1223</v>
      </c>
      <c r="F417" s="62" t="s">
        <v>49</v>
      </c>
      <c r="G417" s="62">
        <v>2112</v>
      </c>
      <c r="H417" s="62" t="s">
        <v>1261</v>
      </c>
      <c r="I417" s="62" t="s">
        <v>1262</v>
      </c>
      <c r="J417" s="118">
        <v>1</v>
      </c>
      <c r="K417" s="119" t="s">
        <v>271</v>
      </c>
      <c r="L417" s="62" t="s">
        <v>1263</v>
      </c>
      <c r="M417" s="120" t="s">
        <v>1264</v>
      </c>
      <c r="N417" s="63">
        <v>44488</v>
      </c>
      <c r="O417" s="24">
        <v>2710</v>
      </c>
      <c r="P417" s="24">
        <v>23140</v>
      </c>
      <c r="Q417" s="64">
        <v>62709400</v>
      </c>
      <c r="R417" s="64"/>
      <c r="S417" s="64"/>
      <c r="T417" s="64">
        <v>90000</v>
      </c>
      <c r="U417" s="64" t="s">
        <v>1265</v>
      </c>
      <c r="V417" s="121">
        <v>62799400</v>
      </c>
      <c r="W417" s="122"/>
      <c r="X417" s="64">
        <v>62799400</v>
      </c>
      <c r="Y417" s="121"/>
      <c r="Z417" s="121"/>
      <c r="AA417" s="128"/>
      <c r="AB417" s="121"/>
      <c r="AC417" s="64">
        <v>62799400</v>
      </c>
      <c r="AD417" s="63">
        <v>44488</v>
      </c>
      <c r="AE417" s="65">
        <v>48138</v>
      </c>
      <c r="AF417" s="62">
        <v>10</v>
      </c>
      <c r="AG417" s="119">
        <v>120</v>
      </c>
      <c r="AH417" s="25">
        <v>523328.33333333331</v>
      </c>
      <c r="AI417" s="78">
        <v>13825991.333333332</v>
      </c>
      <c r="AJ417" s="78">
        <v>48973408.666666664</v>
      </c>
      <c r="AK417" s="27">
        <f t="shared" si="132"/>
        <v>523328.33333333331</v>
      </c>
      <c r="AL417" s="27">
        <f t="shared" si="136"/>
        <v>523328.33333333331</v>
      </c>
      <c r="AM417" s="27">
        <f t="shared" si="136"/>
        <v>523328.33333333331</v>
      </c>
      <c r="AN417" s="27">
        <f t="shared" si="138"/>
        <v>523328.33333333331</v>
      </c>
      <c r="AO417" s="27">
        <f t="shared" si="139"/>
        <v>523328.33333333331</v>
      </c>
      <c r="AP417" s="27">
        <f t="shared" si="139"/>
        <v>523328.33333333331</v>
      </c>
      <c r="AQ417" s="27">
        <f t="shared" si="140"/>
        <v>523328.33333333331</v>
      </c>
      <c r="AR417" s="27">
        <f t="shared" si="141"/>
        <v>523328.33333333331</v>
      </c>
      <c r="AS417" s="27"/>
      <c r="AT417" s="27"/>
      <c r="AU417" s="27"/>
      <c r="AV417" s="27"/>
      <c r="AW417" s="27">
        <f t="shared" si="129"/>
        <v>4186626.666666667</v>
      </c>
      <c r="AX417" s="79">
        <f t="shared" si="133"/>
        <v>44786782.000000007</v>
      </c>
      <c r="AY417" s="79">
        <f t="shared" si="134"/>
        <v>18012618</v>
      </c>
      <c r="AZ417" s="25">
        <v>1</v>
      </c>
      <c r="BA417" s="62" t="s">
        <v>97</v>
      </c>
      <c r="BB417" s="66">
        <v>1</v>
      </c>
      <c r="BC417" s="66"/>
      <c r="BD417" s="66"/>
      <c r="BE417" s="67">
        <f t="shared" si="137"/>
        <v>523328.33333333331</v>
      </c>
      <c r="BF417" s="67">
        <f t="shared" si="142"/>
        <v>0</v>
      </c>
      <c r="BG417" s="67">
        <f t="shared" si="135"/>
        <v>0</v>
      </c>
      <c r="BH417" s="66"/>
      <c r="BI417" s="68" t="s">
        <v>1266</v>
      </c>
      <c r="BJ417" s="68" t="s">
        <v>85</v>
      </c>
      <c r="BK417" s="68" t="s">
        <v>85</v>
      </c>
      <c r="BL417" s="29"/>
      <c r="BO417" s="35" t="s">
        <v>1800</v>
      </c>
      <c r="BP417" s="1" t="s">
        <v>1822</v>
      </c>
    </row>
    <row r="418" spans="1:68" ht="15" customHeight="1">
      <c r="A418" s="1" t="s">
        <v>1260</v>
      </c>
      <c r="B418" s="1" t="s">
        <v>1256</v>
      </c>
      <c r="C418" s="1" t="str">
        <f t="shared" si="130"/>
        <v>3110</v>
      </c>
      <c r="D418" s="1" t="str">
        <f t="shared" si="131"/>
        <v>2110</v>
      </c>
      <c r="E418" s="19" t="s">
        <v>1223</v>
      </c>
      <c r="F418" s="62" t="s">
        <v>49</v>
      </c>
      <c r="G418" s="62">
        <v>2112</v>
      </c>
      <c r="H418" s="62" t="s">
        <v>1267</v>
      </c>
      <c r="I418" s="62" t="s">
        <v>1262</v>
      </c>
      <c r="J418" s="118">
        <v>1</v>
      </c>
      <c r="K418" s="119" t="s">
        <v>271</v>
      </c>
      <c r="L418" s="62" t="s">
        <v>1263</v>
      </c>
      <c r="M418" s="120" t="s">
        <v>1264</v>
      </c>
      <c r="N418" s="63">
        <v>44488</v>
      </c>
      <c r="O418" s="24">
        <v>2710</v>
      </c>
      <c r="P418" s="24">
        <v>23140</v>
      </c>
      <c r="Q418" s="64">
        <v>62709400</v>
      </c>
      <c r="R418" s="64"/>
      <c r="S418" s="64"/>
      <c r="T418" s="64">
        <v>90000</v>
      </c>
      <c r="U418" s="64" t="s">
        <v>1265</v>
      </c>
      <c r="V418" s="121">
        <v>62799400</v>
      </c>
      <c r="W418" s="122"/>
      <c r="X418" s="64">
        <v>62799400</v>
      </c>
      <c r="Y418" s="121"/>
      <c r="Z418" s="121"/>
      <c r="AA418" s="128"/>
      <c r="AB418" s="121"/>
      <c r="AC418" s="64">
        <v>62799400</v>
      </c>
      <c r="AD418" s="63">
        <v>44488</v>
      </c>
      <c r="AE418" s="65">
        <v>48138</v>
      </c>
      <c r="AF418" s="62">
        <v>10</v>
      </c>
      <c r="AG418" s="119">
        <v>120</v>
      </c>
      <c r="AH418" s="25">
        <v>523328.33333333331</v>
      </c>
      <c r="AI418" s="78">
        <v>13825991.333333332</v>
      </c>
      <c r="AJ418" s="78">
        <v>48973408.666666664</v>
      </c>
      <c r="AK418" s="27">
        <f t="shared" si="132"/>
        <v>523328.33333333331</v>
      </c>
      <c r="AL418" s="27">
        <f t="shared" si="136"/>
        <v>523328.33333333331</v>
      </c>
      <c r="AM418" s="27">
        <f t="shared" si="136"/>
        <v>523328.33333333331</v>
      </c>
      <c r="AN418" s="27">
        <f t="shared" si="138"/>
        <v>523328.33333333331</v>
      </c>
      <c r="AO418" s="27">
        <f t="shared" si="139"/>
        <v>523328.33333333331</v>
      </c>
      <c r="AP418" s="27">
        <f t="shared" si="139"/>
        <v>523328.33333333331</v>
      </c>
      <c r="AQ418" s="27">
        <f t="shared" si="140"/>
        <v>523328.33333333331</v>
      </c>
      <c r="AR418" s="27">
        <f t="shared" si="141"/>
        <v>523328.33333333331</v>
      </c>
      <c r="AS418" s="27"/>
      <c r="AT418" s="27"/>
      <c r="AU418" s="27"/>
      <c r="AV418" s="27"/>
      <c r="AW418" s="27">
        <f t="shared" si="129"/>
        <v>4186626.666666667</v>
      </c>
      <c r="AX418" s="79">
        <f t="shared" si="133"/>
        <v>44786782.000000007</v>
      </c>
      <c r="AY418" s="79">
        <f t="shared" si="134"/>
        <v>18012618</v>
      </c>
      <c r="AZ418" s="25">
        <v>1</v>
      </c>
      <c r="BA418" s="62" t="s">
        <v>97</v>
      </c>
      <c r="BB418" s="66">
        <v>1</v>
      </c>
      <c r="BC418" s="66"/>
      <c r="BD418" s="66"/>
      <c r="BE418" s="67">
        <f t="shared" si="137"/>
        <v>523328.33333333331</v>
      </c>
      <c r="BF418" s="67">
        <f t="shared" si="142"/>
        <v>0</v>
      </c>
      <c r="BG418" s="67">
        <f t="shared" si="135"/>
        <v>0</v>
      </c>
      <c r="BH418" s="66"/>
      <c r="BI418" s="68" t="s">
        <v>1266</v>
      </c>
      <c r="BJ418" s="68" t="s">
        <v>85</v>
      </c>
      <c r="BK418" s="68" t="s">
        <v>85</v>
      </c>
      <c r="BL418" s="29"/>
      <c r="BO418" s="35" t="s">
        <v>1800</v>
      </c>
      <c r="BP418" s="1" t="s">
        <v>1816</v>
      </c>
    </row>
    <row r="419" spans="1:68" ht="15" customHeight="1">
      <c r="A419" s="1" t="s">
        <v>1260</v>
      </c>
      <c r="B419" s="1" t="s">
        <v>1256</v>
      </c>
      <c r="C419" s="1" t="str">
        <f t="shared" si="130"/>
        <v>3110</v>
      </c>
      <c r="D419" s="1" t="str">
        <f t="shared" si="131"/>
        <v>2110</v>
      </c>
      <c r="E419" s="19" t="s">
        <v>1223</v>
      </c>
      <c r="F419" s="62" t="s">
        <v>49</v>
      </c>
      <c r="G419" s="62">
        <v>2112</v>
      </c>
      <c r="H419" s="62" t="s">
        <v>1268</v>
      </c>
      <c r="I419" s="62" t="s">
        <v>1262</v>
      </c>
      <c r="J419" s="118">
        <v>1</v>
      </c>
      <c r="K419" s="119" t="s">
        <v>271</v>
      </c>
      <c r="L419" s="62" t="s">
        <v>1263</v>
      </c>
      <c r="M419" s="120" t="s">
        <v>1264</v>
      </c>
      <c r="N419" s="63">
        <v>44488</v>
      </c>
      <c r="O419" s="24">
        <v>2710</v>
      </c>
      <c r="P419" s="24">
        <v>23140</v>
      </c>
      <c r="Q419" s="64">
        <v>62709400</v>
      </c>
      <c r="R419" s="64"/>
      <c r="S419" s="64"/>
      <c r="T419" s="64">
        <v>90000</v>
      </c>
      <c r="U419" s="64" t="s">
        <v>1265</v>
      </c>
      <c r="V419" s="121">
        <v>62799400</v>
      </c>
      <c r="W419" s="122"/>
      <c r="X419" s="64">
        <v>62799400</v>
      </c>
      <c r="Y419" s="121"/>
      <c r="Z419" s="121"/>
      <c r="AA419" s="128"/>
      <c r="AB419" s="121"/>
      <c r="AC419" s="64">
        <v>62799400</v>
      </c>
      <c r="AD419" s="63">
        <v>44488</v>
      </c>
      <c r="AE419" s="65">
        <v>48138</v>
      </c>
      <c r="AF419" s="62">
        <v>10</v>
      </c>
      <c r="AG419" s="119">
        <v>120</v>
      </c>
      <c r="AH419" s="25">
        <v>523328.33333333331</v>
      </c>
      <c r="AI419" s="78">
        <v>13825991.333333332</v>
      </c>
      <c r="AJ419" s="78">
        <v>48973408.666666664</v>
      </c>
      <c r="AK419" s="27">
        <f t="shared" si="132"/>
        <v>523328.33333333331</v>
      </c>
      <c r="AL419" s="27">
        <f t="shared" si="136"/>
        <v>523328.33333333331</v>
      </c>
      <c r="AM419" s="27">
        <f t="shared" si="136"/>
        <v>523328.33333333331</v>
      </c>
      <c r="AN419" s="27">
        <f t="shared" si="138"/>
        <v>523328.33333333331</v>
      </c>
      <c r="AO419" s="27">
        <f t="shared" si="139"/>
        <v>523328.33333333331</v>
      </c>
      <c r="AP419" s="27">
        <f t="shared" si="139"/>
        <v>523328.33333333331</v>
      </c>
      <c r="AQ419" s="27">
        <f t="shared" si="140"/>
        <v>523328.33333333331</v>
      </c>
      <c r="AR419" s="27">
        <f t="shared" si="141"/>
        <v>523328.33333333331</v>
      </c>
      <c r="AS419" s="27"/>
      <c r="AT419" s="27"/>
      <c r="AU419" s="27"/>
      <c r="AV419" s="27"/>
      <c r="AW419" s="27">
        <f t="shared" si="129"/>
        <v>4186626.666666667</v>
      </c>
      <c r="AX419" s="79">
        <f t="shared" si="133"/>
        <v>44786782.000000007</v>
      </c>
      <c r="AY419" s="79">
        <f t="shared" si="134"/>
        <v>18012618</v>
      </c>
      <c r="AZ419" s="25">
        <v>1</v>
      </c>
      <c r="BA419" s="62" t="s">
        <v>97</v>
      </c>
      <c r="BB419" s="66">
        <v>1</v>
      </c>
      <c r="BC419" s="66"/>
      <c r="BD419" s="66"/>
      <c r="BE419" s="67">
        <f t="shared" si="137"/>
        <v>523328.33333333331</v>
      </c>
      <c r="BF419" s="67">
        <f t="shared" si="142"/>
        <v>0</v>
      </c>
      <c r="BG419" s="67">
        <f t="shared" si="135"/>
        <v>0</v>
      </c>
      <c r="BH419" s="66"/>
      <c r="BI419" s="68" t="s">
        <v>1266</v>
      </c>
      <c r="BJ419" s="68" t="s">
        <v>85</v>
      </c>
      <c r="BK419" s="68" t="s">
        <v>85</v>
      </c>
      <c r="BL419" s="29"/>
      <c r="BO419" s="35" t="s">
        <v>1800</v>
      </c>
      <c r="BP419" s="1" t="s">
        <v>1810</v>
      </c>
    </row>
    <row r="420" spans="1:68" ht="15" customHeight="1">
      <c r="A420" s="1" t="s">
        <v>1260</v>
      </c>
      <c r="B420" s="1" t="s">
        <v>1256</v>
      </c>
      <c r="C420" s="1" t="str">
        <f t="shared" si="130"/>
        <v>3110</v>
      </c>
      <c r="D420" s="1" t="str">
        <f t="shared" si="131"/>
        <v>2110</v>
      </c>
      <c r="E420" s="19" t="s">
        <v>1223</v>
      </c>
      <c r="F420" s="62" t="s">
        <v>49</v>
      </c>
      <c r="G420" s="62">
        <v>2112</v>
      </c>
      <c r="H420" s="62" t="s">
        <v>1269</v>
      </c>
      <c r="I420" s="62" t="s">
        <v>1262</v>
      </c>
      <c r="J420" s="118">
        <v>1</v>
      </c>
      <c r="K420" s="119" t="s">
        <v>271</v>
      </c>
      <c r="L420" s="62" t="s">
        <v>1263</v>
      </c>
      <c r="M420" s="120" t="s">
        <v>1264</v>
      </c>
      <c r="N420" s="63">
        <v>44488</v>
      </c>
      <c r="O420" s="24">
        <v>2710</v>
      </c>
      <c r="P420" s="24">
        <v>23140</v>
      </c>
      <c r="Q420" s="64">
        <v>62709400</v>
      </c>
      <c r="R420" s="64"/>
      <c r="S420" s="64"/>
      <c r="T420" s="64">
        <v>90000</v>
      </c>
      <c r="U420" s="64" t="s">
        <v>1265</v>
      </c>
      <c r="V420" s="121">
        <v>62799400</v>
      </c>
      <c r="W420" s="122"/>
      <c r="X420" s="64">
        <v>62799400</v>
      </c>
      <c r="Y420" s="121"/>
      <c r="Z420" s="121"/>
      <c r="AA420" s="128"/>
      <c r="AB420" s="121"/>
      <c r="AC420" s="64">
        <v>62799400</v>
      </c>
      <c r="AD420" s="63">
        <v>44488</v>
      </c>
      <c r="AE420" s="65">
        <v>48138</v>
      </c>
      <c r="AF420" s="62">
        <v>10</v>
      </c>
      <c r="AG420" s="119">
        <v>120</v>
      </c>
      <c r="AH420" s="25">
        <v>523328.33333333331</v>
      </c>
      <c r="AI420" s="78">
        <v>13825991.333333332</v>
      </c>
      <c r="AJ420" s="78">
        <v>48973408.666666664</v>
      </c>
      <c r="AK420" s="27">
        <f t="shared" si="132"/>
        <v>523328.33333333331</v>
      </c>
      <c r="AL420" s="27">
        <f t="shared" si="136"/>
        <v>523328.33333333331</v>
      </c>
      <c r="AM420" s="27">
        <f t="shared" si="136"/>
        <v>523328.33333333331</v>
      </c>
      <c r="AN420" s="27">
        <f t="shared" si="138"/>
        <v>523328.33333333331</v>
      </c>
      <c r="AO420" s="27">
        <f t="shared" si="139"/>
        <v>523328.33333333331</v>
      </c>
      <c r="AP420" s="27">
        <f t="shared" si="139"/>
        <v>523328.33333333331</v>
      </c>
      <c r="AQ420" s="27">
        <f t="shared" si="140"/>
        <v>523328.33333333331</v>
      </c>
      <c r="AR420" s="27">
        <f t="shared" si="141"/>
        <v>523328.33333333331</v>
      </c>
      <c r="AS420" s="27"/>
      <c r="AT420" s="27"/>
      <c r="AU420" s="27"/>
      <c r="AV420" s="27"/>
      <c r="AW420" s="27">
        <f t="shared" si="129"/>
        <v>4186626.666666667</v>
      </c>
      <c r="AX420" s="79">
        <f t="shared" si="133"/>
        <v>44786782.000000007</v>
      </c>
      <c r="AY420" s="79">
        <f t="shared" si="134"/>
        <v>18012618</v>
      </c>
      <c r="AZ420" s="25">
        <v>1</v>
      </c>
      <c r="BA420" s="62" t="s">
        <v>97</v>
      </c>
      <c r="BB420" s="66">
        <v>1</v>
      </c>
      <c r="BC420" s="66"/>
      <c r="BD420" s="66"/>
      <c r="BE420" s="67">
        <f t="shared" si="137"/>
        <v>523328.33333333331</v>
      </c>
      <c r="BF420" s="67">
        <f t="shared" si="142"/>
        <v>0</v>
      </c>
      <c r="BG420" s="67">
        <f t="shared" si="135"/>
        <v>0</v>
      </c>
      <c r="BH420" s="66"/>
      <c r="BI420" s="68" t="s">
        <v>1266</v>
      </c>
      <c r="BJ420" s="68" t="s">
        <v>85</v>
      </c>
      <c r="BK420" s="68" t="s">
        <v>85</v>
      </c>
      <c r="BL420" s="29"/>
      <c r="BO420" s="35" t="s">
        <v>1800</v>
      </c>
      <c r="BP420" s="1" t="s">
        <v>1823</v>
      </c>
    </row>
    <row r="421" spans="1:68" ht="15" customHeight="1">
      <c r="A421" s="1" t="s">
        <v>1260</v>
      </c>
      <c r="B421" s="1" t="s">
        <v>1256</v>
      </c>
      <c r="C421" s="1" t="str">
        <f t="shared" si="130"/>
        <v>3110</v>
      </c>
      <c r="D421" s="1" t="str">
        <f t="shared" si="131"/>
        <v>2110</v>
      </c>
      <c r="E421" s="19" t="s">
        <v>1223</v>
      </c>
      <c r="F421" s="62" t="s">
        <v>49</v>
      </c>
      <c r="G421" s="62">
        <v>2112</v>
      </c>
      <c r="H421" s="62" t="s">
        <v>1270</v>
      </c>
      <c r="I421" s="62" t="s">
        <v>1262</v>
      </c>
      <c r="J421" s="118">
        <v>1</v>
      </c>
      <c r="K421" s="119" t="s">
        <v>271</v>
      </c>
      <c r="L421" s="62" t="s">
        <v>1263</v>
      </c>
      <c r="M421" s="120" t="s">
        <v>1264</v>
      </c>
      <c r="N421" s="63">
        <v>44488</v>
      </c>
      <c r="O421" s="24">
        <v>2710</v>
      </c>
      <c r="P421" s="24">
        <v>23140</v>
      </c>
      <c r="Q421" s="64">
        <v>62709400</v>
      </c>
      <c r="R421" s="64"/>
      <c r="S421" s="64"/>
      <c r="T421" s="64">
        <v>90000</v>
      </c>
      <c r="U421" s="64" t="s">
        <v>1265</v>
      </c>
      <c r="V421" s="121">
        <v>62799400</v>
      </c>
      <c r="W421" s="122"/>
      <c r="X421" s="64">
        <v>62799400</v>
      </c>
      <c r="Y421" s="121"/>
      <c r="Z421" s="121"/>
      <c r="AA421" s="128"/>
      <c r="AB421" s="121"/>
      <c r="AC421" s="64">
        <v>62799400</v>
      </c>
      <c r="AD421" s="63">
        <v>44488</v>
      </c>
      <c r="AE421" s="65">
        <v>48138</v>
      </c>
      <c r="AF421" s="62">
        <v>10</v>
      </c>
      <c r="AG421" s="119">
        <v>120</v>
      </c>
      <c r="AH421" s="25">
        <v>523328.33333333331</v>
      </c>
      <c r="AI421" s="78">
        <v>13825991.333333332</v>
      </c>
      <c r="AJ421" s="78">
        <v>48973408.666666664</v>
      </c>
      <c r="AK421" s="27">
        <f t="shared" si="132"/>
        <v>523328.33333333331</v>
      </c>
      <c r="AL421" s="27">
        <f t="shared" si="136"/>
        <v>523328.33333333331</v>
      </c>
      <c r="AM421" s="27">
        <f t="shared" si="136"/>
        <v>523328.33333333331</v>
      </c>
      <c r="AN421" s="27">
        <f t="shared" si="138"/>
        <v>523328.33333333331</v>
      </c>
      <c r="AO421" s="27">
        <f t="shared" si="139"/>
        <v>523328.33333333331</v>
      </c>
      <c r="AP421" s="27">
        <f t="shared" si="139"/>
        <v>523328.33333333331</v>
      </c>
      <c r="AQ421" s="27">
        <f t="shared" si="140"/>
        <v>523328.33333333331</v>
      </c>
      <c r="AR421" s="27">
        <f t="shared" si="141"/>
        <v>523328.33333333331</v>
      </c>
      <c r="AS421" s="27"/>
      <c r="AT421" s="27"/>
      <c r="AU421" s="27"/>
      <c r="AV421" s="27"/>
      <c r="AW421" s="27">
        <f t="shared" si="129"/>
        <v>4186626.666666667</v>
      </c>
      <c r="AX421" s="79">
        <f t="shared" si="133"/>
        <v>44786782.000000007</v>
      </c>
      <c r="AY421" s="79">
        <f t="shared" si="134"/>
        <v>18012618</v>
      </c>
      <c r="AZ421" s="25">
        <v>1</v>
      </c>
      <c r="BA421" s="62" t="s">
        <v>97</v>
      </c>
      <c r="BB421" s="66">
        <v>1</v>
      </c>
      <c r="BC421" s="66"/>
      <c r="BD421" s="66"/>
      <c r="BE421" s="67">
        <f t="shared" si="137"/>
        <v>523328.33333333331</v>
      </c>
      <c r="BF421" s="67">
        <f t="shared" si="142"/>
        <v>0</v>
      </c>
      <c r="BG421" s="67">
        <f t="shared" si="135"/>
        <v>0</v>
      </c>
      <c r="BH421" s="66"/>
      <c r="BI421" s="68" t="s">
        <v>1266</v>
      </c>
      <c r="BJ421" s="68" t="s">
        <v>85</v>
      </c>
      <c r="BK421" s="68" t="s">
        <v>85</v>
      </c>
      <c r="BL421" s="29"/>
      <c r="BO421" s="35" t="s">
        <v>1800</v>
      </c>
      <c r="BP421" s="1" t="s">
        <v>1821</v>
      </c>
    </row>
    <row r="422" spans="1:68" ht="15" customHeight="1">
      <c r="A422" s="1" t="s">
        <v>1260</v>
      </c>
      <c r="B422" s="1" t="s">
        <v>1256</v>
      </c>
      <c r="C422" s="1" t="str">
        <f t="shared" si="130"/>
        <v>3110</v>
      </c>
      <c r="D422" s="1" t="str">
        <f t="shared" si="131"/>
        <v>2110</v>
      </c>
      <c r="E422" s="19" t="s">
        <v>1223</v>
      </c>
      <c r="F422" s="62" t="s">
        <v>1896</v>
      </c>
      <c r="G422" s="62">
        <v>2112</v>
      </c>
      <c r="H422" s="62" t="s">
        <v>1271</v>
      </c>
      <c r="I422" s="62" t="s">
        <v>1262</v>
      </c>
      <c r="J422" s="118">
        <v>1</v>
      </c>
      <c r="K422" s="119" t="s">
        <v>271</v>
      </c>
      <c r="L422" s="62" t="s">
        <v>1263</v>
      </c>
      <c r="M422" s="120" t="s">
        <v>1264</v>
      </c>
      <c r="N422" s="63">
        <v>44488</v>
      </c>
      <c r="O422" s="24">
        <v>2710</v>
      </c>
      <c r="P422" s="24">
        <v>23140</v>
      </c>
      <c r="Q422" s="64">
        <v>62709400</v>
      </c>
      <c r="R422" s="64"/>
      <c r="S422" s="64"/>
      <c r="T422" s="64">
        <v>90000</v>
      </c>
      <c r="U422" s="64" t="s">
        <v>1265</v>
      </c>
      <c r="V422" s="121">
        <v>62799400</v>
      </c>
      <c r="W422" s="122"/>
      <c r="X422" s="64">
        <v>62799400</v>
      </c>
      <c r="Y422" s="121"/>
      <c r="Z422" s="121"/>
      <c r="AA422" s="128"/>
      <c r="AB422" s="121"/>
      <c r="AC422" s="64">
        <v>62799400</v>
      </c>
      <c r="AD422" s="63">
        <v>44488</v>
      </c>
      <c r="AE422" s="65">
        <v>48138</v>
      </c>
      <c r="AF422" s="62">
        <v>10</v>
      </c>
      <c r="AG422" s="119">
        <v>120</v>
      </c>
      <c r="AH422" s="25">
        <v>523328.33333333331</v>
      </c>
      <c r="AI422" s="78">
        <v>13825991.333333332</v>
      </c>
      <c r="AJ422" s="78">
        <v>48973408.666666664</v>
      </c>
      <c r="AK422" s="27">
        <f t="shared" si="132"/>
        <v>523328.33333333331</v>
      </c>
      <c r="AL422" s="27">
        <f t="shared" si="136"/>
        <v>523328.33333333331</v>
      </c>
      <c r="AM422" s="27">
        <f t="shared" si="136"/>
        <v>523328.33333333331</v>
      </c>
      <c r="AN422" s="27">
        <f t="shared" si="138"/>
        <v>523328.33333333331</v>
      </c>
      <c r="AO422" s="27">
        <f t="shared" si="139"/>
        <v>523328.33333333331</v>
      </c>
      <c r="AP422" s="27">
        <f t="shared" si="139"/>
        <v>523328.33333333331</v>
      </c>
      <c r="AQ422" s="27">
        <f t="shared" si="140"/>
        <v>523328.33333333331</v>
      </c>
      <c r="AR422" s="27">
        <f t="shared" si="141"/>
        <v>523328.33333333331</v>
      </c>
      <c r="AS422" s="27"/>
      <c r="AT422" s="27"/>
      <c r="AU422" s="27"/>
      <c r="AV422" s="27"/>
      <c r="AW422" s="27">
        <f t="shared" si="129"/>
        <v>4186626.666666667</v>
      </c>
      <c r="AX422" s="79">
        <f t="shared" si="133"/>
        <v>44786782.000000007</v>
      </c>
      <c r="AY422" s="79">
        <f t="shared" si="134"/>
        <v>18012618</v>
      </c>
      <c r="AZ422" s="25">
        <v>1</v>
      </c>
      <c r="BA422" s="62" t="s">
        <v>97</v>
      </c>
      <c r="BB422" s="66">
        <v>1</v>
      </c>
      <c r="BC422" s="66"/>
      <c r="BD422" s="66"/>
      <c r="BE422" s="67">
        <f t="shared" si="137"/>
        <v>523328.33333333331</v>
      </c>
      <c r="BF422" s="67">
        <f t="shared" si="142"/>
        <v>0</v>
      </c>
      <c r="BG422" s="67">
        <f t="shared" si="135"/>
        <v>0</v>
      </c>
      <c r="BH422" s="66"/>
      <c r="BI422" s="68" t="s">
        <v>1266</v>
      </c>
      <c r="BJ422" s="68" t="s">
        <v>1980</v>
      </c>
      <c r="BK422" s="68" t="s">
        <v>1980</v>
      </c>
      <c r="BL422" s="29"/>
      <c r="BO422" s="35" t="s">
        <v>1800</v>
      </c>
      <c r="BP422" s="1" t="s">
        <v>1820</v>
      </c>
    </row>
    <row r="423" spans="1:68" ht="15" customHeight="1">
      <c r="C423" s="1" t="str">
        <f t="shared" si="130"/>
        <v>2611</v>
      </c>
      <c r="D423" s="1" t="str">
        <f t="shared" si="131"/>
        <v>2111</v>
      </c>
      <c r="E423" s="19"/>
      <c r="F423" s="62" t="s">
        <v>1272</v>
      </c>
      <c r="G423" s="62">
        <v>2112</v>
      </c>
      <c r="H423" s="62" t="s">
        <v>1273</v>
      </c>
      <c r="I423" s="62" t="s">
        <v>1274</v>
      </c>
      <c r="J423" s="118">
        <v>1</v>
      </c>
      <c r="K423" s="119" t="s">
        <v>271</v>
      </c>
      <c r="L423" s="62" t="s">
        <v>1275</v>
      </c>
      <c r="M423" s="137" t="s">
        <v>1276</v>
      </c>
      <c r="N423" s="63">
        <v>44530</v>
      </c>
      <c r="O423" s="24"/>
      <c r="P423" s="24"/>
      <c r="Q423" s="64">
        <v>87000000</v>
      </c>
      <c r="R423" s="64"/>
      <c r="S423" s="64"/>
      <c r="T423" s="64"/>
      <c r="U423" s="64"/>
      <c r="V423" s="121">
        <v>87000000</v>
      </c>
      <c r="W423" s="122"/>
      <c r="X423" s="64">
        <v>87000000</v>
      </c>
      <c r="Y423" s="121"/>
      <c r="Z423" s="121"/>
      <c r="AA423" s="128"/>
      <c r="AB423" s="121"/>
      <c r="AC423" s="64">
        <v>87000000</v>
      </c>
      <c r="AD423" s="63">
        <v>44530</v>
      </c>
      <c r="AE423" s="65">
        <v>46355</v>
      </c>
      <c r="AF423" s="62">
        <v>5</v>
      </c>
      <c r="AG423" s="119">
        <v>60</v>
      </c>
      <c r="AH423" s="25">
        <v>1450000</v>
      </c>
      <c r="AI423" s="78">
        <v>36298333</v>
      </c>
      <c r="AJ423" s="78">
        <v>50701667</v>
      </c>
      <c r="AK423" s="27">
        <f t="shared" si="132"/>
        <v>1450000</v>
      </c>
      <c r="AL423" s="27">
        <f t="shared" si="136"/>
        <v>1450000</v>
      </c>
      <c r="AM423" s="27">
        <f t="shared" si="136"/>
        <v>1450000</v>
      </c>
      <c r="AN423" s="27">
        <f t="shared" si="138"/>
        <v>1450000</v>
      </c>
      <c r="AO423" s="27">
        <f t="shared" si="139"/>
        <v>1450000</v>
      </c>
      <c r="AP423" s="27">
        <f t="shared" si="139"/>
        <v>1450000</v>
      </c>
      <c r="AQ423" s="27">
        <f t="shared" si="140"/>
        <v>1450000</v>
      </c>
      <c r="AR423" s="27">
        <f t="shared" si="141"/>
        <v>1450000</v>
      </c>
      <c r="AS423" s="27"/>
      <c r="AT423" s="27"/>
      <c r="AU423" s="27"/>
      <c r="AV423" s="27"/>
      <c r="AW423" s="27">
        <f t="shared" si="129"/>
        <v>11600000</v>
      </c>
      <c r="AX423" s="79">
        <f t="shared" si="133"/>
        <v>39101667</v>
      </c>
      <c r="AY423" s="79">
        <f t="shared" si="134"/>
        <v>47898333</v>
      </c>
      <c r="AZ423" s="25">
        <v>1</v>
      </c>
      <c r="BA423" s="62" t="s">
        <v>97</v>
      </c>
      <c r="BB423" s="66">
        <v>1</v>
      </c>
      <c r="BC423" s="66"/>
      <c r="BD423" s="66"/>
      <c r="BE423" s="67">
        <f t="shared" si="137"/>
        <v>1450000</v>
      </c>
      <c r="BF423" s="67">
        <f t="shared" si="142"/>
        <v>0</v>
      </c>
      <c r="BG423" s="67">
        <f t="shared" si="135"/>
        <v>0</v>
      </c>
      <c r="BH423" s="66"/>
      <c r="BI423" s="68" t="s">
        <v>1195</v>
      </c>
      <c r="BJ423" s="68" t="s">
        <v>102</v>
      </c>
      <c r="BK423" s="68" t="s">
        <v>102</v>
      </c>
      <c r="BL423" s="29"/>
      <c r="BO423" s="35" t="s">
        <v>1802</v>
      </c>
    </row>
    <row r="424" spans="1:68" ht="15" customHeight="1">
      <c r="C424" s="1" t="str">
        <f t="shared" si="130"/>
        <v>2811</v>
      </c>
      <c r="D424" s="1" t="str">
        <f t="shared" si="131"/>
        <v>2111</v>
      </c>
      <c r="E424" s="19"/>
      <c r="F424" s="62" t="s">
        <v>1230</v>
      </c>
      <c r="G424" s="62">
        <v>2114</v>
      </c>
      <c r="H424" s="62" t="s">
        <v>1277</v>
      </c>
      <c r="I424" s="62" t="s">
        <v>1278</v>
      </c>
      <c r="J424" s="118">
        <v>1</v>
      </c>
      <c r="K424" s="119" t="s">
        <v>271</v>
      </c>
      <c r="L424" s="62" t="s">
        <v>1279</v>
      </c>
      <c r="M424" s="137" t="s">
        <v>1280</v>
      </c>
      <c r="N424" s="63">
        <v>44529</v>
      </c>
      <c r="O424" s="24"/>
      <c r="P424" s="24"/>
      <c r="Q424" s="64">
        <v>129362310</v>
      </c>
      <c r="R424" s="64"/>
      <c r="S424" s="64"/>
      <c r="T424" s="64"/>
      <c r="U424" s="64"/>
      <c r="V424" s="121">
        <v>129362310</v>
      </c>
      <c r="W424" s="122"/>
      <c r="X424" s="64">
        <v>129362310</v>
      </c>
      <c r="Y424" s="121"/>
      <c r="Z424" s="121"/>
      <c r="AA424" s="128"/>
      <c r="AB424" s="121"/>
      <c r="AC424" s="64">
        <v>129362310</v>
      </c>
      <c r="AD424" s="63">
        <v>44529</v>
      </c>
      <c r="AE424" s="65">
        <v>47084</v>
      </c>
      <c r="AF424" s="62">
        <v>7</v>
      </c>
      <c r="AG424" s="119">
        <v>84</v>
      </c>
      <c r="AH424" s="25">
        <v>1540027.5</v>
      </c>
      <c r="AI424" s="78">
        <v>38603364</v>
      </c>
      <c r="AJ424" s="78">
        <v>90758946</v>
      </c>
      <c r="AK424" s="27">
        <f t="shared" si="132"/>
        <v>1540027.5</v>
      </c>
      <c r="AL424" s="27">
        <f t="shared" si="136"/>
        <v>1540027.5</v>
      </c>
      <c r="AM424" s="27">
        <f t="shared" si="136"/>
        <v>1540027.5</v>
      </c>
      <c r="AN424" s="27">
        <f t="shared" si="138"/>
        <v>1540027.5</v>
      </c>
      <c r="AO424" s="27">
        <f t="shared" si="139"/>
        <v>1540027.5</v>
      </c>
      <c r="AP424" s="27">
        <f t="shared" si="139"/>
        <v>1540027.5</v>
      </c>
      <c r="AQ424" s="27">
        <f t="shared" si="140"/>
        <v>1540027.5</v>
      </c>
      <c r="AR424" s="27">
        <f t="shared" si="141"/>
        <v>1540027.5</v>
      </c>
      <c r="AS424" s="27"/>
      <c r="AT424" s="27"/>
      <c r="AU424" s="27"/>
      <c r="AV424" s="27"/>
      <c r="AW424" s="27">
        <f t="shared" si="129"/>
        <v>12320220</v>
      </c>
      <c r="AX424" s="79">
        <f t="shared" si="133"/>
        <v>78438726</v>
      </c>
      <c r="AY424" s="79">
        <f t="shared" si="134"/>
        <v>50923584</v>
      </c>
      <c r="AZ424" s="25">
        <v>1</v>
      </c>
      <c r="BA424" s="62" t="s">
        <v>97</v>
      </c>
      <c r="BB424" s="66"/>
      <c r="BC424" s="66">
        <v>1</v>
      </c>
      <c r="BD424" s="66"/>
      <c r="BE424" s="67">
        <f t="shared" si="137"/>
        <v>0</v>
      </c>
      <c r="BF424" s="67">
        <f t="shared" si="142"/>
        <v>1540027.5</v>
      </c>
      <c r="BG424" s="67">
        <f t="shared" si="135"/>
        <v>0</v>
      </c>
      <c r="BH424" s="66"/>
      <c r="BI424" s="68" t="s">
        <v>1236</v>
      </c>
      <c r="BJ424" s="68" t="s">
        <v>58</v>
      </c>
      <c r="BK424" s="68" t="s">
        <v>58</v>
      </c>
      <c r="BL424" s="29"/>
      <c r="BO424" s="35" t="s">
        <v>1799</v>
      </c>
    </row>
    <row r="425" spans="1:68" ht="15" customHeight="1">
      <c r="C425" s="1" t="str">
        <f t="shared" si="130"/>
        <v>2811</v>
      </c>
      <c r="D425" s="1" t="str">
        <f t="shared" si="131"/>
        <v>2111</v>
      </c>
      <c r="E425" s="19"/>
      <c r="F425" s="62" t="s">
        <v>1230</v>
      </c>
      <c r="G425" s="62">
        <v>2114</v>
      </c>
      <c r="H425" s="62" t="s">
        <v>1281</v>
      </c>
      <c r="I425" s="62" t="s">
        <v>1282</v>
      </c>
      <c r="J425" s="118">
        <v>1</v>
      </c>
      <c r="K425" s="119" t="s">
        <v>271</v>
      </c>
      <c r="L425" s="62" t="s">
        <v>1279</v>
      </c>
      <c r="M425" s="137" t="s">
        <v>1280</v>
      </c>
      <c r="N425" s="63">
        <v>44529</v>
      </c>
      <c r="O425" s="24"/>
      <c r="P425" s="24"/>
      <c r="Q425" s="64">
        <v>33737690</v>
      </c>
      <c r="R425" s="64"/>
      <c r="S425" s="64"/>
      <c r="T425" s="64"/>
      <c r="U425" s="64"/>
      <c r="V425" s="121">
        <v>33737690</v>
      </c>
      <c r="W425" s="122"/>
      <c r="X425" s="64">
        <v>33737690</v>
      </c>
      <c r="Y425" s="121"/>
      <c r="Z425" s="121"/>
      <c r="AA425" s="128"/>
      <c r="AB425" s="121"/>
      <c r="AC425" s="64">
        <v>33737690</v>
      </c>
      <c r="AD425" s="63">
        <v>44529</v>
      </c>
      <c r="AE425" s="65">
        <v>47084</v>
      </c>
      <c r="AF425" s="62">
        <v>7</v>
      </c>
      <c r="AG425" s="119">
        <v>84</v>
      </c>
      <c r="AH425" s="25">
        <v>401639.16666666669</v>
      </c>
      <c r="AI425" s="78">
        <v>10067752.666666668</v>
      </c>
      <c r="AJ425" s="78">
        <v>23669937.333333332</v>
      </c>
      <c r="AK425" s="27">
        <f t="shared" si="132"/>
        <v>401639.16666666669</v>
      </c>
      <c r="AL425" s="27">
        <f t="shared" si="136"/>
        <v>401639.16666666669</v>
      </c>
      <c r="AM425" s="27">
        <f t="shared" si="136"/>
        <v>401639.16666666669</v>
      </c>
      <c r="AN425" s="27">
        <f t="shared" si="138"/>
        <v>401639.16666666669</v>
      </c>
      <c r="AO425" s="27">
        <f t="shared" si="139"/>
        <v>401639.16666666669</v>
      </c>
      <c r="AP425" s="27">
        <f t="shared" si="139"/>
        <v>401639.16666666669</v>
      </c>
      <c r="AQ425" s="27">
        <f t="shared" si="140"/>
        <v>401639.16666666669</v>
      </c>
      <c r="AR425" s="27">
        <f t="shared" si="141"/>
        <v>401639.16666666669</v>
      </c>
      <c r="AS425" s="27"/>
      <c r="AT425" s="27"/>
      <c r="AU425" s="27"/>
      <c r="AV425" s="27"/>
      <c r="AW425" s="27">
        <f t="shared" si="129"/>
        <v>3213113.333333333</v>
      </c>
      <c r="AX425" s="79">
        <f t="shared" si="133"/>
        <v>20456824</v>
      </c>
      <c r="AY425" s="79">
        <f t="shared" si="134"/>
        <v>13280866</v>
      </c>
      <c r="AZ425" s="25">
        <v>1</v>
      </c>
      <c r="BA425" s="62" t="s">
        <v>97</v>
      </c>
      <c r="BB425" s="66"/>
      <c r="BC425" s="66">
        <v>1</v>
      </c>
      <c r="BD425" s="66"/>
      <c r="BE425" s="67">
        <f t="shared" si="137"/>
        <v>0</v>
      </c>
      <c r="BF425" s="67">
        <f t="shared" si="142"/>
        <v>401639.16666666669</v>
      </c>
      <c r="BG425" s="67">
        <f t="shared" si="135"/>
        <v>0</v>
      </c>
      <c r="BH425" s="66"/>
      <c r="BI425" s="68" t="s">
        <v>1236</v>
      </c>
      <c r="BJ425" s="68" t="s">
        <v>58</v>
      </c>
      <c r="BK425" s="68" t="s">
        <v>58</v>
      </c>
      <c r="BL425" s="29"/>
      <c r="BO425" s="35" t="s">
        <v>1799</v>
      </c>
    </row>
    <row r="426" spans="1:68" ht="15" customHeight="1">
      <c r="C426" s="1" t="str">
        <f t="shared" si="130"/>
        <v>2911</v>
      </c>
      <c r="D426" s="1" t="str">
        <f t="shared" si="131"/>
        <v>2111</v>
      </c>
      <c r="E426" s="19"/>
      <c r="F426" s="68" t="s">
        <v>1283</v>
      </c>
      <c r="G426" s="62">
        <v>2112</v>
      </c>
      <c r="H426" s="62" t="s">
        <v>1284</v>
      </c>
      <c r="I426" s="62" t="s">
        <v>1285</v>
      </c>
      <c r="J426" s="118">
        <v>1</v>
      </c>
      <c r="K426" s="119" t="s">
        <v>271</v>
      </c>
      <c r="L426" s="138" t="s">
        <v>1286</v>
      </c>
      <c r="M426" s="120" t="s">
        <v>1287</v>
      </c>
      <c r="N426" s="65">
        <v>44508</v>
      </c>
      <c r="O426" s="24">
        <v>11950</v>
      </c>
      <c r="P426" s="24">
        <v>22855</v>
      </c>
      <c r="Q426" s="64">
        <v>273117250</v>
      </c>
      <c r="R426" s="64"/>
      <c r="S426" s="64"/>
      <c r="T426" s="130">
        <v>10469556</v>
      </c>
      <c r="U426" s="139" t="s">
        <v>1289</v>
      </c>
      <c r="V426" s="121">
        <v>283586806</v>
      </c>
      <c r="W426" s="122"/>
      <c r="X426" s="64">
        <v>283586806</v>
      </c>
      <c r="Y426" s="121"/>
      <c r="Z426" s="121"/>
      <c r="AA426" s="128"/>
      <c r="AB426" s="121"/>
      <c r="AC426" s="64">
        <v>283586806</v>
      </c>
      <c r="AD426" s="63">
        <v>44508</v>
      </c>
      <c r="AE426" s="65">
        <v>47428</v>
      </c>
      <c r="AF426" s="62">
        <v>8</v>
      </c>
      <c r="AG426" s="119">
        <v>96</v>
      </c>
      <c r="AH426" s="25">
        <v>2954029.2291666665</v>
      </c>
      <c r="AI426" s="78">
        <v>76115483.291666672</v>
      </c>
      <c r="AJ426" s="78">
        <v>207471322.70833331</v>
      </c>
      <c r="AK426" s="27">
        <f t="shared" si="132"/>
        <v>2954029.2291666665</v>
      </c>
      <c r="AL426" s="27">
        <f t="shared" si="136"/>
        <v>2954029.2291666665</v>
      </c>
      <c r="AM426" s="27">
        <f t="shared" si="136"/>
        <v>2954029.2291666665</v>
      </c>
      <c r="AN426" s="27">
        <f t="shared" si="138"/>
        <v>2954029.2291666665</v>
      </c>
      <c r="AO426" s="27">
        <f t="shared" si="139"/>
        <v>2954029.2291666665</v>
      </c>
      <c r="AP426" s="27">
        <f t="shared" si="139"/>
        <v>2954029.2291666665</v>
      </c>
      <c r="AQ426" s="27">
        <f t="shared" si="140"/>
        <v>2954029.2291666665</v>
      </c>
      <c r="AR426" s="27">
        <f t="shared" si="141"/>
        <v>2954029.2291666665</v>
      </c>
      <c r="AS426" s="27"/>
      <c r="AT426" s="27"/>
      <c r="AU426" s="27"/>
      <c r="AV426" s="27"/>
      <c r="AW426" s="27">
        <f t="shared" si="129"/>
        <v>23632233.833333336</v>
      </c>
      <c r="AX426" s="79">
        <f t="shared" si="133"/>
        <v>183839088.87499997</v>
      </c>
      <c r="AY426" s="79">
        <f t="shared" si="134"/>
        <v>99747717.125</v>
      </c>
      <c r="AZ426" s="25">
        <v>1</v>
      </c>
      <c r="BA426" s="62" t="s">
        <v>97</v>
      </c>
      <c r="BB426" s="66">
        <v>1</v>
      </c>
      <c r="BC426" s="66"/>
      <c r="BD426" s="66"/>
      <c r="BE426" s="67">
        <f t="shared" si="137"/>
        <v>2954029.2291666665</v>
      </c>
      <c r="BF426" s="67">
        <f t="shared" si="142"/>
        <v>0</v>
      </c>
      <c r="BG426" s="67">
        <f t="shared" si="135"/>
        <v>0</v>
      </c>
      <c r="BH426" s="66"/>
      <c r="BI426" s="68" t="s">
        <v>1283</v>
      </c>
      <c r="BJ426" s="68" t="s">
        <v>58</v>
      </c>
      <c r="BK426" s="68" t="s">
        <v>58</v>
      </c>
      <c r="BL426" s="29"/>
      <c r="BO426" s="35" t="s">
        <v>1804</v>
      </c>
    </row>
    <row r="427" spans="1:68" ht="15" customHeight="1">
      <c r="C427" s="1" t="str">
        <f t="shared" si="130"/>
        <v>2912</v>
      </c>
      <c r="D427" s="1" t="str">
        <f t="shared" si="131"/>
        <v>2112</v>
      </c>
      <c r="E427" s="19" t="s">
        <v>1290</v>
      </c>
      <c r="F427" s="68" t="s">
        <v>49</v>
      </c>
      <c r="G427" s="62">
        <v>2112</v>
      </c>
      <c r="H427" s="62" t="s">
        <v>1291</v>
      </c>
      <c r="I427" s="62" t="s">
        <v>1292</v>
      </c>
      <c r="J427" s="118">
        <v>1</v>
      </c>
      <c r="K427" s="119" t="s">
        <v>1293</v>
      </c>
      <c r="L427" s="138" t="s">
        <v>877</v>
      </c>
      <c r="M427" s="120" t="s">
        <v>1294</v>
      </c>
      <c r="N427" s="65">
        <v>44512</v>
      </c>
      <c r="O427" s="24">
        <v>7400</v>
      </c>
      <c r="P427" s="24">
        <v>22775</v>
      </c>
      <c r="Q427" s="64">
        <v>168535000</v>
      </c>
      <c r="R427" s="64"/>
      <c r="S427" s="64"/>
      <c r="T427" s="130">
        <v>3040505.5</v>
      </c>
      <c r="U427" s="139" t="s">
        <v>1296</v>
      </c>
      <c r="V427" s="121">
        <v>171575506</v>
      </c>
      <c r="W427" s="122">
        <v>0</v>
      </c>
      <c r="X427" s="64">
        <v>171575506</v>
      </c>
      <c r="Y427" s="121"/>
      <c r="Z427" s="121"/>
      <c r="AA427" s="128"/>
      <c r="AB427" s="121"/>
      <c r="AC427" s="64">
        <v>171575506</v>
      </c>
      <c r="AD427" s="63">
        <v>44550</v>
      </c>
      <c r="AE427" s="65">
        <v>47471</v>
      </c>
      <c r="AF427" s="62">
        <v>8</v>
      </c>
      <c r="AG427" s="119">
        <v>96</v>
      </c>
      <c r="AH427" s="25">
        <v>1787244.8541666667</v>
      </c>
      <c r="AI427" s="78">
        <v>43585715.541666672</v>
      </c>
      <c r="AJ427" s="78">
        <v>127989790.45833333</v>
      </c>
      <c r="AK427" s="27">
        <f t="shared" si="132"/>
        <v>1787244.8541666667</v>
      </c>
      <c r="AL427" s="27">
        <f t="shared" si="136"/>
        <v>1787244.8541666667</v>
      </c>
      <c r="AM427" s="27">
        <f t="shared" si="136"/>
        <v>1787244.8541666667</v>
      </c>
      <c r="AN427" s="27">
        <f t="shared" si="138"/>
        <v>1787244.8541666667</v>
      </c>
      <c r="AO427" s="27">
        <f t="shared" si="139"/>
        <v>1787244.8541666667</v>
      </c>
      <c r="AP427" s="27">
        <f t="shared" si="139"/>
        <v>1787244.8541666667</v>
      </c>
      <c r="AQ427" s="27">
        <f t="shared" si="140"/>
        <v>1787244.8541666667</v>
      </c>
      <c r="AR427" s="27">
        <f t="shared" si="141"/>
        <v>1787244.8541666667</v>
      </c>
      <c r="AS427" s="27"/>
      <c r="AT427" s="27"/>
      <c r="AU427" s="27"/>
      <c r="AV427" s="27"/>
      <c r="AW427" s="27">
        <f t="shared" si="129"/>
        <v>14297958.833333332</v>
      </c>
      <c r="AX427" s="79">
        <f t="shared" si="133"/>
        <v>113691831.625</v>
      </c>
      <c r="AY427" s="79">
        <f t="shared" si="134"/>
        <v>57883674.375</v>
      </c>
      <c r="AZ427" s="25">
        <v>1</v>
      </c>
      <c r="BA427" s="62" t="s">
        <v>97</v>
      </c>
      <c r="BB427" s="66">
        <v>1</v>
      </c>
      <c r="BC427" s="66"/>
      <c r="BD427" s="66"/>
      <c r="BE427" s="67">
        <f t="shared" si="137"/>
        <v>1787244.8541666667</v>
      </c>
      <c r="BF427" s="67">
        <f t="shared" si="142"/>
        <v>0</v>
      </c>
      <c r="BG427" s="67">
        <f t="shared" si="135"/>
        <v>0</v>
      </c>
      <c r="BH427" s="66"/>
      <c r="BI427" s="68" t="s">
        <v>57</v>
      </c>
      <c r="BJ427" s="68" t="s">
        <v>1297</v>
      </c>
      <c r="BK427" s="68" t="s">
        <v>1297</v>
      </c>
      <c r="BL427" s="29"/>
      <c r="BO427" s="35" t="s">
        <v>1801</v>
      </c>
      <c r="BP427" s="1" t="s">
        <v>1824</v>
      </c>
    </row>
    <row r="428" spans="1:68" ht="15" customHeight="1">
      <c r="C428" s="1" t="str">
        <f t="shared" si="130"/>
        <v>2912</v>
      </c>
      <c r="D428" s="1" t="str">
        <f t="shared" si="131"/>
        <v>2112</v>
      </c>
      <c r="E428" s="19" t="s">
        <v>1290</v>
      </c>
      <c r="F428" s="68" t="s">
        <v>49</v>
      </c>
      <c r="G428" s="62">
        <v>2112</v>
      </c>
      <c r="H428" s="62" t="s">
        <v>1298</v>
      </c>
      <c r="I428" s="62" t="s">
        <v>1292</v>
      </c>
      <c r="J428" s="118">
        <v>1</v>
      </c>
      <c r="K428" s="119" t="s">
        <v>1293</v>
      </c>
      <c r="L428" s="138" t="s">
        <v>877</v>
      </c>
      <c r="M428" s="120" t="s">
        <v>1294</v>
      </c>
      <c r="N428" s="65">
        <v>44512</v>
      </c>
      <c r="O428" s="24">
        <v>7400</v>
      </c>
      <c r="P428" s="24">
        <v>22775</v>
      </c>
      <c r="Q428" s="64">
        <v>168535000</v>
      </c>
      <c r="R428" s="64"/>
      <c r="S428" s="64"/>
      <c r="T428" s="130">
        <v>3040505.5</v>
      </c>
      <c r="U428" s="139" t="s">
        <v>1296</v>
      </c>
      <c r="V428" s="121">
        <v>171575506</v>
      </c>
      <c r="W428" s="122">
        <v>0</v>
      </c>
      <c r="X428" s="64">
        <v>171575506</v>
      </c>
      <c r="Y428" s="121"/>
      <c r="Z428" s="121"/>
      <c r="AA428" s="128"/>
      <c r="AB428" s="121"/>
      <c r="AC428" s="64">
        <v>171575506</v>
      </c>
      <c r="AD428" s="63">
        <v>44550</v>
      </c>
      <c r="AE428" s="65">
        <v>47471</v>
      </c>
      <c r="AF428" s="62">
        <v>8</v>
      </c>
      <c r="AG428" s="119">
        <v>96</v>
      </c>
      <c r="AH428" s="25">
        <v>1787244.8541666667</v>
      </c>
      <c r="AI428" s="78">
        <v>43585715.541666672</v>
      </c>
      <c r="AJ428" s="78">
        <v>127989790.45833333</v>
      </c>
      <c r="AK428" s="27">
        <f t="shared" si="132"/>
        <v>1787244.8541666667</v>
      </c>
      <c r="AL428" s="27">
        <f t="shared" si="136"/>
        <v>1787244.8541666667</v>
      </c>
      <c r="AM428" s="27">
        <f t="shared" si="136"/>
        <v>1787244.8541666667</v>
      </c>
      <c r="AN428" s="27">
        <f t="shared" si="138"/>
        <v>1787244.8541666667</v>
      </c>
      <c r="AO428" s="27">
        <f t="shared" si="139"/>
        <v>1787244.8541666667</v>
      </c>
      <c r="AP428" s="27">
        <f t="shared" si="139"/>
        <v>1787244.8541666667</v>
      </c>
      <c r="AQ428" s="27">
        <f t="shared" si="140"/>
        <v>1787244.8541666667</v>
      </c>
      <c r="AR428" s="27">
        <f t="shared" si="141"/>
        <v>1787244.8541666667</v>
      </c>
      <c r="AS428" s="27"/>
      <c r="AT428" s="27"/>
      <c r="AU428" s="27"/>
      <c r="AV428" s="27"/>
      <c r="AW428" s="27">
        <f t="shared" si="129"/>
        <v>14297958.833333332</v>
      </c>
      <c r="AX428" s="79">
        <f t="shared" si="133"/>
        <v>113691831.625</v>
      </c>
      <c r="AY428" s="79">
        <f t="shared" si="134"/>
        <v>57883674.375</v>
      </c>
      <c r="AZ428" s="25">
        <v>1</v>
      </c>
      <c r="BA428" s="62" t="s">
        <v>97</v>
      </c>
      <c r="BB428" s="66">
        <v>1</v>
      </c>
      <c r="BC428" s="66"/>
      <c r="BD428" s="66"/>
      <c r="BE428" s="67">
        <f t="shared" si="137"/>
        <v>1787244.8541666667</v>
      </c>
      <c r="BF428" s="67">
        <f t="shared" si="142"/>
        <v>0</v>
      </c>
      <c r="BG428" s="67">
        <f t="shared" si="135"/>
        <v>0</v>
      </c>
      <c r="BH428" s="66"/>
      <c r="BI428" s="68" t="s">
        <v>57</v>
      </c>
      <c r="BJ428" s="68" t="s">
        <v>1297</v>
      </c>
      <c r="BK428" s="68" t="s">
        <v>1297</v>
      </c>
      <c r="BL428" s="29"/>
      <c r="BO428" s="35" t="s">
        <v>1801</v>
      </c>
      <c r="BP428" s="1" t="s">
        <v>1824</v>
      </c>
    </row>
    <row r="429" spans="1:68" ht="15" customHeight="1">
      <c r="C429" s="1" t="str">
        <f t="shared" si="130"/>
        <v>2912</v>
      </c>
      <c r="D429" s="1" t="str">
        <f t="shared" si="131"/>
        <v>2112</v>
      </c>
      <c r="E429" s="19" t="s">
        <v>1290</v>
      </c>
      <c r="F429" s="68" t="s">
        <v>49</v>
      </c>
      <c r="G429" s="62">
        <v>2112</v>
      </c>
      <c r="H429" s="62" t="s">
        <v>1299</v>
      </c>
      <c r="I429" s="62" t="s">
        <v>1292</v>
      </c>
      <c r="J429" s="118">
        <v>1</v>
      </c>
      <c r="K429" s="119" t="s">
        <v>1293</v>
      </c>
      <c r="L429" s="138" t="s">
        <v>877</v>
      </c>
      <c r="M429" s="120" t="s">
        <v>1294</v>
      </c>
      <c r="N429" s="65">
        <v>44512</v>
      </c>
      <c r="O429" s="24">
        <v>7400</v>
      </c>
      <c r="P429" s="24">
        <v>22775</v>
      </c>
      <c r="Q429" s="64">
        <v>168535000</v>
      </c>
      <c r="R429" s="64"/>
      <c r="S429" s="64"/>
      <c r="T429" s="130">
        <v>3040505.5</v>
      </c>
      <c r="U429" s="139" t="s">
        <v>1296</v>
      </c>
      <c r="V429" s="121">
        <v>171575506</v>
      </c>
      <c r="W429" s="122">
        <v>0</v>
      </c>
      <c r="X429" s="64">
        <v>171575506</v>
      </c>
      <c r="Y429" s="121"/>
      <c r="Z429" s="121"/>
      <c r="AA429" s="128"/>
      <c r="AB429" s="121"/>
      <c r="AC429" s="64">
        <v>171575506</v>
      </c>
      <c r="AD429" s="63">
        <v>44550</v>
      </c>
      <c r="AE429" s="65">
        <v>47471</v>
      </c>
      <c r="AF429" s="62">
        <v>8</v>
      </c>
      <c r="AG429" s="119">
        <v>96</v>
      </c>
      <c r="AH429" s="25">
        <v>1787244.8541666667</v>
      </c>
      <c r="AI429" s="78">
        <v>43585715.541666672</v>
      </c>
      <c r="AJ429" s="78">
        <v>127989790.45833333</v>
      </c>
      <c r="AK429" s="27">
        <f t="shared" si="132"/>
        <v>1787244.8541666667</v>
      </c>
      <c r="AL429" s="27">
        <f t="shared" si="136"/>
        <v>1787244.8541666667</v>
      </c>
      <c r="AM429" s="27">
        <f t="shared" si="136"/>
        <v>1787244.8541666667</v>
      </c>
      <c r="AN429" s="27">
        <f t="shared" si="138"/>
        <v>1787244.8541666667</v>
      </c>
      <c r="AO429" s="27">
        <f t="shared" si="139"/>
        <v>1787244.8541666667</v>
      </c>
      <c r="AP429" s="27">
        <f t="shared" si="139"/>
        <v>1787244.8541666667</v>
      </c>
      <c r="AQ429" s="27">
        <f t="shared" si="140"/>
        <v>1787244.8541666667</v>
      </c>
      <c r="AR429" s="27">
        <f t="shared" si="141"/>
        <v>1787244.8541666667</v>
      </c>
      <c r="AS429" s="27"/>
      <c r="AT429" s="27"/>
      <c r="AU429" s="27"/>
      <c r="AV429" s="27"/>
      <c r="AW429" s="27">
        <f t="shared" si="129"/>
        <v>14297958.833333332</v>
      </c>
      <c r="AX429" s="79">
        <f t="shared" si="133"/>
        <v>113691831.625</v>
      </c>
      <c r="AY429" s="79">
        <f t="shared" si="134"/>
        <v>57883674.375</v>
      </c>
      <c r="AZ429" s="25">
        <v>1</v>
      </c>
      <c r="BA429" s="62" t="s">
        <v>97</v>
      </c>
      <c r="BB429" s="66">
        <v>1</v>
      </c>
      <c r="BC429" s="66"/>
      <c r="BD429" s="66"/>
      <c r="BE429" s="67">
        <f t="shared" si="137"/>
        <v>1787244.8541666667</v>
      </c>
      <c r="BF429" s="67">
        <f t="shared" si="142"/>
        <v>0</v>
      </c>
      <c r="BG429" s="67">
        <f t="shared" si="135"/>
        <v>0</v>
      </c>
      <c r="BH429" s="66"/>
      <c r="BI429" s="68" t="s">
        <v>57</v>
      </c>
      <c r="BJ429" s="68" t="s">
        <v>1297</v>
      </c>
      <c r="BK429" s="68" t="s">
        <v>1297</v>
      </c>
      <c r="BL429" s="29"/>
      <c r="BO429" s="35" t="s">
        <v>1801</v>
      </c>
      <c r="BP429" s="1" t="s">
        <v>1824</v>
      </c>
    </row>
    <row r="430" spans="1:68" ht="15" customHeight="1">
      <c r="C430" s="1" t="str">
        <f t="shared" si="130"/>
        <v>2912</v>
      </c>
      <c r="D430" s="1" t="str">
        <f t="shared" si="131"/>
        <v>2112</v>
      </c>
      <c r="E430" s="19" t="s">
        <v>1290</v>
      </c>
      <c r="F430" s="68" t="s">
        <v>49</v>
      </c>
      <c r="G430" s="62">
        <v>2112</v>
      </c>
      <c r="H430" s="62" t="s">
        <v>1300</v>
      </c>
      <c r="I430" s="62" t="s">
        <v>1292</v>
      </c>
      <c r="J430" s="118">
        <v>1</v>
      </c>
      <c r="K430" s="119" t="s">
        <v>1293</v>
      </c>
      <c r="L430" s="138" t="s">
        <v>877</v>
      </c>
      <c r="M430" s="120" t="s">
        <v>1294</v>
      </c>
      <c r="N430" s="65">
        <v>44512</v>
      </c>
      <c r="O430" s="24">
        <v>7400</v>
      </c>
      <c r="P430" s="24">
        <v>22775</v>
      </c>
      <c r="Q430" s="64">
        <v>168535000</v>
      </c>
      <c r="R430" s="64"/>
      <c r="S430" s="64"/>
      <c r="T430" s="130">
        <v>3040505.5</v>
      </c>
      <c r="U430" s="139" t="s">
        <v>1296</v>
      </c>
      <c r="V430" s="121">
        <v>171575506</v>
      </c>
      <c r="W430" s="122">
        <v>0</v>
      </c>
      <c r="X430" s="64">
        <v>171575506</v>
      </c>
      <c r="Y430" s="121"/>
      <c r="Z430" s="121"/>
      <c r="AA430" s="128"/>
      <c r="AB430" s="121"/>
      <c r="AC430" s="64">
        <v>171575506</v>
      </c>
      <c r="AD430" s="63">
        <v>44550</v>
      </c>
      <c r="AE430" s="65">
        <v>47471</v>
      </c>
      <c r="AF430" s="62">
        <v>8</v>
      </c>
      <c r="AG430" s="119">
        <v>96</v>
      </c>
      <c r="AH430" s="25">
        <v>1787244.8541666667</v>
      </c>
      <c r="AI430" s="78">
        <v>43585715.541666672</v>
      </c>
      <c r="AJ430" s="78">
        <v>127989790.45833333</v>
      </c>
      <c r="AK430" s="27">
        <f t="shared" si="132"/>
        <v>1787244.8541666667</v>
      </c>
      <c r="AL430" s="27">
        <f t="shared" si="136"/>
        <v>1787244.8541666667</v>
      </c>
      <c r="AM430" s="27">
        <f t="shared" si="136"/>
        <v>1787244.8541666667</v>
      </c>
      <c r="AN430" s="27">
        <f t="shared" si="138"/>
        <v>1787244.8541666667</v>
      </c>
      <c r="AO430" s="27">
        <f t="shared" si="139"/>
        <v>1787244.8541666667</v>
      </c>
      <c r="AP430" s="27">
        <f t="shared" si="139"/>
        <v>1787244.8541666667</v>
      </c>
      <c r="AQ430" s="27">
        <f t="shared" si="140"/>
        <v>1787244.8541666667</v>
      </c>
      <c r="AR430" s="27">
        <f t="shared" si="141"/>
        <v>1787244.8541666667</v>
      </c>
      <c r="AS430" s="27"/>
      <c r="AT430" s="27"/>
      <c r="AU430" s="27"/>
      <c r="AV430" s="27"/>
      <c r="AW430" s="27">
        <f t="shared" si="129"/>
        <v>14297958.833333332</v>
      </c>
      <c r="AX430" s="79">
        <f t="shared" si="133"/>
        <v>113691831.625</v>
      </c>
      <c r="AY430" s="79">
        <f t="shared" si="134"/>
        <v>57883674.375</v>
      </c>
      <c r="AZ430" s="25">
        <v>1</v>
      </c>
      <c r="BA430" s="62" t="s">
        <v>97</v>
      </c>
      <c r="BB430" s="66">
        <v>1</v>
      </c>
      <c r="BC430" s="66"/>
      <c r="BD430" s="66"/>
      <c r="BE430" s="67">
        <f t="shared" si="137"/>
        <v>1787244.8541666667</v>
      </c>
      <c r="BF430" s="67">
        <f t="shared" si="142"/>
        <v>0</v>
      </c>
      <c r="BG430" s="67">
        <f t="shared" si="135"/>
        <v>0</v>
      </c>
      <c r="BH430" s="66"/>
      <c r="BI430" s="68" t="s">
        <v>57</v>
      </c>
      <c r="BJ430" s="68" t="s">
        <v>1297</v>
      </c>
      <c r="BK430" s="68" t="s">
        <v>1297</v>
      </c>
      <c r="BL430" s="29"/>
      <c r="BO430" s="35" t="s">
        <v>1801</v>
      </c>
      <c r="BP430" s="1" t="s">
        <v>1824</v>
      </c>
    </row>
    <row r="431" spans="1:68" ht="15" customHeight="1">
      <c r="C431" s="1" t="str">
        <f t="shared" si="130"/>
        <v>2912</v>
      </c>
      <c r="D431" s="1" t="str">
        <f t="shared" si="131"/>
        <v>2112</v>
      </c>
      <c r="E431" s="19" t="s">
        <v>1290</v>
      </c>
      <c r="F431" s="68" t="s">
        <v>49</v>
      </c>
      <c r="G431" s="62">
        <v>2112</v>
      </c>
      <c r="H431" s="62" t="s">
        <v>1301</v>
      </c>
      <c r="I431" s="62" t="s">
        <v>1292</v>
      </c>
      <c r="J431" s="118">
        <v>1</v>
      </c>
      <c r="K431" s="119" t="s">
        <v>1293</v>
      </c>
      <c r="L431" s="138" t="s">
        <v>877</v>
      </c>
      <c r="M431" s="120" t="s">
        <v>1294</v>
      </c>
      <c r="N431" s="65">
        <v>44512</v>
      </c>
      <c r="O431" s="24">
        <v>7400</v>
      </c>
      <c r="P431" s="24">
        <v>22775</v>
      </c>
      <c r="Q431" s="64">
        <v>168535000</v>
      </c>
      <c r="R431" s="64"/>
      <c r="S431" s="64"/>
      <c r="T431" s="130">
        <v>3040505.5</v>
      </c>
      <c r="U431" s="139" t="s">
        <v>1296</v>
      </c>
      <c r="V431" s="121">
        <v>171575506</v>
      </c>
      <c r="W431" s="122">
        <v>0</v>
      </c>
      <c r="X431" s="64">
        <v>171575506</v>
      </c>
      <c r="Y431" s="121"/>
      <c r="Z431" s="121"/>
      <c r="AA431" s="128"/>
      <c r="AB431" s="121"/>
      <c r="AC431" s="64">
        <v>171575506</v>
      </c>
      <c r="AD431" s="63">
        <v>44550</v>
      </c>
      <c r="AE431" s="65">
        <v>47471</v>
      </c>
      <c r="AF431" s="62">
        <v>8</v>
      </c>
      <c r="AG431" s="119">
        <v>96</v>
      </c>
      <c r="AH431" s="25">
        <v>1787244.8541666667</v>
      </c>
      <c r="AI431" s="78">
        <v>43585715.541666672</v>
      </c>
      <c r="AJ431" s="78">
        <v>127989790.45833333</v>
      </c>
      <c r="AK431" s="27">
        <f t="shared" si="132"/>
        <v>1787244.8541666667</v>
      </c>
      <c r="AL431" s="27">
        <f t="shared" si="136"/>
        <v>1787244.8541666667</v>
      </c>
      <c r="AM431" s="27">
        <f t="shared" si="136"/>
        <v>1787244.8541666667</v>
      </c>
      <c r="AN431" s="27">
        <f t="shared" si="138"/>
        <v>1787244.8541666667</v>
      </c>
      <c r="AO431" s="27">
        <f t="shared" si="139"/>
        <v>1787244.8541666667</v>
      </c>
      <c r="AP431" s="27">
        <f t="shared" si="139"/>
        <v>1787244.8541666667</v>
      </c>
      <c r="AQ431" s="27">
        <f t="shared" si="140"/>
        <v>1787244.8541666667</v>
      </c>
      <c r="AR431" s="27">
        <f t="shared" si="141"/>
        <v>1787244.8541666667</v>
      </c>
      <c r="AS431" s="27"/>
      <c r="AT431" s="27"/>
      <c r="AU431" s="27"/>
      <c r="AV431" s="27"/>
      <c r="AW431" s="27">
        <f t="shared" si="129"/>
        <v>14297958.833333332</v>
      </c>
      <c r="AX431" s="79">
        <f t="shared" si="133"/>
        <v>113691831.625</v>
      </c>
      <c r="AY431" s="79">
        <f t="shared" si="134"/>
        <v>57883674.375</v>
      </c>
      <c r="AZ431" s="25">
        <v>1</v>
      </c>
      <c r="BA431" s="62" t="s">
        <v>97</v>
      </c>
      <c r="BB431" s="66">
        <v>1</v>
      </c>
      <c r="BC431" s="66"/>
      <c r="BD431" s="66"/>
      <c r="BE431" s="67">
        <f t="shared" si="137"/>
        <v>1787244.8541666667</v>
      </c>
      <c r="BF431" s="67">
        <f t="shared" si="142"/>
        <v>0</v>
      </c>
      <c r="BG431" s="67">
        <f t="shared" si="135"/>
        <v>0</v>
      </c>
      <c r="BH431" s="66"/>
      <c r="BI431" s="68" t="s">
        <v>57</v>
      </c>
      <c r="BJ431" s="68" t="s">
        <v>1297</v>
      </c>
      <c r="BK431" s="68" t="s">
        <v>1297</v>
      </c>
      <c r="BL431" s="29"/>
      <c r="BO431" s="35" t="s">
        <v>1801</v>
      </c>
      <c r="BP431" s="1" t="s">
        <v>1824</v>
      </c>
    </row>
    <row r="432" spans="1:68" ht="15" customHeight="1">
      <c r="C432" s="1" t="str">
        <f t="shared" si="130"/>
        <v>2912</v>
      </c>
      <c r="D432" s="1" t="str">
        <f t="shared" si="131"/>
        <v>2112</v>
      </c>
      <c r="E432" s="19" t="s">
        <v>1290</v>
      </c>
      <c r="F432" s="68" t="s">
        <v>49</v>
      </c>
      <c r="G432" s="62">
        <v>2112</v>
      </c>
      <c r="H432" s="62" t="s">
        <v>1302</v>
      </c>
      <c r="I432" s="62" t="s">
        <v>1292</v>
      </c>
      <c r="J432" s="118">
        <v>1</v>
      </c>
      <c r="K432" s="119" t="s">
        <v>1293</v>
      </c>
      <c r="L432" s="138" t="s">
        <v>877</v>
      </c>
      <c r="M432" s="120" t="s">
        <v>1294</v>
      </c>
      <c r="N432" s="65">
        <v>44512</v>
      </c>
      <c r="O432" s="24">
        <v>7400</v>
      </c>
      <c r="P432" s="24">
        <v>22775</v>
      </c>
      <c r="Q432" s="64">
        <v>168535000</v>
      </c>
      <c r="R432" s="64"/>
      <c r="S432" s="64"/>
      <c r="T432" s="130">
        <v>3040505.5</v>
      </c>
      <c r="U432" s="139" t="s">
        <v>1296</v>
      </c>
      <c r="V432" s="121">
        <v>171575506</v>
      </c>
      <c r="W432" s="122">
        <v>0</v>
      </c>
      <c r="X432" s="64">
        <v>171575506</v>
      </c>
      <c r="Y432" s="121"/>
      <c r="Z432" s="121"/>
      <c r="AA432" s="128"/>
      <c r="AB432" s="121"/>
      <c r="AC432" s="64">
        <v>171575506</v>
      </c>
      <c r="AD432" s="63">
        <v>44550</v>
      </c>
      <c r="AE432" s="65">
        <v>47471</v>
      </c>
      <c r="AF432" s="62">
        <v>8</v>
      </c>
      <c r="AG432" s="119">
        <v>96</v>
      </c>
      <c r="AH432" s="25">
        <v>1787244.8541666667</v>
      </c>
      <c r="AI432" s="78">
        <v>43585715.541666672</v>
      </c>
      <c r="AJ432" s="78">
        <v>127989790.45833333</v>
      </c>
      <c r="AK432" s="27">
        <f t="shared" si="132"/>
        <v>1787244.8541666667</v>
      </c>
      <c r="AL432" s="27">
        <f t="shared" si="136"/>
        <v>1787244.8541666667</v>
      </c>
      <c r="AM432" s="27">
        <f t="shared" si="136"/>
        <v>1787244.8541666667</v>
      </c>
      <c r="AN432" s="27">
        <f t="shared" si="138"/>
        <v>1787244.8541666667</v>
      </c>
      <c r="AO432" s="27">
        <f t="shared" si="139"/>
        <v>1787244.8541666667</v>
      </c>
      <c r="AP432" s="27">
        <f t="shared" si="139"/>
        <v>1787244.8541666667</v>
      </c>
      <c r="AQ432" s="27">
        <f t="shared" si="140"/>
        <v>1787244.8541666667</v>
      </c>
      <c r="AR432" s="27">
        <f t="shared" si="141"/>
        <v>1787244.8541666667</v>
      </c>
      <c r="AS432" s="27"/>
      <c r="AT432" s="27"/>
      <c r="AU432" s="27"/>
      <c r="AV432" s="27"/>
      <c r="AW432" s="27">
        <f t="shared" si="129"/>
        <v>14297958.833333332</v>
      </c>
      <c r="AX432" s="79">
        <f t="shared" si="133"/>
        <v>113691831.625</v>
      </c>
      <c r="AY432" s="79">
        <f t="shared" si="134"/>
        <v>57883674.375</v>
      </c>
      <c r="AZ432" s="25">
        <v>1</v>
      </c>
      <c r="BA432" s="62" t="s">
        <v>97</v>
      </c>
      <c r="BB432" s="66">
        <v>1</v>
      </c>
      <c r="BC432" s="66"/>
      <c r="BD432" s="66"/>
      <c r="BE432" s="67">
        <f t="shared" si="137"/>
        <v>1787244.8541666667</v>
      </c>
      <c r="BF432" s="67">
        <f t="shared" si="142"/>
        <v>0</v>
      </c>
      <c r="BG432" s="67">
        <f t="shared" si="135"/>
        <v>0</v>
      </c>
      <c r="BH432" s="66"/>
      <c r="BI432" s="68" t="s">
        <v>57</v>
      </c>
      <c r="BJ432" s="68" t="s">
        <v>1297</v>
      </c>
      <c r="BK432" s="68" t="s">
        <v>1297</v>
      </c>
      <c r="BL432" s="29"/>
      <c r="BO432" s="35" t="s">
        <v>1801</v>
      </c>
      <c r="BP432" s="1" t="s">
        <v>1824</v>
      </c>
    </row>
    <row r="433" spans="3:68" ht="15" customHeight="1">
      <c r="C433" s="1" t="str">
        <f t="shared" si="130"/>
        <v>2912</v>
      </c>
      <c r="D433" s="1" t="str">
        <f t="shared" si="131"/>
        <v>2112</v>
      </c>
      <c r="E433" s="19" t="s">
        <v>1290</v>
      </c>
      <c r="F433" s="68" t="s">
        <v>49</v>
      </c>
      <c r="G433" s="62">
        <v>2112</v>
      </c>
      <c r="H433" s="62" t="s">
        <v>1303</v>
      </c>
      <c r="I433" s="62" t="s">
        <v>1292</v>
      </c>
      <c r="J433" s="118">
        <v>1</v>
      </c>
      <c r="K433" s="119" t="s">
        <v>1293</v>
      </c>
      <c r="L433" s="138" t="s">
        <v>877</v>
      </c>
      <c r="M433" s="120" t="s">
        <v>1294</v>
      </c>
      <c r="N433" s="65">
        <v>44512</v>
      </c>
      <c r="O433" s="24">
        <v>7400</v>
      </c>
      <c r="P433" s="24">
        <v>22775</v>
      </c>
      <c r="Q433" s="64">
        <v>168535000</v>
      </c>
      <c r="R433" s="64"/>
      <c r="S433" s="64"/>
      <c r="T433" s="130">
        <v>3040505.5</v>
      </c>
      <c r="U433" s="139" t="s">
        <v>1296</v>
      </c>
      <c r="V433" s="121">
        <v>171575506</v>
      </c>
      <c r="W433" s="122">
        <v>0</v>
      </c>
      <c r="X433" s="64">
        <v>171575506</v>
      </c>
      <c r="Y433" s="121"/>
      <c r="Z433" s="121"/>
      <c r="AA433" s="128"/>
      <c r="AB433" s="121"/>
      <c r="AC433" s="64">
        <v>171575506</v>
      </c>
      <c r="AD433" s="63">
        <v>44550</v>
      </c>
      <c r="AE433" s="65">
        <v>47471</v>
      </c>
      <c r="AF433" s="62">
        <v>8</v>
      </c>
      <c r="AG433" s="119">
        <v>96</v>
      </c>
      <c r="AH433" s="25">
        <v>1787244.8541666667</v>
      </c>
      <c r="AI433" s="78">
        <v>43585715.541666672</v>
      </c>
      <c r="AJ433" s="78">
        <v>127989790.45833333</v>
      </c>
      <c r="AK433" s="27">
        <f t="shared" si="132"/>
        <v>1787244.8541666667</v>
      </c>
      <c r="AL433" s="27">
        <f t="shared" si="136"/>
        <v>1787244.8541666667</v>
      </c>
      <c r="AM433" s="27">
        <f t="shared" si="136"/>
        <v>1787244.8541666667</v>
      </c>
      <c r="AN433" s="27">
        <f t="shared" si="138"/>
        <v>1787244.8541666667</v>
      </c>
      <c r="AO433" s="27">
        <f t="shared" si="139"/>
        <v>1787244.8541666667</v>
      </c>
      <c r="AP433" s="27">
        <f t="shared" si="139"/>
        <v>1787244.8541666667</v>
      </c>
      <c r="AQ433" s="27">
        <f t="shared" si="140"/>
        <v>1787244.8541666667</v>
      </c>
      <c r="AR433" s="27">
        <f t="shared" si="141"/>
        <v>1787244.8541666667</v>
      </c>
      <c r="AS433" s="27"/>
      <c r="AT433" s="27"/>
      <c r="AU433" s="27"/>
      <c r="AV433" s="27"/>
      <c r="AW433" s="27">
        <f t="shared" si="129"/>
        <v>14297958.833333332</v>
      </c>
      <c r="AX433" s="79">
        <f t="shared" si="133"/>
        <v>113691831.625</v>
      </c>
      <c r="AY433" s="79">
        <f t="shared" si="134"/>
        <v>57883674.375</v>
      </c>
      <c r="AZ433" s="25">
        <v>1</v>
      </c>
      <c r="BA433" s="62" t="s">
        <v>97</v>
      </c>
      <c r="BB433" s="66">
        <v>1</v>
      </c>
      <c r="BC433" s="66"/>
      <c r="BD433" s="66"/>
      <c r="BE433" s="67">
        <f t="shared" si="137"/>
        <v>1787244.8541666667</v>
      </c>
      <c r="BF433" s="67">
        <f t="shared" si="142"/>
        <v>0</v>
      </c>
      <c r="BG433" s="67">
        <f t="shared" si="135"/>
        <v>0</v>
      </c>
      <c r="BH433" s="66"/>
      <c r="BI433" s="68" t="s">
        <v>57</v>
      </c>
      <c r="BJ433" s="68" t="s">
        <v>1297</v>
      </c>
      <c r="BK433" s="68" t="s">
        <v>1297</v>
      </c>
      <c r="BL433" s="29"/>
      <c r="BO433" s="35" t="s">
        <v>1801</v>
      </c>
      <c r="BP433" s="1" t="s">
        <v>1824</v>
      </c>
    </row>
    <row r="434" spans="3:68" ht="15" customHeight="1">
      <c r="C434" s="1" t="str">
        <f t="shared" si="130"/>
        <v>2912</v>
      </c>
      <c r="D434" s="1" t="str">
        <f t="shared" si="131"/>
        <v>2112</v>
      </c>
      <c r="E434" s="19" t="s">
        <v>1290</v>
      </c>
      <c r="F434" s="68" t="s">
        <v>49</v>
      </c>
      <c r="G434" s="62">
        <v>2112</v>
      </c>
      <c r="H434" s="62" t="s">
        <v>1304</v>
      </c>
      <c r="I434" s="62" t="s">
        <v>1292</v>
      </c>
      <c r="J434" s="118">
        <v>1</v>
      </c>
      <c r="K434" s="119" t="s">
        <v>1293</v>
      </c>
      <c r="L434" s="138" t="s">
        <v>877</v>
      </c>
      <c r="M434" s="120" t="s">
        <v>1294</v>
      </c>
      <c r="N434" s="65">
        <v>44512</v>
      </c>
      <c r="O434" s="24">
        <v>7400</v>
      </c>
      <c r="P434" s="24">
        <v>22775</v>
      </c>
      <c r="Q434" s="64">
        <v>168535000</v>
      </c>
      <c r="R434" s="64"/>
      <c r="S434" s="64"/>
      <c r="T434" s="130">
        <v>3040505.5</v>
      </c>
      <c r="U434" s="139" t="s">
        <v>1296</v>
      </c>
      <c r="V434" s="121">
        <v>171575506</v>
      </c>
      <c r="W434" s="122">
        <v>0</v>
      </c>
      <c r="X434" s="64">
        <v>171575506</v>
      </c>
      <c r="Y434" s="121"/>
      <c r="Z434" s="121"/>
      <c r="AA434" s="128"/>
      <c r="AB434" s="121"/>
      <c r="AC434" s="64">
        <v>171575506</v>
      </c>
      <c r="AD434" s="63">
        <v>44550</v>
      </c>
      <c r="AE434" s="65">
        <v>47471</v>
      </c>
      <c r="AF434" s="62">
        <v>8</v>
      </c>
      <c r="AG434" s="119">
        <v>96</v>
      </c>
      <c r="AH434" s="25">
        <v>1787244.8541666667</v>
      </c>
      <c r="AI434" s="78">
        <v>43585715.541666672</v>
      </c>
      <c r="AJ434" s="78">
        <v>127989790.45833333</v>
      </c>
      <c r="AK434" s="27">
        <f t="shared" si="132"/>
        <v>1787244.8541666667</v>
      </c>
      <c r="AL434" s="27">
        <f t="shared" si="136"/>
        <v>1787244.8541666667</v>
      </c>
      <c r="AM434" s="27">
        <f t="shared" si="136"/>
        <v>1787244.8541666667</v>
      </c>
      <c r="AN434" s="27">
        <f t="shared" si="138"/>
        <v>1787244.8541666667</v>
      </c>
      <c r="AO434" s="27">
        <f t="shared" si="139"/>
        <v>1787244.8541666667</v>
      </c>
      <c r="AP434" s="27">
        <f t="shared" si="139"/>
        <v>1787244.8541666667</v>
      </c>
      <c r="AQ434" s="27">
        <f t="shared" si="140"/>
        <v>1787244.8541666667</v>
      </c>
      <c r="AR434" s="27">
        <f t="shared" si="141"/>
        <v>1787244.8541666667</v>
      </c>
      <c r="AS434" s="27"/>
      <c r="AT434" s="27"/>
      <c r="AU434" s="27"/>
      <c r="AV434" s="27"/>
      <c r="AW434" s="27">
        <f t="shared" si="129"/>
        <v>14297958.833333332</v>
      </c>
      <c r="AX434" s="79">
        <f t="shared" si="133"/>
        <v>113691831.625</v>
      </c>
      <c r="AY434" s="79">
        <f t="shared" si="134"/>
        <v>57883674.375</v>
      </c>
      <c r="AZ434" s="25">
        <v>1</v>
      </c>
      <c r="BA434" s="62" t="s">
        <v>97</v>
      </c>
      <c r="BB434" s="66">
        <v>1</v>
      </c>
      <c r="BC434" s="66"/>
      <c r="BD434" s="66"/>
      <c r="BE434" s="67">
        <f t="shared" si="137"/>
        <v>1787244.8541666667</v>
      </c>
      <c r="BF434" s="67">
        <f t="shared" si="142"/>
        <v>0</v>
      </c>
      <c r="BG434" s="67">
        <f t="shared" si="135"/>
        <v>0</v>
      </c>
      <c r="BH434" s="66"/>
      <c r="BI434" s="68" t="s">
        <v>57</v>
      </c>
      <c r="BJ434" s="68" t="s">
        <v>1297</v>
      </c>
      <c r="BK434" s="68" t="s">
        <v>1297</v>
      </c>
      <c r="BL434" s="29"/>
      <c r="BO434" s="35" t="s">
        <v>1801</v>
      </c>
      <c r="BP434" s="1" t="s">
        <v>1824</v>
      </c>
    </row>
    <row r="435" spans="3:68" ht="15" customHeight="1">
      <c r="C435" s="1" t="str">
        <f t="shared" si="130"/>
        <v>2912</v>
      </c>
      <c r="D435" s="1" t="str">
        <f t="shared" si="131"/>
        <v>2112</v>
      </c>
      <c r="E435" s="19" t="s">
        <v>1290</v>
      </c>
      <c r="F435" s="62" t="s">
        <v>1896</v>
      </c>
      <c r="G435" s="62">
        <v>2112</v>
      </c>
      <c r="H435" s="62" t="s">
        <v>1305</v>
      </c>
      <c r="I435" s="62" t="s">
        <v>1292</v>
      </c>
      <c r="J435" s="118">
        <v>1</v>
      </c>
      <c r="K435" s="119" t="s">
        <v>1293</v>
      </c>
      <c r="L435" s="138" t="s">
        <v>877</v>
      </c>
      <c r="M435" s="120" t="s">
        <v>1294</v>
      </c>
      <c r="N435" s="65">
        <v>44512</v>
      </c>
      <c r="O435" s="24">
        <v>7400</v>
      </c>
      <c r="P435" s="24">
        <v>22775</v>
      </c>
      <c r="Q435" s="64">
        <v>168535000</v>
      </c>
      <c r="R435" s="64"/>
      <c r="S435" s="64"/>
      <c r="T435" s="130">
        <v>3040505.5</v>
      </c>
      <c r="U435" s="139" t="s">
        <v>1296</v>
      </c>
      <c r="V435" s="121">
        <v>171575506</v>
      </c>
      <c r="W435" s="122">
        <v>0</v>
      </c>
      <c r="X435" s="64">
        <v>171575506</v>
      </c>
      <c r="Y435" s="121"/>
      <c r="Z435" s="121"/>
      <c r="AA435" s="128"/>
      <c r="AB435" s="121"/>
      <c r="AC435" s="64">
        <v>171575506</v>
      </c>
      <c r="AD435" s="63">
        <v>44550</v>
      </c>
      <c r="AE435" s="65">
        <v>47471</v>
      </c>
      <c r="AF435" s="62">
        <v>8</v>
      </c>
      <c r="AG435" s="119">
        <v>96</v>
      </c>
      <c r="AH435" s="25">
        <v>1787244.8541666667</v>
      </c>
      <c r="AI435" s="78">
        <v>43585715.541666672</v>
      </c>
      <c r="AJ435" s="78">
        <v>127989790.45833333</v>
      </c>
      <c r="AK435" s="27">
        <f t="shared" si="132"/>
        <v>1787244.8541666667</v>
      </c>
      <c r="AL435" s="27">
        <f t="shared" si="136"/>
        <v>1787244.8541666667</v>
      </c>
      <c r="AM435" s="27">
        <f t="shared" si="136"/>
        <v>1787244.8541666667</v>
      </c>
      <c r="AN435" s="27">
        <f t="shared" si="138"/>
        <v>1787244.8541666667</v>
      </c>
      <c r="AO435" s="27">
        <f t="shared" si="139"/>
        <v>1787244.8541666667</v>
      </c>
      <c r="AP435" s="27">
        <f t="shared" si="139"/>
        <v>1787244.8541666667</v>
      </c>
      <c r="AQ435" s="27">
        <f t="shared" si="140"/>
        <v>1787244.8541666667</v>
      </c>
      <c r="AR435" s="27">
        <f t="shared" si="141"/>
        <v>1787244.8541666667</v>
      </c>
      <c r="AS435" s="27"/>
      <c r="AT435" s="27"/>
      <c r="AU435" s="27"/>
      <c r="AV435" s="27"/>
      <c r="AW435" s="27">
        <f t="shared" si="129"/>
        <v>14297958.833333332</v>
      </c>
      <c r="AX435" s="79">
        <f t="shared" si="133"/>
        <v>113691831.625</v>
      </c>
      <c r="AY435" s="79">
        <f t="shared" si="134"/>
        <v>57883674.375</v>
      </c>
      <c r="AZ435" s="25">
        <v>1</v>
      </c>
      <c r="BA435" s="62" t="s">
        <v>97</v>
      </c>
      <c r="BB435" s="66">
        <v>1</v>
      </c>
      <c r="BC435" s="66"/>
      <c r="BD435" s="66"/>
      <c r="BE435" s="67">
        <f t="shared" si="137"/>
        <v>1787244.8541666667</v>
      </c>
      <c r="BF435" s="67">
        <f t="shared" si="142"/>
        <v>0</v>
      </c>
      <c r="BG435" s="67">
        <f t="shared" si="135"/>
        <v>0</v>
      </c>
      <c r="BH435" s="66"/>
      <c r="BI435" s="68" t="s">
        <v>57</v>
      </c>
      <c r="BJ435" s="68" t="s">
        <v>1929</v>
      </c>
      <c r="BK435" s="68" t="s">
        <v>1989</v>
      </c>
      <c r="BL435" s="29"/>
      <c r="BO435" s="35" t="s">
        <v>1801</v>
      </c>
      <c r="BP435" s="1" t="s">
        <v>1826</v>
      </c>
    </row>
    <row r="436" spans="3:68" ht="15" customHeight="1">
      <c r="C436" s="1" t="str">
        <f t="shared" si="130"/>
        <v>2912</v>
      </c>
      <c r="D436" s="1" t="str">
        <f t="shared" si="131"/>
        <v>2112</v>
      </c>
      <c r="E436" s="19" t="s">
        <v>1290</v>
      </c>
      <c r="F436" s="62" t="s">
        <v>1896</v>
      </c>
      <c r="G436" s="62">
        <v>2112</v>
      </c>
      <c r="H436" s="62" t="s">
        <v>1306</v>
      </c>
      <c r="I436" s="62" t="s">
        <v>1292</v>
      </c>
      <c r="J436" s="118">
        <v>1</v>
      </c>
      <c r="K436" s="119" t="s">
        <v>1293</v>
      </c>
      <c r="L436" s="138" t="s">
        <v>877</v>
      </c>
      <c r="M436" s="120" t="s">
        <v>1294</v>
      </c>
      <c r="N436" s="65">
        <v>44512</v>
      </c>
      <c r="O436" s="24">
        <v>7400</v>
      </c>
      <c r="P436" s="24">
        <v>22775</v>
      </c>
      <c r="Q436" s="64">
        <v>168535000</v>
      </c>
      <c r="R436" s="64"/>
      <c r="S436" s="64"/>
      <c r="T436" s="130">
        <v>3040505.5</v>
      </c>
      <c r="U436" s="139" t="s">
        <v>1296</v>
      </c>
      <c r="V436" s="121">
        <v>171575506</v>
      </c>
      <c r="W436" s="122">
        <v>0</v>
      </c>
      <c r="X436" s="64">
        <v>171575506</v>
      </c>
      <c r="Y436" s="121"/>
      <c r="Z436" s="121"/>
      <c r="AA436" s="128"/>
      <c r="AB436" s="121"/>
      <c r="AC436" s="64">
        <v>171575506</v>
      </c>
      <c r="AD436" s="63">
        <v>44550</v>
      </c>
      <c r="AE436" s="65">
        <v>47471</v>
      </c>
      <c r="AF436" s="62">
        <v>8</v>
      </c>
      <c r="AG436" s="119">
        <v>96</v>
      </c>
      <c r="AH436" s="25">
        <v>1787244.8541666667</v>
      </c>
      <c r="AI436" s="78">
        <v>43585715.541666672</v>
      </c>
      <c r="AJ436" s="78">
        <v>127989790.45833333</v>
      </c>
      <c r="AK436" s="27">
        <f t="shared" si="132"/>
        <v>1787244.8541666667</v>
      </c>
      <c r="AL436" s="27">
        <f t="shared" si="136"/>
        <v>1787244.8541666667</v>
      </c>
      <c r="AM436" s="27">
        <f t="shared" si="136"/>
        <v>1787244.8541666667</v>
      </c>
      <c r="AN436" s="27">
        <f t="shared" si="138"/>
        <v>1787244.8541666667</v>
      </c>
      <c r="AO436" s="27">
        <f t="shared" si="139"/>
        <v>1787244.8541666667</v>
      </c>
      <c r="AP436" s="27">
        <f t="shared" si="139"/>
        <v>1787244.8541666667</v>
      </c>
      <c r="AQ436" s="27">
        <f t="shared" si="140"/>
        <v>1787244.8541666667</v>
      </c>
      <c r="AR436" s="27">
        <f t="shared" si="141"/>
        <v>1787244.8541666667</v>
      </c>
      <c r="AS436" s="27"/>
      <c r="AT436" s="27"/>
      <c r="AU436" s="27"/>
      <c r="AV436" s="27"/>
      <c r="AW436" s="27">
        <f t="shared" si="129"/>
        <v>14297958.833333332</v>
      </c>
      <c r="AX436" s="79">
        <f t="shared" si="133"/>
        <v>113691831.625</v>
      </c>
      <c r="AY436" s="79">
        <f t="shared" si="134"/>
        <v>57883674.375</v>
      </c>
      <c r="AZ436" s="25">
        <v>1</v>
      </c>
      <c r="BA436" s="62" t="s">
        <v>97</v>
      </c>
      <c r="BB436" s="66">
        <v>1</v>
      </c>
      <c r="BC436" s="66"/>
      <c r="BD436" s="66"/>
      <c r="BE436" s="67">
        <f t="shared" si="137"/>
        <v>1787244.8541666667</v>
      </c>
      <c r="BF436" s="67">
        <f t="shared" si="142"/>
        <v>0</v>
      </c>
      <c r="BG436" s="67">
        <f t="shared" si="135"/>
        <v>0</v>
      </c>
      <c r="BH436" s="66"/>
      <c r="BI436" s="68" t="s">
        <v>57</v>
      </c>
      <c r="BJ436" s="68" t="s">
        <v>1929</v>
      </c>
      <c r="BK436" s="68" t="s">
        <v>1989</v>
      </c>
      <c r="BL436" s="29"/>
      <c r="BO436" s="35" t="s">
        <v>1801</v>
      </c>
      <c r="BP436" s="1" t="s">
        <v>1826</v>
      </c>
    </row>
    <row r="437" spans="3:68" ht="15" customHeight="1">
      <c r="C437" s="1" t="str">
        <f t="shared" si="130"/>
        <v>3112</v>
      </c>
      <c r="D437" s="1" t="str">
        <f t="shared" si="131"/>
        <v>2112</v>
      </c>
      <c r="E437" s="19" t="s">
        <v>1290</v>
      </c>
      <c r="F437" s="68" t="s">
        <v>515</v>
      </c>
      <c r="G437" s="62">
        <v>2112</v>
      </c>
      <c r="H437" s="62" t="s">
        <v>1307</v>
      </c>
      <c r="I437" s="62" t="s">
        <v>1308</v>
      </c>
      <c r="J437" s="118">
        <v>1</v>
      </c>
      <c r="K437" s="119" t="s">
        <v>619</v>
      </c>
      <c r="L437" s="138" t="s">
        <v>919</v>
      </c>
      <c r="M437" s="120" t="s">
        <v>1309</v>
      </c>
      <c r="N437" s="65">
        <v>44511</v>
      </c>
      <c r="O437" s="24">
        <v>173000</v>
      </c>
      <c r="P437" s="24">
        <v>22858</v>
      </c>
      <c r="Q437" s="64">
        <v>3954434000</v>
      </c>
      <c r="R437" s="64"/>
      <c r="S437" s="64"/>
      <c r="T437" s="130">
        <v>99758108</v>
      </c>
      <c r="U437" s="139" t="s">
        <v>1311</v>
      </c>
      <c r="V437" s="121">
        <v>4054192108</v>
      </c>
      <c r="W437" s="122"/>
      <c r="X437" s="64">
        <v>4054192108</v>
      </c>
      <c r="Y437" s="121"/>
      <c r="Z437" s="121"/>
      <c r="AA437" s="128"/>
      <c r="AB437" s="121"/>
      <c r="AC437" s="64">
        <v>4054192108</v>
      </c>
      <c r="AD437" s="63">
        <v>44539</v>
      </c>
      <c r="AE437" s="65">
        <v>48190</v>
      </c>
      <c r="AF437" s="62">
        <v>10</v>
      </c>
      <c r="AG437" s="119">
        <v>120</v>
      </c>
      <c r="AH437" s="25">
        <v>33784934.233333334</v>
      </c>
      <c r="AI437" s="78">
        <v>835904659.33333349</v>
      </c>
      <c r="AJ437" s="78">
        <v>3218287448.6666665</v>
      </c>
      <c r="AK437" s="27">
        <f t="shared" si="132"/>
        <v>33784934.233333334</v>
      </c>
      <c r="AL437" s="27">
        <f t="shared" si="136"/>
        <v>33784934.233333334</v>
      </c>
      <c r="AM437" s="27">
        <f t="shared" si="136"/>
        <v>33784934.233333334</v>
      </c>
      <c r="AN437" s="27">
        <f t="shared" si="138"/>
        <v>33784934.233333334</v>
      </c>
      <c r="AO437" s="27">
        <f t="shared" si="139"/>
        <v>33784934.233333334</v>
      </c>
      <c r="AP437" s="27">
        <f t="shared" si="139"/>
        <v>33784934.233333334</v>
      </c>
      <c r="AQ437" s="27">
        <f t="shared" si="140"/>
        <v>33784934.233333334</v>
      </c>
      <c r="AR437" s="27">
        <f t="shared" si="141"/>
        <v>33784934.233333334</v>
      </c>
      <c r="AS437" s="27"/>
      <c r="AT437" s="27"/>
      <c r="AU437" s="27"/>
      <c r="AV437" s="27"/>
      <c r="AW437" s="27">
        <f t="shared" si="129"/>
        <v>270279473.86666673</v>
      </c>
      <c r="AX437" s="79">
        <f t="shared" si="133"/>
        <v>2948007974.7999997</v>
      </c>
      <c r="AY437" s="79">
        <f t="shared" si="134"/>
        <v>1106184133.2000003</v>
      </c>
      <c r="AZ437" s="25">
        <v>1</v>
      </c>
      <c r="BA437" s="62" t="s">
        <v>97</v>
      </c>
      <c r="BB437" s="66">
        <v>1</v>
      </c>
      <c r="BC437" s="66"/>
      <c r="BD437" s="66"/>
      <c r="BE437" s="67">
        <f t="shared" si="137"/>
        <v>33784934.233333334</v>
      </c>
      <c r="BF437" s="67">
        <f t="shared" si="142"/>
        <v>0</v>
      </c>
      <c r="BG437" s="67">
        <f t="shared" si="135"/>
        <v>0</v>
      </c>
      <c r="BH437" s="66"/>
      <c r="BI437" s="68" t="s">
        <v>871</v>
      </c>
      <c r="BJ437" s="68" t="s">
        <v>1312</v>
      </c>
      <c r="BK437" s="68" t="s">
        <v>1312</v>
      </c>
      <c r="BL437" s="29"/>
      <c r="BO437" s="35" t="s">
        <v>1802</v>
      </c>
    </row>
    <row r="438" spans="3:68" ht="15" customHeight="1">
      <c r="C438" s="1" t="str">
        <f t="shared" si="130"/>
        <v>2912</v>
      </c>
      <c r="D438" s="1" t="str">
        <f t="shared" si="131"/>
        <v>2112</v>
      </c>
      <c r="E438" s="19" t="s">
        <v>1290</v>
      </c>
      <c r="F438" s="62" t="s">
        <v>1896</v>
      </c>
      <c r="G438" s="62">
        <v>2112</v>
      </c>
      <c r="H438" s="62" t="s">
        <v>1313</v>
      </c>
      <c r="I438" s="62" t="s">
        <v>1314</v>
      </c>
      <c r="J438" s="118">
        <v>1</v>
      </c>
      <c r="K438" s="119" t="s">
        <v>1293</v>
      </c>
      <c r="L438" s="138" t="s">
        <v>1315</v>
      </c>
      <c r="M438" s="120" t="s">
        <v>1316</v>
      </c>
      <c r="N438" s="65">
        <v>44495</v>
      </c>
      <c r="O438" s="24">
        <v>28000</v>
      </c>
      <c r="P438" s="24">
        <v>22881.5</v>
      </c>
      <c r="Q438" s="64">
        <v>640682000</v>
      </c>
      <c r="R438" s="64"/>
      <c r="S438" s="64"/>
      <c r="T438" s="130">
        <v>28290364</v>
      </c>
      <c r="U438" s="139" t="s">
        <v>1318</v>
      </c>
      <c r="V438" s="121">
        <v>668972364</v>
      </c>
      <c r="W438" s="122">
        <v>0</v>
      </c>
      <c r="X438" s="64">
        <v>668972364</v>
      </c>
      <c r="Y438" s="121"/>
      <c r="Z438" s="121"/>
      <c r="AA438" s="128"/>
      <c r="AB438" s="121"/>
      <c r="AC438" s="64">
        <v>668972364</v>
      </c>
      <c r="AD438" s="63">
        <v>44550</v>
      </c>
      <c r="AE438" s="65">
        <v>47471</v>
      </c>
      <c r="AF438" s="62">
        <v>8</v>
      </c>
      <c r="AG438" s="119">
        <v>96</v>
      </c>
      <c r="AH438" s="25">
        <v>6968462.125</v>
      </c>
      <c r="AI438" s="78">
        <v>169940558.25</v>
      </c>
      <c r="AJ438" s="78">
        <v>499031805.75</v>
      </c>
      <c r="AK438" s="27">
        <f t="shared" si="132"/>
        <v>6968462.125</v>
      </c>
      <c r="AL438" s="27">
        <f t="shared" si="136"/>
        <v>6968462.125</v>
      </c>
      <c r="AM438" s="27">
        <f t="shared" si="136"/>
        <v>6968462.125</v>
      </c>
      <c r="AN438" s="27">
        <f t="shared" si="138"/>
        <v>6968462.125</v>
      </c>
      <c r="AO438" s="27">
        <f t="shared" si="139"/>
        <v>6968462.125</v>
      </c>
      <c r="AP438" s="27">
        <f t="shared" si="139"/>
        <v>6968462.125</v>
      </c>
      <c r="AQ438" s="27">
        <f t="shared" si="140"/>
        <v>6968462.125</v>
      </c>
      <c r="AR438" s="27">
        <f t="shared" si="141"/>
        <v>6968462.125</v>
      </c>
      <c r="AS438" s="27"/>
      <c r="AT438" s="27"/>
      <c r="AU438" s="27"/>
      <c r="AV438" s="27"/>
      <c r="AW438" s="27">
        <f t="shared" si="129"/>
        <v>55747697</v>
      </c>
      <c r="AX438" s="79">
        <f t="shared" si="133"/>
        <v>443284108.75</v>
      </c>
      <c r="AY438" s="79">
        <f t="shared" si="134"/>
        <v>225688255.25</v>
      </c>
      <c r="AZ438" s="25">
        <v>1</v>
      </c>
      <c r="BA438" s="62" t="s">
        <v>97</v>
      </c>
      <c r="BB438" s="66">
        <v>1</v>
      </c>
      <c r="BC438" s="66"/>
      <c r="BD438" s="66"/>
      <c r="BE438" s="67">
        <f t="shared" si="137"/>
        <v>6968462.125</v>
      </c>
      <c r="BF438" s="67">
        <f t="shared" si="142"/>
        <v>0</v>
      </c>
      <c r="BG438" s="67">
        <f t="shared" si="135"/>
        <v>0</v>
      </c>
      <c r="BH438" s="66"/>
      <c r="BI438" s="68" t="s">
        <v>871</v>
      </c>
      <c r="BJ438" s="68" t="s">
        <v>1929</v>
      </c>
      <c r="BK438" s="68" t="s">
        <v>1989</v>
      </c>
      <c r="BL438" s="29"/>
      <c r="BO438" s="35" t="s">
        <v>1801</v>
      </c>
      <c r="BP438" s="1" t="s">
        <v>1813</v>
      </c>
    </row>
    <row r="439" spans="3:68" ht="15" customHeight="1">
      <c r="C439" s="1" t="str">
        <f t="shared" si="130"/>
        <v>2812</v>
      </c>
      <c r="D439" s="1" t="str">
        <f t="shared" si="131"/>
        <v>2112</v>
      </c>
      <c r="E439" s="19" t="s">
        <v>1290</v>
      </c>
      <c r="F439" s="68" t="s">
        <v>515</v>
      </c>
      <c r="G439" s="62">
        <v>2112</v>
      </c>
      <c r="H439" s="62" t="s">
        <v>1319</v>
      </c>
      <c r="I439" s="62" t="s">
        <v>1320</v>
      </c>
      <c r="J439" s="118">
        <v>1</v>
      </c>
      <c r="K439" s="119" t="s">
        <v>619</v>
      </c>
      <c r="L439" s="62" t="s">
        <v>77</v>
      </c>
      <c r="M439" s="120" t="s">
        <v>1321</v>
      </c>
      <c r="N439" s="65">
        <v>44531</v>
      </c>
      <c r="O439" s="27">
        <v>34980</v>
      </c>
      <c r="P439" s="24">
        <v>22770</v>
      </c>
      <c r="Q439" s="64">
        <v>796494600</v>
      </c>
      <c r="R439" s="27">
        <v>39483675</v>
      </c>
      <c r="S439" s="64"/>
      <c r="T439" s="130">
        <v>1500000</v>
      </c>
      <c r="U439" s="139" t="s">
        <v>1322</v>
      </c>
      <c r="V439" s="121">
        <v>837478275</v>
      </c>
      <c r="W439" s="122">
        <v>0</v>
      </c>
      <c r="X439" s="64">
        <v>837478275</v>
      </c>
      <c r="Y439" s="121"/>
      <c r="Z439" s="121"/>
      <c r="AA439" s="128"/>
      <c r="AB439" s="121"/>
      <c r="AC439" s="64">
        <v>837478275</v>
      </c>
      <c r="AD439" s="63">
        <v>44550</v>
      </c>
      <c r="AE439" s="65">
        <v>47106</v>
      </c>
      <c r="AF439" s="62">
        <v>7</v>
      </c>
      <c r="AG439" s="119">
        <v>84</v>
      </c>
      <c r="AH439" s="25">
        <v>9969979.4642857146</v>
      </c>
      <c r="AI439" s="78">
        <v>243138847.64285716</v>
      </c>
      <c r="AJ439" s="78">
        <v>594339427.35714281</v>
      </c>
      <c r="AK439" s="27">
        <f t="shared" si="132"/>
        <v>9969979.4642857146</v>
      </c>
      <c r="AL439" s="27">
        <f t="shared" si="136"/>
        <v>9969979.4642857146</v>
      </c>
      <c r="AM439" s="27">
        <f t="shared" si="136"/>
        <v>9969979.4642857146</v>
      </c>
      <c r="AN439" s="27">
        <f t="shared" si="138"/>
        <v>9969979.4642857146</v>
      </c>
      <c r="AO439" s="27">
        <f t="shared" si="139"/>
        <v>9969979.4642857146</v>
      </c>
      <c r="AP439" s="27">
        <f t="shared" si="139"/>
        <v>9969979.4642857146</v>
      </c>
      <c r="AQ439" s="27">
        <f t="shared" si="140"/>
        <v>9969979.4642857146</v>
      </c>
      <c r="AR439" s="27">
        <f t="shared" si="141"/>
        <v>9969979.4642857146</v>
      </c>
      <c r="AS439" s="27"/>
      <c r="AT439" s="27"/>
      <c r="AU439" s="27"/>
      <c r="AV439" s="27"/>
      <c r="AW439" s="27">
        <f t="shared" si="129"/>
        <v>79759835.714285716</v>
      </c>
      <c r="AX439" s="79">
        <f t="shared" si="133"/>
        <v>514579591.64285707</v>
      </c>
      <c r="AY439" s="79">
        <f t="shared" si="134"/>
        <v>322898683.35714287</v>
      </c>
      <c r="AZ439" s="25">
        <v>1</v>
      </c>
      <c r="BA439" s="62" t="s">
        <v>97</v>
      </c>
      <c r="BB439" s="66">
        <v>1</v>
      </c>
      <c r="BC439" s="66"/>
      <c r="BD439" s="66"/>
      <c r="BE439" s="67">
        <f t="shared" si="137"/>
        <v>9969979.4642857146</v>
      </c>
      <c r="BF439" s="67">
        <f t="shared" si="142"/>
        <v>0</v>
      </c>
      <c r="BG439" s="67">
        <f t="shared" si="135"/>
        <v>0</v>
      </c>
      <c r="BH439" s="66"/>
      <c r="BI439" s="68" t="s">
        <v>871</v>
      </c>
      <c r="BJ439" s="68" t="s">
        <v>349</v>
      </c>
      <c r="BK439" s="68" t="s">
        <v>349</v>
      </c>
      <c r="BL439" s="29"/>
      <c r="BO439" s="35" t="s">
        <v>1802</v>
      </c>
    </row>
    <row r="440" spans="3:68" ht="15" customHeight="1">
      <c r="C440" s="1" t="str">
        <f t="shared" si="130"/>
        <v>2912</v>
      </c>
      <c r="D440" s="1" t="str">
        <f t="shared" si="131"/>
        <v>2112</v>
      </c>
      <c r="E440" s="19" t="s">
        <v>1290</v>
      </c>
      <c r="F440" s="62" t="s">
        <v>1896</v>
      </c>
      <c r="G440" s="62">
        <v>2112</v>
      </c>
      <c r="H440" s="62" t="s">
        <v>1323</v>
      </c>
      <c r="I440" s="62" t="s">
        <v>1324</v>
      </c>
      <c r="J440" s="140">
        <v>1</v>
      </c>
      <c r="K440" s="119" t="s">
        <v>1293</v>
      </c>
      <c r="L440" s="62" t="s">
        <v>77</v>
      </c>
      <c r="M440" s="120" t="s">
        <v>1325</v>
      </c>
      <c r="N440" s="65">
        <v>44538</v>
      </c>
      <c r="O440" s="27">
        <v>3172</v>
      </c>
      <c r="P440" s="24">
        <v>22790</v>
      </c>
      <c r="Q440" s="64">
        <v>72289880</v>
      </c>
      <c r="R440" s="64"/>
      <c r="S440" s="64"/>
      <c r="T440" s="64">
        <v>306877.69011778192</v>
      </c>
      <c r="U440" s="139" t="s">
        <v>1327</v>
      </c>
      <c r="V440" s="121">
        <v>72596758</v>
      </c>
      <c r="W440" s="122">
        <v>0</v>
      </c>
      <c r="X440" s="64">
        <v>72596758</v>
      </c>
      <c r="Y440" s="121"/>
      <c r="Z440" s="121"/>
      <c r="AA440" s="128"/>
      <c r="AB440" s="121"/>
      <c r="AC440" s="64">
        <v>72596758</v>
      </c>
      <c r="AD440" s="63">
        <v>44550</v>
      </c>
      <c r="AE440" s="65">
        <v>47471</v>
      </c>
      <c r="AF440" s="62">
        <v>8</v>
      </c>
      <c r="AG440" s="119">
        <v>96</v>
      </c>
      <c r="AH440" s="25">
        <v>756216.22916666663</v>
      </c>
      <c r="AI440" s="78">
        <v>18441915.291666668</v>
      </c>
      <c r="AJ440" s="78">
        <v>54154842.708333328</v>
      </c>
      <c r="AK440" s="27">
        <f t="shared" si="132"/>
        <v>756216.22916666663</v>
      </c>
      <c r="AL440" s="27">
        <f t="shared" si="136"/>
        <v>756216.22916666663</v>
      </c>
      <c r="AM440" s="27">
        <f t="shared" si="136"/>
        <v>756216.22916666663</v>
      </c>
      <c r="AN440" s="27">
        <f t="shared" si="138"/>
        <v>756216.22916666663</v>
      </c>
      <c r="AO440" s="27">
        <f t="shared" si="139"/>
        <v>756216.22916666663</v>
      </c>
      <c r="AP440" s="27">
        <f t="shared" si="139"/>
        <v>756216.22916666663</v>
      </c>
      <c r="AQ440" s="27">
        <f t="shared" si="140"/>
        <v>756216.22916666663</v>
      </c>
      <c r="AR440" s="27">
        <f t="shared" si="141"/>
        <v>756216.22916666663</v>
      </c>
      <c r="AS440" s="27"/>
      <c r="AT440" s="27"/>
      <c r="AU440" s="27"/>
      <c r="AV440" s="27"/>
      <c r="AW440" s="27">
        <f t="shared" si="129"/>
        <v>6049729.833333334</v>
      </c>
      <c r="AX440" s="79">
        <f t="shared" si="133"/>
        <v>48105112.874999993</v>
      </c>
      <c r="AY440" s="79">
        <f t="shared" si="134"/>
        <v>24491645.125</v>
      </c>
      <c r="AZ440" s="25">
        <v>1</v>
      </c>
      <c r="BA440" s="62" t="s">
        <v>97</v>
      </c>
      <c r="BB440" s="66">
        <v>1</v>
      </c>
      <c r="BC440" s="66"/>
      <c r="BD440" s="66"/>
      <c r="BE440" s="67">
        <f t="shared" si="137"/>
        <v>756216.22916666663</v>
      </c>
      <c r="BF440" s="67">
        <f t="shared" si="142"/>
        <v>0</v>
      </c>
      <c r="BG440" s="67">
        <f t="shared" si="135"/>
        <v>0</v>
      </c>
      <c r="BH440" s="66"/>
      <c r="BI440" s="68" t="s">
        <v>57</v>
      </c>
      <c r="BJ440" s="68" t="s">
        <v>1929</v>
      </c>
      <c r="BK440" s="68" t="s">
        <v>1989</v>
      </c>
      <c r="BL440" s="29"/>
      <c r="BO440" s="35" t="s">
        <v>1801</v>
      </c>
      <c r="BP440" s="1" t="s">
        <v>1826</v>
      </c>
    </row>
    <row r="441" spans="3:68" ht="15" customHeight="1">
      <c r="C441" s="1" t="str">
        <f t="shared" si="130"/>
        <v>2912</v>
      </c>
      <c r="D441" s="1" t="str">
        <f t="shared" si="131"/>
        <v>2112</v>
      </c>
      <c r="E441" s="19" t="s">
        <v>1290</v>
      </c>
      <c r="F441" s="62" t="s">
        <v>1896</v>
      </c>
      <c r="G441" s="62">
        <v>2112</v>
      </c>
      <c r="H441" s="62" t="s">
        <v>1328</v>
      </c>
      <c r="I441" s="62" t="s">
        <v>1324</v>
      </c>
      <c r="J441" s="140">
        <v>1</v>
      </c>
      <c r="K441" s="119" t="s">
        <v>1293</v>
      </c>
      <c r="L441" s="62" t="s">
        <v>77</v>
      </c>
      <c r="M441" s="120" t="s">
        <v>1325</v>
      </c>
      <c r="N441" s="65">
        <v>44538</v>
      </c>
      <c r="O441" s="27">
        <v>3172</v>
      </c>
      <c r="P441" s="24">
        <v>22790</v>
      </c>
      <c r="Q441" s="64">
        <v>72289880</v>
      </c>
      <c r="R441" s="64"/>
      <c r="S441" s="64"/>
      <c r="T441" s="64">
        <v>306877.69011778192</v>
      </c>
      <c r="U441" s="139" t="s">
        <v>1327</v>
      </c>
      <c r="V441" s="121">
        <v>72596758</v>
      </c>
      <c r="W441" s="122">
        <v>0</v>
      </c>
      <c r="X441" s="64">
        <v>72596758</v>
      </c>
      <c r="Y441" s="121"/>
      <c r="Z441" s="121"/>
      <c r="AA441" s="128"/>
      <c r="AB441" s="121"/>
      <c r="AC441" s="64">
        <v>72596758</v>
      </c>
      <c r="AD441" s="63">
        <v>44550</v>
      </c>
      <c r="AE441" s="65">
        <v>47471</v>
      </c>
      <c r="AF441" s="62">
        <v>8</v>
      </c>
      <c r="AG441" s="119">
        <v>96</v>
      </c>
      <c r="AH441" s="25">
        <v>756216.22916666663</v>
      </c>
      <c r="AI441" s="78">
        <v>18441915.291666668</v>
      </c>
      <c r="AJ441" s="78">
        <v>54154842.708333328</v>
      </c>
      <c r="AK441" s="27">
        <f t="shared" si="132"/>
        <v>756216.22916666663</v>
      </c>
      <c r="AL441" s="27">
        <f t="shared" si="136"/>
        <v>756216.22916666663</v>
      </c>
      <c r="AM441" s="27">
        <f t="shared" si="136"/>
        <v>756216.22916666663</v>
      </c>
      <c r="AN441" s="27">
        <f t="shared" si="138"/>
        <v>756216.22916666663</v>
      </c>
      <c r="AO441" s="27">
        <f t="shared" si="139"/>
        <v>756216.22916666663</v>
      </c>
      <c r="AP441" s="27">
        <f t="shared" si="139"/>
        <v>756216.22916666663</v>
      </c>
      <c r="AQ441" s="27">
        <f t="shared" si="140"/>
        <v>756216.22916666663</v>
      </c>
      <c r="AR441" s="27">
        <f t="shared" si="141"/>
        <v>756216.22916666663</v>
      </c>
      <c r="AS441" s="27"/>
      <c r="AT441" s="27"/>
      <c r="AU441" s="27"/>
      <c r="AV441" s="27"/>
      <c r="AW441" s="27">
        <f t="shared" si="129"/>
        <v>6049729.833333334</v>
      </c>
      <c r="AX441" s="79">
        <f t="shared" si="133"/>
        <v>48105112.874999993</v>
      </c>
      <c r="AY441" s="79">
        <f t="shared" si="134"/>
        <v>24491645.125</v>
      </c>
      <c r="AZ441" s="25">
        <v>1</v>
      </c>
      <c r="BA441" s="62" t="s">
        <v>97</v>
      </c>
      <c r="BB441" s="66">
        <v>1</v>
      </c>
      <c r="BC441" s="66"/>
      <c r="BD441" s="66"/>
      <c r="BE441" s="67">
        <f t="shared" si="137"/>
        <v>756216.22916666663</v>
      </c>
      <c r="BF441" s="67">
        <f t="shared" si="142"/>
        <v>0</v>
      </c>
      <c r="BG441" s="67">
        <f t="shared" si="135"/>
        <v>0</v>
      </c>
      <c r="BH441" s="66"/>
      <c r="BI441" s="68" t="s">
        <v>57</v>
      </c>
      <c r="BJ441" s="68" t="s">
        <v>1929</v>
      </c>
      <c r="BK441" s="68" t="s">
        <v>1989</v>
      </c>
      <c r="BL441" s="29"/>
      <c r="BO441" s="35" t="s">
        <v>1801</v>
      </c>
      <c r="BP441" s="1" t="s">
        <v>1826</v>
      </c>
    </row>
    <row r="442" spans="3:68" ht="15" customHeight="1">
      <c r="C442" s="1" t="str">
        <f t="shared" si="130"/>
        <v>2912</v>
      </c>
      <c r="D442" s="1" t="str">
        <f t="shared" si="131"/>
        <v>2112</v>
      </c>
      <c r="E442" s="19" t="s">
        <v>1290</v>
      </c>
      <c r="F442" s="62" t="s">
        <v>1896</v>
      </c>
      <c r="G442" s="62">
        <v>2112</v>
      </c>
      <c r="H442" s="62" t="s">
        <v>1329</v>
      </c>
      <c r="I442" s="62" t="s">
        <v>1324</v>
      </c>
      <c r="J442" s="140">
        <v>1</v>
      </c>
      <c r="K442" s="119" t="s">
        <v>1293</v>
      </c>
      <c r="L442" s="62" t="s">
        <v>77</v>
      </c>
      <c r="M442" s="120" t="s">
        <v>1325</v>
      </c>
      <c r="N442" s="65">
        <v>44538</v>
      </c>
      <c r="O442" s="27">
        <v>3172</v>
      </c>
      <c r="P442" s="24">
        <v>22790</v>
      </c>
      <c r="Q442" s="64">
        <v>72289880</v>
      </c>
      <c r="R442" s="64"/>
      <c r="S442" s="64"/>
      <c r="T442" s="64">
        <v>306877.69011778192</v>
      </c>
      <c r="U442" s="139" t="s">
        <v>1327</v>
      </c>
      <c r="V442" s="121">
        <v>72596758</v>
      </c>
      <c r="W442" s="122">
        <v>0</v>
      </c>
      <c r="X442" s="64">
        <v>72596758</v>
      </c>
      <c r="Y442" s="121"/>
      <c r="Z442" s="121"/>
      <c r="AA442" s="128"/>
      <c r="AB442" s="121"/>
      <c r="AC442" s="64">
        <v>72596758</v>
      </c>
      <c r="AD442" s="63">
        <v>44550</v>
      </c>
      <c r="AE442" s="65">
        <v>47471</v>
      </c>
      <c r="AF442" s="62">
        <v>8</v>
      </c>
      <c r="AG442" s="119">
        <v>96</v>
      </c>
      <c r="AH442" s="25">
        <v>756216.22916666663</v>
      </c>
      <c r="AI442" s="78">
        <v>18441915.291666668</v>
      </c>
      <c r="AJ442" s="78">
        <v>54154842.708333328</v>
      </c>
      <c r="AK442" s="27">
        <f t="shared" si="132"/>
        <v>756216.22916666663</v>
      </c>
      <c r="AL442" s="27">
        <f t="shared" si="136"/>
        <v>756216.22916666663</v>
      </c>
      <c r="AM442" s="27">
        <f t="shared" si="136"/>
        <v>756216.22916666663</v>
      </c>
      <c r="AN442" s="27">
        <f t="shared" si="138"/>
        <v>756216.22916666663</v>
      </c>
      <c r="AO442" s="27">
        <f t="shared" si="139"/>
        <v>756216.22916666663</v>
      </c>
      <c r="AP442" s="27">
        <f t="shared" si="139"/>
        <v>756216.22916666663</v>
      </c>
      <c r="AQ442" s="27">
        <f t="shared" si="140"/>
        <v>756216.22916666663</v>
      </c>
      <c r="AR442" s="27">
        <f t="shared" si="141"/>
        <v>756216.22916666663</v>
      </c>
      <c r="AS442" s="27"/>
      <c r="AT442" s="27"/>
      <c r="AU442" s="27"/>
      <c r="AV442" s="27"/>
      <c r="AW442" s="27">
        <f t="shared" si="129"/>
        <v>6049729.833333334</v>
      </c>
      <c r="AX442" s="79">
        <f t="shared" si="133"/>
        <v>48105112.874999993</v>
      </c>
      <c r="AY442" s="79">
        <f t="shared" si="134"/>
        <v>24491645.125</v>
      </c>
      <c r="AZ442" s="25">
        <v>1</v>
      </c>
      <c r="BA442" s="62" t="s">
        <v>97</v>
      </c>
      <c r="BB442" s="66">
        <v>1</v>
      </c>
      <c r="BC442" s="66"/>
      <c r="BD442" s="66"/>
      <c r="BE442" s="67">
        <f t="shared" si="137"/>
        <v>756216.22916666663</v>
      </c>
      <c r="BF442" s="67">
        <f t="shared" si="142"/>
        <v>0</v>
      </c>
      <c r="BG442" s="67">
        <f t="shared" si="135"/>
        <v>0</v>
      </c>
      <c r="BH442" s="66"/>
      <c r="BI442" s="68" t="s">
        <v>57</v>
      </c>
      <c r="BJ442" s="68" t="s">
        <v>1929</v>
      </c>
      <c r="BK442" s="68" t="s">
        <v>1989</v>
      </c>
      <c r="BL442" s="29"/>
      <c r="BO442" s="35" t="s">
        <v>1801</v>
      </c>
      <c r="BP442" s="1" t="s">
        <v>1826</v>
      </c>
    </row>
    <row r="443" spans="3:68" ht="15" customHeight="1">
      <c r="C443" s="1" t="str">
        <f t="shared" si="130"/>
        <v>2912</v>
      </c>
      <c r="D443" s="1" t="str">
        <f t="shared" si="131"/>
        <v>2112</v>
      </c>
      <c r="E443" s="19" t="s">
        <v>1290</v>
      </c>
      <c r="F443" s="62" t="s">
        <v>1896</v>
      </c>
      <c r="G443" s="62">
        <v>2112</v>
      </c>
      <c r="H443" s="62" t="s">
        <v>1330</v>
      </c>
      <c r="I443" s="62" t="s">
        <v>1324</v>
      </c>
      <c r="J443" s="140">
        <v>1</v>
      </c>
      <c r="K443" s="119" t="s">
        <v>1293</v>
      </c>
      <c r="L443" s="62" t="s">
        <v>77</v>
      </c>
      <c r="M443" s="120" t="s">
        <v>1325</v>
      </c>
      <c r="N443" s="65">
        <v>44538</v>
      </c>
      <c r="O443" s="27">
        <v>3172</v>
      </c>
      <c r="P443" s="24">
        <v>22790</v>
      </c>
      <c r="Q443" s="64">
        <v>72289880</v>
      </c>
      <c r="R443" s="64"/>
      <c r="S443" s="64"/>
      <c r="T443" s="64">
        <v>306877.69011778192</v>
      </c>
      <c r="U443" s="139" t="s">
        <v>1327</v>
      </c>
      <c r="V443" s="121">
        <v>72596758</v>
      </c>
      <c r="W443" s="122">
        <v>0</v>
      </c>
      <c r="X443" s="64">
        <v>72596758</v>
      </c>
      <c r="Y443" s="121"/>
      <c r="Z443" s="121"/>
      <c r="AA443" s="128"/>
      <c r="AB443" s="121"/>
      <c r="AC443" s="64">
        <v>72596758</v>
      </c>
      <c r="AD443" s="63">
        <v>44550</v>
      </c>
      <c r="AE443" s="65">
        <v>47471</v>
      </c>
      <c r="AF443" s="62">
        <v>8</v>
      </c>
      <c r="AG443" s="119">
        <v>96</v>
      </c>
      <c r="AH443" s="25">
        <v>756216.22916666663</v>
      </c>
      <c r="AI443" s="78">
        <v>18441915.291666668</v>
      </c>
      <c r="AJ443" s="78">
        <v>54154842.708333328</v>
      </c>
      <c r="AK443" s="27">
        <f t="shared" si="132"/>
        <v>756216.22916666663</v>
      </c>
      <c r="AL443" s="27">
        <f t="shared" si="136"/>
        <v>756216.22916666663</v>
      </c>
      <c r="AM443" s="27">
        <f t="shared" si="136"/>
        <v>756216.22916666663</v>
      </c>
      <c r="AN443" s="27">
        <f t="shared" si="138"/>
        <v>756216.22916666663</v>
      </c>
      <c r="AO443" s="27">
        <f t="shared" si="139"/>
        <v>756216.22916666663</v>
      </c>
      <c r="AP443" s="27">
        <f t="shared" si="139"/>
        <v>756216.22916666663</v>
      </c>
      <c r="AQ443" s="27">
        <f t="shared" si="140"/>
        <v>756216.22916666663</v>
      </c>
      <c r="AR443" s="27">
        <f t="shared" si="141"/>
        <v>756216.22916666663</v>
      </c>
      <c r="AS443" s="27"/>
      <c r="AT443" s="27"/>
      <c r="AU443" s="27"/>
      <c r="AV443" s="27"/>
      <c r="AW443" s="27">
        <f t="shared" si="129"/>
        <v>6049729.833333334</v>
      </c>
      <c r="AX443" s="79">
        <f t="shared" si="133"/>
        <v>48105112.874999993</v>
      </c>
      <c r="AY443" s="79">
        <f t="shared" si="134"/>
        <v>24491645.125</v>
      </c>
      <c r="AZ443" s="25">
        <v>1</v>
      </c>
      <c r="BA443" s="62" t="s">
        <v>97</v>
      </c>
      <c r="BB443" s="66">
        <v>1</v>
      </c>
      <c r="BC443" s="66"/>
      <c r="BD443" s="66"/>
      <c r="BE443" s="67">
        <f t="shared" si="137"/>
        <v>756216.22916666663</v>
      </c>
      <c r="BF443" s="67">
        <f t="shared" si="142"/>
        <v>0</v>
      </c>
      <c r="BG443" s="67">
        <f t="shared" si="135"/>
        <v>0</v>
      </c>
      <c r="BH443" s="66"/>
      <c r="BI443" s="68" t="s">
        <v>57</v>
      </c>
      <c r="BJ443" s="68" t="s">
        <v>1929</v>
      </c>
      <c r="BK443" s="68" t="s">
        <v>1989</v>
      </c>
      <c r="BL443" s="29"/>
      <c r="BO443" s="35" t="s">
        <v>1801</v>
      </c>
      <c r="BP443" s="1" t="s">
        <v>1826</v>
      </c>
    </row>
    <row r="444" spans="3:68" ht="15" customHeight="1">
      <c r="C444" s="1" t="str">
        <f t="shared" si="130"/>
        <v>2912</v>
      </c>
      <c r="D444" s="1" t="str">
        <f t="shared" si="131"/>
        <v>2112</v>
      </c>
      <c r="E444" s="19" t="s">
        <v>1290</v>
      </c>
      <c r="F444" s="62" t="s">
        <v>1896</v>
      </c>
      <c r="G444" s="62">
        <v>2112</v>
      </c>
      <c r="H444" s="62" t="s">
        <v>1331</v>
      </c>
      <c r="I444" s="62" t="s">
        <v>1324</v>
      </c>
      <c r="J444" s="140">
        <v>1</v>
      </c>
      <c r="K444" s="119" t="s">
        <v>1293</v>
      </c>
      <c r="L444" s="62" t="s">
        <v>77</v>
      </c>
      <c r="M444" s="120" t="s">
        <v>1325</v>
      </c>
      <c r="N444" s="65">
        <v>44538</v>
      </c>
      <c r="O444" s="27">
        <v>3172</v>
      </c>
      <c r="P444" s="24">
        <v>22790</v>
      </c>
      <c r="Q444" s="64">
        <v>72289880</v>
      </c>
      <c r="R444" s="64"/>
      <c r="S444" s="64"/>
      <c r="T444" s="64">
        <v>306877.69011778192</v>
      </c>
      <c r="U444" s="139" t="s">
        <v>1327</v>
      </c>
      <c r="V444" s="121">
        <v>72596758</v>
      </c>
      <c r="W444" s="122">
        <v>0</v>
      </c>
      <c r="X444" s="64">
        <v>72596758</v>
      </c>
      <c r="Y444" s="121"/>
      <c r="Z444" s="121"/>
      <c r="AA444" s="128"/>
      <c r="AB444" s="121"/>
      <c r="AC444" s="64">
        <v>72596758</v>
      </c>
      <c r="AD444" s="63">
        <v>44550</v>
      </c>
      <c r="AE444" s="65">
        <v>47471</v>
      </c>
      <c r="AF444" s="62">
        <v>8</v>
      </c>
      <c r="AG444" s="119">
        <v>96</v>
      </c>
      <c r="AH444" s="25">
        <v>756216.22916666663</v>
      </c>
      <c r="AI444" s="78">
        <v>18441915.291666668</v>
      </c>
      <c r="AJ444" s="78">
        <v>54154842.708333328</v>
      </c>
      <c r="AK444" s="27">
        <f t="shared" si="132"/>
        <v>756216.22916666663</v>
      </c>
      <c r="AL444" s="27">
        <f t="shared" si="136"/>
        <v>756216.22916666663</v>
      </c>
      <c r="AM444" s="27">
        <f t="shared" si="136"/>
        <v>756216.22916666663</v>
      </c>
      <c r="AN444" s="27">
        <f t="shared" si="138"/>
        <v>756216.22916666663</v>
      </c>
      <c r="AO444" s="27">
        <f t="shared" si="139"/>
        <v>756216.22916666663</v>
      </c>
      <c r="AP444" s="27">
        <f t="shared" si="139"/>
        <v>756216.22916666663</v>
      </c>
      <c r="AQ444" s="27">
        <f t="shared" si="140"/>
        <v>756216.22916666663</v>
      </c>
      <c r="AR444" s="27">
        <f t="shared" si="141"/>
        <v>756216.22916666663</v>
      </c>
      <c r="AS444" s="27"/>
      <c r="AT444" s="27"/>
      <c r="AU444" s="27"/>
      <c r="AV444" s="27"/>
      <c r="AW444" s="27">
        <f t="shared" si="129"/>
        <v>6049729.833333334</v>
      </c>
      <c r="AX444" s="79">
        <f t="shared" si="133"/>
        <v>48105112.874999993</v>
      </c>
      <c r="AY444" s="79">
        <f t="shared" si="134"/>
        <v>24491645.125</v>
      </c>
      <c r="AZ444" s="25">
        <v>1</v>
      </c>
      <c r="BA444" s="62" t="s">
        <v>97</v>
      </c>
      <c r="BB444" s="66">
        <v>1</v>
      </c>
      <c r="BC444" s="66"/>
      <c r="BD444" s="66"/>
      <c r="BE444" s="67">
        <f t="shared" si="137"/>
        <v>756216.22916666663</v>
      </c>
      <c r="BF444" s="67">
        <f t="shared" si="142"/>
        <v>0</v>
      </c>
      <c r="BG444" s="67">
        <f t="shared" si="135"/>
        <v>0</v>
      </c>
      <c r="BH444" s="66"/>
      <c r="BI444" s="68" t="s">
        <v>57</v>
      </c>
      <c r="BJ444" s="68" t="s">
        <v>1929</v>
      </c>
      <c r="BK444" s="68" t="s">
        <v>1989</v>
      </c>
      <c r="BL444" s="29"/>
      <c r="BO444" s="35" t="s">
        <v>1801</v>
      </c>
      <c r="BP444" s="1" t="s">
        <v>1826</v>
      </c>
    </row>
    <row r="445" spans="3:68" ht="15" customHeight="1">
      <c r="C445" s="1" t="str">
        <f t="shared" si="130"/>
        <v>2912</v>
      </c>
      <c r="D445" s="1" t="str">
        <f t="shared" si="131"/>
        <v>2112</v>
      </c>
      <c r="E445" s="19" t="s">
        <v>1290</v>
      </c>
      <c r="F445" s="62" t="s">
        <v>1896</v>
      </c>
      <c r="G445" s="62">
        <v>2112</v>
      </c>
      <c r="H445" s="62" t="s">
        <v>1332</v>
      </c>
      <c r="I445" s="62" t="s">
        <v>1333</v>
      </c>
      <c r="J445" s="140">
        <v>1</v>
      </c>
      <c r="K445" s="119" t="s">
        <v>1293</v>
      </c>
      <c r="L445" s="62" t="s">
        <v>77</v>
      </c>
      <c r="M445" s="120" t="s">
        <v>1325</v>
      </c>
      <c r="N445" s="65">
        <v>44538</v>
      </c>
      <c r="O445" s="27">
        <v>3172</v>
      </c>
      <c r="P445" s="24">
        <v>22790</v>
      </c>
      <c r="Q445" s="64">
        <v>72289880</v>
      </c>
      <c r="R445" s="64"/>
      <c r="S445" s="64"/>
      <c r="T445" s="64">
        <v>306877.69011778192</v>
      </c>
      <c r="U445" s="139" t="s">
        <v>1327</v>
      </c>
      <c r="V445" s="121">
        <v>72596758</v>
      </c>
      <c r="W445" s="122">
        <v>0</v>
      </c>
      <c r="X445" s="64">
        <v>72596758</v>
      </c>
      <c r="Y445" s="121"/>
      <c r="Z445" s="121"/>
      <c r="AA445" s="128"/>
      <c r="AB445" s="121"/>
      <c r="AC445" s="64">
        <v>72596758</v>
      </c>
      <c r="AD445" s="63">
        <v>44550</v>
      </c>
      <c r="AE445" s="65">
        <v>47471</v>
      </c>
      <c r="AF445" s="62">
        <v>8</v>
      </c>
      <c r="AG445" s="119">
        <v>96</v>
      </c>
      <c r="AH445" s="25">
        <v>756216.22916666663</v>
      </c>
      <c r="AI445" s="78">
        <v>18441915.291666668</v>
      </c>
      <c r="AJ445" s="78">
        <v>54154842.708333328</v>
      </c>
      <c r="AK445" s="27">
        <f t="shared" si="132"/>
        <v>756216.22916666663</v>
      </c>
      <c r="AL445" s="27">
        <f t="shared" si="136"/>
        <v>756216.22916666663</v>
      </c>
      <c r="AM445" s="27">
        <f t="shared" si="136"/>
        <v>756216.22916666663</v>
      </c>
      <c r="AN445" s="27">
        <f t="shared" si="138"/>
        <v>756216.22916666663</v>
      </c>
      <c r="AO445" s="27">
        <f t="shared" si="139"/>
        <v>756216.22916666663</v>
      </c>
      <c r="AP445" s="27">
        <f t="shared" si="139"/>
        <v>756216.22916666663</v>
      </c>
      <c r="AQ445" s="27">
        <f t="shared" si="140"/>
        <v>756216.22916666663</v>
      </c>
      <c r="AR445" s="27">
        <f t="shared" si="141"/>
        <v>756216.22916666663</v>
      </c>
      <c r="AS445" s="27"/>
      <c r="AT445" s="27"/>
      <c r="AU445" s="27"/>
      <c r="AV445" s="27"/>
      <c r="AW445" s="27">
        <f t="shared" ref="AW445:AW508" si="143">+SUM(AK445:AV445)</f>
        <v>6049729.833333334</v>
      </c>
      <c r="AX445" s="79">
        <f t="shared" si="133"/>
        <v>48105112.874999993</v>
      </c>
      <c r="AY445" s="79">
        <f t="shared" si="134"/>
        <v>24491645.125</v>
      </c>
      <c r="AZ445" s="25">
        <v>1</v>
      </c>
      <c r="BA445" s="62" t="s">
        <v>97</v>
      </c>
      <c r="BB445" s="66">
        <v>1</v>
      </c>
      <c r="BC445" s="66"/>
      <c r="BD445" s="66"/>
      <c r="BE445" s="67">
        <f t="shared" si="137"/>
        <v>756216.22916666663</v>
      </c>
      <c r="BF445" s="67">
        <f t="shared" si="142"/>
        <v>0</v>
      </c>
      <c r="BG445" s="67">
        <f t="shared" si="135"/>
        <v>0</v>
      </c>
      <c r="BH445" s="66"/>
      <c r="BI445" s="68" t="s">
        <v>57</v>
      </c>
      <c r="BJ445" s="68" t="s">
        <v>1929</v>
      </c>
      <c r="BK445" s="68" t="s">
        <v>1989</v>
      </c>
      <c r="BL445" s="29"/>
      <c r="BO445" s="35" t="s">
        <v>1801</v>
      </c>
      <c r="BP445" s="1" t="s">
        <v>1826</v>
      </c>
    </row>
    <row r="446" spans="3:68" ht="15" customHeight="1">
      <c r="C446" s="1" t="str">
        <f t="shared" ref="C446:C509" si="144">+RIGHT(YEAR(AE446),2)&amp;IF(LEN(MONTH(AE446))=2,MONTH(AE446),"0"&amp;MONTH(AE446))</f>
        <v>2912</v>
      </c>
      <c r="D446" s="1" t="str">
        <f t="shared" ref="D446:D509" si="145">+RIGHT(YEAR(AD446),2)&amp;IF(LEN(MONTH(AD446))=2,MONTH(AD446),"0"&amp;MONTH(AD446))</f>
        <v>2112</v>
      </c>
      <c r="E446" s="19" t="s">
        <v>1290</v>
      </c>
      <c r="F446" s="68" t="s">
        <v>49</v>
      </c>
      <c r="G446" s="62">
        <v>2112</v>
      </c>
      <c r="H446" s="62" t="s">
        <v>1334</v>
      </c>
      <c r="I446" s="62" t="s">
        <v>1324</v>
      </c>
      <c r="J446" s="140">
        <v>1</v>
      </c>
      <c r="K446" s="119" t="s">
        <v>1293</v>
      </c>
      <c r="L446" s="62" t="s">
        <v>77</v>
      </c>
      <c r="M446" s="120" t="s">
        <v>1325</v>
      </c>
      <c r="N446" s="65">
        <v>44538</v>
      </c>
      <c r="O446" s="27">
        <v>3172</v>
      </c>
      <c r="P446" s="24">
        <v>22790</v>
      </c>
      <c r="Q446" s="64">
        <v>72289880</v>
      </c>
      <c r="R446" s="64"/>
      <c r="S446" s="64"/>
      <c r="T446" s="64">
        <v>306877.69011778192</v>
      </c>
      <c r="U446" s="139" t="s">
        <v>1327</v>
      </c>
      <c r="V446" s="121">
        <v>72596758</v>
      </c>
      <c r="W446" s="122">
        <v>0</v>
      </c>
      <c r="X446" s="64">
        <v>72596758</v>
      </c>
      <c r="Y446" s="121"/>
      <c r="Z446" s="121"/>
      <c r="AA446" s="128"/>
      <c r="AB446" s="121"/>
      <c r="AC446" s="64">
        <v>72596758</v>
      </c>
      <c r="AD446" s="63">
        <v>44550</v>
      </c>
      <c r="AE446" s="65">
        <v>47471</v>
      </c>
      <c r="AF446" s="62">
        <v>8</v>
      </c>
      <c r="AG446" s="119">
        <v>96</v>
      </c>
      <c r="AH446" s="25">
        <v>756216.22916666663</v>
      </c>
      <c r="AI446" s="78">
        <v>18441915.291666668</v>
      </c>
      <c r="AJ446" s="78">
        <v>54154842.708333328</v>
      </c>
      <c r="AK446" s="27">
        <f t="shared" ref="AK446:AK509" si="146">+IF(AND(AK$3&gt;=$D446,AK$3&lt;$C446),$AH446,$AJ446)</f>
        <v>756216.22916666663</v>
      </c>
      <c r="AL446" s="27">
        <f t="shared" si="136"/>
        <v>756216.22916666663</v>
      </c>
      <c r="AM446" s="27">
        <f t="shared" si="136"/>
        <v>756216.22916666663</v>
      </c>
      <c r="AN446" s="27">
        <f t="shared" si="138"/>
        <v>756216.22916666663</v>
      </c>
      <c r="AO446" s="27">
        <f t="shared" si="139"/>
        <v>756216.22916666663</v>
      </c>
      <c r="AP446" s="27">
        <f t="shared" si="139"/>
        <v>756216.22916666663</v>
      </c>
      <c r="AQ446" s="27">
        <f t="shared" si="140"/>
        <v>756216.22916666663</v>
      </c>
      <c r="AR446" s="27">
        <f t="shared" si="141"/>
        <v>756216.22916666663</v>
      </c>
      <c r="AS446" s="27"/>
      <c r="AT446" s="27"/>
      <c r="AU446" s="27"/>
      <c r="AV446" s="27"/>
      <c r="AW446" s="27">
        <f t="shared" si="143"/>
        <v>6049729.833333334</v>
      </c>
      <c r="AX446" s="79">
        <f t="shared" ref="AX446:AX509" si="147">AC446-AI446-AW446</f>
        <v>48105112.874999993</v>
      </c>
      <c r="AY446" s="79">
        <f t="shared" ref="AY446:AY509" si="148">AW446+AI446</f>
        <v>24491645.125</v>
      </c>
      <c r="AZ446" s="25">
        <v>1</v>
      </c>
      <c r="BA446" s="62" t="s">
        <v>97</v>
      </c>
      <c r="BB446" s="66">
        <v>1</v>
      </c>
      <c r="BC446" s="66"/>
      <c r="BD446" s="66"/>
      <c r="BE446" s="67">
        <f t="shared" si="137"/>
        <v>756216.22916666663</v>
      </c>
      <c r="BF446" s="67">
        <f t="shared" si="142"/>
        <v>0</v>
      </c>
      <c r="BG446" s="67">
        <f t="shared" si="135"/>
        <v>0</v>
      </c>
      <c r="BH446" s="66"/>
      <c r="BI446" s="68" t="s">
        <v>57</v>
      </c>
      <c r="BJ446" s="68" t="s">
        <v>1297</v>
      </c>
      <c r="BK446" s="68" t="s">
        <v>1297</v>
      </c>
      <c r="BL446" s="29"/>
      <c r="BO446" s="35" t="s">
        <v>1801</v>
      </c>
      <c r="BP446" s="1" t="s">
        <v>1813</v>
      </c>
    </row>
    <row r="447" spans="3:68" ht="15" customHeight="1">
      <c r="C447" s="1" t="str">
        <f t="shared" si="144"/>
        <v>2912</v>
      </c>
      <c r="D447" s="1" t="str">
        <f t="shared" si="145"/>
        <v>2112</v>
      </c>
      <c r="E447" s="19" t="s">
        <v>1290</v>
      </c>
      <c r="F447" s="68" t="s">
        <v>49</v>
      </c>
      <c r="G447" s="62">
        <v>2112</v>
      </c>
      <c r="H447" s="62" t="s">
        <v>1335</v>
      </c>
      <c r="I447" s="62" t="s">
        <v>1324</v>
      </c>
      <c r="J447" s="140">
        <v>1</v>
      </c>
      <c r="K447" s="119" t="s">
        <v>1293</v>
      </c>
      <c r="L447" s="62" t="s">
        <v>77</v>
      </c>
      <c r="M447" s="120" t="s">
        <v>1325</v>
      </c>
      <c r="N447" s="65">
        <v>44538</v>
      </c>
      <c r="O447" s="27">
        <v>3172</v>
      </c>
      <c r="P447" s="24">
        <v>22790</v>
      </c>
      <c r="Q447" s="64">
        <v>72289880</v>
      </c>
      <c r="R447" s="64"/>
      <c r="S447" s="64"/>
      <c r="T447" s="64">
        <v>306877.69011778192</v>
      </c>
      <c r="U447" s="139" t="s">
        <v>1327</v>
      </c>
      <c r="V447" s="121">
        <v>72596758</v>
      </c>
      <c r="W447" s="122">
        <v>0</v>
      </c>
      <c r="X447" s="64">
        <v>72596758</v>
      </c>
      <c r="Y447" s="121"/>
      <c r="Z447" s="121"/>
      <c r="AA447" s="128"/>
      <c r="AB447" s="121"/>
      <c r="AC447" s="64">
        <v>72596758</v>
      </c>
      <c r="AD447" s="63">
        <v>44550</v>
      </c>
      <c r="AE447" s="65">
        <v>47471</v>
      </c>
      <c r="AF447" s="62">
        <v>8</v>
      </c>
      <c r="AG447" s="119">
        <v>96</v>
      </c>
      <c r="AH447" s="25">
        <v>756216.22916666663</v>
      </c>
      <c r="AI447" s="78">
        <v>18441915.291666668</v>
      </c>
      <c r="AJ447" s="78">
        <v>54154842.708333328</v>
      </c>
      <c r="AK447" s="27">
        <f t="shared" si="146"/>
        <v>756216.22916666663</v>
      </c>
      <c r="AL447" s="27">
        <f t="shared" si="136"/>
        <v>756216.22916666663</v>
      </c>
      <c r="AM447" s="27">
        <f t="shared" si="136"/>
        <v>756216.22916666663</v>
      </c>
      <c r="AN447" s="27">
        <f t="shared" si="138"/>
        <v>756216.22916666663</v>
      </c>
      <c r="AO447" s="27">
        <f t="shared" si="139"/>
        <v>756216.22916666663</v>
      </c>
      <c r="AP447" s="27">
        <f t="shared" si="139"/>
        <v>756216.22916666663</v>
      </c>
      <c r="AQ447" s="27">
        <f t="shared" si="140"/>
        <v>756216.22916666663</v>
      </c>
      <c r="AR447" s="27">
        <f t="shared" si="141"/>
        <v>756216.22916666663</v>
      </c>
      <c r="AS447" s="27"/>
      <c r="AT447" s="27"/>
      <c r="AU447" s="27"/>
      <c r="AV447" s="27"/>
      <c r="AW447" s="27">
        <f t="shared" si="143"/>
        <v>6049729.833333334</v>
      </c>
      <c r="AX447" s="79">
        <f t="shared" si="147"/>
        <v>48105112.874999993</v>
      </c>
      <c r="AY447" s="79">
        <f t="shared" si="148"/>
        <v>24491645.125</v>
      </c>
      <c r="AZ447" s="25">
        <v>1</v>
      </c>
      <c r="BA447" s="62" t="s">
        <v>97</v>
      </c>
      <c r="BB447" s="66">
        <v>1</v>
      </c>
      <c r="BC447" s="66"/>
      <c r="BD447" s="66"/>
      <c r="BE447" s="67">
        <f t="shared" si="137"/>
        <v>756216.22916666663</v>
      </c>
      <c r="BF447" s="67">
        <f t="shared" si="142"/>
        <v>0</v>
      </c>
      <c r="BG447" s="67">
        <f t="shared" si="135"/>
        <v>0</v>
      </c>
      <c r="BH447" s="66"/>
      <c r="BI447" s="68" t="s">
        <v>57</v>
      </c>
      <c r="BJ447" s="68" t="s">
        <v>1297</v>
      </c>
      <c r="BK447" s="68" t="s">
        <v>1297</v>
      </c>
      <c r="BL447" s="29"/>
      <c r="BO447" s="35" t="s">
        <v>1801</v>
      </c>
      <c r="BP447" s="1" t="s">
        <v>1813</v>
      </c>
    </row>
    <row r="448" spans="3:68" ht="15" customHeight="1">
      <c r="C448" s="1" t="str">
        <f t="shared" si="144"/>
        <v>2612</v>
      </c>
      <c r="D448" s="1" t="str">
        <f t="shared" si="145"/>
        <v>2112</v>
      </c>
      <c r="E448" s="19" t="s">
        <v>1290</v>
      </c>
      <c r="F448" s="68" t="s">
        <v>1336</v>
      </c>
      <c r="G448" s="62">
        <v>2114</v>
      </c>
      <c r="H448" s="62" t="s">
        <v>1337</v>
      </c>
      <c r="I448" s="62" t="s">
        <v>1338</v>
      </c>
      <c r="J448" s="140">
        <v>1</v>
      </c>
      <c r="K448" s="119" t="s">
        <v>1192</v>
      </c>
      <c r="L448" s="138" t="s">
        <v>1339</v>
      </c>
      <c r="M448" s="120" t="s">
        <v>1340</v>
      </c>
      <c r="N448" s="65">
        <v>44553</v>
      </c>
      <c r="O448" s="24"/>
      <c r="P448" s="24"/>
      <c r="Q448" s="64">
        <v>66000000</v>
      </c>
      <c r="R448" s="64"/>
      <c r="S448" s="64"/>
      <c r="T448" s="130"/>
      <c r="U448" s="139"/>
      <c r="V448" s="121">
        <v>66000000</v>
      </c>
      <c r="W448" s="122">
        <v>0</v>
      </c>
      <c r="X448" s="64">
        <v>66000000</v>
      </c>
      <c r="Y448" s="121"/>
      <c r="Z448" s="121"/>
      <c r="AA448" s="128"/>
      <c r="AB448" s="121"/>
      <c r="AC448" s="64">
        <v>66000000</v>
      </c>
      <c r="AD448" s="63">
        <v>44553</v>
      </c>
      <c r="AE448" s="65">
        <v>46378</v>
      </c>
      <c r="AF448" s="62">
        <v>5</v>
      </c>
      <c r="AG448" s="119">
        <v>60</v>
      </c>
      <c r="AH448" s="25">
        <v>1100000</v>
      </c>
      <c r="AI448" s="78">
        <v>26719355</v>
      </c>
      <c r="AJ448" s="78">
        <v>39280645</v>
      </c>
      <c r="AK448" s="27">
        <f t="shared" si="146"/>
        <v>1100000</v>
      </c>
      <c r="AL448" s="27">
        <f t="shared" si="136"/>
        <v>1100000</v>
      </c>
      <c r="AM448" s="27">
        <f t="shared" si="136"/>
        <v>1100000</v>
      </c>
      <c r="AN448" s="27">
        <f t="shared" si="138"/>
        <v>1100000</v>
      </c>
      <c r="AO448" s="27">
        <f t="shared" si="139"/>
        <v>1100000</v>
      </c>
      <c r="AP448" s="27">
        <f t="shared" si="139"/>
        <v>1100000</v>
      </c>
      <c r="AQ448" s="27">
        <f t="shared" si="140"/>
        <v>1100000</v>
      </c>
      <c r="AR448" s="27">
        <f t="shared" si="141"/>
        <v>1100000</v>
      </c>
      <c r="AS448" s="27"/>
      <c r="AT448" s="27"/>
      <c r="AU448" s="27"/>
      <c r="AV448" s="27"/>
      <c r="AW448" s="27">
        <f t="shared" si="143"/>
        <v>8800000</v>
      </c>
      <c r="AX448" s="79">
        <f t="shared" si="147"/>
        <v>30480645</v>
      </c>
      <c r="AY448" s="79">
        <f t="shared" si="148"/>
        <v>35519355</v>
      </c>
      <c r="AZ448" s="25">
        <v>1</v>
      </c>
      <c r="BA448" s="62" t="s">
        <v>79</v>
      </c>
      <c r="BB448" s="66"/>
      <c r="BC448" s="66">
        <v>1</v>
      </c>
      <c r="BD448" s="66"/>
      <c r="BE448" s="67">
        <f t="shared" si="137"/>
        <v>0</v>
      </c>
      <c r="BF448" s="67">
        <f t="shared" si="142"/>
        <v>1100000</v>
      </c>
      <c r="BG448" s="67">
        <f t="shared" si="135"/>
        <v>0</v>
      </c>
      <c r="BH448" s="66"/>
      <c r="BI448" s="68" t="s">
        <v>1341</v>
      </c>
      <c r="BJ448" s="68" t="s">
        <v>58</v>
      </c>
      <c r="BK448" s="68" t="s">
        <v>58</v>
      </c>
      <c r="BL448" s="29"/>
      <c r="BO448" s="35" t="s">
        <v>1799</v>
      </c>
    </row>
    <row r="449" spans="3:68" ht="15" customHeight="1">
      <c r="C449" s="1" t="str">
        <f t="shared" si="144"/>
        <v>2612</v>
      </c>
      <c r="D449" s="1" t="str">
        <f t="shared" si="145"/>
        <v>2112</v>
      </c>
      <c r="E449" s="19" t="s">
        <v>1290</v>
      </c>
      <c r="F449" s="68" t="s">
        <v>1336</v>
      </c>
      <c r="G449" s="62">
        <v>2114</v>
      </c>
      <c r="H449" s="62" t="s">
        <v>1342</v>
      </c>
      <c r="I449" s="62" t="s">
        <v>1343</v>
      </c>
      <c r="J449" s="140">
        <v>1</v>
      </c>
      <c r="K449" s="119" t="s">
        <v>1192</v>
      </c>
      <c r="L449" s="138" t="s">
        <v>1339</v>
      </c>
      <c r="M449" s="120" t="s">
        <v>1340</v>
      </c>
      <c r="N449" s="65">
        <v>44553</v>
      </c>
      <c r="O449" s="24"/>
      <c r="P449" s="24"/>
      <c r="Q449" s="64">
        <v>38500000</v>
      </c>
      <c r="R449" s="64"/>
      <c r="S449" s="64"/>
      <c r="T449" s="130"/>
      <c r="U449" s="139"/>
      <c r="V449" s="121">
        <v>38500000</v>
      </c>
      <c r="W449" s="122">
        <v>0</v>
      </c>
      <c r="X449" s="64">
        <v>38500000</v>
      </c>
      <c r="Y449" s="121"/>
      <c r="Z449" s="121"/>
      <c r="AA449" s="128"/>
      <c r="AB449" s="121"/>
      <c r="AC449" s="64">
        <v>38500000</v>
      </c>
      <c r="AD449" s="63">
        <v>44553</v>
      </c>
      <c r="AE449" s="65">
        <v>46378</v>
      </c>
      <c r="AF449" s="62">
        <v>5</v>
      </c>
      <c r="AG449" s="119">
        <v>60</v>
      </c>
      <c r="AH449" s="25">
        <v>641666.66666666663</v>
      </c>
      <c r="AI449" s="78">
        <v>15586294.666666668</v>
      </c>
      <c r="AJ449" s="78">
        <v>22913705.333333332</v>
      </c>
      <c r="AK449" s="27">
        <f t="shared" si="146"/>
        <v>641666.66666666663</v>
      </c>
      <c r="AL449" s="27">
        <f t="shared" si="136"/>
        <v>641666.66666666663</v>
      </c>
      <c r="AM449" s="27">
        <f t="shared" si="136"/>
        <v>641666.66666666663</v>
      </c>
      <c r="AN449" s="27">
        <f t="shared" si="138"/>
        <v>641666.66666666663</v>
      </c>
      <c r="AO449" s="27">
        <f t="shared" si="139"/>
        <v>641666.66666666663</v>
      </c>
      <c r="AP449" s="27">
        <f t="shared" si="139"/>
        <v>641666.66666666663</v>
      </c>
      <c r="AQ449" s="27">
        <f t="shared" si="140"/>
        <v>641666.66666666663</v>
      </c>
      <c r="AR449" s="27">
        <f t="shared" si="141"/>
        <v>641666.66666666663</v>
      </c>
      <c r="AS449" s="27"/>
      <c r="AT449" s="27"/>
      <c r="AU449" s="27"/>
      <c r="AV449" s="27"/>
      <c r="AW449" s="27">
        <f t="shared" si="143"/>
        <v>5133333.333333333</v>
      </c>
      <c r="AX449" s="79">
        <f t="shared" si="147"/>
        <v>17780372</v>
      </c>
      <c r="AY449" s="79">
        <f t="shared" si="148"/>
        <v>20719628</v>
      </c>
      <c r="AZ449" s="25">
        <v>1</v>
      </c>
      <c r="BA449" s="62" t="s">
        <v>79</v>
      </c>
      <c r="BB449" s="66"/>
      <c r="BC449" s="66">
        <v>1</v>
      </c>
      <c r="BD449" s="66"/>
      <c r="BE449" s="67">
        <f t="shared" si="137"/>
        <v>0</v>
      </c>
      <c r="BF449" s="67">
        <f t="shared" si="142"/>
        <v>641666.66666666663</v>
      </c>
      <c r="BG449" s="67">
        <f t="shared" ref="BG449:BG512" si="149">+$AL449*BD449</f>
        <v>0</v>
      </c>
      <c r="BH449" s="66"/>
      <c r="BI449" s="68" t="s">
        <v>1341</v>
      </c>
      <c r="BJ449" s="68" t="s">
        <v>58</v>
      </c>
      <c r="BK449" s="68" t="s">
        <v>58</v>
      </c>
      <c r="BL449" s="29"/>
      <c r="BO449" s="35" t="s">
        <v>1799</v>
      </c>
    </row>
    <row r="450" spans="3:68" ht="15" customHeight="1">
      <c r="C450" s="1" t="str">
        <f t="shared" si="144"/>
        <v>2612</v>
      </c>
      <c r="D450" s="1" t="str">
        <f t="shared" si="145"/>
        <v>2112</v>
      </c>
      <c r="E450" s="19" t="s">
        <v>1290</v>
      </c>
      <c r="F450" s="68" t="s">
        <v>1336</v>
      </c>
      <c r="G450" s="62">
        <v>2114</v>
      </c>
      <c r="H450" s="62" t="s">
        <v>1344</v>
      </c>
      <c r="I450" s="62" t="s">
        <v>1343</v>
      </c>
      <c r="J450" s="140">
        <v>1</v>
      </c>
      <c r="K450" s="119" t="s">
        <v>1192</v>
      </c>
      <c r="L450" s="138" t="s">
        <v>1339</v>
      </c>
      <c r="M450" s="120" t="s">
        <v>1340</v>
      </c>
      <c r="N450" s="65">
        <v>44553</v>
      </c>
      <c r="O450" s="24"/>
      <c r="P450" s="24"/>
      <c r="Q450" s="64">
        <v>38500000</v>
      </c>
      <c r="R450" s="64"/>
      <c r="S450" s="64"/>
      <c r="T450" s="130"/>
      <c r="U450" s="139"/>
      <c r="V450" s="121">
        <v>38500000</v>
      </c>
      <c r="W450" s="122">
        <v>0</v>
      </c>
      <c r="X450" s="64">
        <v>38500000</v>
      </c>
      <c r="Y450" s="121"/>
      <c r="Z450" s="121"/>
      <c r="AA450" s="128"/>
      <c r="AB450" s="121"/>
      <c r="AC450" s="64">
        <v>38500000</v>
      </c>
      <c r="AD450" s="63">
        <v>44553</v>
      </c>
      <c r="AE450" s="65">
        <v>46378</v>
      </c>
      <c r="AF450" s="62">
        <v>5</v>
      </c>
      <c r="AG450" s="119">
        <v>60</v>
      </c>
      <c r="AH450" s="25">
        <v>641666.66666666663</v>
      </c>
      <c r="AI450" s="78">
        <v>15586294.666666668</v>
      </c>
      <c r="AJ450" s="78">
        <v>22913705.333333332</v>
      </c>
      <c r="AK450" s="27">
        <f t="shared" si="146"/>
        <v>641666.66666666663</v>
      </c>
      <c r="AL450" s="27">
        <f t="shared" si="136"/>
        <v>641666.66666666663</v>
      </c>
      <c r="AM450" s="27">
        <f t="shared" si="136"/>
        <v>641666.66666666663</v>
      </c>
      <c r="AN450" s="27">
        <f t="shared" si="138"/>
        <v>641666.66666666663</v>
      </c>
      <c r="AO450" s="27">
        <f t="shared" si="139"/>
        <v>641666.66666666663</v>
      </c>
      <c r="AP450" s="27">
        <f t="shared" si="139"/>
        <v>641666.66666666663</v>
      </c>
      <c r="AQ450" s="27">
        <f t="shared" si="140"/>
        <v>641666.66666666663</v>
      </c>
      <c r="AR450" s="27">
        <f t="shared" si="141"/>
        <v>641666.66666666663</v>
      </c>
      <c r="AS450" s="27"/>
      <c r="AT450" s="27"/>
      <c r="AU450" s="27"/>
      <c r="AV450" s="27"/>
      <c r="AW450" s="27">
        <f t="shared" si="143"/>
        <v>5133333.333333333</v>
      </c>
      <c r="AX450" s="79">
        <f t="shared" si="147"/>
        <v>17780372</v>
      </c>
      <c r="AY450" s="79">
        <f t="shared" si="148"/>
        <v>20719628</v>
      </c>
      <c r="AZ450" s="25">
        <v>1</v>
      </c>
      <c r="BA450" s="62" t="s">
        <v>79</v>
      </c>
      <c r="BB450" s="66"/>
      <c r="BC450" s="66">
        <v>1</v>
      </c>
      <c r="BD450" s="66"/>
      <c r="BE450" s="67">
        <f t="shared" si="137"/>
        <v>0</v>
      </c>
      <c r="BF450" s="67">
        <f t="shared" si="142"/>
        <v>641666.66666666663</v>
      </c>
      <c r="BG450" s="67">
        <f t="shared" si="149"/>
        <v>0</v>
      </c>
      <c r="BH450" s="66"/>
      <c r="BI450" s="68" t="s">
        <v>1341</v>
      </c>
      <c r="BJ450" s="68" t="s">
        <v>58</v>
      </c>
      <c r="BK450" s="68" t="s">
        <v>58</v>
      </c>
      <c r="BL450" s="29"/>
      <c r="BO450" s="35" t="s">
        <v>1799</v>
      </c>
    </row>
    <row r="451" spans="3:68" ht="15" customHeight="1">
      <c r="C451" s="1" t="str">
        <f t="shared" si="144"/>
        <v>2612</v>
      </c>
      <c r="D451" s="1" t="str">
        <f t="shared" si="145"/>
        <v>2112</v>
      </c>
      <c r="E451" s="19" t="s">
        <v>1290</v>
      </c>
      <c r="F451" s="68" t="s">
        <v>1336</v>
      </c>
      <c r="G451" s="62">
        <v>2114</v>
      </c>
      <c r="H451" s="62" t="s">
        <v>1345</v>
      </c>
      <c r="I451" s="62" t="s">
        <v>1343</v>
      </c>
      <c r="J451" s="140">
        <v>1</v>
      </c>
      <c r="K451" s="119" t="s">
        <v>1192</v>
      </c>
      <c r="L451" s="138" t="s">
        <v>1339</v>
      </c>
      <c r="M451" s="120" t="s">
        <v>1340</v>
      </c>
      <c r="N451" s="65">
        <v>44553</v>
      </c>
      <c r="O451" s="24"/>
      <c r="P451" s="24"/>
      <c r="Q451" s="64">
        <v>38500000</v>
      </c>
      <c r="R451" s="64"/>
      <c r="S451" s="64"/>
      <c r="T451" s="130"/>
      <c r="U451" s="139"/>
      <c r="V451" s="121">
        <v>38500000</v>
      </c>
      <c r="W451" s="122">
        <v>0</v>
      </c>
      <c r="X451" s="64">
        <v>38500000</v>
      </c>
      <c r="Y451" s="121"/>
      <c r="Z451" s="121"/>
      <c r="AA451" s="128"/>
      <c r="AB451" s="121"/>
      <c r="AC451" s="64">
        <v>38500000</v>
      </c>
      <c r="AD451" s="63">
        <v>44553</v>
      </c>
      <c r="AE451" s="65">
        <v>46378</v>
      </c>
      <c r="AF451" s="62">
        <v>5</v>
      </c>
      <c r="AG451" s="119">
        <v>60</v>
      </c>
      <c r="AH451" s="25">
        <v>641666.66666666663</v>
      </c>
      <c r="AI451" s="78">
        <v>15586294.666666668</v>
      </c>
      <c r="AJ451" s="78">
        <v>22913705.333333332</v>
      </c>
      <c r="AK451" s="27">
        <f t="shared" si="146"/>
        <v>641666.66666666663</v>
      </c>
      <c r="AL451" s="27">
        <f t="shared" si="136"/>
        <v>641666.66666666663</v>
      </c>
      <c r="AM451" s="27">
        <f t="shared" si="136"/>
        <v>641666.66666666663</v>
      </c>
      <c r="AN451" s="27">
        <f t="shared" si="138"/>
        <v>641666.66666666663</v>
      </c>
      <c r="AO451" s="27">
        <f t="shared" si="139"/>
        <v>641666.66666666663</v>
      </c>
      <c r="AP451" s="27">
        <f t="shared" si="139"/>
        <v>641666.66666666663</v>
      </c>
      <c r="AQ451" s="27">
        <f t="shared" si="140"/>
        <v>641666.66666666663</v>
      </c>
      <c r="AR451" s="27">
        <f t="shared" si="141"/>
        <v>641666.66666666663</v>
      </c>
      <c r="AS451" s="27"/>
      <c r="AT451" s="27"/>
      <c r="AU451" s="27"/>
      <c r="AV451" s="27"/>
      <c r="AW451" s="27">
        <f t="shared" si="143"/>
        <v>5133333.333333333</v>
      </c>
      <c r="AX451" s="79">
        <f t="shared" si="147"/>
        <v>17780372</v>
      </c>
      <c r="AY451" s="79">
        <f t="shared" si="148"/>
        <v>20719628</v>
      </c>
      <c r="AZ451" s="25">
        <v>1</v>
      </c>
      <c r="BA451" s="62" t="s">
        <v>79</v>
      </c>
      <c r="BB451" s="66"/>
      <c r="BC451" s="66">
        <v>1</v>
      </c>
      <c r="BD451" s="66"/>
      <c r="BE451" s="67">
        <f t="shared" si="137"/>
        <v>0</v>
      </c>
      <c r="BF451" s="67">
        <f t="shared" si="142"/>
        <v>641666.66666666663</v>
      </c>
      <c r="BG451" s="67">
        <f t="shared" si="149"/>
        <v>0</v>
      </c>
      <c r="BH451" s="66"/>
      <c r="BI451" s="68" t="s">
        <v>1341</v>
      </c>
      <c r="BJ451" s="68" t="s">
        <v>58</v>
      </c>
      <c r="BK451" s="68" t="s">
        <v>58</v>
      </c>
      <c r="BL451" s="29"/>
      <c r="BO451" s="35" t="s">
        <v>1799</v>
      </c>
    </row>
    <row r="452" spans="3:68" ht="15" customHeight="1">
      <c r="C452" s="1" t="str">
        <f t="shared" si="144"/>
        <v>2612</v>
      </c>
      <c r="D452" s="1" t="str">
        <f t="shared" si="145"/>
        <v>2112</v>
      </c>
      <c r="E452" s="19" t="s">
        <v>1290</v>
      </c>
      <c r="F452" s="68" t="s">
        <v>1336</v>
      </c>
      <c r="G452" s="62">
        <v>2114</v>
      </c>
      <c r="H452" s="62" t="s">
        <v>1346</v>
      </c>
      <c r="I452" s="62" t="s">
        <v>1343</v>
      </c>
      <c r="J452" s="140">
        <v>1</v>
      </c>
      <c r="K452" s="119" t="s">
        <v>1192</v>
      </c>
      <c r="L452" s="138" t="s">
        <v>1339</v>
      </c>
      <c r="M452" s="120" t="s">
        <v>1340</v>
      </c>
      <c r="N452" s="65">
        <v>44553</v>
      </c>
      <c r="O452" s="24"/>
      <c r="P452" s="24"/>
      <c r="Q452" s="64">
        <v>38500000</v>
      </c>
      <c r="R452" s="64"/>
      <c r="S452" s="64"/>
      <c r="T452" s="130"/>
      <c r="U452" s="139"/>
      <c r="V452" s="121">
        <v>38500000</v>
      </c>
      <c r="W452" s="122">
        <v>0</v>
      </c>
      <c r="X452" s="64">
        <v>38500000</v>
      </c>
      <c r="Y452" s="121"/>
      <c r="Z452" s="121"/>
      <c r="AA452" s="128"/>
      <c r="AB452" s="121"/>
      <c r="AC452" s="64">
        <v>38500000</v>
      </c>
      <c r="AD452" s="63">
        <v>44553</v>
      </c>
      <c r="AE452" s="65">
        <v>46378</v>
      </c>
      <c r="AF452" s="62">
        <v>5</v>
      </c>
      <c r="AG452" s="119">
        <v>60</v>
      </c>
      <c r="AH452" s="25">
        <v>641666.66666666663</v>
      </c>
      <c r="AI452" s="78">
        <v>15586294.666666668</v>
      </c>
      <c r="AJ452" s="78">
        <v>22913705.333333332</v>
      </c>
      <c r="AK452" s="27">
        <f t="shared" si="146"/>
        <v>641666.66666666663</v>
      </c>
      <c r="AL452" s="27">
        <f t="shared" ref="AL452:AM515" si="150">+IF(AND(AL$3&gt;=$D452,AL$3&lt;$C452),$AH452,$AJ452-SUM(AJ452:AK452))</f>
        <v>641666.66666666663</v>
      </c>
      <c r="AM452" s="27">
        <f t="shared" si="150"/>
        <v>641666.66666666663</v>
      </c>
      <c r="AN452" s="27">
        <f t="shared" si="138"/>
        <v>641666.66666666663</v>
      </c>
      <c r="AO452" s="27">
        <f t="shared" si="139"/>
        <v>641666.66666666663</v>
      </c>
      <c r="AP452" s="27">
        <f t="shared" si="139"/>
        <v>641666.66666666663</v>
      </c>
      <c r="AQ452" s="27">
        <f t="shared" si="140"/>
        <v>641666.66666666663</v>
      </c>
      <c r="AR452" s="27">
        <f t="shared" si="141"/>
        <v>641666.66666666663</v>
      </c>
      <c r="AS452" s="27"/>
      <c r="AT452" s="27"/>
      <c r="AU452" s="27"/>
      <c r="AV452" s="27"/>
      <c r="AW452" s="27">
        <f t="shared" si="143"/>
        <v>5133333.333333333</v>
      </c>
      <c r="AX452" s="79">
        <f t="shared" si="147"/>
        <v>17780372</v>
      </c>
      <c r="AY452" s="79">
        <f t="shared" si="148"/>
        <v>20719628</v>
      </c>
      <c r="AZ452" s="25">
        <v>1</v>
      </c>
      <c r="BA452" s="62" t="s">
        <v>79</v>
      </c>
      <c r="BB452" s="66"/>
      <c r="BC452" s="66">
        <v>1</v>
      </c>
      <c r="BD452" s="66"/>
      <c r="BE452" s="67">
        <f t="shared" si="137"/>
        <v>0</v>
      </c>
      <c r="BF452" s="67">
        <f t="shared" si="142"/>
        <v>641666.66666666663</v>
      </c>
      <c r="BG452" s="67">
        <f t="shared" si="149"/>
        <v>0</v>
      </c>
      <c r="BH452" s="66"/>
      <c r="BI452" s="68" t="s">
        <v>1341</v>
      </c>
      <c r="BJ452" s="68" t="s">
        <v>58</v>
      </c>
      <c r="BK452" s="68" t="s">
        <v>58</v>
      </c>
      <c r="BL452" s="29"/>
      <c r="BO452" s="35" t="s">
        <v>1799</v>
      </c>
    </row>
    <row r="453" spans="3:68" ht="15" customHeight="1">
      <c r="C453" s="1" t="str">
        <f t="shared" si="144"/>
        <v>2612</v>
      </c>
      <c r="D453" s="1" t="str">
        <f t="shared" si="145"/>
        <v>2112</v>
      </c>
      <c r="E453" s="19" t="s">
        <v>1290</v>
      </c>
      <c r="F453" s="68" t="s">
        <v>1336</v>
      </c>
      <c r="G453" s="62">
        <v>2114</v>
      </c>
      <c r="H453" s="62" t="s">
        <v>1347</v>
      </c>
      <c r="I453" s="62" t="s">
        <v>1348</v>
      </c>
      <c r="J453" s="140">
        <v>1</v>
      </c>
      <c r="K453" s="119" t="s">
        <v>1192</v>
      </c>
      <c r="L453" s="138" t="s">
        <v>1339</v>
      </c>
      <c r="M453" s="120" t="s">
        <v>1340</v>
      </c>
      <c r="N453" s="65">
        <v>44553</v>
      </c>
      <c r="O453" s="24"/>
      <c r="P453" s="24"/>
      <c r="Q453" s="64">
        <v>32500000</v>
      </c>
      <c r="R453" s="64"/>
      <c r="S453" s="64"/>
      <c r="T453" s="130"/>
      <c r="U453" s="139"/>
      <c r="V453" s="121">
        <v>32500000</v>
      </c>
      <c r="W453" s="122">
        <v>0</v>
      </c>
      <c r="X453" s="64">
        <v>32500000</v>
      </c>
      <c r="Y453" s="121"/>
      <c r="Z453" s="121"/>
      <c r="AA453" s="128"/>
      <c r="AB453" s="121"/>
      <c r="AC453" s="64">
        <v>32500000</v>
      </c>
      <c r="AD453" s="63">
        <v>44553</v>
      </c>
      <c r="AE453" s="65">
        <v>46378</v>
      </c>
      <c r="AF453" s="62">
        <v>5</v>
      </c>
      <c r="AG453" s="119">
        <v>60</v>
      </c>
      <c r="AH453" s="25">
        <v>541666.66666666663</v>
      </c>
      <c r="AI453" s="78">
        <v>13157262.666666668</v>
      </c>
      <c r="AJ453" s="78">
        <v>19342737.333333332</v>
      </c>
      <c r="AK453" s="27">
        <f t="shared" si="146"/>
        <v>541666.66666666663</v>
      </c>
      <c r="AL453" s="27">
        <f t="shared" si="150"/>
        <v>541666.66666666663</v>
      </c>
      <c r="AM453" s="27">
        <f t="shared" si="150"/>
        <v>541666.66666666663</v>
      </c>
      <c r="AN453" s="27">
        <f t="shared" si="138"/>
        <v>541666.66666666663</v>
      </c>
      <c r="AO453" s="27">
        <f t="shared" si="139"/>
        <v>541666.66666666663</v>
      </c>
      <c r="AP453" s="27">
        <f t="shared" si="139"/>
        <v>541666.66666666663</v>
      </c>
      <c r="AQ453" s="27">
        <f t="shared" si="140"/>
        <v>541666.66666666663</v>
      </c>
      <c r="AR453" s="27">
        <f t="shared" si="141"/>
        <v>541666.66666666663</v>
      </c>
      <c r="AS453" s="27"/>
      <c r="AT453" s="27"/>
      <c r="AU453" s="27"/>
      <c r="AV453" s="27"/>
      <c r="AW453" s="27">
        <f t="shared" si="143"/>
        <v>4333333.333333333</v>
      </c>
      <c r="AX453" s="79">
        <f t="shared" si="147"/>
        <v>15009404</v>
      </c>
      <c r="AY453" s="79">
        <f t="shared" si="148"/>
        <v>17490596</v>
      </c>
      <c r="AZ453" s="25">
        <v>1</v>
      </c>
      <c r="BA453" s="62" t="s">
        <v>79</v>
      </c>
      <c r="BB453" s="66"/>
      <c r="BC453" s="66">
        <v>1</v>
      </c>
      <c r="BD453" s="66"/>
      <c r="BE453" s="67">
        <f t="shared" si="137"/>
        <v>0</v>
      </c>
      <c r="BF453" s="67">
        <f t="shared" si="142"/>
        <v>541666.66666666663</v>
      </c>
      <c r="BG453" s="67">
        <f t="shared" si="149"/>
        <v>0</v>
      </c>
      <c r="BH453" s="66"/>
      <c r="BI453" s="68" t="s">
        <v>1341</v>
      </c>
      <c r="BJ453" s="68" t="s">
        <v>58</v>
      </c>
      <c r="BK453" s="68" t="s">
        <v>58</v>
      </c>
      <c r="BL453" s="29"/>
      <c r="BO453" s="35" t="s">
        <v>1799</v>
      </c>
    </row>
    <row r="454" spans="3:68" ht="15" customHeight="1">
      <c r="C454" s="1" t="str">
        <f t="shared" si="144"/>
        <v>2801</v>
      </c>
      <c r="D454" s="1" t="str">
        <f t="shared" si="145"/>
        <v>2201</v>
      </c>
      <c r="E454" s="19" t="s">
        <v>1349</v>
      </c>
      <c r="F454" s="62" t="s">
        <v>1896</v>
      </c>
      <c r="G454" s="62">
        <v>2112</v>
      </c>
      <c r="H454" s="62" t="s">
        <v>1350</v>
      </c>
      <c r="I454" s="62" t="s">
        <v>1351</v>
      </c>
      <c r="J454" s="140">
        <v>1</v>
      </c>
      <c r="K454" s="119" t="s">
        <v>619</v>
      </c>
      <c r="L454" s="138" t="s">
        <v>935</v>
      </c>
      <c r="M454" s="120" t="s">
        <v>1352</v>
      </c>
      <c r="N454" s="65">
        <v>44469</v>
      </c>
      <c r="O454" s="24">
        <v>23000</v>
      </c>
      <c r="P454" s="24">
        <v>22872</v>
      </c>
      <c r="Q454" s="64">
        <v>526056000</v>
      </c>
      <c r="R454" s="64"/>
      <c r="S454" s="64"/>
      <c r="T454" s="130">
        <v>19241051.206266318</v>
      </c>
      <c r="U454" s="139" t="s">
        <v>1354</v>
      </c>
      <c r="V454" s="121">
        <v>545297051</v>
      </c>
      <c r="W454" s="122">
        <v>0</v>
      </c>
      <c r="X454" s="64">
        <v>545297051</v>
      </c>
      <c r="Y454" s="121"/>
      <c r="Z454" s="121"/>
      <c r="AA454" s="128"/>
      <c r="AB454" s="121"/>
      <c r="AC454" s="64">
        <v>545297051</v>
      </c>
      <c r="AD454" s="63">
        <v>44581</v>
      </c>
      <c r="AE454" s="65">
        <v>46771</v>
      </c>
      <c r="AF454" s="62">
        <v>6</v>
      </c>
      <c r="AG454" s="119">
        <v>72</v>
      </c>
      <c r="AH454" s="25">
        <v>7573570.152777778</v>
      </c>
      <c r="AI454" s="78">
        <v>177123816.52777776</v>
      </c>
      <c r="AJ454" s="78">
        <v>368173234.47222221</v>
      </c>
      <c r="AK454" s="27">
        <f t="shared" si="146"/>
        <v>7573570.152777778</v>
      </c>
      <c r="AL454" s="27">
        <f t="shared" si="150"/>
        <v>7573570.152777778</v>
      </c>
      <c r="AM454" s="27">
        <f t="shared" si="150"/>
        <v>7573570.152777778</v>
      </c>
      <c r="AN454" s="27">
        <f t="shared" si="138"/>
        <v>7573570.152777778</v>
      </c>
      <c r="AO454" s="27">
        <f t="shared" si="139"/>
        <v>7573570.152777778</v>
      </c>
      <c r="AP454" s="27">
        <f t="shared" si="139"/>
        <v>7573570.152777778</v>
      </c>
      <c r="AQ454" s="27">
        <f t="shared" si="140"/>
        <v>7573570.152777778</v>
      </c>
      <c r="AR454" s="27">
        <f t="shared" si="141"/>
        <v>7573570.152777778</v>
      </c>
      <c r="AS454" s="27"/>
      <c r="AT454" s="27"/>
      <c r="AU454" s="27"/>
      <c r="AV454" s="27"/>
      <c r="AW454" s="27">
        <f t="shared" si="143"/>
        <v>60588561.222222216</v>
      </c>
      <c r="AX454" s="79">
        <f t="shared" si="147"/>
        <v>307584673.25</v>
      </c>
      <c r="AY454" s="79">
        <f t="shared" si="148"/>
        <v>237712377.74999997</v>
      </c>
      <c r="AZ454" s="25">
        <v>1</v>
      </c>
      <c r="BA454" s="62" t="s">
        <v>79</v>
      </c>
      <c r="BB454" s="66">
        <v>1</v>
      </c>
      <c r="BC454" s="66"/>
      <c r="BD454" s="66"/>
      <c r="BE454" s="67">
        <f t="shared" si="137"/>
        <v>7573570.152777778</v>
      </c>
      <c r="BF454" s="67">
        <f t="shared" si="142"/>
        <v>0</v>
      </c>
      <c r="BG454" s="67">
        <f t="shared" si="149"/>
        <v>0</v>
      </c>
      <c r="BH454" s="66"/>
      <c r="BI454" s="68" t="s">
        <v>57</v>
      </c>
      <c r="BJ454" s="68" t="s">
        <v>1930</v>
      </c>
      <c r="BK454" s="68" t="s">
        <v>1930</v>
      </c>
      <c r="BL454" s="29"/>
      <c r="BO454" s="35" t="s">
        <v>1801</v>
      </c>
      <c r="BP454" s="1" t="s">
        <v>1826</v>
      </c>
    </row>
    <row r="455" spans="3:68" ht="15" customHeight="1">
      <c r="C455" s="1" t="str">
        <f t="shared" si="144"/>
        <v>3001</v>
      </c>
      <c r="D455" s="1" t="str">
        <f t="shared" si="145"/>
        <v>2201</v>
      </c>
      <c r="E455" s="19" t="s">
        <v>1349</v>
      </c>
      <c r="F455" s="62" t="s">
        <v>1896</v>
      </c>
      <c r="G455" s="62">
        <v>2112</v>
      </c>
      <c r="H455" s="62" t="s">
        <v>1355</v>
      </c>
      <c r="I455" s="62" t="s">
        <v>1356</v>
      </c>
      <c r="J455" s="140">
        <v>1</v>
      </c>
      <c r="K455" s="119" t="s">
        <v>619</v>
      </c>
      <c r="L455" s="138" t="s">
        <v>980</v>
      </c>
      <c r="M455" s="120" t="s">
        <v>1357</v>
      </c>
      <c r="N455" s="65">
        <v>44497</v>
      </c>
      <c r="O455" s="24">
        <v>287000</v>
      </c>
      <c r="P455" s="24">
        <v>22872</v>
      </c>
      <c r="Q455" s="64">
        <v>6564264000</v>
      </c>
      <c r="R455" s="64"/>
      <c r="S455" s="64"/>
      <c r="T455" s="130">
        <v>23346583.255004354</v>
      </c>
      <c r="U455" s="139" t="s">
        <v>1359</v>
      </c>
      <c r="V455" s="121">
        <v>6587610583</v>
      </c>
      <c r="W455" s="122">
        <v>0</v>
      </c>
      <c r="X455" s="64">
        <v>6587610583</v>
      </c>
      <c r="Y455" s="121"/>
      <c r="Z455" s="121"/>
      <c r="AA455" s="128"/>
      <c r="AB455" s="121"/>
      <c r="AC455" s="64">
        <v>6587610583</v>
      </c>
      <c r="AD455" s="63">
        <v>44581</v>
      </c>
      <c r="AE455" s="65">
        <v>47502</v>
      </c>
      <c r="AF455" s="62">
        <v>8</v>
      </c>
      <c r="AG455" s="119">
        <v>96</v>
      </c>
      <c r="AH455" s="25">
        <v>68620943.572916672</v>
      </c>
      <c r="AI455" s="78">
        <v>1604844653.7291665</v>
      </c>
      <c r="AJ455" s="78">
        <v>4982765929.270833</v>
      </c>
      <c r="AK455" s="27">
        <f t="shared" si="146"/>
        <v>68620943.572916672</v>
      </c>
      <c r="AL455" s="27">
        <f t="shared" si="150"/>
        <v>68620943.572916672</v>
      </c>
      <c r="AM455" s="27">
        <f t="shared" si="150"/>
        <v>68620943.572916672</v>
      </c>
      <c r="AN455" s="27">
        <f t="shared" si="138"/>
        <v>68620943.572916672</v>
      </c>
      <c r="AO455" s="27">
        <f t="shared" si="139"/>
        <v>68620943.572916672</v>
      </c>
      <c r="AP455" s="27">
        <f t="shared" si="139"/>
        <v>68620943.572916672</v>
      </c>
      <c r="AQ455" s="27">
        <f t="shared" si="140"/>
        <v>68620943.572916672</v>
      </c>
      <c r="AR455" s="27">
        <f t="shared" si="141"/>
        <v>68620943.572916672</v>
      </c>
      <c r="AS455" s="27"/>
      <c r="AT455" s="27"/>
      <c r="AU455" s="27"/>
      <c r="AV455" s="27"/>
      <c r="AW455" s="27">
        <f t="shared" si="143"/>
        <v>548967548.58333337</v>
      </c>
      <c r="AX455" s="79">
        <f t="shared" si="147"/>
        <v>4433798380.687501</v>
      </c>
      <c r="AY455" s="79">
        <f t="shared" si="148"/>
        <v>2153812202.3125</v>
      </c>
      <c r="AZ455" s="25">
        <v>1</v>
      </c>
      <c r="BA455" s="62" t="s">
        <v>79</v>
      </c>
      <c r="BB455" s="66">
        <v>1</v>
      </c>
      <c r="BC455" s="66"/>
      <c r="BD455" s="66"/>
      <c r="BE455" s="67">
        <f t="shared" si="137"/>
        <v>68620943.572916672</v>
      </c>
      <c r="BF455" s="67">
        <f t="shared" si="142"/>
        <v>0</v>
      </c>
      <c r="BG455" s="67">
        <f t="shared" si="149"/>
        <v>0</v>
      </c>
      <c r="BH455" s="66"/>
      <c r="BI455" s="68" t="s">
        <v>57</v>
      </c>
      <c r="BJ455" s="68" t="s">
        <v>1980</v>
      </c>
      <c r="BK455" s="68" t="s">
        <v>1980</v>
      </c>
      <c r="BL455" s="29"/>
      <c r="BO455" s="35" t="s">
        <v>1801</v>
      </c>
      <c r="BP455" s="1" t="s">
        <v>1826</v>
      </c>
    </row>
    <row r="456" spans="3:68" ht="15" customHeight="1">
      <c r="C456" s="1" t="str">
        <f t="shared" si="144"/>
        <v>3001</v>
      </c>
      <c r="D456" s="1" t="str">
        <f t="shared" si="145"/>
        <v>2201</v>
      </c>
      <c r="E456" s="19" t="s">
        <v>1349</v>
      </c>
      <c r="F456" s="62" t="s">
        <v>1896</v>
      </c>
      <c r="G456" s="62">
        <v>2112</v>
      </c>
      <c r="H456" s="62" t="s">
        <v>1360</v>
      </c>
      <c r="I456" s="62" t="s">
        <v>1361</v>
      </c>
      <c r="J456" s="140">
        <v>1</v>
      </c>
      <c r="K456" s="119" t="s">
        <v>619</v>
      </c>
      <c r="L456" s="138" t="s">
        <v>980</v>
      </c>
      <c r="M456" s="120" t="s">
        <v>1357</v>
      </c>
      <c r="N456" s="65">
        <v>44497</v>
      </c>
      <c r="O456" s="24">
        <v>73000</v>
      </c>
      <c r="P456" s="24">
        <v>22872</v>
      </c>
      <c r="Q456" s="64">
        <v>1669656000</v>
      </c>
      <c r="R456" s="64"/>
      <c r="S456" s="64"/>
      <c r="T456" s="130">
        <v>5938329.5387293277</v>
      </c>
      <c r="U456" s="139" t="s">
        <v>1359</v>
      </c>
      <c r="V456" s="121">
        <v>1675594330</v>
      </c>
      <c r="W456" s="122">
        <v>0</v>
      </c>
      <c r="X456" s="64">
        <v>1675594330</v>
      </c>
      <c r="Y456" s="121"/>
      <c r="Z456" s="121"/>
      <c r="AA456" s="128"/>
      <c r="AB456" s="121"/>
      <c r="AC456" s="64">
        <v>1675594330</v>
      </c>
      <c r="AD456" s="63">
        <v>44581</v>
      </c>
      <c r="AE456" s="65">
        <v>47502</v>
      </c>
      <c r="AF456" s="62">
        <v>8</v>
      </c>
      <c r="AG456" s="119">
        <v>96</v>
      </c>
      <c r="AH456" s="25">
        <v>17454107.604166668</v>
      </c>
      <c r="AI456" s="78">
        <v>408200909.04166663</v>
      </c>
      <c r="AJ456" s="78">
        <v>1267393420.9583333</v>
      </c>
      <c r="AK456" s="27">
        <f t="shared" si="146"/>
        <v>17454107.604166668</v>
      </c>
      <c r="AL456" s="27">
        <f t="shared" si="150"/>
        <v>17454107.604166668</v>
      </c>
      <c r="AM456" s="27">
        <f t="shared" si="150"/>
        <v>17454107.604166668</v>
      </c>
      <c r="AN456" s="27">
        <f t="shared" si="138"/>
        <v>17454107.604166668</v>
      </c>
      <c r="AO456" s="27">
        <f t="shared" si="139"/>
        <v>17454107.604166668</v>
      </c>
      <c r="AP456" s="27">
        <f t="shared" si="139"/>
        <v>17454107.604166668</v>
      </c>
      <c r="AQ456" s="27">
        <f t="shared" si="140"/>
        <v>17454107.604166668</v>
      </c>
      <c r="AR456" s="27">
        <f t="shared" si="141"/>
        <v>17454107.604166668</v>
      </c>
      <c r="AS456" s="27"/>
      <c r="AT456" s="27"/>
      <c r="AU456" s="27"/>
      <c r="AV456" s="27"/>
      <c r="AW456" s="27">
        <f t="shared" si="143"/>
        <v>139632860.83333334</v>
      </c>
      <c r="AX456" s="79">
        <f t="shared" si="147"/>
        <v>1127760560.1250002</v>
      </c>
      <c r="AY456" s="79">
        <f t="shared" si="148"/>
        <v>547833769.875</v>
      </c>
      <c r="AZ456" s="25">
        <v>1</v>
      </c>
      <c r="BA456" s="62" t="s">
        <v>79</v>
      </c>
      <c r="BB456" s="66">
        <v>1</v>
      </c>
      <c r="BC456" s="66"/>
      <c r="BD456" s="66"/>
      <c r="BE456" s="67">
        <f t="shared" si="137"/>
        <v>17454107.604166668</v>
      </c>
      <c r="BF456" s="67">
        <f t="shared" si="142"/>
        <v>0</v>
      </c>
      <c r="BG456" s="67">
        <f t="shared" si="149"/>
        <v>0</v>
      </c>
      <c r="BH456" s="66"/>
      <c r="BI456" s="68" t="s">
        <v>57</v>
      </c>
      <c r="BJ456" s="68" t="s">
        <v>1930</v>
      </c>
      <c r="BK456" s="68" t="s">
        <v>1930</v>
      </c>
      <c r="BL456" s="29"/>
      <c r="BO456" s="35" t="s">
        <v>1801</v>
      </c>
      <c r="BP456" s="1" t="s">
        <v>1826</v>
      </c>
    </row>
    <row r="457" spans="3:68" ht="15" customHeight="1">
      <c r="C457" s="1" t="str">
        <f t="shared" si="144"/>
        <v>3001</v>
      </c>
      <c r="D457" s="1" t="str">
        <f t="shared" si="145"/>
        <v>2201</v>
      </c>
      <c r="E457" s="19" t="s">
        <v>1349</v>
      </c>
      <c r="F457" s="62" t="s">
        <v>1896</v>
      </c>
      <c r="G457" s="62">
        <v>2112</v>
      </c>
      <c r="H457" s="62" t="s">
        <v>1362</v>
      </c>
      <c r="I457" s="62" t="s">
        <v>1363</v>
      </c>
      <c r="J457" s="140">
        <v>1</v>
      </c>
      <c r="K457" s="119" t="s">
        <v>619</v>
      </c>
      <c r="L457" s="62" t="s">
        <v>77</v>
      </c>
      <c r="M457" s="120" t="s">
        <v>1325</v>
      </c>
      <c r="N457" s="65">
        <v>44538</v>
      </c>
      <c r="O457" s="24">
        <v>107000</v>
      </c>
      <c r="P457" s="24">
        <v>22790</v>
      </c>
      <c r="Q457" s="64">
        <v>2438530000</v>
      </c>
      <c r="R457" s="64"/>
      <c r="S457" s="64"/>
      <c r="T457" s="130">
        <v>10351801.02225809</v>
      </c>
      <c r="U457" s="139" t="s">
        <v>1327</v>
      </c>
      <c r="V457" s="121">
        <v>2448881801</v>
      </c>
      <c r="W457" s="122">
        <v>0</v>
      </c>
      <c r="X457" s="64">
        <v>2448881801</v>
      </c>
      <c r="Y457" s="121"/>
      <c r="Z457" s="121"/>
      <c r="AA457" s="128"/>
      <c r="AB457" s="121"/>
      <c r="AC457" s="64">
        <v>2448881801</v>
      </c>
      <c r="AD457" s="63">
        <v>44584</v>
      </c>
      <c r="AE457" s="65">
        <v>47505</v>
      </c>
      <c r="AF457" s="62">
        <v>8</v>
      </c>
      <c r="AG457" s="119">
        <v>96</v>
      </c>
      <c r="AH457" s="25">
        <v>25509185.427083332</v>
      </c>
      <c r="AI457" s="78">
        <v>594117151.27083325</v>
      </c>
      <c r="AJ457" s="78">
        <v>1854764649.7291667</v>
      </c>
      <c r="AK457" s="27">
        <f t="shared" si="146"/>
        <v>25509185.427083332</v>
      </c>
      <c r="AL457" s="27">
        <f t="shared" si="150"/>
        <v>25509185.427083332</v>
      </c>
      <c r="AM457" s="27">
        <f t="shared" si="150"/>
        <v>25509185.427083332</v>
      </c>
      <c r="AN457" s="27">
        <f t="shared" si="138"/>
        <v>25509185.427083332</v>
      </c>
      <c r="AO457" s="27">
        <f t="shared" si="139"/>
        <v>25509185.427083332</v>
      </c>
      <c r="AP457" s="27">
        <f t="shared" si="139"/>
        <v>25509185.427083332</v>
      </c>
      <c r="AQ457" s="27">
        <f t="shared" si="140"/>
        <v>25509185.427083332</v>
      </c>
      <c r="AR457" s="27">
        <f t="shared" si="141"/>
        <v>25509185.427083332</v>
      </c>
      <c r="AS457" s="27"/>
      <c r="AT457" s="27"/>
      <c r="AU457" s="27"/>
      <c r="AV457" s="27"/>
      <c r="AW457" s="27">
        <f t="shared" si="143"/>
        <v>204073483.41666669</v>
      </c>
      <c r="AX457" s="79">
        <f t="shared" si="147"/>
        <v>1650691166.3125</v>
      </c>
      <c r="AY457" s="79">
        <f t="shared" si="148"/>
        <v>798190634.6875</v>
      </c>
      <c r="AZ457" s="25">
        <v>1</v>
      </c>
      <c r="BA457" s="62" t="s">
        <v>79</v>
      </c>
      <c r="BB457" s="66">
        <v>1</v>
      </c>
      <c r="BC457" s="66"/>
      <c r="BD457" s="66"/>
      <c r="BE457" s="67">
        <f t="shared" si="137"/>
        <v>25509185.427083332</v>
      </c>
      <c r="BF457" s="67">
        <f t="shared" si="142"/>
        <v>0</v>
      </c>
      <c r="BG457" s="67">
        <f t="shared" si="149"/>
        <v>0</v>
      </c>
      <c r="BH457" s="66"/>
      <c r="BI457" s="68" t="s">
        <v>57</v>
      </c>
      <c r="BJ457" s="68" t="s">
        <v>1979</v>
      </c>
      <c r="BK457" s="68" t="s">
        <v>1979</v>
      </c>
      <c r="BL457" s="29"/>
      <c r="BO457" s="35" t="s">
        <v>1801</v>
      </c>
      <c r="BP457" s="1" t="s">
        <v>1826</v>
      </c>
    </row>
    <row r="458" spans="3:68" ht="15" customHeight="1">
      <c r="C458" s="1" t="str">
        <f t="shared" si="144"/>
        <v>3001</v>
      </c>
      <c r="D458" s="1" t="str">
        <f t="shared" si="145"/>
        <v>2201</v>
      </c>
      <c r="E458" s="19" t="s">
        <v>1349</v>
      </c>
      <c r="F458" s="62" t="s">
        <v>1896</v>
      </c>
      <c r="G458" s="62">
        <v>2112</v>
      </c>
      <c r="H458" s="62" t="s">
        <v>1364</v>
      </c>
      <c r="I458" s="62" t="s">
        <v>1363</v>
      </c>
      <c r="J458" s="140">
        <v>1</v>
      </c>
      <c r="K458" s="119" t="s">
        <v>619</v>
      </c>
      <c r="L458" s="62" t="s">
        <v>77</v>
      </c>
      <c r="M458" s="120" t="s">
        <v>1325</v>
      </c>
      <c r="N458" s="65">
        <v>44538</v>
      </c>
      <c r="O458" s="24">
        <v>107000</v>
      </c>
      <c r="P458" s="24">
        <v>22790</v>
      </c>
      <c r="Q458" s="64">
        <v>2438530000</v>
      </c>
      <c r="R458" s="64"/>
      <c r="S458" s="64"/>
      <c r="T458" s="130">
        <v>10351801.02225809</v>
      </c>
      <c r="U458" s="139" t="s">
        <v>1327</v>
      </c>
      <c r="V458" s="121">
        <v>2448881801</v>
      </c>
      <c r="W458" s="122">
        <v>0</v>
      </c>
      <c r="X458" s="64">
        <v>2448881801</v>
      </c>
      <c r="Y458" s="121"/>
      <c r="Z458" s="121"/>
      <c r="AA458" s="128"/>
      <c r="AB458" s="121"/>
      <c r="AC458" s="64">
        <v>2448881801</v>
      </c>
      <c r="AD458" s="63">
        <v>44584</v>
      </c>
      <c r="AE458" s="65">
        <v>47505</v>
      </c>
      <c r="AF458" s="62">
        <v>8</v>
      </c>
      <c r="AG458" s="119">
        <v>96</v>
      </c>
      <c r="AH458" s="25">
        <v>25509185.427083332</v>
      </c>
      <c r="AI458" s="78">
        <v>594117151.27083325</v>
      </c>
      <c r="AJ458" s="78">
        <v>1854764649.7291667</v>
      </c>
      <c r="AK458" s="27">
        <f t="shared" si="146"/>
        <v>25509185.427083332</v>
      </c>
      <c r="AL458" s="27">
        <f t="shared" si="150"/>
        <v>25509185.427083332</v>
      </c>
      <c r="AM458" s="27">
        <f t="shared" si="150"/>
        <v>25509185.427083332</v>
      </c>
      <c r="AN458" s="27">
        <f t="shared" si="138"/>
        <v>25509185.427083332</v>
      </c>
      <c r="AO458" s="27">
        <f t="shared" si="139"/>
        <v>25509185.427083332</v>
      </c>
      <c r="AP458" s="27">
        <f t="shared" si="139"/>
        <v>25509185.427083332</v>
      </c>
      <c r="AQ458" s="27">
        <f t="shared" si="140"/>
        <v>25509185.427083332</v>
      </c>
      <c r="AR458" s="27">
        <f t="shared" si="141"/>
        <v>25509185.427083332</v>
      </c>
      <c r="AS458" s="27"/>
      <c r="AT458" s="27"/>
      <c r="AU458" s="27"/>
      <c r="AV458" s="27"/>
      <c r="AW458" s="27">
        <f t="shared" si="143"/>
        <v>204073483.41666669</v>
      </c>
      <c r="AX458" s="79">
        <f t="shared" si="147"/>
        <v>1650691166.3125</v>
      </c>
      <c r="AY458" s="79">
        <f t="shared" si="148"/>
        <v>798190634.6875</v>
      </c>
      <c r="AZ458" s="25">
        <v>1</v>
      </c>
      <c r="BA458" s="62" t="s">
        <v>79</v>
      </c>
      <c r="BB458" s="66">
        <v>1</v>
      </c>
      <c r="BC458" s="66"/>
      <c r="BD458" s="66"/>
      <c r="BE458" s="67">
        <f t="shared" si="137"/>
        <v>25509185.427083332</v>
      </c>
      <c r="BF458" s="67">
        <f t="shared" si="142"/>
        <v>0</v>
      </c>
      <c r="BG458" s="67">
        <f t="shared" si="149"/>
        <v>0</v>
      </c>
      <c r="BH458" s="66"/>
      <c r="BI458" s="68" t="s">
        <v>57</v>
      </c>
      <c r="BJ458" s="68" t="s">
        <v>1979</v>
      </c>
      <c r="BK458" s="68" t="s">
        <v>1979</v>
      </c>
      <c r="BL458" s="29"/>
      <c r="BO458" s="35" t="s">
        <v>1801</v>
      </c>
      <c r="BP458" s="1" t="s">
        <v>1826</v>
      </c>
    </row>
    <row r="459" spans="3:68" ht="15" customHeight="1">
      <c r="C459" s="1" t="str">
        <f t="shared" si="144"/>
        <v>2801</v>
      </c>
      <c r="D459" s="1" t="str">
        <f t="shared" si="145"/>
        <v>2201</v>
      </c>
      <c r="E459" s="19" t="s">
        <v>1349</v>
      </c>
      <c r="F459" s="62" t="s">
        <v>1896</v>
      </c>
      <c r="G459" s="62">
        <v>2112</v>
      </c>
      <c r="H459" s="62" t="s">
        <v>1365</v>
      </c>
      <c r="I459" s="62" t="s">
        <v>1366</v>
      </c>
      <c r="J459" s="140">
        <v>1</v>
      </c>
      <c r="K459" s="119" t="s">
        <v>619</v>
      </c>
      <c r="L459" s="62" t="s">
        <v>77</v>
      </c>
      <c r="M459" s="120" t="s">
        <v>1325</v>
      </c>
      <c r="N459" s="65">
        <v>44538</v>
      </c>
      <c r="O459" s="24">
        <v>18900</v>
      </c>
      <c r="P459" s="24">
        <v>22790</v>
      </c>
      <c r="Q459" s="64">
        <v>430731000</v>
      </c>
      <c r="R459" s="64"/>
      <c r="S459" s="64"/>
      <c r="T459" s="130">
        <v>1828495.6945857748</v>
      </c>
      <c r="U459" s="139" t="s">
        <v>1327</v>
      </c>
      <c r="V459" s="121">
        <v>432559496</v>
      </c>
      <c r="W459" s="122">
        <v>0</v>
      </c>
      <c r="X459" s="64">
        <v>432559496</v>
      </c>
      <c r="Y459" s="121"/>
      <c r="Z459" s="121"/>
      <c r="AA459" s="128"/>
      <c r="AB459" s="121"/>
      <c r="AC459" s="64">
        <v>432559496</v>
      </c>
      <c r="AD459" s="63">
        <v>44581</v>
      </c>
      <c r="AE459" s="65">
        <v>46771</v>
      </c>
      <c r="AF459" s="62">
        <v>6</v>
      </c>
      <c r="AG459" s="119">
        <v>72</v>
      </c>
      <c r="AH459" s="25">
        <v>6007770.777777778</v>
      </c>
      <c r="AI459" s="78">
        <v>140504319.77777776</v>
      </c>
      <c r="AJ459" s="78">
        <v>292055176.22222221</v>
      </c>
      <c r="AK459" s="27">
        <f t="shared" si="146"/>
        <v>6007770.777777778</v>
      </c>
      <c r="AL459" s="27">
        <f t="shared" si="150"/>
        <v>6007770.777777778</v>
      </c>
      <c r="AM459" s="27">
        <f t="shared" si="150"/>
        <v>6007770.777777778</v>
      </c>
      <c r="AN459" s="27">
        <f t="shared" si="138"/>
        <v>6007770.777777778</v>
      </c>
      <c r="AO459" s="27">
        <f t="shared" si="139"/>
        <v>6007770.777777778</v>
      </c>
      <c r="AP459" s="27">
        <f t="shared" si="139"/>
        <v>6007770.777777778</v>
      </c>
      <c r="AQ459" s="27">
        <f t="shared" si="140"/>
        <v>6007770.777777778</v>
      </c>
      <c r="AR459" s="27">
        <f t="shared" si="141"/>
        <v>6007770.777777778</v>
      </c>
      <c r="AS459" s="27"/>
      <c r="AT459" s="27"/>
      <c r="AU459" s="27"/>
      <c r="AV459" s="27"/>
      <c r="AW459" s="27">
        <f t="shared" si="143"/>
        <v>48062166.222222216</v>
      </c>
      <c r="AX459" s="79">
        <f t="shared" si="147"/>
        <v>243993010</v>
      </c>
      <c r="AY459" s="79">
        <f t="shared" si="148"/>
        <v>188566485.99999997</v>
      </c>
      <c r="AZ459" s="25">
        <v>1</v>
      </c>
      <c r="BA459" s="62" t="s">
        <v>79</v>
      </c>
      <c r="BB459" s="66">
        <v>1</v>
      </c>
      <c r="BC459" s="66"/>
      <c r="BD459" s="66"/>
      <c r="BE459" s="67">
        <f t="shared" si="137"/>
        <v>6007770.777777778</v>
      </c>
      <c r="BF459" s="67">
        <f t="shared" si="142"/>
        <v>0</v>
      </c>
      <c r="BG459" s="67">
        <f t="shared" si="149"/>
        <v>0</v>
      </c>
      <c r="BH459" s="66"/>
      <c r="BI459" s="68" t="s">
        <v>57</v>
      </c>
      <c r="BJ459" s="68" t="s">
        <v>1930</v>
      </c>
      <c r="BK459" s="68" t="s">
        <v>1930</v>
      </c>
      <c r="BL459" s="29"/>
      <c r="BO459" s="35" t="s">
        <v>1801</v>
      </c>
      <c r="BP459" s="1" t="s">
        <v>1824</v>
      </c>
    </row>
    <row r="460" spans="3:68" ht="15" customHeight="1">
      <c r="C460" s="1" t="str">
        <f t="shared" si="144"/>
        <v>4701</v>
      </c>
      <c r="D460" s="1" t="str">
        <f t="shared" si="145"/>
        <v>2201</v>
      </c>
      <c r="E460" s="19" t="s">
        <v>1349</v>
      </c>
      <c r="F460" s="68" t="s">
        <v>1367</v>
      </c>
      <c r="G460" s="62">
        <v>2111</v>
      </c>
      <c r="H460" s="62" t="s">
        <v>1368</v>
      </c>
      <c r="I460" s="62" t="s">
        <v>1369</v>
      </c>
      <c r="J460" s="140">
        <v>1</v>
      </c>
      <c r="K460" s="119" t="s">
        <v>619</v>
      </c>
      <c r="L460" s="62" t="s">
        <v>62</v>
      </c>
      <c r="M460" s="120" t="s">
        <v>1370</v>
      </c>
      <c r="N460" s="65" t="s">
        <v>1371</v>
      </c>
      <c r="O460" s="24"/>
      <c r="P460" s="24"/>
      <c r="Q460" s="64">
        <v>5035105270</v>
      </c>
      <c r="R460" s="64"/>
      <c r="S460" s="64"/>
      <c r="T460" s="130"/>
      <c r="U460" s="139"/>
      <c r="V460" s="121">
        <v>5035105270</v>
      </c>
      <c r="W460" s="122">
        <v>0</v>
      </c>
      <c r="X460" s="64">
        <v>5035105270</v>
      </c>
      <c r="Y460" s="121"/>
      <c r="Z460" s="121"/>
      <c r="AA460" s="128"/>
      <c r="AB460" s="121"/>
      <c r="AC460" s="64">
        <v>5035105270</v>
      </c>
      <c r="AD460" s="63">
        <v>44578</v>
      </c>
      <c r="AE460" s="65">
        <v>53708</v>
      </c>
      <c r="AF460" s="62">
        <v>25</v>
      </c>
      <c r="AG460" s="119">
        <v>300</v>
      </c>
      <c r="AH460" s="25">
        <v>16783684.233333334</v>
      </c>
      <c r="AI460" s="78">
        <v>394145871.33333337</v>
      </c>
      <c r="AJ460" s="78">
        <v>4640959398.666667</v>
      </c>
      <c r="AK460" s="27">
        <f t="shared" si="146"/>
        <v>16783684.233333334</v>
      </c>
      <c r="AL460" s="27">
        <f t="shared" si="150"/>
        <v>16783684.233333334</v>
      </c>
      <c r="AM460" s="27">
        <f t="shared" si="150"/>
        <v>16783684.233333334</v>
      </c>
      <c r="AN460" s="27">
        <f t="shared" si="138"/>
        <v>16783684.233333334</v>
      </c>
      <c r="AO460" s="27">
        <f t="shared" si="139"/>
        <v>16783684.233333334</v>
      </c>
      <c r="AP460" s="27">
        <f t="shared" si="139"/>
        <v>16783684.233333334</v>
      </c>
      <c r="AQ460" s="27">
        <f t="shared" si="140"/>
        <v>16783684.233333334</v>
      </c>
      <c r="AR460" s="27">
        <f t="shared" si="141"/>
        <v>16783684.233333334</v>
      </c>
      <c r="AS460" s="27"/>
      <c r="AT460" s="27"/>
      <c r="AU460" s="27"/>
      <c r="AV460" s="27"/>
      <c r="AW460" s="27">
        <f t="shared" si="143"/>
        <v>134269473.86666667</v>
      </c>
      <c r="AX460" s="79">
        <f t="shared" si="147"/>
        <v>4506689924.8000002</v>
      </c>
      <c r="AY460" s="79">
        <f t="shared" si="148"/>
        <v>528415345.20000005</v>
      </c>
      <c r="AZ460" s="25">
        <v>1</v>
      </c>
      <c r="BA460" s="62" t="s">
        <v>56</v>
      </c>
      <c r="BB460" s="66"/>
      <c r="BC460" s="66">
        <v>1</v>
      </c>
      <c r="BD460" s="66"/>
      <c r="BE460" s="67">
        <f t="shared" si="137"/>
        <v>0</v>
      </c>
      <c r="BF460" s="67">
        <f t="shared" si="142"/>
        <v>16783684.233333334</v>
      </c>
      <c r="BG460" s="67">
        <f t="shared" si="149"/>
        <v>0</v>
      </c>
      <c r="BH460" s="62" t="s">
        <v>1668</v>
      </c>
      <c r="BI460" s="19" t="s">
        <v>1624</v>
      </c>
      <c r="BJ460" s="68" t="s">
        <v>1438</v>
      </c>
      <c r="BK460" s="68" t="s">
        <v>1438</v>
      </c>
      <c r="BL460" s="29"/>
      <c r="BM460" s="3" t="s">
        <v>1664</v>
      </c>
      <c r="BN460" s="1" t="s">
        <v>1666</v>
      </c>
      <c r="BO460" s="35" t="s">
        <v>1799</v>
      </c>
    </row>
    <row r="461" spans="3:68" ht="15" customHeight="1">
      <c r="C461" s="1" t="str">
        <f t="shared" si="144"/>
        <v>4701</v>
      </c>
      <c r="D461" s="1" t="str">
        <f t="shared" si="145"/>
        <v>2201</v>
      </c>
      <c r="E461" s="19" t="s">
        <v>1349</v>
      </c>
      <c r="F461" s="68" t="s">
        <v>1367</v>
      </c>
      <c r="G461" s="62">
        <v>2111</v>
      </c>
      <c r="H461" s="62" t="s">
        <v>1372</v>
      </c>
      <c r="I461" s="62" t="s">
        <v>1369</v>
      </c>
      <c r="J461" s="140">
        <v>1</v>
      </c>
      <c r="K461" s="119" t="s">
        <v>619</v>
      </c>
      <c r="L461" s="62" t="s">
        <v>62</v>
      </c>
      <c r="M461" s="120" t="s">
        <v>1370</v>
      </c>
      <c r="N461" s="65" t="s">
        <v>1371</v>
      </c>
      <c r="O461" s="24"/>
      <c r="P461" s="24"/>
      <c r="Q461" s="64">
        <v>6529096475</v>
      </c>
      <c r="R461" s="64"/>
      <c r="S461" s="64"/>
      <c r="T461" s="130"/>
      <c r="U461" s="139"/>
      <c r="V461" s="121">
        <v>6529096475</v>
      </c>
      <c r="W461" s="122">
        <v>0</v>
      </c>
      <c r="X461" s="64">
        <v>6529096475</v>
      </c>
      <c r="Y461" s="121"/>
      <c r="Z461" s="121"/>
      <c r="AA461" s="128"/>
      <c r="AB461" s="121"/>
      <c r="AC461" s="64">
        <v>6529096475</v>
      </c>
      <c r="AD461" s="63">
        <v>44578</v>
      </c>
      <c r="AE461" s="65">
        <v>53708</v>
      </c>
      <c r="AF461" s="62">
        <v>25</v>
      </c>
      <c r="AG461" s="119">
        <v>300</v>
      </c>
      <c r="AH461" s="25">
        <v>21763654.916666668</v>
      </c>
      <c r="AI461" s="78">
        <v>511094865.16666663</v>
      </c>
      <c r="AJ461" s="78">
        <v>6018001609.833333</v>
      </c>
      <c r="AK461" s="27">
        <f t="shared" si="146"/>
        <v>21763654.916666668</v>
      </c>
      <c r="AL461" s="27">
        <f t="shared" si="150"/>
        <v>21763654.916666668</v>
      </c>
      <c r="AM461" s="27">
        <f t="shared" si="150"/>
        <v>21763654.916666668</v>
      </c>
      <c r="AN461" s="27">
        <f t="shared" si="138"/>
        <v>21763654.916666668</v>
      </c>
      <c r="AO461" s="27">
        <f t="shared" si="139"/>
        <v>21763654.916666668</v>
      </c>
      <c r="AP461" s="27">
        <f t="shared" si="139"/>
        <v>21763654.916666668</v>
      </c>
      <c r="AQ461" s="27">
        <f t="shared" si="140"/>
        <v>21763654.916666668</v>
      </c>
      <c r="AR461" s="27">
        <f t="shared" si="141"/>
        <v>21763654.916666668</v>
      </c>
      <c r="AS461" s="27"/>
      <c r="AT461" s="27"/>
      <c r="AU461" s="27"/>
      <c r="AV461" s="27"/>
      <c r="AW461" s="27">
        <f t="shared" si="143"/>
        <v>174109239.33333334</v>
      </c>
      <c r="AX461" s="79">
        <f t="shared" si="147"/>
        <v>5843892370.5</v>
      </c>
      <c r="AY461" s="79">
        <f t="shared" si="148"/>
        <v>685204104.5</v>
      </c>
      <c r="AZ461" s="25">
        <v>1</v>
      </c>
      <c r="BA461" s="62" t="s">
        <v>56</v>
      </c>
      <c r="BB461" s="66"/>
      <c r="BC461" s="66">
        <v>1</v>
      </c>
      <c r="BD461" s="66"/>
      <c r="BE461" s="67">
        <f t="shared" si="137"/>
        <v>0</v>
      </c>
      <c r="BF461" s="67">
        <f t="shared" si="142"/>
        <v>21763654.916666668</v>
      </c>
      <c r="BG461" s="67">
        <f t="shared" si="149"/>
        <v>0</v>
      </c>
      <c r="BH461" s="66"/>
      <c r="BI461" s="68" t="s">
        <v>1367</v>
      </c>
      <c r="BJ461" s="68" t="s">
        <v>58</v>
      </c>
      <c r="BK461" s="68" t="s">
        <v>58</v>
      </c>
      <c r="BL461" s="29"/>
      <c r="BO461" s="35" t="s">
        <v>1799</v>
      </c>
    </row>
    <row r="462" spans="3:68" ht="15" customHeight="1">
      <c r="C462" s="1" t="str">
        <f t="shared" si="144"/>
        <v>4701</v>
      </c>
      <c r="D462" s="1" t="str">
        <f t="shared" si="145"/>
        <v>2201</v>
      </c>
      <c r="E462" s="19" t="s">
        <v>1349</v>
      </c>
      <c r="F462" s="68" t="s">
        <v>1367</v>
      </c>
      <c r="G462" s="62">
        <v>2111</v>
      </c>
      <c r="H462" s="62" t="s">
        <v>1373</v>
      </c>
      <c r="I462" s="62" t="s">
        <v>1369</v>
      </c>
      <c r="J462" s="140">
        <v>1</v>
      </c>
      <c r="K462" s="119" t="s">
        <v>619</v>
      </c>
      <c r="L462" s="62" t="s">
        <v>62</v>
      </c>
      <c r="M462" s="120" t="s">
        <v>1370</v>
      </c>
      <c r="N462" s="65" t="s">
        <v>1371</v>
      </c>
      <c r="O462" s="24"/>
      <c r="P462" s="24"/>
      <c r="Q462" s="64">
        <v>2019667176</v>
      </c>
      <c r="R462" s="64"/>
      <c r="S462" s="64"/>
      <c r="T462" s="130"/>
      <c r="U462" s="139"/>
      <c r="V462" s="121">
        <v>2019667176</v>
      </c>
      <c r="W462" s="122">
        <v>0</v>
      </c>
      <c r="X462" s="64">
        <v>2019667176</v>
      </c>
      <c r="Y462" s="121"/>
      <c r="Z462" s="121"/>
      <c r="AA462" s="128"/>
      <c r="AB462" s="121"/>
      <c r="AC462" s="64">
        <v>2019667176</v>
      </c>
      <c r="AD462" s="63">
        <v>44578</v>
      </c>
      <c r="AE462" s="65">
        <v>53708</v>
      </c>
      <c r="AF462" s="62">
        <v>25</v>
      </c>
      <c r="AG462" s="119">
        <v>300</v>
      </c>
      <c r="AH462" s="25">
        <v>6732223.9199999999</v>
      </c>
      <c r="AI462" s="78">
        <v>158098679.20000002</v>
      </c>
      <c r="AJ462" s="78">
        <v>1861568496.8</v>
      </c>
      <c r="AK462" s="27">
        <f t="shared" si="146"/>
        <v>6732223.9199999999</v>
      </c>
      <c r="AL462" s="27">
        <f t="shared" si="150"/>
        <v>6732223.9199999999</v>
      </c>
      <c r="AM462" s="27">
        <f t="shared" si="150"/>
        <v>6732223.9199999999</v>
      </c>
      <c r="AN462" s="27">
        <f t="shared" si="138"/>
        <v>6732223.9199999999</v>
      </c>
      <c r="AO462" s="27">
        <f t="shared" si="139"/>
        <v>6732223.9199999999</v>
      </c>
      <c r="AP462" s="27">
        <f t="shared" si="139"/>
        <v>6732223.9199999999</v>
      </c>
      <c r="AQ462" s="27">
        <f t="shared" si="140"/>
        <v>6732223.9199999999</v>
      </c>
      <c r="AR462" s="27">
        <f t="shared" si="141"/>
        <v>6732223.9199999999</v>
      </c>
      <c r="AS462" s="27"/>
      <c r="AT462" s="27"/>
      <c r="AU462" s="27"/>
      <c r="AV462" s="27"/>
      <c r="AW462" s="27">
        <f t="shared" si="143"/>
        <v>53857791.360000007</v>
      </c>
      <c r="AX462" s="79">
        <f t="shared" si="147"/>
        <v>1807710705.4400001</v>
      </c>
      <c r="AY462" s="79">
        <f t="shared" si="148"/>
        <v>211956470.56000003</v>
      </c>
      <c r="AZ462" s="25">
        <v>1</v>
      </c>
      <c r="BA462" s="62" t="s">
        <v>56</v>
      </c>
      <c r="BB462" s="66"/>
      <c r="BC462" s="66">
        <v>1</v>
      </c>
      <c r="BD462" s="66"/>
      <c r="BE462" s="67">
        <f t="shared" si="137"/>
        <v>0</v>
      </c>
      <c r="BF462" s="67">
        <f t="shared" si="142"/>
        <v>6732223.9199999999</v>
      </c>
      <c r="BG462" s="67">
        <f t="shared" si="149"/>
        <v>0</v>
      </c>
      <c r="BH462" s="62" t="s">
        <v>1669</v>
      </c>
      <c r="BI462" s="68" t="s">
        <v>1624</v>
      </c>
      <c r="BJ462" s="68" t="s">
        <v>1438</v>
      </c>
      <c r="BK462" s="68" t="s">
        <v>1438</v>
      </c>
      <c r="BL462" s="29"/>
      <c r="BM462" s="3" t="s">
        <v>1665</v>
      </c>
      <c r="BN462" s="1" t="s">
        <v>1667</v>
      </c>
      <c r="BO462" s="35" t="s">
        <v>1799</v>
      </c>
    </row>
    <row r="463" spans="3:68" ht="15" customHeight="1">
      <c r="C463" s="1" t="str">
        <f t="shared" si="144"/>
        <v>4201</v>
      </c>
      <c r="D463" s="1" t="str">
        <f t="shared" si="145"/>
        <v>2201</v>
      </c>
      <c r="E463" s="19" t="s">
        <v>1349</v>
      </c>
      <c r="F463" s="68" t="s">
        <v>1367</v>
      </c>
      <c r="G463" s="62">
        <v>2111</v>
      </c>
      <c r="H463" s="62" t="s">
        <v>1374</v>
      </c>
      <c r="I463" s="62" t="s">
        <v>1369</v>
      </c>
      <c r="J463" s="140">
        <v>1</v>
      </c>
      <c r="K463" s="119" t="s">
        <v>619</v>
      </c>
      <c r="L463" s="62" t="s">
        <v>62</v>
      </c>
      <c r="M463" s="120" t="s">
        <v>1370</v>
      </c>
      <c r="N463" s="65" t="s">
        <v>1371</v>
      </c>
      <c r="O463" s="24"/>
      <c r="P463" s="24"/>
      <c r="Q463" s="64">
        <v>496131079</v>
      </c>
      <c r="R463" s="64"/>
      <c r="S463" s="64"/>
      <c r="T463" s="130"/>
      <c r="U463" s="139"/>
      <c r="V463" s="121">
        <v>496131079</v>
      </c>
      <c r="W463" s="122">
        <v>0</v>
      </c>
      <c r="X463" s="64">
        <v>496131079</v>
      </c>
      <c r="Y463" s="121"/>
      <c r="Z463" s="121"/>
      <c r="AA463" s="128"/>
      <c r="AB463" s="121"/>
      <c r="AC463" s="64">
        <v>496131079</v>
      </c>
      <c r="AD463" s="63">
        <v>44578</v>
      </c>
      <c r="AE463" s="65">
        <v>51882</v>
      </c>
      <c r="AF463" s="62">
        <v>20</v>
      </c>
      <c r="AG463" s="119">
        <v>240</v>
      </c>
      <c r="AH463" s="25">
        <v>2067212.8291666666</v>
      </c>
      <c r="AI463" s="78">
        <v>48546161.291666657</v>
      </c>
      <c r="AJ463" s="78">
        <v>447584917.70833331</v>
      </c>
      <c r="AK463" s="27">
        <f t="shared" si="146"/>
        <v>2067212.8291666666</v>
      </c>
      <c r="AL463" s="27">
        <f t="shared" si="150"/>
        <v>2067212.8291666666</v>
      </c>
      <c r="AM463" s="27">
        <f t="shared" si="150"/>
        <v>2067212.8291666666</v>
      </c>
      <c r="AN463" s="27">
        <f t="shared" si="138"/>
        <v>2067212.8291666666</v>
      </c>
      <c r="AO463" s="27">
        <f t="shared" si="139"/>
        <v>2067212.8291666666</v>
      </c>
      <c r="AP463" s="27">
        <f t="shared" si="139"/>
        <v>2067212.8291666666</v>
      </c>
      <c r="AQ463" s="27">
        <f t="shared" si="140"/>
        <v>2067212.8291666666</v>
      </c>
      <c r="AR463" s="27">
        <f t="shared" si="141"/>
        <v>2067212.8291666666</v>
      </c>
      <c r="AS463" s="27"/>
      <c r="AT463" s="27"/>
      <c r="AU463" s="27"/>
      <c r="AV463" s="27"/>
      <c r="AW463" s="27">
        <f t="shared" si="143"/>
        <v>16537702.633333329</v>
      </c>
      <c r="AX463" s="79">
        <f t="shared" si="147"/>
        <v>431047215.07500005</v>
      </c>
      <c r="AY463" s="79">
        <f t="shared" si="148"/>
        <v>65083863.924999982</v>
      </c>
      <c r="AZ463" s="25">
        <v>1</v>
      </c>
      <c r="BA463" s="62" t="s">
        <v>56</v>
      </c>
      <c r="BB463" s="66"/>
      <c r="BC463" s="66">
        <v>1</v>
      </c>
      <c r="BD463" s="66"/>
      <c r="BE463" s="67">
        <f t="shared" si="137"/>
        <v>0</v>
      </c>
      <c r="BF463" s="67">
        <f t="shared" si="142"/>
        <v>2067212.8291666666</v>
      </c>
      <c r="BG463" s="67">
        <f t="shared" si="149"/>
        <v>0</v>
      </c>
      <c r="BH463" s="66"/>
      <c r="BI463" s="68" t="s">
        <v>1367</v>
      </c>
      <c r="BJ463" s="68" t="s">
        <v>58</v>
      </c>
      <c r="BK463" s="68" t="s">
        <v>58</v>
      </c>
      <c r="BL463" s="29"/>
      <c r="BO463" s="35" t="s">
        <v>1799</v>
      </c>
    </row>
    <row r="464" spans="3:68" ht="15" customHeight="1">
      <c r="C464" s="1" t="str">
        <f t="shared" si="144"/>
        <v>4701</v>
      </c>
      <c r="D464" s="1" t="str">
        <f t="shared" si="145"/>
        <v>2201</v>
      </c>
      <c r="E464" s="19" t="s">
        <v>1349</v>
      </c>
      <c r="F464" s="68" t="s">
        <v>1367</v>
      </c>
      <c r="G464" s="62">
        <v>2111</v>
      </c>
      <c r="H464" s="62" t="s">
        <v>1375</v>
      </c>
      <c r="I464" s="62" t="s">
        <v>1376</v>
      </c>
      <c r="J464" s="140">
        <v>1</v>
      </c>
      <c r="K464" s="119" t="s">
        <v>619</v>
      </c>
      <c r="L464" s="138" t="s">
        <v>1377</v>
      </c>
      <c r="M464" s="120" t="s">
        <v>1378</v>
      </c>
      <c r="N464" s="65">
        <v>44377</v>
      </c>
      <c r="O464" s="24"/>
      <c r="P464" s="24"/>
      <c r="Q464" s="64">
        <v>301797200</v>
      </c>
      <c r="R464" s="64"/>
      <c r="S464" s="64"/>
      <c r="T464" s="130"/>
      <c r="U464" s="139"/>
      <c r="V464" s="121">
        <v>301797200</v>
      </c>
      <c r="W464" s="122">
        <v>0</v>
      </c>
      <c r="X464" s="64">
        <v>301797200</v>
      </c>
      <c r="Y464" s="121"/>
      <c r="Z464" s="121"/>
      <c r="AA464" s="128"/>
      <c r="AB464" s="121"/>
      <c r="AC464" s="64">
        <v>301797200</v>
      </c>
      <c r="AD464" s="63">
        <v>44578</v>
      </c>
      <c r="AE464" s="65">
        <v>53708</v>
      </c>
      <c r="AF464" s="62">
        <v>25</v>
      </c>
      <c r="AG464" s="119">
        <v>300</v>
      </c>
      <c r="AH464" s="25">
        <v>1005990.6666666666</v>
      </c>
      <c r="AI464" s="78">
        <v>23624559.666666664</v>
      </c>
      <c r="AJ464" s="78">
        <v>278172640.33333331</v>
      </c>
      <c r="AK464" s="27">
        <f t="shared" si="146"/>
        <v>1005990.6666666666</v>
      </c>
      <c r="AL464" s="27">
        <f t="shared" si="150"/>
        <v>1005990.6666666666</v>
      </c>
      <c r="AM464" s="27">
        <f t="shared" si="150"/>
        <v>1005990.6666666666</v>
      </c>
      <c r="AN464" s="27">
        <f t="shared" si="138"/>
        <v>1005990.6666666666</v>
      </c>
      <c r="AO464" s="27">
        <f t="shared" si="139"/>
        <v>1005990.6666666666</v>
      </c>
      <c r="AP464" s="27">
        <f t="shared" si="139"/>
        <v>1005990.6666666666</v>
      </c>
      <c r="AQ464" s="27">
        <f t="shared" si="140"/>
        <v>1005990.6666666666</v>
      </c>
      <c r="AR464" s="27">
        <f t="shared" si="141"/>
        <v>1005990.6666666666</v>
      </c>
      <c r="AS464" s="27"/>
      <c r="AT464" s="27"/>
      <c r="AU464" s="27"/>
      <c r="AV464" s="27"/>
      <c r="AW464" s="27">
        <f t="shared" si="143"/>
        <v>8047925.333333334</v>
      </c>
      <c r="AX464" s="79">
        <f t="shared" si="147"/>
        <v>270124715</v>
      </c>
      <c r="AY464" s="79">
        <f t="shared" si="148"/>
        <v>31672485</v>
      </c>
      <c r="AZ464" s="25">
        <v>1</v>
      </c>
      <c r="BA464" s="62" t="s">
        <v>56</v>
      </c>
      <c r="BB464" s="66"/>
      <c r="BC464" s="66">
        <v>1</v>
      </c>
      <c r="BD464" s="66"/>
      <c r="BE464" s="67">
        <f t="shared" si="137"/>
        <v>0</v>
      </c>
      <c r="BF464" s="67">
        <f t="shared" si="142"/>
        <v>1005990.6666666666</v>
      </c>
      <c r="BG464" s="67">
        <f t="shared" si="149"/>
        <v>0</v>
      </c>
      <c r="BH464" s="66"/>
      <c r="BI464" s="68" t="s">
        <v>1367</v>
      </c>
      <c r="BJ464" s="68" t="s">
        <v>58</v>
      </c>
      <c r="BK464" s="68" t="s">
        <v>58</v>
      </c>
      <c r="BL464" s="29"/>
      <c r="BO464" s="35" t="s">
        <v>1799</v>
      </c>
    </row>
    <row r="465" spans="3:68" ht="15" customHeight="1">
      <c r="C465" s="1" t="str">
        <f t="shared" si="144"/>
        <v>2801</v>
      </c>
      <c r="D465" s="1" t="str">
        <f t="shared" si="145"/>
        <v>2201</v>
      </c>
      <c r="E465" s="19" t="s">
        <v>1349</v>
      </c>
      <c r="F465" s="68" t="s">
        <v>1367</v>
      </c>
      <c r="G465" s="62">
        <v>2114</v>
      </c>
      <c r="H465" s="62" t="s">
        <v>1379</v>
      </c>
      <c r="I465" s="62" t="s">
        <v>1380</v>
      </c>
      <c r="J465" s="140">
        <v>1</v>
      </c>
      <c r="K465" s="119" t="s">
        <v>619</v>
      </c>
      <c r="L465" s="138" t="s">
        <v>1377</v>
      </c>
      <c r="M465" s="120" t="s">
        <v>1378</v>
      </c>
      <c r="N465" s="65">
        <v>44377</v>
      </c>
      <c r="O465" s="24"/>
      <c r="P465" s="24"/>
      <c r="Q465" s="64">
        <v>160800000</v>
      </c>
      <c r="R465" s="64"/>
      <c r="S465" s="64"/>
      <c r="T465" s="130"/>
      <c r="U465" s="139"/>
      <c r="V465" s="121">
        <v>160800000</v>
      </c>
      <c r="W465" s="122">
        <v>0</v>
      </c>
      <c r="X465" s="64">
        <v>160800000</v>
      </c>
      <c r="Y465" s="121"/>
      <c r="Z465" s="121"/>
      <c r="AA465" s="128"/>
      <c r="AB465" s="121"/>
      <c r="AC465" s="64">
        <v>160800000</v>
      </c>
      <c r="AD465" s="63">
        <v>44578</v>
      </c>
      <c r="AE465" s="65">
        <v>46768</v>
      </c>
      <c r="AF465" s="62">
        <v>6</v>
      </c>
      <c r="AG465" s="119">
        <v>72</v>
      </c>
      <c r="AH465" s="25">
        <v>2233333.3333333335</v>
      </c>
      <c r="AI465" s="78">
        <v>52447307.333333328</v>
      </c>
      <c r="AJ465" s="78">
        <v>108352692.66666667</v>
      </c>
      <c r="AK465" s="27">
        <f t="shared" si="146"/>
        <v>2233333.3333333335</v>
      </c>
      <c r="AL465" s="27">
        <f t="shared" si="150"/>
        <v>2233333.3333333335</v>
      </c>
      <c r="AM465" s="27">
        <f t="shared" si="150"/>
        <v>2233333.3333333335</v>
      </c>
      <c r="AN465" s="27">
        <f t="shared" si="138"/>
        <v>2233333.3333333335</v>
      </c>
      <c r="AO465" s="27">
        <f t="shared" si="139"/>
        <v>2233333.3333333335</v>
      </c>
      <c r="AP465" s="27">
        <f t="shared" si="139"/>
        <v>2233333.3333333335</v>
      </c>
      <c r="AQ465" s="27">
        <f t="shared" si="140"/>
        <v>2233333.3333333335</v>
      </c>
      <c r="AR465" s="27">
        <f t="shared" si="141"/>
        <v>2233333.3333333335</v>
      </c>
      <c r="AS465" s="27"/>
      <c r="AT465" s="27"/>
      <c r="AU465" s="27"/>
      <c r="AV465" s="27"/>
      <c r="AW465" s="27">
        <f t="shared" si="143"/>
        <v>17866666.666666668</v>
      </c>
      <c r="AX465" s="79">
        <f t="shared" si="147"/>
        <v>90486026</v>
      </c>
      <c r="AY465" s="79">
        <f t="shared" si="148"/>
        <v>70313974</v>
      </c>
      <c r="AZ465" s="25">
        <v>1</v>
      </c>
      <c r="BA465" s="62" t="s">
        <v>56</v>
      </c>
      <c r="BB465" s="66"/>
      <c r="BC465" s="66">
        <v>1</v>
      </c>
      <c r="BD465" s="66"/>
      <c r="BE465" s="67">
        <f t="shared" si="137"/>
        <v>0</v>
      </c>
      <c r="BF465" s="67">
        <f t="shared" si="142"/>
        <v>2233333.3333333335</v>
      </c>
      <c r="BG465" s="67">
        <f t="shared" si="149"/>
        <v>0</v>
      </c>
      <c r="BH465" s="66"/>
      <c r="BI465" s="68" t="s">
        <v>1367</v>
      </c>
      <c r="BJ465" s="68" t="s">
        <v>58</v>
      </c>
      <c r="BK465" s="68" t="s">
        <v>58</v>
      </c>
      <c r="BL465" s="29"/>
      <c r="BO465" s="35" t="s">
        <v>1799</v>
      </c>
    </row>
    <row r="466" spans="3:68" ht="15" customHeight="1">
      <c r="C466" s="1" t="str">
        <f t="shared" si="144"/>
        <v>4701</v>
      </c>
      <c r="D466" s="1" t="str">
        <f t="shared" si="145"/>
        <v>2201</v>
      </c>
      <c r="E466" s="19" t="s">
        <v>1349</v>
      </c>
      <c r="F466" s="68" t="s">
        <v>1367</v>
      </c>
      <c r="G466" s="62">
        <v>2111</v>
      </c>
      <c r="H466" s="62" t="s">
        <v>1381</v>
      </c>
      <c r="I466" s="62" t="s">
        <v>1382</v>
      </c>
      <c r="J466" s="140">
        <v>1</v>
      </c>
      <c r="K466" s="119" t="s">
        <v>619</v>
      </c>
      <c r="L466" s="138" t="s">
        <v>1383</v>
      </c>
      <c r="M466" s="120" t="s">
        <v>1384</v>
      </c>
      <c r="N466" s="65">
        <v>44377</v>
      </c>
      <c r="O466" s="24"/>
      <c r="P466" s="24"/>
      <c r="Q466" s="64">
        <v>97717000</v>
      </c>
      <c r="R466" s="64"/>
      <c r="S466" s="64"/>
      <c r="T466" s="130"/>
      <c r="U466" s="139"/>
      <c r="V466" s="121">
        <v>97717000</v>
      </c>
      <c r="W466" s="122">
        <v>0</v>
      </c>
      <c r="X466" s="64">
        <v>97717000</v>
      </c>
      <c r="Y466" s="121"/>
      <c r="Z466" s="121"/>
      <c r="AA466" s="128"/>
      <c r="AB466" s="121"/>
      <c r="AC466" s="64">
        <v>97717000</v>
      </c>
      <c r="AD466" s="63">
        <v>44578</v>
      </c>
      <c r="AE466" s="65">
        <v>53708</v>
      </c>
      <c r="AF466" s="62">
        <v>25</v>
      </c>
      <c r="AG466" s="119">
        <v>300</v>
      </c>
      <c r="AH466" s="25">
        <v>325723.33333333331</v>
      </c>
      <c r="AI466" s="78">
        <v>7649240.333333334</v>
      </c>
      <c r="AJ466" s="78">
        <v>90067759.666666672</v>
      </c>
      <c r="AK466" s="27">
        <f t="shared" si="146"/>
        <v>325723.33333333331</v>
      </c>
      <c r="AL466" s="27">
        <f t="shared" si="150"/>
        <v>325723.33333333331</v>
      </c>
      <c r="AM466" s="27">
        <f t="shared" si="150"/>
        <v>325723.33333333331</v>
      </c>
      <c r="AN466" s="27">
        <f t="shared" si="138"/>
        <v>325723.33333333331</v>
      </c>
      <c r="AO466" s="27">
        <f t="shared" si="139"/>
        <v>325723.33333333331</v>
      </c>
      <c r="AP466" s="27">
        <f t="shared" si="139"/>
        <v>325723.33333333331</v>
      </c>
      <c r="AQ466" s="27">
        <f t="shared" si="140"/>
        <v>325723.33333333331</v>
      </c>
      <c r="AR466" s="27">
        <f t="shared" si="141"/>
        <v>325723.33333333331</v>
      </c>
      <c r="AS466" s="27"/>
      <c r="AT466" s="27"/>
      <c r="AU466" s="27"/>
      <c r="AV466" s="27"/>
      <c r="AW466" s="27">
        <f t="shared" si="143"/>
        <v>2605786.6666666665</v>
      </c>
      <c r="AX466" s="79">
        <f t="shared" si="147"/>
        <v>87461973</v>
      </c>
      <c r="AY466" s="79">
        <f t="shared" si="148"/>
        <v>10255027</v>
      </c>
      <c r="AZ466" s="25">
        <v>1</v>
      </c>
      <c r="BA466" s="62" t="s">
        <v>56</v>
      </c>
      <c r="BB466" s="66"/>
      <c r="BC466" s="66">
        <v>1</v>
      </c>
      <c r="BD466" s="66"/>
      <c r="BE466" s="67">
        <f t="shared" si="137"/>
        <v>0</v>
      </c>
      <c r="BF466" s="67">
        <f t="shared" si="142"/>
        <v>325723.33333333331</v>
      </c>
      <c r="BG466" s="67">
        <f t="shared" si="149"/>
        <v>0</v>
      </c>
      <c r="BH466" s="62" t="s">
        <v>1668</v>
      </c>
      <c r="BI466" s="19" t="s">
        <v>1624</v>
      </c>
      <c r="BJ466" s="68" t="s">
        <v>1438</v>
      </c>
      <c r="BK466" s="68" t="s">
        <v>1438</v>
      </c>
      <c r="BL466" s="29"/>
      <c r="BM466" s="3" t="s">
        <v>1664</v>
      </c>
      <c r="BN466" s="1" t="s">
        <v>1666</v>
      </c>
      <c r="BO466" s="35" t="s">
        <v>1799</v>
      </c>
    </row>
    <row r="467" spans="3:68" ht="15" customHeight="1">
      <c r="C467" s="1" t="str">
        <f t="shared" si="144"/>
        <v>2501</v>
      </c>
      <c r="D467" s="1" t="str">
        <f t="shared" si="145"/>
        <v>2201</v>
      </c>
      <c r="E467" s="19" t="s">
        <v>1349</v>
      </c>
      <c r="F467" s="68" t="s">
        <v>1385</v>
      </c>
      <c r="G467" s="62">
        <v>2112</v>
      </c>
      <c r="H467" s="62" t="s">
        <v>1386</v>
      </c>
      <c r="I467" s="62" t="s">
        <v>1387</v>
      </c>
      <c r="J467" s="140">
        <v>1</v>
      </c>
      <c r="K467" s="119" t="s">
        <v>619</v>
      </c>
      <c r="L467" s="138" t="s">
        <v>1388</v>
      </c>
      <c r="M467" s="120" t="s">
        <v>1389</v>
      </c>
      <c r="N467" s="65">
        <v>44590</v>
      </c>
      <c r="O467" s="24"/>
      <c r="P467" s="24"/>
      <c r="Q467" s="64">
        <v>83600000</v>
      </c>
      <c r="R467" s="64"/>
      <c r="S467" s="64"/>
      <c r="T467" s="130"/>
      <c r="U467" s="139"/>
      <c r="V467" s="121">
        <v>83600000</v>
      </c>
      <c r="W467" s="122">
        <v>0</v>
      </c>
      <c r="X467" s="64">
        <v>83600000</v>
      </c>
      <c r="Y467" s="121"/>
      <c r="Z467" s="121"/>
      <c r="AA467" s="128"/>
      <c r="AB467" s="121"/>
      <c r="AC467" s="64">
        <v>83600000</v>
      </c>
      <c r="AD467" s="63">
        <v>44590</v>
      </c>
      <c r="AE467" s="65">
        <v>45685</v>
      </c>
      <c r="AF467" s="62">
        <v>3</v>
      </c>
      <c r="AG467" s="119">
        <v>36</v>
      </c>
      <c r="AH467" s="25">
        <v>2322222.222222222</v>
      </c>
      <c r="AI467" s="78">
        <v>53635839.222222224</v>
      </c>
      <c r="AJ467" s="78">
        <v>29964160.777777776</v>
      </c>
      <c r="AK467" s="27">
        <f t="shared" si="146"/>
        <v>2322222.222222222</v>
      </c>
      <c r="AL467" s="27">
        <f t="shared" si="150"/>
        <v>2322222.222222222</v>
      </c>
      <c r="AM467" s="27">
        <f t="shared" si="150"/>
        <v>2322222.222222222</v>
      </c>
      <c r="AN467" s="27">
        <f t="shared" si="138"/>
        <v>2322222.222222222</v>
      </c>
      <c r="AO467" s="27">
        <f t="shared" si="139"/>
        <v>2322222.222222222</v>
      </c>
      <c r="AP467" s="27">
        <f t="shared" si="139"/>
        <v>2322222.222222222</v>
      </c>
      <c r="AQ467" s="27">
        <f t="shared" si="140"/>
        <v>2322222.222222222</v>
      </c>
      <c r="AR467" s="27">
        <f t="shared" si="141"/>
        <v>2322222.222222222</v>
      </c>
      <c r="AS467" s="27"/>
      <c r="AT467" s="27"/>
      <c r="AU467" s="27"/>
      <c r="AV467" s="27"/>
      <c r="AW467" s="27">
        <f t="shared" si="143"/>
        <v>18577777.777777776</v>
      </c>
      <c r="AX467" s="79">
        <f t="shared" si="147"/>
        <v>11386383</v>
      </c>
      <c r="AY467" s="79">
        <f t="shared" si="148"/>
        <v>72213617</v>
      </c>
      <c r="AZ467" s="25">
        <v>1</v>
      </c>
      <c r="BA467" s="62" t="s">
        <v>79</v>
      </c>
      <c r="BB467" s="66">
        <v>1</v>
      </c>
      <c r="BC467" s="66"/>
      <c r="BD467" s="66"/>
      <c r="BE467" s="67">
        <f t="shared" si="137"/>
        <v>2322222.222222222</v>
      </c>
      <c r="BF467" s="67">
        <f t="shared" si="142"/>
        <v>0</v>
      </c>
      <c r="BG467" s="67">
        <f t="shared" si="149"/>
        <v>0</v>
      </c>
      <c r="BH467" s="66"/>
      <c r="BI467" s="68" t="s">
        <v>1390</v>
      </c>
      <c r="BJ467" s="68" t="s">
        <v>117</v>
      </c>
      <c r="BK467" s="68" t="s">
        <v>117</v>
      </c>
      <c r="BL467" s="29"/>
      <c r="BO467" s="35" t="s">
        <v>1807</v>
      </c>
    </row>
    <row r="468" spans="3:68" ht="15" customHeight="1">
      <c r="C468" s="1" t="str">
        <f t="shared" si="144"/>
        <v>2501</v>
      </c>
      <c r="D468" s="1" t="str">
        <f t="shared" si="145"/>
        <v>2201</v>
      </c>
      <c r="E468" s="19" t="s">
        <v>1349</v>
      </c>
      <c r="F468" s="68" t="s">
        <v>1385</v>
      </c>
      <c r="G468" s="62">
        <v>2112</v>
      </c>
      <c r="H468" s="62" t="s">
        <v>1391</v>
      </c>
      <c r="I468" s="62" t="s">
        <v>1392</v>
      </c>
      <c r="J468" s="140">
        <v>1</v>
      </c>
      <c r="K468" s="119" t="s">
        <v>619</v>
      </c>
      <c r="L468" s="138" t="s">
        <v>1388</v>
      </c>
      <c r="M468" s="120" t="s">
        <v>1389</v>
      </c>
      <c r="N468" s="65">
        <v>44590</v>
      </c>
      <c r="O468" s="24"/>
      <c r="P468" s="24"/>
      <c r="Q468" s="64">
        <v>85000000</v>
      </c>
      <c r="R468" s="64"/>
      <c r="S468" s="64"/>
      <c r="T468" s="130"/>
      <c r="U468" s="139"/>
      <c r="V468" s="121">
        <v>85000000</v>
      </c>
      <c r="W468" s="122">
        <v>0</v>
      </c>
      <c r="X468" s="64">
        <v>85000000</v>
      </c>
      <c r="Y468" s="121"/>
      <c r="Z468" s="121"/>
      <c r="AA468" s="128"/>
      <c r="AB468" s="121"/>
      <c r="AC468" s="64">
        <v>85000000</v>
      </c>
      <c r="AD468" s="63">
        <v>44590</v>
      </c>
      <c r="AE468" s="65">
        <v>45685</v>
      </c>
      <c r="AF468" s="62">
        <v>3</v>
      </c>
      <c r="AG468" s="119">
        <v>36</v>
      </c>
      <c r="AH468" s="25">
        <v>2361111.111111111</v>
      </c>
      <c r="AI468" s="78">
        <v>54534049.111111119</v>
      </c>
      <c r="AJ468" s="78">
        <v>30465950.888888884</v>
      </c>
      <c r="AK468" s="27">
        <f t="shared" si="146"/>
        <v>2361111.111111111</v>
      </c>
      <c r="AL468" s="27">
        <f t="shared" si="150"/>
        <v>2361111.111111111</v>
      </c>
      <c r="AM468" s="27">
        <f t="shared" si="150"/>
        <v>2361111.111111111</v>
      </c>
      <c r="AN468" s="27">
        <f t="shared" si="138"/>
        <v>2361111.111111111</v>
      </c>
      <c r="AO468" s="27">
        <f t="shared" si="139"/>
        <v>2361111.111111111</v>
      </c>
      <c r="AP468" s="27">
        <f t="shared" si="139"/>
        <v>2361111.111111111</v>
      </c>
      <c r="AQ468" s="27">
        <f t="shared" si="140"/>
        <v>2361111.111111111</v>
      </c>
      <c r="AR468" s="27">
        <f t="shared" si="141"/>
        <v>2361111.111111111</v>
      </c>
      <c r="AS468" s="27"/>
      <c r="AT468" s="27"/>
      <c r="AU468" s="27"/>
      <c r="AV468" s="27"/>
      <c r="AW468" s="27">
        <f t="shared" si="143"/>
        <v>18888888.888888892</v>
      </c>
      <c r="AX468" s="79">
        <f t="shared" si="147"/>
        <v>11577061.999999989</v>
      </c>
      <c r="AY468" s="79">
        <f t="shared" si="148"/>
        <v>73422938.000000015</v>
      </c>
      <c r="AZ468" s="25">
        <v>1</v>
      </c>
      <c r="BA468" s="62" t="s">
        <v>79</v>
      </c>
      <c r="BB468" s="66">
        <v>1</v>
      </c>
      <c r="BC468" s="66"/>
      <c r="BD468" s="66"/>
      <c r="BE468" s="67">
        <f t="shared" si="137"/>
        <v>2361111.111111111</v>
      </c>
      <c r="BF468" s="67">
        <f t="shared" si="142"/>
        <v>0</v>
      </c>
      <c r="BG468" s="67">
        <f t="shared" si="149"/>
        <v>0</v>
      </c>
      <c r="BH468" s="66"/>
      <c r="BI468" s="68" t="s">
        <v>1390</v>
      </c>
      <c r="BJ468" s="68" t="s">
        <v>117</v>
      </c>
      <c r="BK468" s="68" t="s">
        <v>117</v>
      </c>
      <c r="BL468" s="29"/>
      <c r="BO468" s="35" t="s">
        <v>1807</v>
      </c>
    </row>
    <row r="469" spans="3:68" ht="15" customHeight="1">
      <c r="C469" s="1" t="str">
        <f t="shared" si="144"/>
        <v>2801</v>
      </c>
      <c r="D469" s="1" t="str">
        <f t="shared" si="145"/>
        <v>2201</v>
      </c>
      <c r="E469" s="19" t="s">
        <v>1349</v>
      </c>
      <c r="F469" s="68" t="s">
        <v>1367</v>
      </c>
      <c r="G469" s="62">
        <v>2113</v>
      </c>
      <c r="H469" s="62" t="s">
        <v>1393</v>
      </c>
      <c r="I469" s="62" t="s">
        <v>1394</v>
      </c>
      <c r="J469" s="140">
        <v>1</v>
      </c>
      <c r="K469" s="119" t="s">
        <v>619</v>
      </c>
      <c r="L469" s="138" t="s">
        <v>1395</v>
      </c>
      <c r="M469" s="120" t="s">
        <v>1396</v>
      </c>
      <c r="N469" s="65">
        <v>44574</v>
      </c>
      <c r="O469" s="24"/>
      <c r="P469" s="24"/>
      <c r="Q469" s="64">
        <v>414200000</v>
      </c>
      <c r="R469" s="64"/>
      <c r="S469" s="64"/>
      <c r="T469" s="130"/>
      <c r="U469" s="139"/>
      <c r="V469" s="121">
        <v>414200000</v>
      </c>
      <c r="W469" s="122">
        <v>0</v>
      </c>
      <c r="X469" s="64">
        <v>414200000</v>
      </c>
      <c r="Y469" s="121"/>
      <c r="Z469" s="121"/>
      <c r="AA469" s="128"/>
      <c r="AB469" s="121"/>
      <c r="AC469" s="64">
        <v>414200000</v>
      </c>
      <c r="AD469" s="63">
        <v>44574</v>
      </c>
      <c r="AE469" s="65">
        <v>46764</v>
      </c>
      <c r="AF469" s="62">
        <v>6</v>
      </c>
      <c r="AG469" s="119">
        <v>72</v>
      </c>
      <c r="AH469" s="25">
        <v>5752777.777777778</v>
      </c>
      <c r="AI469" s="78">
        <v>135839787.77777776</v>
      </c>
      <c r="AJ469" s="78">
        <v>278360212.22222221</v>
      </c>
      <c r="AK469" s="27">
        <f t="shared" si="146"/>
        <v>5752777.777777778</v>
      </c>
      <c r="AL469" s="27">
        <f t="shared" si="150"/>
        <v>5752777.777777778</v>
      </c>
      <c r="AM469" s="27">
        <f t="shared" si="150"/>
        <v>5752777.777777778</v>
      </c>
      <c r="AN469" s="27">
        <f t="shared" si="138"/>
        <v>5752777.777777778</v>
      </c>
      <c r="AO469" s="27">
        <f t="shared" si="139"/>
        <v>5752777.777777778</v>
      </c>
      <c r="AP469" s="27">
        <f t="shared" si="139"/>
        <v>5752777.777777778</v>
      </c>
      <c r="AQ469" s="27">
        <f t="shared" si="140"/>
        <v>5752777.777777778</v>
      </c>
      <c r="AR469" s="27">
        <f t="shared" si="141"/>
        <v>5752777.777777778</v>
      </c>
      <c r="AS469" s="27"/>
      <c r="AT469" s="27"/>
      <c r="AU469" s="27"/>
      <c r="AV469" s="27"/>
      <c r="AW469" s="27">
        <f t="shared" si="143"/>
        <v>46022222.222222216</v>
      </c>
      <c r="AX469" s="79">
        <f t="shared" si="147"/>
        <v>232337990</v>
      </c>
      <c r="AY469" s="79">
        <f t="shared" si="148"/>
        <v>181862009.99999997</v>
      </c>
      <c r="AZ469" s="25">
        <v>1</v>
      </c>
      <c r="BA469" s="62" t="s">
        <v>275</v>
      </c>
      <c r="BB469" s="66">
        <v>1</v>
      </c>
      <c r="BC469" s="66"/>
      <c r="BD469" s="66"/>
      <c r="BE469" s="67">
        <f t="shared" si="137"/>
        <v>5752777.777777778</v>
      </c>
      <c r="BF469" s="67">
        <f t="shared" si="142"/>
        <v>0</v>
      </c>
      <c r="BG469" s="67">
        <f t="shared" si="149"/>
        <v>0</v>
      </c>
      <c r="BH469" s="66"/>
      <c r="BI469" s="68" t="s">
        <v>1367</v>
      </c>
      <c r="BJ469" s="68" t="s">
        <v>117</v>
      </c>
      <c r="BK469" s="68" t="s">
        <v>117</v>
      </c>
      <c r="BL469" s="29"/>
      <c r="BO469" s="35" t="s">
        <v>1799</v>
      </c>
    </row>
    <row r="470" spans="3:68" ht="15" customHeight="1">
      <c r="C470" s="1" t="str">
        <f t="shared" si="144"/>
        <v>2812</v>
      </c>
      <c r="D470" s="1" t="str">
        <f t="shared" si="145"/>
        <v>2201</v>
      </c>
      <c r="E470" s="19" t="s">
        <v>1349</v>
      </c>
      <c r="F470" s="62" t="s">
        <v>1896</v>
      </c>
      <c r="G470" s="62">
        <v>2112</v>
      </c>
      <c r="H470" s="62" t="s">
        <v>1397</v>
      </c>
      <c r="I470" s="62" t="s">
        <v>1398</v>
      </c>
      <c r="J470" s="140">
        <v>1</v>
      </c>
      <c r="K470" s="119"/>
      <c r="L470" s="62" t="s">
        <v>77</v>
      </c>
      <c r="M470" s="120" t="s">
        <v>320</v>
      </c>
      <c r="N470" s="65">
        <v>43565</v>
      </c>
      <c r="O470" s="24">
        <v>18011.22</v>
      </c>
      <c r="P470" s="24">
        <v>23251</v>
      </c>
      <c r="Q470" s="64">
        <v>418778876.22000003</v>
      </c>
      <c r="R470" s="64"/>
      <c r="S470" s="64"/>
      <c r="T470" s="130">
        <v>285990.39299999998</v>
      </c>
      <c r="U470" s="139" t="s">
        <v>321</v>
      </c>
      <c r="V470" s="121">
        <v>419064866.61299998</v>
      </c>
      <c r="W470" s="122">
        <v>0</v>
      </c>
      <c r="X470" s="64">
        <v>419064866.61300004</v>
      </c>
      <c r="Y470" s="121"/>
      <c r="Z470" s="121"/>
      <c r="AA470" s="128"/>
      <c r="AB470" s="121"/>
      <c r="AC470" s="64">
        <v>419064866.61300004</v>
      </c>
      <c r="AD470" s="63">
        <v>44562</v>
      </c>
      <c r="AE470" s="65">
        <v>47118</v>
      </c>
      <c r="AF470" s="62">
        <v>7</v>
      </c>
      <c r="AG470" s="119">
        <v>84</v>
      </c>
      <c r="AH470" s="25">
        <v>4988867.4596785717</v>
      </c>
      <c r="AI470" s="78">
        <v>119732812.59678574</v>
      </c>
      <c r="AJ470" s="78">
        <v>299332054.01621431</v>
      </c>
      <c r="AK470" s="27">
        <f t="shared" si="146"/>
        <v>4988867.4596785717</v>
      </c>
      <c r="AL470" s="27">
        <f t="shared" si="150"/>
        <v>4988867.4596785717</v>
      </c>
      <c r="AM470" s="27">
        <f t="shared" si="150"/>
        <v>4988867.4596785717</v>
      </c>
      <c r="AN470" s="27">
        <f t="shared" si="138"/>
        <v>4988867.4596785717</v>
      </c>
      <c r="AO470" s="27">
        <f t="shared" si="139"/>
        <v>4988867.4596785717</v>
      </c>
      <c r="AP470" s="27">
        <f t="shared" si="139"/>
        <v>4988867.4596785717</v>
      </c>
      <c r="AQ470" s="27">
        <f t="shared" si="140"/>
        <v>4988867.4596785717</v>
      </c>
      <c r="AR470" s="27">
        <f t="shared" si="141"/>
        <v>4988867.4596785717</v>
      </c>
      <c r="AS470" s="27"/>
      <c r="AT470" s="27"/>
      <c r="AU470" s="27"/>
      <c r="AV470" s="27"/>
      <c r="AW470" s="27">
        <f t="shared" si="143"/>
        <v>39910939.677428573</v>
      </c>
      <c r="AX470" s="79">
        <f t="shared" si="147"/>
        <v>259421114.33878574</v>
      </c>
      <c r="AY470" s="79">
        <f t="shared" si="148"/>
        <v>159643752.27421433</v>
      </c>
      <c r="AZ470" s="25">
        <v>1</v>
      </c>
      <c r="BA470" s="62" t="s">
        <v>97</v>
      </c>
      <c r="BB470" s="66">
        <v>1</v>
      </c>
      <c r="BC470" s="66"/>
      <c r="BD470" s="66"/>
      <c r="BE470" s="67">
        <f t="shared" si="137"/>
        <v>4988867.4596785717</v>
      </c>
      <c r="BF470" s="67">
        <f t="shared" si="142"/>
        <v>0</v>
      </c>
      <c r="BG470" s="67">
        <f t="shared" si="149"/>
        <v>0</v>
      </c>
      <c r="BH470" s="66"/>
      <c r="BI470" s="68" t="s">
        <v>117</v>
      </c>
      <c r="BJ470" s="68" t="s">
        <v>1989</v>
      </c>
      <c r="BK470" s="68" t="s">
        <v>1929</v>
      </c>
      <c r="BL470" s="29"/>
      <c r="BO470" s="35" t="s">
        <v>1805</v>
      </c>
    </row>
    <row r="471" spans="3:68" ht="15" customHeight="1">
      <c r="C471" s="1" t="str">
        <f t="shared" si="144"/>
        <v>2812</v>
      </c>
      <c r="D471" s="1" t="str">
        <f t="shared" si="145"/>
        <v>2201</v>
      </c>
      <c r="E471" s="19" t="s">
        <v>1349</v>
      </c>
      <c r="F471" s="62" t="s">
        <v>1896</v>
      </c>
      <c r="G471" s="62">
        <v>2112</v>
      </c>
      <c r="H471" s="62" t="s">
        <v>1400</v>
      </c>
      <c r="I471" s="62" t="s">
        <v>1401</v>
      </c>
      <c r="J471" s="140">
        <v>1</v>
      </c>
      <c r="K471" s="119" t="s">
        <v>619</v>
      </c>
      <c r="L471" s="62" t="s">
        <v>77</v>
      </c>
      <c r="M471" s="120" t="s">
        <v>751</v>
      </c>
      <c r="N471" s="65">
        <v>43929</v>
      </c>
      <c r="O471" s="24">
        <v>25000</v>
      </c>
      <c r="P471" s="24">
        <v>23525</v>
      </c>
      <c r="Q471" s="64">
        <v>588125000</v>
      </c>
      <c r="R471" s="64"/>
      <c r="S471" s="64"/>
      <c r="T471" s="130">
        <v>52675772</v>
      </c>
      <c r="U471" s="139" t="s">
        <v>752</v>
      </c>
      <c r="V471" s="121">
        <v>640800772</v>
      </c>
      <c r="W471" s="122">
        <v>0</v>
      </c>
      <c r="X471" s="64">
        <v>640800772</v>
      </c>
      <c r="Y471" s="121"/>
      <c r="Z471" s="121"/>
      <c r="AA471" s="128"/>
      <c r="AB471" s="121"/>
      <c r="AC471" s="64">
        <v>640800772</v>
      </c>
      <c r="AD471" s="63">
        <v>44562</v>
      </c>
      <c r="AE471" s="65">
        <v>47118</v>
      </c>
      <c r="AF471" s="62">
        <v>7</v>
      </c>
      <c r="AG471" s="119">
        <v>84</v>
      </c>
      <c r="AH471" s="25">
        <v>7628580.6190476194</v>
      </c>
      <c r="AI471" s="78">
        <v>183085940.19047618</v>
      </c>
      <c r="AJ471" s="78">
        <v>457714831.80952382</v>
      </c>
      <c r="AK471" s="27">
        <f t="shared" si="146"/>
        <v>7628580.6190476194</v>
      </c>
      <c r="AL471" s="27">
        <f t="shared" si="150"/>
        <v>7628580.6190476194</v>
      </c>
      <c r="AM471" s="27">
        <f t="shared" si="150"/>
        <v>7628580.6190476194</v>
      </c>
      <c r="AN471" s="27">
        <f t="shared" si="138"/>
        <v>7628580.6190476194</v>
      </c>
      <c r="AO471" s="27">
        <f t="shared" si="139"/>
        <v>7628580.6190476194</v>
      </c>
      <c r="AP471" s="27">
        <f t="shared" si="139"/>
        <v>7628580.6190476194</v>
      </c>
      <c r="AQ471" s="27">
        <f t="shared" si="140"/>
        <v>7628580.6190476194</v>
      </c>
      <c r="AR471" s="27">
        <f t="shared" si="141"/>
        <v>7628580.6190476194</v>
      </c>
      <c r="AS471" s="27"/>
      <c r="AT471" s="27"/>
      <c r="AU471" s="27"/>
      <c r="AV471" s="27"/>
      <c r="AW471" s="27">
        <f t="shared" si="143"/>
        <v>61028644.952380955</v>
      </c>
      <c r="AX471" s="79">
        <f t="shared" si="147"/>
        <v>396686186.85714287</v>
      </c>
      <c r="AY471" s="79">
        <f t="shared" si="148"/>
        <v>244114585.14285713</v>
      </c>
      <c r="AZ471" s="25">
        <v>1</v>
      </c>
      <c r="BA471" s="62" t="s">
        <v>97</v>
      </c>
      <c r="BB471" s="66">
        <v>1</v>
      </c>
      <c r="BC471" s="66"/>
      <c r="BD471" s="66"/>
      <c r="BE471" s="67">
        <f t="shared" si="137"/>
        <v>7628580.6190476194</v>
      </c>
      <c r="BF471" s="67">
        <f t="shared" si="142"/>
        <v>0</v>
      </c>
      <c r="BG471" s="67">
        <f t="shared" si="149"/>
        <v>0</v>
      </c>
      <c r="BH471" s="66"/>
      <c r="BI471" s="68" t="s">
        <v>1399</v>
      </c>
      <c r="BJ471" s="68" t="s">
        <v>1982</v>
      </c>
      <c r="BK471" s="68" t="s">
        <v>1982</v>
      </c>
      <c r="BL471" s="29"/>
      <c r="BO471" s="35" t="s">
        <v>1805</v>
      </c>
    </row>
    <row r="472" spans="3:68" ht="15" customHeight="1">
      <c r="C472" s="1" t="str">
        <f t="shared" si="144"/>
        <v>2812</v>
      </c>
      <c r="D472" s="1" t="str">
        <f t="shared" si="145"/>
        <v>2201</v>
      </c>
      <c r="E472" s="19" t="s">
        <v>1349</v>
      </c>
      <c r="F472" s="62" t="s">
        <v>1896</v>
      </c>
      <c r="G472" s="62">
        <v>2112</v>
      </c>
      <c r="H472" s="62" t="s">
        <v>1402</v>
      </c>
      <c r="I472" s="62" t="s">
        <v>1403</v>
      </c>
      <c r="J472" s="140">
        <v>1</v>
      </c>
      <c r="K472" s="119" t="s">
        <v>271</v>
      </c>
      <c r="L472" s="62" t="s">
        <v>77</v>
      </c>
      <c r="M472" s="120" t="s">
        <v>1004</v>
      </c>
      <c r="N472" s="65">
        <v>44161</v>
      </c>
      <c r="O472" s="24">
        <v>33500</v>
      </c>
      <c r="P472" s="24">
        <v>23265</v>
      </c>
      <c r="Q472" s="64">
        <v>779377500</v>
      </c>
      <c r="R472" s="64"/>
      <c r="S472" s="64"/>
      <c r="T472" s="130">
        <v>4499428</v>
      </c>
      <c r="U472" s="139" t="s">
        <v>1005</v>
      </c>
      <c r="V472" s="121">
        <v>783876928</v>
      </c>
      <c r="W472" s="122">
        <v>0</v>
      </c>
      <c r="X472" s="64">
        <v>783876928</v>
      </c>
      <c r="Y472" s="121"/>
      <c r="Z472" s="121"/>
      <c r="AA472" s="128"/>
      <c r="AB472" s="121"/>
      <c r="AC472" s="64">
        <v>783876928</v>
      </c>
      <c r="AD472" s="63">
        <v>44562</v>
      </c>
      <c r="AE472" s="65">
        <v>47118</v>
      </c>
      <c r="AF472" s="62">
        <v>7</v>
      </c>
      <c r="AG472" s="119">
        <v>84</v>
      </c>
      <c r="AH472" s="25">
        <v>9331868.1904761903</v>
      </c>
      <c r="AI472" s="78">
        <v>223964833.90476191</v>
      </c>
      <c r="AJ472" s="78">
        <v>559912094.09523809</v>
      </c>
      <c r="AK472" s="27">
        <f t="shared" si="146"/>
        <v>9331868.1904761903</v>
      </c>
      <c r="AL472" s="27">
        <f t="shared" si="150"/>
        <v>9331868.1904761903</v>
      </c>
      <c r="AM472" s="27">
        <f t="shared" si="150"/>
        <v>9331868.1904761903</v>
      </c>
      <c r="AN472" s="27">
        <f t="shared" si="138"/>
        <v>9331868.1904761903</v>
      </c>
      <c r="AO472" s="27">
        <f t="shared" si="139"/>
        <v>9331868.1904761903</v>
      </c>
      <c r="AP472" s="27">
        <f t="shared" si="139"/>
        <v>9331868.1904761903</v>
      </c>
      <c r="AQ472" s="27">
        <f t="shared" si="140"/>
        <v>9331868.1904761903</v>
      </c>
      <c r="AR472" s="27">
        <f t="shared" si="141"/>
        <v>9331868.1904761903</v>
      </c>
      <c r="AS472" s="27"/>
      <c r="AT472" s="27"/>
      <c r="AU472" s="27"/>
      <c r="AV472" s="27"/>
      <c r="AW472" s="27">
        <f t="shared" si="143"/>
        <v>74654945.523809537</v>
      </c>
      <c r="AX472" s="79">
        <f t="shared" si="147"/>
        <v>485257148.57142854</v>
      </c>
      <c r="AY472" s="79">
        <f t="shared" si="148"/>
        <v>298619779.42857146</v>
      </c>
      <c r="AZ472" s="25">
        <v>1</v>
      </c>
      <c r="BA472" s="62" t="s">
        <v>97</v>
      </c>
      <c r="BB472" s="66">
        <v>1</v>
      </c>
      <c r="BC472" s="66"/>
      <c r="BD472" s="66"/>
      <c r="BE472" s="67">
        <f t="shared" ref="BE472:BE535" si="151">+$AP472*BB472</f>
        <v>9331868.1904761903</v>
      </c>
      <c r="BF472" s="67">
        <f t="shared" si="142"/>
        <v>0</v>
      </c>
      <c r="BG472" s="67">
        <f t="shared" si="149"/>
        <v>0</v>
      </c>
      <c r="BH472" s="66"/>
      <c r="BI472" s="68" t="s">
        <v>1399</v>
      </c>
      <c r="BJ472" s="68" t="s">
        <v>1982</v>
      </c>
      <c r="BK472" s="68" t="s">
        <v>1982</v>
      </c>
      <c r="BL472" s="29"/>
      <c r="BO472" s="35" t="s">
        <v>1805</v>
      </c>
    </row>
    <row r="473" spans="3:68" ht="15" customHeight="1">
      <c r="C473" s="1" t="str">
        <f t="shared" si="144"/>
        <v>2712</v>
      </c>
      <c r="D473" s="1" t="str">
        <f t="shared" si="145"/>
        <v>2201</v>
      </c>
      <c r="E473" s="19" t="s">
        <v>1349</v>
      </c>
      <c r="F473" s="68" t="s">
        <v>466</v>
      </c>
      <c r="G473" s="62">
        <v>2114</v>
      </c>
      <c r="H473" s="62" t="s">
        <v>1404</v>
      </c>
      <c r="I473" s="62" t="s">
        <v>1405</v>
      </c>
      <c r="J473" s="140">
        <v>1</v>
      </c>
      <c r="K473" s="119" t="s">
        <v>271</v>
      </c>
      <c r="L473" s="62" t="s">
        <v>77</v>
      </c>
      <c r="M473" s="120" t="s">
        <v>1406</v>
      </c>
      <c r="N473" s="65">
        <v>44211</v>
      </c>
      <c r="O473" s="24">
        <v>2000</v>
      </c>
      <c r="P473" s="24">
        <v>23166</v>
      </c>
      <c r="Q473" s="64">
        <v>46332000</v>
      </c>
      <c r="R473" s="64"/>
      <c r="S473" s="64"/>
      <c r="T473" s="130">
        <v>161789</v>
      </c>
      <c r="U473" s="139" t="s">
        <v>1407</v>
      </c>
      <c r="V473" s="121">
        <v>46493789</v>
      </c>
      <c r="W473" s="122">
        <v>0</v>
      </c>
      <c r="X473" s="64">
        <v>46493789</v>
      </c>
      <c r="Y473" s="121"/>
      <c r="Z473" s="121"/>
      <c r="AA473" s="128"/>
      <c r="AB473" s="121"/>
      <c r="AC473" s="64">
        <v>46493789</v>
      </c>
      <c r="AD473" s="63">
        <v>44562</v>
      </c>
      <c r="AE473" s="65">
        <v>46752</v>
      </c>
      <c r="AF473" s="62">
        <v>6</v>
      </c>
      <c r="AG473" s="119">
        <v>72</v>
      </c>
      <c r="AH473" s="25">
        <v>645747.0694444445</v>
      </c>
      <c r="AI473" s="78">
        <v>15497928.694444442</v>
      </c>
      <c r="AJ473" s="78">
        <v>30995860.30555556</v>
      </c>
      <c r="AK473" s="27">
        <f t="shared" si="146"/>
        <v>645747.0694444445</v>
      </c>
      <c r="AL473" s="27">
        <f t="shared" si="150"/>
        <v>645747.0694444445</v>
      </c>
      <c r="AM473" s="27">
        <f t="shared" si="150"/>
        <v>645747.0694444445</v>
      </c>
      <c r="AN473" s="27">
        <f t="shared" si="138"/>
        <v>645747.0694444445</v>
      </c>
      <c r="AO473" s="27">
        <f t="shared" si="139"/>
        <v>645747.0694444445</v>
      </c>
      <c r="AP473" s="27">
        <f t="shared" si="139"/>
        <v>645747.0694444445</v>
      </c>
      <c r="AQ473" s="27">
        <f t="shared" si="140"/>
        <v>645747.0694444445</v>
      </c>
      <c r="AR473" s="27">
        <f t="shared" si="141"/>
        <v>645747.0694444445</v>
      </c>
      <c r="AS473" s="27"/>
      <c r="AT473" s="27"/>
      <c r="AU473" s="27"/>
      <c r="AV473" s="27"/>
      <c r="AW473" s="27">
        <f t="shared" si="143"/>
        <v>5165976.555555556</v>
      </c>
      <c r="AX473" s="79">
        <f t="shared" si="147"/>
        <v>25829883.750000004</v>
      </c>
      <c r="AY473" s="79">
        <f t="shared" si="148"/>
        <v>20663905.25</v>
      </c>
      <c r="AZ473" s="25">
        <v>1</v>
      </c>
      <c r="BA473" s="62" t="s">
        <v>79</v>
      </c>
      <c r="BB473" s="66">
        <v>1</v>
      </c>
      <c r="BC473" s="66"/>
      <c r="BD473" s="66"/>
      <c r="BE473" s="67">
        <f t="shared" si="151"/>
        <v>645747.0694444445</v>
      </c>
      <c r="BF473" s="67">
        <f t="shared" si="142"/>
        <v>0</v>
      </c>
      <c r="BG473" s="67">
        <f t="shared" si="149"/>
        <v>0</v>
      </c>
      <c r="BH473" s="66"/>
      <c r="BI473" s="68" t="s">
        <v>466</v>
      </c>
      <c r="BJ473" s="68" t="s">
        <v>58</v>
      </c>
      <c r="BK473" s="68" t="s">
        <v>159</v>
      </c>
      <c r="BL473" s="29"/>
      <c r="BO473" s="35" t="s">
        <v>1804</v>
      </c>
    </row>
    <row r="474" spans="3:68" ht="15" customHeight="1">
      <c r="C474" s="1" t="str">
        <f t="shared" si="144"/>
        <v>3112</v>
      </c>
      <c r="D474" s="1" t="str">
        <f t="shared" si="145"/>
        <v>2201</v>
      </c>
      <c r="E474" s="19" t="s">
        <v>1349</v>
      </c>
      <c r="F474" s="62" t="s">
        <v>1896</v>
      </c>
      <c r="G474" s="62">
        <v>2112</v>
      </c>
      <c r="H474" s="62" t="s">
        <v>1408</v>
      </c>
      <c r="I474" s="62" t="s">
        <v>1409</v>
      </c>
      <c r="J474" s="140">
        <v>1</v>
      </c>
      <c r="K474" s="119" t="s">
        <v>619</v>
      </c>
      <c r="L474" s="62" t="s">
        <v>77</v>
      </c>
      <c r="M474" s="120" t="s">
        <v>1213</v>
      </c>
      <c r="N474" s="65">
        <v>44330</v>
      </c>
      <c r="O474" s="24">
        <v>281000</v>
      </c>
      <c r="P474" s="24">
        <v>23160</v>
      </c>
      <c r="Q474" s="64">
        <v>6507960000</v>
      </c>
      <c r="R474" s="64"/>
      <c r="S474" s="64"/>
      <c r="T474" s="130">
        <v>19019862</v>
      </c>
      <c r="U474" s="139" t="s">
        <v>1214</v>
      </c>
      <c r="V474" s="121">
        <v>6526979862</v>
      </c>
      <c r="W474" s="122">
        <v>0</v>
      </c>
      <c r="X474" s="64">
        <v>6526979862</v>
      </c>
      <c r="Y474" s="121"/>
      <c r="Z474" s="121"/>
      <c r="AA474" s="128"/>
      <c r="AB474" s="121"/>
      <c r="AC474" s="64">
        <v>6526979862</v>
      </c>
      <c r="AD474" s="63">
        <v>44562</v>
      </c>
      <c r="AE474" s="65">
        <v>48213</v>
      </c>
      <c r="AF474" s="62">
        <v>10</v>
      </c>
      <c r="AG474" s="119">
        <v>120</v>
      </c>
      <c r="AH474" s="25">
        <v>54391498.850000001</v>
      </c>
      <c r="AI474" s="78">
        <v>1305395974.5</v>
      </c>
      <c r="AJ474" s="78">
        <v>5221583887.5</v>
      </c>
      <c r="AK474" s="27">
        <f t="shared" si="146"/>
        <v>54391498.850000001</v>
      </c>
      <c r="AL474" s="27">
        <f t="shared" si="150"/>
        <v>54391498.850000001</v>
      </c>
      <c r="AM474" s="27">
        <f t="shared" si="150"/>
        <v>54391498.850000001</v>
      </c>
      <c r="AN474" s="27">
        <f t="shared" si="138"/>
        <v>54391498.850000001</v>
      </c>
      <c r="AO474" s="27">
        <f t="shared" si="139"/>
        <v>54391498.850000001</v>
      </c>
      <c r="AP474" s="27">
        <f t="shared" si="139"/>
        <v>54391498.850000001</v>
      </c>
      <c r="AQ474" s="27">
        <f t="shared" si="140"/>
        <v>54391498.850000001</v>
      </c>
      <c r="AR474" s="27">
        <f t="shared" si="141"/>
        <v>54391498.850000001</v>
      </c>
      <c r="AS474" s="27"/>
      <c r="AT474" s="27"/>
      <c r="AU474" s="27"/>
      <c r="AV474" s="27"/>
      <c r="AW474" s="27">
        <f t="shared" si="143"/>
        <v>435131990.80000007</v>
      </c>
      <c r="AX474" s="79">
        <f t="shared" si="147"/>
        <v>4786451896.6999998</v>
      </c>
      <c r="AY474" s="79">
        <f t="shared" si="148"/>
        <v>1740527965.3000002</v>
      </c>
      <c r="AZ474" s="25">
        <v>1</v>
      </c>
      <c r="BA474" s="62" t="s">
        <v>97</v>
      </c>
      <c r="BB474" s="66">
        <v>1</v>
      </c>
      <c r="BC474" s="66"/>
      <c r="BD474" s="66"/>
      <c r="BE474" s="67">
        <f t="shared" si="151"/>
        <v>54391498.850000001</v>
      </c>
      <c r="BF474" s="67">
        <f t="shared" si="142"/>
        <v>0</v>
      </c>
      <c r="BG474" s="67">
        <f t="shared" si="149"/>
        <v>0</v>
      </c>
      <c r="BH474" s="66"/>
      <c r="BI474" s="68" t="s">
        <v>1399</v>
      </c>
      <c r="BJ474" s="68" t="s">
        <v>1980</v>
      </c>
      <c r="BK474" s="68" t="s">
        <v>1980</v>
      </c>
      <c r="BL474" s="29"/>
      <c r="BO474" s="35" t="s">
        <v>1805</v>
      </c>
    </row>
    <row r="475" spans="3:68" ht="15" customHeight="1">
      <c r="C475" s="1" t="str">
        <f t="shared" si="144"/>
        <v>3112</v>
      </c>
      <c r="D475" s="1" t="str">
        <f t="shared" si="145"/>
        <v>2201</v>
      </c>
      <c r="E475" s="19" t="s">
        <v>1349</v>
      </c>
      <c r="F475" s="62" t="s">
        <v>1896</v>
      </c>
      <c r="G475" s="62">
        <v>2112</v>
      </c>
      <c r="H475" s="62" t="s">
        <v>1410</v>
      </c>
      <c r="I475" s="62" t="s">
        <v>1411</v>
      </c>
      <c r="J475" s="140">
        <v>1</v>
      </c>
      <c r="K475" s="119" t="s">
        <v>619</v>
      </c>
      <c r="L475" s="62" t="s">
        <v>77</v>
      </c>
      <c r="M475" s="120" t="s">
        <v>1213</v>
      </c>
      <c r="N475" s="65">
        <v>44330</v>
      </c>
      <c r="O475" s="24">
        <v>265000</v>
      </c>
      <c r="P475" s="24">
        <v>23160</v>
      </c>
      <c r="Q475" s="64">
        <v>6137400000</v>
      </c>
      <c r="R475" s="64"/>
      <c r="S475" s="64"/>
      <c r="T475" s="130">
        <v>17936881</v>
      </c>
      <c r="U475" s="139" t="s">
        <v>1214</v>
      </c>
      <c r="V475" s="121">
        <v>6155336881</v>
      </c>
      <c r="W475" s="122">
        <v>0</v>
      </c>
      <c r="X475" s="64">
        <v>6155336881</v>
      </c>
      <c r="Y475" s="121"/>
      <c r="Z475" s="121"/>
      <c r="AA475" s="128"/>
      <c r="AB475" s="121"/>
      <c r="AC475" s="64">
        <v>6155336881</v>
      </c>
      <c r="AD475" s="63">
        <v>44562</v>
      </c>
      <c r="AE475" s="65">
        <v>48213</v>
      </c>
      <c r="AF475" s="62">
        <v>10</v>
      </c>
      <c r="AG475" s="119">
        <v>120</v>
      </c>
      <c r="AH475" s="25">
        <v>51294474.008333333</v>
      </c>
      <c r="AI475" s="78">
        <v>1231067376.0833333</v>
      </c>
      <c r="AJ475" s="78">
        <v>4924269504.916667</v>
      </c>
      <c r="AK475" s="27">
        <f t="shared" si="146"/>
        <v>51294474.008333333</v>
      </c>
      <c r="AL475" s="27">
        <f t="shared" si="150"/>
        <v>51294474.008333333</v>
      </c>
      <c r="AM475" s="27">
        <f t="shared" si="150"/>
        <v>51294474.008333333</v>
      </c>
      <c r="AN475" s="27">
        <f t="shared" si="138"/>
        <v>51294474.008333333</v>
      </c>
      <c r="AO475" s="27">
        <f t="shared" si="139"/>
        <v>51294474.008333333</v>
      </c>
      <c r="AP475" s="27">
        <f t="shared" si="139"/>
        <v>51294474.008333333</v>
      </c>
      <c r="AQ475" s="27">
        <f t="shared" si="140"/>
        <v>51294474.008333333</v>
      </c>
      <c r="AR475" s="27">
        <f t="shared" si="141"/>
        <v>51294474.008333333</v>
      </c>
      <c r="AS475" s="27"/>
      <c r="AT475" s="27"/>
      <c r="AU475" s="27"/>
      <c r="AV475" s="27"/>
      <c r="AW475" s="27">
        <f t="shared" si="143"/>
        <v>410355792.06666666</v>
      </c>
      <c r="AX475" s="79">
        <f t="shared" si="147"/>
        <v>4513913712.8500004</v>
      </c>
      <c r="AY475" s="79">
        <f t="shared" si="148"/>
        <v>1641423168.1499999</v>
      </c>
      <c r="AZ475" s="25">
        <v>1</v>
      </c>
      <c r="BA475" s="62" t="s">
        <v>97</v>
      </c>
      <c r="BB475" s="66">
        <v>1</v>
      </c>
      <c r="BC475" s="66"/>
      <c r="BD475" s="66"/>
      <c r="BE475" s="67">
        <f t="shared" si="151"/>
        <v>51294474.008333333</v>
      </c>
      <c r="BF475" s="67">
        <f t="shared" si="142"/>
        <v>0</v>
      </c>
      <c r="BG475" s="67">
        <f t="shared" si="149"/>
        <v>0</v>
      </c>
      <c r="BH475" s="66"/>
      <c r="BI475" s="68" t="s">
        <v>871</v>
      </c>
      <c r="BJ475" s="68" t="s">
        <v>1980</v>
      </c>
      <c r="BK475" s="68" t="s">
        <v>1980</v>
      </c>
      <c r="BL475" s="29"/>
      <c r="BO475" s="35" t="s">
        <v>1805</v>
      </c>
    </row>
    <row r="476" spans="3:68" ht="15" customHeight="1">
      <c r="C476" s="1" t="str">
        <f t="shared" si="144"/>
        <v>3112</v>
      </c>
      <c r="D476" s="1" t="str">
        <f t="shared" si="145"/>
        <v>2201</v>
      </c>
      <c r="E476" s="19" t="s">
        <v>1349</v>
      </c>
      <c r="F476" s="62" t="s">
        <v>1896</v>
      </c>
      <c r="G476" s="62">
        <v>2112</v>
      </c>
      <c r="H476" s="62" t="s">
        <v>1412</v>
      </c>
      <c r="I476" s="62" t="s">
        <v>1413</v>
      </c>
      <c r="J476" s="140">
        <v>1</v>
      </c>
      <c r="K476" s="119" t="s">
        <v>619</v>
      </c>
      <c r="L476" s="62" t="s">
        <v>77</v>
      </c>
      <c r="M476" s="120" t="s">
        <v>1213</v>
      </c>
      <c r="N476" s="65">
        <v>44330</v>
      </c>
      <c r="O476" s="24">
        <v>247000</v>
      </c>
      <c r="P476" s="24">
        <v>23160</v>
      </c>
      <c r="Q476" s="64">
        <v>5720520000</v>
      </c>
      <c r="R476" s="64"/>
      <c r="S476" s="64"/>
      <c r="T476" s="130">
        <v>16718526</v>
      </c>
      <c r="U476" s="139" t="s">
        <v>1214</v>
      </c>
      <c r="V476" s="121">
        <v>5737238526</v>
      </c>
      <c r="W476" s="122">
        <v>0</v>
      </c>
      <c r="X476" s="64">
        <v>5737238526</v>
      </c>
      <c r="Y476" s="121"/>
      <c r="Z476" s="121"/>
      <c r="AA476" s="128"/>
      <c r="AB476" s="121"/>
      <c r="AC476" s="64">
        <v>5737238526</v>
      </c>
      <c r="AD476" s="63">
        <v>44562</v>
      </c>
      <c r="AE476" s="65">
        <v>48213</v>
      </c>
      <c r="AF476" s="62">
        <v>10</v>
      </c>
      <c r="AG476" s="119">
        <v>120</v>
      </c>
      <c r="AH476" s="25">
        <v>47810321.049999997</v>
      </c>
      <c r="AI476" s="78">
        <v>1147447704.5</v>
      </c>
      <c r="AJ476" s="78">
        <v>4589790821.5</v>
      </c>
      <c r="AK476" s="27">
        <f t="shared" si="146"/>
        <v>47810321.049999997</v>
      </c>
      <c r="AL476" s="27">
        <f t="shared" si="150"/>
        <v>47810321.049999997</v>
      </c>
      <c r="AM476" s="27">
        <f t="shared" si="150"/>
        <v>47810321.049999997</v>
      </c>
      <c r="AN476" s="27">
        <f t="shared" si="138"/>
        <v>47810321.049999997</v>
      </c>
      <c r="AO476" s="27">
        <f t="shared" si="139"/>
        <v>47810321.049999997</v>
      </c>
      <c r="AP476" s="27">
        <f t="shared" si="139"/>
        <v>47810321.049999997</v>
      </c>
      <c r="AQ476" s="27">
        <f t="shared" si="140"/>
        <v>47810321.049999997</v>
      </c>
      <c r="AR476" s="27">
        <f t="shared" si="141"/>
        <v>47810321.049999997</v>
      </c>
      <c r="AS476" s="27"/>
      <c r="AT476" s="27"/>
      <c r="AU476" s="27"/>
      <c r="AV476" s="27"/>
      <c r="AW476" s="27">
        <f t="shared" si="143"/>
        <v>382482568.40000004</v>
      </c>
      <c r="AX476" s="79">
        <f t="shared" si="147"/>
        <v>4207308253.0999999</v>
      </c>
      <c r="AY476" s="79">
        <f t="shared" si="148"/>
        <v>1529930272.9000001</v>
      </c>
      <c r="AZ476" s="25">
        <v>1</v>
      </c>
      <c r="BA476" s="62" t="s">
        <v>97</v>
      </c>
      <c r="BB476" s="66">
        <v>1</v>
      </c>
      <c r="BC476" s="66"/>
      <c r="BD476" s="66"/>
      <c r="BE476" s="67">
        <f t="shared" si="151"/>
        <v>47810321.049999997</v>
      </c>
      <c r="BF476" s="67">
        <f t="shared" si="142"/>
        <v>0</v>
      </c>
      <c r="BG476" s="67">
        <f t="shared" si="149"/>
        <v>0</v>
      </c>
      <c r="BH476" s="66"/>
      <c r="BI476" s="68" t="s">
        <v>871</v>
      </c>
      <c r="BJ476" s="68" t="s">
        <v>1980</v>
      </c>
      <c r="BK476" s="68" t="s">
        <v>1980</v>
      </c>
      <c r="BL476" s="29"/>
      <c r="BO476" s="35" t="s">
        <v>1805</v>
      </c>
    </row>
    <row r="477" spans="3:68" ht="15" customHeight="1">
      <c r="C477" s="1" t="str">
        <f t="shared" si="144"/>
        <v>3112</v>
      </c>
      <c r="D477" s="1" t="str">
        <f t="shared" si="145"/>
        <v>2201</v>
      </c>
      <c r="E477" s="19" t="s">
        <v>1349</v>
      </c>
      <c r="F477" s="62" t="s">
        <v>1896</v>
      </c>
      <c r="G477" s="62">
        <v>2112</v>
      </c>
      <c r="H477" s="62" t="s">
        <v>1414</v>
      </c>
      <c r="I477" s="62" t="s">
        <v>1415</v>
      </c>
      <c r="J477" s="140">
        <v>1</v>
      </c>
      <c r="K477" s="119" t="s">
        <v>619</v>
      </c>
      <c r="L477" s="138" t="s">
        <v>1416</v>
      </c>
      <c r="M477" s="120" t="s">
        <v>1417</v>
      </c>
      <c r="N477" s="65">
        <v>44445</v>
      </c>
      <c r="O477" s="24">
        <v>435000</v>
      </c>
      <c r="P477" s="24">
        <v>23031.7</v>
      </c>
      <c r="Q477" s="64">
        <v>10018789500</v>
      </c>
      <c r="R477" s="64">
        <v>0</v>
      </c>
      <c r="S477" s="64"/>
      <c r="T477" s="130">
        <v>25105000</v>
      </c>
      <c r="U477" s="139" t="s">
        <v>1418</v>
      </c>
      <c r="V477" s="121">
        <v>10043894500</v>
      </c>
      <c r="W477" s="122"/>
      <c r="X477" s="64">
        <v>10043894500</v>
      </c>
      <c r="Y477" s="121"/>
      <c r="Z477" s="121"/>
      <c r="AA477" s="128"/>
      <c r="AB477" s="121"/>
      <c r="AC477" s="64">
        <v>10043894500</v>
      </c>
      <c r="AD477" s="63">
        <v>44562</v>
      </c>
      <c r="AE477" s="65">
        <v>48213</v>
      </c>
      <c r="AF477" s="62">
        <v>10</v>
      </c>
      <c r="AG477" s="119">
        <v>120</v>
      </c>
      <c r="AH477" s="25">
        <v>83699120.833333328</v>
      </c>
      <c r="AI477" s="78">
        <v>2008778902.3333335</v>
      </c>
      <c r="AJ477" s="78">
        <v>8035115597.666666</v>
      </c>
      <c r="AK477" s="27">
        <f t="shared" si="146"/>
        <v>83699120.833333328</v>
      </c>
      <c r="AL477" s="27">
        <f t="shared" si="150"/>
        <v>83699120.833333328</v>
      </c>
      <c r="AM477" s="27">
        <f t="shared" si="150"/>
        <v>83699120.833333328</v>
      </c>
      <c r="AN477" s="27">
        <f t="shared" si="138"/>
        <v>83699120.833333328</v>
      </c>
      <c r="AO477" s="27">
        <f t="shared" si="139"/>
        <v>83699120.833333328</v>
      </c>
      <c r="AP477" s="27">
        <f t="shared" si="139"/>
        <v>83699120.833333328</v>
      </c>
      <c r="AQ477" s="27">
        <f t="shared" si="140"/>
        <v>83699120.833333328</v>
      </c>
      <c r="AR477" s="27">
        <f t="shared" si="141"/>
        <v>83699120.833333328</v>
      </c>
      <c r="AS477" s="27"/>
      <c r="AT477" s="27"/>
      <c r="AU477" s="27"/>
      <c r="AV477" s="27"/>
      <c r="AW477" s="27">
        <f t="shared" si="143"/>
        <v>669592966.66666663</v>
      </c>
      <c r="AX477" s="79">
        <f t="shared" si="147"/>
        <v>7365522630.999999</v>
      </c>
      <c r="AY477" s="79">
        <f t="shared" si="148"/>
        <v>2678371869</v>
      </c>
      <c r="AZ477" s="25">
        <v>1</v>
      </c>
      <c r="BA477" s="62" t="s">
        <v>97</v>
      </c>
      <c r="BB477" s="66">
        <v>1</v>
      </c>
      <c r="BC477" s="66"/>
      <c r="BD477" s="66"/>
      <c r="BE477" s="67">
        <f t="shared" si="151"/>
        <v>83699120.833333328</v>
      </c>
      <c r="BF477" s="67">
        <f t="shared" si="142"/>
        <v>0</v>
      </c>
      <c r="BG477" s="67">
        <f t="shared" si="149"/>
        <v>0</v>
      </c>
      <c r="BH477" s="66"/>
      <c r="BI477" s="68"/>
      <c r="BJ477" s="68" t="s">
        <v>1980</v>
      </c>
      <c r="BK477" s="68" t="s">
        <v>1980</v>
      </c>
      <c r="BL477" s="29"/>
      <c r="BO477" s="35" t="s">
        <v>1805</v>
      </c>
    </row>
    <row r="478" spans="3:68" ht="15" customHeight="1">
      <c r="C478" s="1" t="str">
        <f t="shared" si="144"/>
        <v>3002</v>
      </c>
      <c r="D478" s="1" t="str">
        <f t="shared" si="145"/>
        <v>2202</v>
      </c>
      <c r="E478" s="19" t="s">
        <v>1419</v>
      </c>
      <c r="F478" s="62" t="s">
        <v>1896</v>
      </c>
      <c r="G478" s="62">
        <v>2112</v>
      </c>
      <c r="H478" s="62" t="s">
        <v>1420</v>
      </c>
      <c r="I478" s="62" t="s">
        <v>1421</v>
      </c>
      <c r="J478" s="140">
        <v>1</v>
      </c>
      <c r="K478" s="119" t="s">
        <v>619</v>
      </c>
      <c r="L478" s="62" t="s">
        <v>77</v>
      </c>
      <c r="M478" s="120" t="s">
        <v>1325</v>
      </c>
      <c r="N478" s="65">
        <v>44538</v>
      </c>
      <c r="O478" s="24">
        <v>196500</v>
      </c>
      <c r="P478" s="24">
        <v>22790</v>
      </c>
      <c r="Q478" s="64">
        <v>4478235000</v>
      </c>
      <c r="R478" s="64"/>
      <c r="S478" s="64"/>
      <c r="T478" s="130">
        <v>19010550.47545528</v>
      </c>
      <c r="U478" s="139" t="s">
        <v>1327</v>
      </c>
      <c r="V478" s="121">
        <v>4497245550</v>
      </c>
      <c r="W478" s="122"/>
      <c r="X478" s="64">
        <v>4497245550</v>
      </c>
      <c r="Y478" s="121"/>
      <c r="Z478" s="121"/>
      <c r="AA478" s="128"/>
      <c r="AB478" s="121"/>
      <c r="AC478" s="64">
        <v>4497245550</v>
      </c>
      <c r="AD478" s="63">
        <v>44599</v>
      </c>
      <c r="AE478" s="65">
        <v>47520</v>
      </c>
      <c r="AF478" s="62">
        <v>8</v>
      </c>
      <c r="AG478" s="119">
        <v>96</v>
      </c>
      <c r="AH478" s="25">
        <v>46846307.8125</v>
      </c>
      <c r="AI478" s="78">
        <v>1067426587.125</v>
      </c>
      <c r="AJ478" s="78">
        <v>3429818962.875</v>
      </c>
      <c r="AK478" s="27">
        <f t="shared" si="146"/>
        <v>46846307.8125</v>
      </c>
      <c r="AL478" s="27">
        <f t="shared" si="150"/>
        <v>46846307.8125</v>
      </c>
      <c r="AM478" s="27">
        <f t="shared" si="150"/>
        <v>46846307.8125</v>
      </c>
      <c r="AN478" s="27">
        <f t="shared" si="138"/>
        <v>46846307.8125</v>
      </c>
      <c r="AO478" s="27">
        <f t="shared" si="139"/>
        <v>46846307.8125</v>
      </c>
      <c r="AP478" s="27">
        <f t="shared" si="139"/>
        <v>46846307.8125</v>
      </c>
      <c r="AQ478" s="27">
        <f t="shared" si="140"/>
        <v>46846307.8125</v>
      </c>
      <c r="AR478" s="27">
        <f t="shared" si="141"/>
        <v>46846307.8125</v>
      </c>
      <c r="AS478" s="27"/>
      <c r="AT478" s="27"/>
      <c r="AU478" s="27"/>
      <c r="AV478" s="27"/>
      <c r="AW478" s="27">
        <f t="shared" si="143"/>
        <v>374770462.5</v>
      </c>
      <c r="AX478" s="79">
        <f t="shared" si="147"/>
        <v>3055048500.375</v>
      </c>
      <c r="AY478" s="79">
        <f t="shared" si="148"/>
        <v>1442197049.625</v>
      </c>
      <c r="AZ478" s="25">
        <v>1</v>
      </c>
      <c r="BA478" s="62" t="s">
        <v>97</v>
      </c>
      <c r="BB478" s="66">
        <v>1</v>
      </c>
      <c r="BC478" s="66"/>
      <c r="BD478" s="66"/>
      <c r="BE478" s="67">
        <f t="shared" si="151"/>
        <v>46846307.8125</v>
      </c>
      <c r="BF478" s="67">
        <f t="shared" si="142"/>
        <v>0</v>
      </c>
      <c r="BG478" s="67">
        <f t="shared" si="149"/>
        <v>0</v>
      </c>
      <c r="BH478" s="66"/>
      <c r="BI478" s="68" t="s">
        <v>57</v>
      </c>
      <c r="BJ478" s="68" t="s">
        <v>1929</v>
      </c>
      <c r="BK478" s="68" t="s">
        <v>1989</v>
      </c>
      <c r="BL478" s="29"/>
      <c r="BO478" s="35" t="s">
        <v>1801</v>
      </c>
      <c r="BP478" s="1" t="s">
        <v>1824</v>
      </c>
    </row>
    <row r="479" spans="3:68" ht="15" customHeight="1">
      <c r="C479" s="1" t="str">
        <f t="shared" si="144"/>
        <v>3001</v>
      </c>
      <c r="D479" s="1" t="str">
        <f t="shared" si="145"/>
        <v>2202</v>
      </c>
      <c r="E479" s="19" t="s">
        <v>1419</v>
      </c>
      <c r="F479" s="62" t="s">
        <v>1896</v>
      </c>
      <c r="G479" s="62">
        <v>2112</v>
      </c>
      <c r="H479" s="62" t="s">
        <v>1422</v>
      </c>
      <c r="I479" s="62" t="s">
        <v>1423</v>
      </c>
      <c r="J479" s="140">
        <v>1</v>
      </c>
      <c r="K479" s="119" t="s">
        <v>619</v>
      </c>
      <c r="L479" s="62" t="s">
        <v>77</v>
      </c>
      <c r="M479" s="120" t="s">
        <v>1325</v>
      </c>
      <c r="N479" s="65">
        <v>44538</v>
      </c>
      <c r="O479" s="24">
        <v>182300</v>
      </c>
      <c r="P479" s="24">
        <v>22790</v>
      </c>
      <c r="Q479" s="64">
        <v>4154617000</v>
      </c>
      <c r="R479" s="64"/>
      <c r="S479" s="64"/>
      <c r="T479" s="130">
        <v>17636760.059417289</v>
      </c>
      <c r="U479" s="139" t="s">
        <v>1327</v>
      </c>
      <c r="V479" s="121">
        <v>4172253760</v>
      </c>
      <c r="W479" s="122"/>
      <c r="X479" s="64">
        <v>4172253760</v>
      </c>
      <c r="Y479" s="121"/>
      <c r="Z479" s="121"/>
      <c r="AA479" s="128"/>
      <c r="AB479" s="121"/>
      <c r="AC479" s="64">
        <v>4172253760</v>
      </c>
      <c r="AD479" s="63">
        <v>44593</v>
      </c>
      <c r="AE479" s="65">
        <v>47514</v>
      </c>
      <c r="AF479" s="62">
        <v>8</v>
      </c>
      <c r="AG479" s="119">
        <v>96</v>
      </c>
      <c r="AH479" s="25">
        <v>43460976.666666664</v>
      </c>
      <c r="AI479" s="78">
        <v>999602467.66666675</v>
      </c>
      <c r="AJ479" s="78">
        <v>3172651292.333333</v>
      </c>
      <c r="AK479" s="27">
        <f t="shared" si="146"/>
        <v>43460976.666666664</v>
      </c>
      <c r="AL479" s="27">
        <f t="shared" si="150"/>
        <v>43460976.666666664</v>
      </c>
      <c r="AM479" s="27">
        <f t="shared" si="150"/>
        <v>43460976.666666664</v>
      </c>
      <c r="AN479" s="27">
        <f t="shared" ref="AN479:AN542" si="152">+IF(AND(AN$3&gt;=$D479,AN$3&lt;$C479),$AH479,$AJ479-SUM(AL479:AM479))</f>
        <v>43460976.666666664</v>
      </c>
      <c r="AO479" s="27">
        <f t="shared" ref="AO479:AP542" si="153">+IF(AND(AO$3&gt;=$D479,AO$3&lt;$C479),$AH479,$AJ479-SUM(AM479:AN479))</f>
        <v>43460976.666666664</v>
      </c>
      <c r="AP479" s="27">
        <f t="shared" si="153"/>
        <v>43460976.666666664</v>
      </c>
      <c r="AQ479" s="27">
        <f t="shared" ref="AQ479:AQ542" si="154">+IF(AND(AQ$3&gt;=$D479,AQ$3&lt;$C479),$AH479,$AJ479-SUM(AK479:AP479))</f>
        <v>43460976.666666664</v>
      </c>
      <c r="AR479" s="27">
        <f t="shared" ref="AR479:AR542" si="155">+IF(AND(AR$3&gt;=$D479,AR$3&lt;$C479),$AH479,$AJ479-SUM(AL479:AQ479))</f>
        <v>43460976.666666664</v>
      </c>
      <c r="AS479" s="27"/>
      <c r="AT479" s="27"/>
      <c r="AU479" s="27"/>
      <c r="AV479" s="27"/>
      <c r="AW479" s="27">
        <f t="shared" si="143"/>
        <v>347687813.33333331</v>
      </c>
      <c r="AX479" s="79">
        <f t="shared" si="147"/>
        <v>2824963478.9999995</v>
      </c>
      <c r="AY479" s="79">
        <f t="shared" si="148"/>
        <v>1347290281</v>
      </c>
      <c r="AZ479" s="25">
        <v>1</v>
      </c>
      <c r="BA479" s="62" t="s">
        <v>97</v>
      </c>
      <c r="BB479" s="66">
        <v>1</v>
      </c>
      <c r="BC479" s="66"/>
      <c r="BD479" s="66"/>
      <c r="BE479" s="67">
        <f t="shared" si="151"/>
        <v>43460976.666666664</v>
      </c>
      <c r="BF479" s="67">
        <f t="shared" ref="BF479:BF542" si="156">+$AM479*BC479</f>
        <v>0</v>
      </c>
      <c r="BG479" s="67">
        <f t="shared" si="149"/>
        <v>0</v>
      </c>
      <c r="BH479" s="66" t="s">
        <v>1705</v>
      </c>
      <c r="BI479" s="68" t="s">
        <v>57</v>
      </c>
      <c r="BJ479" s="68" t="s">
        <v>1929</v>
      </c>
      <c r="BK479" s="68" t="s">
        <v>1989</v>
      </c>
      <c r="BL479" s="29"/>
      <c r="BM479" s="3" t="s">
        <v>1663</v>
      </c>
      <c r="BN479" s="61" t="s">
        <v>1706</v>
      </c>
      <c r="BO479" s="35" t="s">
        <v>1801</v>
      </c>
      <c r="BP479" s="1" t="s">
        <v>1813</v>
      </c>
    </row>
    <row r="480" spans="3:68" ht="15" customHeight="1">
      <c r="C480" s="1" t="str">
        <f t="shared" si="144"/>
        <v>2902</v>
      </c>
      <c r="D480" s="1" t="str">
        <f t="shared" si="145"/>
        <v>2202</v>
      </c>
      <c r="E480" s="19" t="s">
        <v>1419</v>
      </c>
      <c r="F480" s="62" t="s">
        <v>1896</v>
      </c>
      <c r="G480" s="62">
        <v>2112</v>
      </c>
      <c r="H480" s="62" t="s">
        <v>1424</v>
      </c>
      <c r="I480" s="62" t="s">
        <v>1425</v>
      </c>
      <c r="J480" s="140">
        <v>1</v>
      </c>
      <c r="K480" s="119" t="s">
        <v>619</v>
      </c>
      <c r="L480" s="62" t="s">
        <v>77</v>
      </c>
      <c r="M480" s="120" t="s">
        <v>1325</v>
      </c>
      <c r="N480" s="65">
        <v>44538</v>
      </c>
      <c r="O480" s="24">
        <v>46900</v>
      </c>
      <c r="P480" s="24">
        <v>22790</v>
      </c>
      <c r="Q480" s="64">
        <v>1068851000</v>
      </c>
      <c r="R480" s="64"/>
      <c r="S480" s="64"/>
      <c r="T480" s="130">
        <v>4537378.2050832193</v>
      </c>
      <c r="U480" s="139" t="s">
        <v>1327</v>
      </c>
      <c r="V480" s="121">
        <v>1073388378</v>
      </c>
      <c r="W480" s="122"/>
      <c r="X480" s="64">
        <v>1073388378</v>
      </c>
      <c r="Y480" s="121"/>
      <c r="Z480" s="121"/>
      <c r="AA480" s="128"/>
      <c r="AB480" s="121"/>
      <c r="AC480" s="64">
        <v>1073388378</v>
      </c>
      <c r="AD480" s="63">
        <v>44599</v>
      </c>
      <c r="AE480" s="65">
        <v>47155</v>
      </c>
      <c r="AF480" s="62">
        <v>7</v>
      </c>
      <c r="AG480" s="119">
        <v>84</v>
      </c>
      <c r="AH480" s="25">
        <v>12778433.071428571</v>
      </c>
      <c r="AI480" s="78">
        <v>291165723.71428567</v>
      </c>
      <c r="AJ480" s="78">
        <v>782222654.28571439</v>
      </c>
      <c r="AK480" s="27">
        <f t="shared" si="146"/>
        <v>12778433.071428571</v>
      </c>
      <c r="AL480" s="27">
        <f t="shared" si="150"/>
        <v>12778433.071428571</v>
      </c>
      <c r="AM480" s="27">
        <f t="shared" si="150"/>
        <v>12778433.071428571</v>
      </c>
      <c r="AN480" s="27">
        <f t="shared" si="152"/>
        <v>12778433.071428571</v>
      </c>
      <c r="AO480" s="27">
        <f t="shared" si="153"/>
        <v>12778433.071428571</v>
      </c>
      <c r="AP480" s="27">
        <f t="shared" si="153"/>
        <v>12778433.071428571</v>
      </c>
      <c r="AQ480" s="27">
        <f t="shared" si="154"/>
        <v>12778433.071428571</v>
      </c>
      <c r="AR480" s="27">
        <f t="shared" si="155"/>
        <v>12778433.071428571</v>
      </c>
      <c r="AS480" s="27"/>
      <c r="AT480" s="27"/>
      <c r="AU480" s="27"/>
      <c r="AV480" s="27"/>
      <c r="AW480" s="27">
        <f t="shared" si="143"/>
        <v>102227464.57142855</v>
      </c>
      <c r="AX480" s="79">
        <f t="shared" si="147"/>
        <v>679995189.71428585</v>
      </c>
      <c r="AY480" s="79">
        <f t="shared" si="148"/>
        <v>393393188.28571421</v>
      </c>
      <c r="AZ480" s="25">
        <v>1</v>
      </c>
      <c r="BA480" s="62" t="s">
        <v>97</v>
      </c>
      <c r="BB480" s="66">
        <v>1</v>
      </c>
      <c r="BC480" s="66"/>
      <c r="BD480" s="66"/>
      <c r="BE480" s="67">
        <f t="shared" si="151"/>
        <v>12778433.071428571</v>
      </c>
      <c r="BF480" s="67">
        <f t="shared" si="156"/>
        <v>0</v>
      </c>
      <c r="BG480" s="67">
        <f t="shared" si="149"/>
        <v>0</v>
      </c>
      <c r="BH480" s="66"/>
      <c r="BI480" s="68" t="s">
        <v>57</v>
      </c>
      <c r="BJ480" s="68" t="s">
        <v>1930</v>
      </c>
      <c r="BK480" s="68" t="s">
        <v>1930</v>
      </c>
      <c r="BL480" s="29"/>
      <c r="BO480" s="35" t="s">
        <v>1801</v>
      </c>
      <c r="BP480" s="1" t="s">
        <v>1824</v>
      </c>
    </row>
    <row r="481" spans="3:68" ht="15" customHeight="1">
      <c r="C481" s="1" t="str">
        <f t="shared" si="144"/>
        <v>2801</v>
      </c>
      <c r="D481" s="1" t="str">
        <f t="shared" si="145"/>
        <v>2202</v>
      </c>
      <c r="E481" s="19" t="s">
        <v>1419</v>
      </c>
      <c r="F481" s="68" t="s">
        <v>1426</v>
      </c>
      <c r="G481" s="62">
        <v>2113</v>
      </c>
      <c r="H481" s="62" t="s">
        <v>1427</v>
      </c>
      <c r="I481" s="62" t="s">
        <v>1428</v>
      </c>
      <c r="J481" s="140" t="s">
        <v>1429</v>
      </c>
      <c r="K481" s="119" t="s">
        <v>619</v>
      </c>
      <c r="L481" s="138" t="s">
        <v>1430</v>
      </c>
      <c r="M481" s="120" t="s">
        <v>1431</v>
      </c>
      <c r="N481" s="65">
        <v>44559</v>
      </c>
      <c r="O481" s="24">
        <v>47533.29</v>
      </c>
      <c r="P481" s="24">
        <v>23079.5</v>
      </c>
      <c r="Q481" s="64">
        <v>1097044566.5550001</v>
      </c>
      <c r="R481" s="64"/>
      <c r="S481" s="64"/>
      <c r="T481" s="130">
        <v>23902600</v>
      </c>
      <c r="U481" s="139" t="s">
        <v>1433</v>
      </c>
      <c r="V481" s="121">
        <v>1120947167</v>
      </c>
      <c r="W481" s="122"/>
      <c r="X481" s="64">
        <v>1120947167</v>
      </c>
      <c r="Y481" s="121"/>
      <c r="Z481" s="121"/>
      <c r="AA481" s="128"/>
      <c r="AB481" s="121"/>
      <c r="AC481" s="64">
        <v>1120947167</v>
      </c>
      <c r="AD481" s="63">
        <v>44593</v>
      </c>
      <c r="AE481" s="65">
        <v>46783</v>
      </c>
      <c r="AF481" s="62">
        <v>6</v>
      </c>
      <c r="AG481" s="119">
        <v>72</v>
      </c>
      <c r="AH481" s="25">
        <v>15568710.652777778</v>
      </c>
      <c r="AI481" s="78">
        <v>358080349.52777779</v>
      </c>
      <c r="AJ481" s="78">
        <v>762866817.47222221</v>
      </c>
      <c r="AK481" s="27">
        <f t="shared" si="146"/>
        <v>15568710.652777778</v>
      </c>
      <c r="AL481" s="27">
        <f t="shared" si="150"/>
        <v>15568710.652777778</v>
      </c>
      <c r="AM481" s="27">
        <f t="shared" si="150"/>
        <v>15568710.652777778</v>
      </c>
      <c r="AN481" s="27">
        <f t="shared" si="152"/>
        <v>15568710.652777778</v>
      </c>
      <c r="AO481" s="27">
        <f t="shared" si="153"/>
        <v>15568710.652777778</v>
      </c>
      <c r="AP481" s="27">
        <f t="shared" si="153"/>
        <v>15568710.652777778</v>
      </c>
      <c r="AQ481" s="27">
        <f t="shared" si="154"/>
        <v>15568710.652777778</v>
      </c>
      <c r="AR481" s="27">
        <f t="shared" si="155"/>
        <v>15568710.652777778</v>
      </c>
      <c r="AS481" s="27"/>
      <c r="AT481" s="27"/>
      <c r="AU481" s="27"/>
      <c r="AV481" s="27"/>
      <c r="AW481" s="27">
        <f t="shared" si="143"/>
        <v>124549685.22222222</v>
      </c>
      <c r="AX481" s="79">
        <f t="shared" si="147"/>
        <v>638317132.25</v>
      </c>
      <c r="AY481" s="79">
        <f t="shared" si="148"/>
        <v>482630034.75</v>
      </c>
      <c r="AZ481" s="25">
        <v>1</v>
      </c>
      <c r="BA481" s="62" t="s">
        <v>97</v>
      </c>
      <c r="BB481" s="66"/>
      <c r="BC481" s="66">
        <v>1</v>
      </c>
      <c r="BD481" s="66"/>
      <c r="BE481" s="67">
        <f t="shared" si="151"/>
        <v>0</v>
      </c>
      <c r="BF481" s="67">
        <f t="shared" si="156"/>
        <v>15568710.652777778</v>
      </c>
      <c r="BG481" s="67">
        <f t="shared" si="149"/>
        <v>0</v>
      </c>
      <c r="BH481" s="62" t="s">
        <v>1668</v>
      </c>
      <c r="BI481" s="19" t="s">
        <v>1624</v>
      </c>
      <c r="BJ481" s="68" t="s">
        <v>1438</v>
      </c>
      <c r="BK481" s="68" t="s">
        <v>1438</v>
      </c>
      <c r="BL481" s="29"/>
      <c r="BM481" s="1" t="s">
        <v>1886</v>
      </c>
      <c r="BN481" s="1" t="s">
        <v>1666</v>
      </c>
      <c r="BO481" s="35" t="s">
        <v>1804</v>
      </c>
    </row>
    <row r="482" spans="3:68" ht="15" customHeight="1">
      <c r="C482" s="1" t="str">
        <f t="shared" si="144"/>
        <v>2802</v>
      </c>
      <c r="D482" s="1" t="str">
        <f t="shared" si="145"/>
        <v>2202</v>
      </c>
      <c r="E482" s="19" t="s">
        <v>1419</v>
      </c>
      <c r="F482" s="68" t="s">
        <v>515</v>
      </c>
      <c r="G482" s="62">
        <v>2114</v>
      </c>
      <c r="H482" s="62" t="s">
        <v>1434</v>
      </c>
      <c r="I482" s="62" t="s">
        <v>1435</v>
      </c>
      <c r="J482" s="140">
        <v>1</v>
      </c>
      <c r="K482" s="119" t="s">
        <v>619</v>
      </c>
      <c r="L482" s="138" t="s">
        <v>1436</v>
      </c>
      <c r="M482" s="120" t="s">
        <v>1437</v>
      </c>
      <c r="N482" s="65">
        <v>44618</v>
      </c>
      <c r="O482" s="24"/>
      <c r="P482" s="24"/>
      <c r="Q482" s="64">
        <v>53600000</v>
      </c>
      <c r="R482" s="64"/>
      <c r="S482" s="64"/>
      <c r="T482" s="130">
        <v>0</v>
      </c>
      <c r="U482" s="139" t="s">
        <v>1437</v>
      </c>
      <c r="V482" s="121">
        <v>53600000</v>
      </c>
      <c r="W482" s="122"/>
      <c r="X482" s="64">
        <v>53600000</v>
      </c>
      <c r="Y482" s="121"/>
      <c r="Z482" s="121"/>
      <c r="AA482" s="128"/>
      <c r="AB482" s="121"/>
      <c r="AC482" s="64">
        <v>53600000</v>
      </c>
      <c r="AD482" s="63">
        <v>44617</v>
      </c>
      <c r="AE482" s="65">
        <v>46807</v>
      </c>
      <c r="AF482" s="62">
        <v>6</v>
      </c>
      <c r="AG482" s="119">
        <v>72</v>
      </c>
      <c r="AH482" s="25">
        <v>744444.4444444445</v>
      </c>
      <c r="AI482" s="78">
        <v>16484121.444444442</v>
      </c>
      <c r="AJ482" s="78">
        <v>37115878.55555556</v>
      </c>
      <c r="AK482" s="27">
        <f t="shared" si="146"/>
        <v>744444.4444444445</v>
      </c>
      <c r="AL482" s="27">
        <f t="shared" si="150"/>
        <v>744444.4444444445</v>
      </c>
      <c r="AM482" s="27">
        <f t="shared" si="150"/>
        <v>744444.4444444445</v>
      </c>
      <c r="AN482" s="27">
        <f t="shared" si="152"/>
        <v>744444.4444444445</v>
      </c>
      <c r="AO482" s="27">
        <f t="shared" si="153"/>
        <v>744444.4444444445</v>
      </c>
      <c r="AP482" s="27">
        <f t="shared" si="153"/>
        <v>744444.4444444445</v>
      </c>
      <c r="AQ482" s="27">
        <f t="shared" si="154"/>
        <v>744444.4444444445</v>
      </c>
      <c r="AR482" s="27">
        <f t="shared" si="155"/>
        <v>744444.4444444445</v>
      </c>
      <c r="AS482" s="27"/>
      <c r="AT482" s="27"/>
      <c r="AU482" s="27"/>
      <c r="AV482" s="27"/>
      <c r="AW482" s="27">
        <f t="shared" si="143"/>
        <v>5955555.555555556</v>
      </c>
      <c r="AX482" s="79">
        <f t="shared" si="147"/>
        <v>31160323.000000004</v>
      </c>
      <c r="AY482" s="79">
        <f t="shared" si="148"/>
        <v>22439677</v>
      </c>
      <c r="AZ482" s="25">
        <v>1</v>
      </c>
      <c r="BA482" s="62" t="s">
        <v>79</v>
      </c>
      <c r="BB482" s="66">
        <v>1</v>
      </c>
      <c r="BC482" s="66"/>
      <c r="BD482" s="66"/>
      <c r="BE482" s="67">
        <f t="shared" si="151"/>
        <v>744444.4444444445</v>
      </c>
      <c r="BF482" s="67">
        <f t="shared" si="156"/>
        <v>0</v>
      </c>
      <c r="BG482" s="67">
        <f t="shared" si="149"/>
        <v>0</v>
      </c>
      <c r="BH482" s="66"/>
      <c r="BI482" s="68" t="s">
        <v>1195</v>
      </c>
      <c r="BJ482" s="68" t="s">
        <v>644</v>
      </c>
      <c r="BK482" s="68" t="s">
        <v>644</v>
      </c>
      <c r="BL482" s="29"/>
      <c r="BO482" s="35" t="s">
        <v>1802</v>
      </c>
    </row>
    <row r="483" spans="3:68" ht="15" customHeight="1">
      <c r="C483" s="1" t="str">
        <f t="shared" si="144"/>
        <v>2902</v>
      </c>
      <c r="D483" s="1" t="str">
        <f t="shared" si="145"/>
        <v>2202</v>
      </c>
      <c r="E483" s="19" t="s">
        <v>1419</v>
      </c>
      <c r="F483" s="68" t="s">
        <v>1438</v>
      </c>
      <c r="G483" s="62">
        <v>2113</v>
      </c>
      <c r="H483" s="62" t="s">
        <v>1439</v>
      </c>
      <c r="I483" s="62" t="s">
        <v>1440</v>
      </c>
      <c r="J483" s="140">
        <v>1</v>
      </c>
      <c r="K483" s="119" t="s">
        <v>619</v>
      </c>
      <c r="L483" s="138" t="s">
        <v>1441</v>
      </c>
      <c r="M483" s="120" t="s">
        <v>1442</v>
      </c>
      <c r="N483" s="65">
        <v>44620</v>
      </c>
      <c r="O483" s="24"/>
      <c r="P483" s="24"/>
      <c r="Q483" s="64">
        <v>490000000</v>
      </c>
      <c r="R483" s="64"/>
      <c r="S483" s="64"/>
      <c r="T483" s="130"/>
      <c r="U483" s="139"/>
      <c r="V483" s="121">
        <v>490000000</v>
      </c>
      <c r="W483" s="122"/>
      <c r="X483" s="64">
        <v>490000000</v>
      </c>
      <c r="Y483" s="121"/>
      <c r="Z483" s="121"/>
      <c r="AA483" s="128"/>
      <c r="AB483" s="121"/>
      <c r="AC483" s="64">
        <v>490000000</v>
      </c>
      <c r="AD483" s="63">
        <v>44620</v>
      </c>
      <c r="AE483" s="65">
        <v>47176</v>
      </c>
      <c r="AF483" s="62">
        <v>7</v>
      </c>
      <c r="AG483" s="119">
        <v>84</v>
      </c>
      <c r="AH483" s="25">
        <v>5833333.333333333</v>
      </c>
      <c r="AI483" s="78">
        <v>128541662.33333334</v>
      </c>
      <c r="AJ483" s="78">
        <v>361458337.66666663</v>
      </c>
      <c r="AK483" s="27">
        <f t="shared" si="146"/>
        <v>5833333.333333333</v>
      </c>
      <c r="AL483" s="27">
        <f t="shared" si="150"/>
        <v>5833333.333333333</v>
      </c>
      <c r="AM483" s="27">
        <f t="shared" si="150"/>
        <v>5833333.333333333</v>
      </c>
      <c r="AN483" s="27">
        <f t="shared" si="152"/>
        <v>5833333.333333333</v>
      </c>
      <c r="AO483" s="27">
        <f t="shared" si="153"/>
        <v>5833333.333333333</v>
      </c>
      <c r="AP483" s="27">
        <f t="shared" si="153"/>
        <v>5833333.333333333</v>
      </c>
      <c r="AQ483" s="27">
        <f t="shared" si="154"/>
        <v>5833333.333333333</v>
      </c>
      <c r="AR483" s="27">
        <f t="shared" si="155"/>
        <v>5833333.333333333</v>
      </c>
      <c r="AS483" s="27"/>
      <c r="AT483" s="27"/>
      <c r="AU483" s="27"/>
      <c r="AV483" s="27"/>
      <c r="AW483" s="27">
        <f t="shared" si="143"/>
        <v>46666666.666666672</v>
      </c>
      <c r="AX483" s="79">
        <f t="shared" si="147"/>
        <v>314791670.99999994</v>
      </c>
      <c r="AY483" s="79">
        <f t="shared" si="148"/>
        <v>175208329</v>
      </c>
      <c r="AZ483" s="25">
        <v>1</v>
      </c>
      <c r="BA483" s="62" t="s">
        <v>97</v>
      </c>
      <c r="BB483" s="66">
        <v>1</v>
      </c>
      <c r="BC483" s="66"/>
      <c r="BD483" s="66"/>
      <c r="BE483" s="67">
        <f t="shared" si="151"/>
        <v>5833333.333333333</v>
      </c>
      <c r="BF483" s="67">
        <f t="shared" si="156"/>
        <v>0</v>
      </c>
      <c r="BG483" s="67">
        <f t="shared" si="149"/>
        <v>0</v>
      </c>
      <c r="BH483" s="66"/>
      <c r="BI483" s="68" t="s">
        <v>1438</v>
      </c>
      <c r="BJ483" s="68" t="s">
        <v>58</v>
      </c>
      <c r="BK483" s="68" t="s">
        <v>59</v>
      </c>
      <c r="BL483" s="29"/>
      <c r="BO483" s="35" t="s">
        <v>1799</v>
      </c>
    </row>
    <row r="484" spans="3:68" ht="15" customHeight="1">
      <c r="C484" s="1" t="str">
        <f t="shared" si="144"/>
        <v>3001</v>
      </c>
      <c r="D484" s="1" t="str">
        <f t="shared" si="145"/>
        <v>2202</v>
      </c>
      <c r="E484" s="19" t="s">
        <v>1419</v>
      </c>
      <c r="F484" s="68" t="s">
        <v>49</v>
      </c>
      <c r="G484" s="62">
        <v>2114</v>
      </c>
      <c r="H484" s="62" t="s">
        <v>1443</v>
      </c>
      <c r="I484" s="62" t="s">
        <v>1444</v>
      </c>
      <c r="J484" s="118">
        <v>1</v>
      </c>
      <c r="K484" s="119" t="s">
        <v>619</v>
      </c>
      <c r="L484" s="62" t="s">
        <v>601</v>
      </c>
      <c r="M484" s="120" t="s">
        <v>1445</v>
      </c>
      <c r="N484" s="65">
        <v>44553</v>
      </c>
      <c r="O484" s="24">
        <v>2050</v>
      </c>
      <c r="P484" s="24">
        <v>22920</v>
      </c>
      <c r="Q484" s="64">
        <v>46986000</v>
      </c>
      <c r="R484" s="64"/>
      <c r="S484" s="64"/>
      <c r="T484" s="130">
        <v>2459819</v>
      </c>
      <c r="U484" s="139" t="s">
        <v>1447</v>
      </c>
      <c r="V484" s="121">
        <v>49445819</v>
      </c>
      <c r="W484" s="122"/>
      <c r="X484" s="64">
        <v>49445819</v>
      </c>
      <c r="Y484" s="121"/>
      <c r="Z484" s="121"/>
      <c r="AA484" s="128"/>
      <c r="AB484" s="121"/>
      <c r="AC484" s="64">
        <v>49445819</v>
      </c>
      <c r="AD484" s="63">
        <v>44593</v>
      </c>
      <c r="AE484" s="65">
        <v>47514</v>
      </c>
      <c r="AF484" s="62">
        <v>8</v>
      </c>
      <c r="AG484" s="119">
        <v>96</v>
      </c>
      <c r="AH484" s="25">
        <v>515060.61458333331</v>
      </c>
      <c r="AI484" s="78">
        <v>11846399.145833332</v>
      </c>
      <c r="AJ484" s="78">
        <v>37599419.854166664</v>
      </c>
      <c r="AK484" s="27">
        <f t="shared" si="146"/>
        <v>515060.61458333331</v>
      </c>
      <c r="AL484" s="27">
        <f t="shared" si="150"/>
        <v>515060.61458333331</v>
      </c>
      <c r="AM484" s="27">
        <f t="shared" si="150"/>
        <v>515060.61458333331</v>
      </c>
      <c r="AN484" s="27">
        <f t="shared" si="152"/>
        <v>515060.61458333331</v>
      </c>
      <c r="AO484" s="27">
        <f t="shared" si="153"/>
        <v>515060.61458333331</v>
      </c>
      <c r="AP484" s="27">
        <f t="shared" si="153"/>
        <v>515060.61458333331</v>
      </c>
      <c r="AQ484" s="27">
        <f t="shared" si="154"/>
        <v>515060.61458333331</v>
      </c>
      <c r="AR484" s="27">
        <f t="shared" si="155"/>
        <v>515060.61458333331</v>
      </c>
      <c r="AS484" s="27"/>
      <c r="AT484" s="27"/>
      <c r="AU484" s="27"/>
      <c r="AV484" s="27"/>
      <c r="AW484" s="27">
        <f t="shared" si="143"/>
        <v>4120484.916666667</v>
      </c>
      <c r="AX484" s="79">
        <f t="shared" si="147"/>
        <v>33478934.937500004</v>
      </c>
      <c r="AY484" s="79">
        <f t="shared" si="148"/>
        <v>15966884.0625</v>
      </c>
      <c r="AZ484" s="25">
        <v>1</v>
      </c>
      <c r="BA484" s="62" t="s">
        <v>97</v>
      </c>
      <c r="BB484" s="66">
        <v>1</v>
      </c>
      <c r="BC484" s="66"/>
      <c r="BD484" s="66"/>
      <c r="BE484" s="67">
        <f t="shared" si="151"/>
        <v>515060.61458333331</v>
      </c>
      <c r="BF484" s="67">
        <f t="shared" si="156"/>
        <v>0</v>
      </c>
      <c r="BG484" s="67">
        <f t="shared" si="149"/>
        <v>0</v>
      </c>
      <c r="BH484" s="66"/>
      <c r="BI484" s="68" t="s">
        <v>695</v>
      </c>
      <c r="BJ484" s="68" t="s">
        <v>58</v>
      </c>
      <c r="BK484" s="68" t="s">
        <v>59</v>
      </c>
      <c r="BL484" s="29"/>
      <c r="BO484" s="35" t="s">
        <v>1800</v>
      </c>
      <c r="BP484" s="1" t="s">
        <v>1814</v>
      </c>
    </row>
    <row r="485" spans="3:68" ht="15" customHeight="1">
      <c r="C485" s="1" t="str">
        <f t="shared" si="144"/>
        <v>3001</v>
      </c>
      <c r="D485" s="1" t="str">
        <f t="shared" si="145"/>
        <v>2202</v>
      </c>
      <c r="E485" s="19" t="s">
        <v>1419</v>
      </c>
      <c r="F485" s="62" t="s">
        <v>1896</v>
      </c>
      <c r="G485" s="62">
        <v>2114</v>
      </c>
      <c r="H485" s="62" t="s">
        <v>1448</v>
      </c>
      <c r="I485" s="62" t="s">
        <v>1444</v>
      </c>
      <c r="J485" s="118">
        <v>1</v>
      </c>
      <c r="K485" s="119" t="s">
        <v>619</v>
      </c>
      <c r="L485" s="62" t="s">
        <v>601</v>
      </c>
      <c r="M485" s="120" t="s">
        <v>1445</v>
      </c>
      <c r="N485" s="65">
        <v>44553</v>
      </c>
      <c r="O485" s="24">
        <v>2050</v>
      </c>
      <c r="P485" s="24">
        <v>22920</v>
      </c>
      <c r="Q485" s="64">
        <v>46986000</v>
      </c>
      <c r="R485" s="64"/>
      <c r="S485" s="64"/>
      <c r="T485" s="130">
        <v>2459818</v>
      </c>
      <c r="U485" s="139" t="s">
        <v>1447</v>
      </c>
      <c r="V485" s="121">
        <v>49445818</v>
      </c>
      <c r="W485" s="122"/>
      <c r="X485" s="64">
        <v>49445818</v>
      </c>
      <c r="Y485" s="121"/>
      <c r="Z485" s="121"/>
      <c r="AA485" s="128"/>
      <c r="AB485" s="121"/>
      <c r="AC485" s="64">
        <v>49445818</v>
      </c>
      <c r="AD485" s="63">
        <v>44593</v>
      </c>
      <c r="AE485" s="65">
        <v>47514</v>
      </c>
      <c r="AF485" s="62">
        <v>8</v>
      </c>
      <c r="AG485" s="119">
        <v>96</v>
      </c>
      <c r="AH485" s="25">
        <v>515060.60416666669</v>
      </c>
      <c r="AI485" s="78">
        <v>11846399.041666668</v>
      </c>
      <c r="AJ485" s="78">
        <v>37599418.958333336</v>
      </c>
      <c r="AK485" s="27">
        <f t="shared" si="146"/>
        <v>515060.60416666669</v>
      </c>
      <c r="AL485" s="27">
        <f t="shared" si="150"/>
        <v>515060.60416666669</v>
      </c>
      <c r="AM485" s="27">
        <f t="shared" si="150"/>
        <v>515060.60416666669</v>
      </c>
      <c r="AN485" s="27">
        <f t="shared" si="152"/>
        <v>515060.60416666669</v>
      </c>
      <c r="AO485" s="27">
        <f t="shared" si="153"/>
        <v>515060.60416666669</v>
      </c>
      <c r="AP485" s="27">
        <f t="shared" si="153"/>
        <v>515060.60416666669</v>
      </c>
      <c r="AQ485" s="27">
        <f t="shared" si="154"/>
        <v>515060.60416666669</v>
      </c>
      <c r="AR485" s="27">
        <f t="shared" si="155"/>
        <v>515060.60416666669</v>
      </c>
      <c r="AS485" s="27"/>
      <c r="AT485" s="27"/>
      <c r="AU485" s="27"/>
      <c r="AV485" s="27"/>
      <c r="AW485" s="27">
        <f t="shared" si="143"/>
        <v>4120484.833333333</v>
      </c>
      <c r="AX485" s="79">
        <f t="shared" si="147"/>
        <v>33478934.124999996</v>
      </c>
      <c r="AY485" s="79">
        <f t="shared" si="148"/>
        <v>15966883.875</v>
      </c>
      <c r="AZ485" s="25">
        <v>1</v>
      </c>
      <c r="BA485" s="62" t="s">
        <v>97</v>
      </c>
      <c r="BB485" s="66">
        <v>1</v>
      </c>
      <c r="BC485" s="66"/>
      <c r="BD485" s="66"/>
      <c r="BE485" s="67">
        <f t="shared" si="151"/>
        <v>515060.60416666669</v>
      </c>
      <c r="BF485" s="67">
        <f t="shared" si="156"/>
        <v>0</v>
      </c>
      <c r="BG485" s="67">
        <f t="shared" si="149"/>
        <v>0</v>
      </c>
      <c r="BH485" s="66"/>
      <c r="BI485" s="68" t="s">
        <v>1449</v>
      </c>
      <c r="BJ485" s="68" t="s">
        <v>1929</v>
      </c>
      <c r="BK485" s="68" t="s">
        <v>1989</v>
      </c>
      <c r="BL485" s="29"/>
      <c r="BO485" s="35" t="s">
        <v>1801</v>
      </c>
      <c r="BP485" s="1" t="s">
        <v>1813</v>
      </c>
    </row>
    <row r="486" spans="3:68" ht="15" customHeight="1">
      <c r="C486" s="1" t="str">
        <f t="shared" si="144"/>
        <v>3001</v>
      </c>
      <c r="D486" s="1" t="str">
        <f t="shared" si="145"/>
        <v>2202</v>
      </c>
      <c r="E486" s="19" t="s">
        <v>1419</v>
      </c>
      <c r="F486" s="62" t="s">
        <v>1896</v>
      </c>
      <c r="G486" s="62">
        <v>2114</v>
      </c>
      <c r="H486" s="62" t="s">
        <v>1450</v>
      </c>
      <c r="I486" s="62" t="s">
        <v>1444</v>
      </c>
      <c r="J486" s="118">
        <v>1</v>
      </c>
      <c r="K486" s="119" t="s">
        <v>619</v>
      </c>
      <c r="L486" s="62" t="s">
        <v>601</v>
      </c>
      <c r="M486" s="120" t="s">
        <v>1445</v>
      </c>
      <c r="N486" s="65">
        <v>44553</v>
      </c>
      <c r="O486" s="24">
        <v>2050</v>
      </c>
      <c r="P486" s="24">
        <v>22920</v>
      </c>
      <c r="Q486" s="64">
        <v>46986000</v>
      </c>
      <c r="R486" s="64"/>
      <c r="S486" s="64"/>
      <c r="T486" s="130">
        <v>2459818</v>
      </c>
      <c r="U486" s="139" t="s">
        <v>1447</v>
      </c>
      <c r="V486" s="121">
        <v>49445818</v>
      </c>
      <c r="W486" s="122"/>
      <c r="X486" s="64">
        <v>49445818</v>
      </c>
      <c r="Y486" s="121"/>
      <c r="Z486" s="121"/>
      <c r="AA486" s="128"/>
      <c r="AB486" s="121"/>
      <c r="AC486" s="64">
        <v>49445818</v>
      </c>
      <c r="AD486" s="63">
        <v>44593</v>
      </c>
      <c r="AE486" s="65">
        <v>47514</v>
      </c>
      <c r="AF486" s="62">
        <v>8</v>
      </c>
      <c r="AG486" s="119">
        <v>96</v>
      </c>
      <c r="AH486" s="25">
        <v>515060.60416666669</v>
      </c>
      <c r="AI486" s="78">
        <v>11846399.041666668</v>
      </c>
      <c r="AJ486" s="78">
        <v>37599418.958333336</v>
      </c>
      <c r="AK486" s="27">
        <f t="shared" si="146"/>
        <v>515060.60416666669</v>
      </c>
      <c r="AL486" s="27">
        <f t="shared" si="150"/>
        <v>515060.60416666669</v>
      </c>
      <c r="AM486" s="27">
        <f t="shared" si="150"/>
        <v>515060.60416666669</v>
      </c>
      <c r="AN486" s="27">
        <f t="shared" si="152"/>
        <v>515060.60416666669</v>
      </c>
      <c r="AO486" s="27">
        <f t="shared" si="153"/>
        <v>515060.60416666669</v>
      </c>
      <c r="AP486" s="27">
        <f t="shared" si="153"/>
        <v>515060.60416666669</v>
      </c>
      <c r="AQ486" s="27">
        <f t="shared" si="154"/>
        <v>515060.60416666669</v>
      </c>
      <c r="AR486" s="27">
        <f t="shared" si="155"/>
        <v>515060.60416666669</v>
      </c>
      <c r="AS486" s="27"/>
      <c r="AT486" s="27"/>
      <c r="AU486" s="27"/>
      <c r="AV486" s="27"/>
      <c r="AW486" s="27">
        <f t="shared" si="143"/>
        <v>4120484.833333333</v>
      </c>
      <c r="AX486" s="79">
        <f t="shared" si="147"/>
        <v>33478934.124999996</v>
      </c>
      <c r="AY486" s="79">
        <f t="shared" si="148"/>
        <v>15966883.875</v>
      </c>
      <c r="AZ486" s="25">
        <v>1</v>
      </c>
      <c r="BA486" s="62" t="s">
        <v>97</v>
      </c>
      <c r="BB486" s="66">
        <v>1</v>
      </c>
      <c r="BC486" s="66"/>
      <c r="BD486" s="66"/>
      <c r="BE486" s="67">
        <f t="shared" si="151"/>
        <v>515060.60416666669</v>
      </c>
      <c r="BF486" s="67">
        <f t="shared" si="156"/>
        <v>0</v>
      </c>
      <c r="BG486" s="67">
        <f t="shared" si="149"/>
        <v>0</v>
      </c>
      <c r="BH486" s="66"/>
      <c r="BI486" s="68" t="s">
        <v>1451</v>
      </c>
      <c r="BJ486" s="68" t="s">
        <v>1929</v>
      </c>
      <c r="BK486" s="68" t="s">
        <v>1989</v>
      </c>
      <c r="BL486" s="29"/>
      <c r="BO486" s="35" t="s">
        <v>1801</v>
      </c>
      <c r="BP486" s="1" t="s">
        <v>1826</v>
      </c>
    </row>
    <row r="487" spans="3:68" ht="15" customHeight="1">
      <c r="C487" s="1" t="str">
        <f t="shared" si="144"/>
        <v>2802</v>
      </c>
      <c r="D487" s="1" t="str">
        <f t="shared" si="145"/>
        <v>2203</v>
      </c>
      <c r="E487" s="19" t="s">
        <v>1452</v>
      </c>
      <c r="F487" s="68" t="s">
        <v>49</v>
      </c>
      <c r="G487" s="62">
        <v>2112</v>
      </c>
      <c r="H487" s="62" t="s">
        <v>1453</v>
      </c>
      <c r="I487" s="62" t="s">
        <v>1454</v>
      </c>
      <c r="J487" s="118">
        <v>1</v>
      </c>
      <c r="K487" s="119" t="s">
        <v>619</v>
      </c>
      <c r="L487" s="62" t="s">
        <v>1455</v>
      </c>
      <c r="M487" s="120" t="s">
        <v>1456</v>
      </c>
      <c r="N487" s="65">
        <v>44566</v>
      </c>
      <c r="O487" s="24">
        <v>24000</v>
      </c>
      <c r="P487" s="24">
        <v>22970</v>
      </c>
      <c r="Q487" s="64">
        <v>551280000</v>
      </c>
      <c r="R487" s="64"/>
      <c r="S487" s="64"/>
      <c r="T487" s="130">
        <v>5724944</v>
      </c>
      <c r="U487" s="139" t="s">
        <v>1458</v>
      </c>
      <c r="V487" s="121">
        <v>557004944</v>
      </c>
      <c r="W487" s="122"/>
      <c r="X487" s="64">
        <v>557004944</v>
      </c>
      <c r="Y487" s="121"/>
      <c r="Z487" s="121"/>
      <c r="AA487" s="128"/>
      <c r="AB487" s="121"/>
      <c r="AC487" s="64">
        <v>557004944</v>
      </c>
      <c r="AD487" s="63">
        <v>44621</v>
      </c>
      <c r="AE487" s="65">
        <v>46812</v>
      </c>
      <c r="AF487" s="62">
        <v>6</v>
      </c>
      <c r="AG487" s="119">
        <v>72</v>
      </c>
      <c r="AH487" s="25">
        <v>7736179.777777778</v>
      </c>
      <c r="AI487" s="78">
        <v>170195957.77777776</v>
      </c>
      <c r="AJ487" s="78">
        <v>386808986.22222221</v>
      </c>
      <c r="AK487" s="27">
        <f t="shared" si="146"/>
        <v>7736179.777777778</v>
      </c>
      <c r="AL487" s="27">
        <f t="shared" si="150"/>
        <v>7736179.777777778</v>
      </c>
      <c r="AM487" s="27">
        <f t="shared" si="150"/>
        <v>7736179.777777778</v>
      </c>
      <c r="AN487" s="27">
        <f t="shared" si="152"/>
        <v>7736179.777777778</v>
      </c>
      <c r="AO487" s="27">
        <f t="shared" si="153"/>
        <v>7736179.777777778</v>
      </c>
      <c r="AP487" s="27">
        <f t="shared" si="153"/>
        <v>7736179.777777778</v>
      </c>
      <c r="AQ487" s="27">
        <f t="shared" si="154"/>
        <v>7736179.777777778</v>
      </c>
      <c r="AR487" s="27">
        <f t="shared" si="155"/>
        <v>7736179.777777778</v>
      </c>
      <c r="AS487" s="27"/>
      <c r="AT487" s="27"/>
      <c r="AU487" s="27"/>
      <c r="AV487" s="27"/>
      <c r="AW487" s="27">
        <f t="shared" si="143"/>
        <v>61889438.222222216</v>
      </c>
      <c r="AX487" s="79">
        <f t="shared" si="147"/>
        <v>324919548</v>
      </c>
      <c r="AY487" s="79">
        <f t="shared" si="148"/>
        <v>232085395.99999997</v>
      </c>
      <c r="AZ487" s="25">
        <v>1</v>
      </c>
      <c r="BA487" s="62" t="s">
        <v>97</v>
      </c>
      <c r="BB487" s="66"/>
      <c r="BC487" s="66">
        <v>1</v>
      </c>
      <c r="BD487" s="66"/>
      <c r="BE487" s="67">
        <f t="shared" si="151"/>
        <v>0</v>
      </c>
      <c r="BF487" s="67">
        <f t="shared" si="156"/>
        <v>7736179.777777778</v>
      </c>
      <c r="BG487" s="67">
        <f t="shared" si="149"/>
        <v>0</v>
      </c>
      <c r="BH487" s="62" t="s">
        <v>1668</v>
      </c>
      <c r="BI487" s="19" t="s">
        <v>1624</v>
      </c>
      <c r="BJ487" s="68" t="s">
        <v>1438</v>
      </c>
      <c r="BK487" s="68" t="s">
        <v>1438</v>
      </c>
      <c r="BL487" s="29"/>
      <c r="BM487" s="1" t="s">
        <v>1886</v>
      </c>
      <c r="BN487" s="1" t="s">
        <v>1666</v>
      </c>
      <c r="BO487" s="35" t="s">
        <v>1804</v>
      </c>
    </row>
    <row r="488" spans="3:68" ht="15" customHeight="1">
      <c r="C488" s="1" t="str">
        <f t="shared" si="144"/>
        <v>2802</v>
      </c>
      <c r="D488" s="1" t="str">
        <f t="shared" si="145"/>
        <v>2203</v>
      </c>
      <c r="E488" s="19" t="s">
        <v>1452</v>
      </c>
      <c r="F488" s="68" t="s">
        <v>49</v>
      </c>
      <c r="G488" s="62">
        <v>2112</v>
      </c>
      <c r="H488" s="62" t="s">
        <v>1459</v>
      </c>
      <c r="I488" s="62" t="s">
        <v>1454</v>
      </c>
      <c r="J488" s="118">
        <v>1</v>
      </c>
      <c r="K488" s="119" t="s">
        <v>619</v>
      </c>
      <c r="L488" s="62" t="s">
        <v>1455</v>
      </c>
      <c r="M488" s="120" t="s">
        <v>1456</v>
      </c>
      <c r="N488" s="65">
        <v>44566</v>
      </c>
      <c r="O488" s="24">
        <v>24000</v>
      </c>
      <c r="P488" s="24">
        <v>22970</v>
      </c>
      <c r="Q488" s="64">
        <v>551280000</v>
      </c>
      <c r="R488" s="64"/>
      <c r="S488" s="64"/>
      <c r="T488" s="130">
        <v>5724944</v>
      </c>
      <c r="U488" s="139" t="s">
        <v>1458</v>
      </c>
      <c r="V488" s="121">
        <v>557004944</v>
      </c>
      <c r="W488" s="122"/>
      <c r="X488" s="64">
        <v>557004944</v>
      </c>
      <c r="Y488" s="121"/>
      <c r="Z488" s="121"/>
      <c r="AA488" s="128"/>
      <c r="AB488" s="121"/>
      <c r="AC488" s="64">
        <v>557004944</v>
      </c>
      <c r="AD488" s="63">
        <v>44621</v>
      </c>
      <c r="AE488" s="65">
        <v>46812</v>
      </c>
      <c r="AF488" s="62">
        <v>6</v>
      </c>
      <c r="AG488" s="119">
        <v>72</v>
      </c>
      <c r="AH488" s="25">
        <v>7736179.777777778</v>
      </c>
      <c r="AI488" s="78">
        <v>170195957.77777776</v>
      </c>
      <c r="AJ488" s="78">
        <v>386808986.22222221</v>
      </c>
      <c r="AK488" s="27">
        <f t="shared" si="146"/>
        <v>7736179.777777778</v>
      </c>
      <c r="AL488" s="27">
        <f t="shared" si="150"/>
        <v>7736179.777777778</v>
      </c>
      <c r="AM488" s="27">
        <f t="shared" si="150"/>
        <v>7736179.777777778</v>
      </c>
      <c r="AN488" s="27">
        <f t="shared" si="152"/>
        <v>7736179.777777778</v>
      </c>
      <c r="AO488" s="27">
        <f t="shared" si="153"/>
        <v>7736179.777777778</v>
      </c>
      <c r="AP488" s="27">
        <f t="shared" si="153"/>
        <v>7736179.777777778</v>
      </c>
      <c r="AQ488" s="27">
        <f t="shared" si="154"/>
        <v>7736179.777777778</v>
      </c>
      <c r="AR488" s="27">
        <f t="shared" si="155"/>
        <v>7736179.777777778</v>
      </c>
      <c r="AS488" s="27"/>
      <c r="AT488" s="27"/>
      <c r="AU488" s="27"/>
      <c r="AV488" s="27"/>
      <c r="AW488" s="27">
        <f t="shared" si="143"/>
        <v>61889438.222222216</v>
      </c>
      <c r="AX488" s="79">
        <f t="shared" si="147"/>
        <v>324919548</v>
      </c>
      <c r="AY488" s="79">
        <f t="shared" si="148"/>
        <v>232085395.99999997</v>
      </c>
      <c r="AZ488" s="25">
        <v>1</v>
      </c>
      <c r="BA488" s="62" t="s">
        <v>97</v>
      </c>
      <c r="BB488" s="66"/>
      <c r="BC488" s="66">
        <v>1</v>
      </c>
      <c r="BD488" s="66"/>
      <c r="BE488" s="67">
        <f t="shared" si="151"/>
        <v>0</v>
      </c>
      <c r="BF488" s="67">
        <f t="shared" si="156"/>
        <v>7736179.777777778</v>
      </c>
      <c r="BG488" s="67">
        <f t="shared" si="149"/>
        <v>0</v>
      </c>
      <c r="BH488" s="62" t="s">
        <v>1668</v>
      </c>
      <c r="BI488" s="19" t="s">
        <v>1624</v>
      </c>
      <c r="BJ488" s="68" t="s">
        <v>1438</v>
      </c>
      <c r="BK488" s="68" t="s">
        <v>1438</v>
      </c>
      <c r="BL488" s="29"/>
      <c r="BM488" s="1" t="s">
        <v>1886</v>
      </c>
      <c r="BN488" s="1" t="s">
        <v>1666</v>
      </c>
      <c r="BO488" s="35" t="s">
        <v>1804</v>
      </c>
    </row>
    <row r="489" spans="3:68" ht="15" customHeight="1">
      <c r="C489" s="1" t="str">
        <f t="shared" si="144"/>
        <v>3003</v>
      </c>
      <c r="D489" s="1" t="str">
        <f t="shared" si="145"/>
        <v>2203</v>
      </c>
      <c r="E489" s="19" t="s">
        <v>1452</v>
      </c>
      <c r="F489" s="68" t="s">
        <v>515</v>
      </c>
      <c r="G489" s="62">
        <v>2112</v>
      </c>
      <c r="H489" s="62" t="s">
        <v>1460</v>
      </c>
      <c r="I489" s="62" t="s">
        <v>1461</v>
      </c>
      <c r="J489" s="118">
        <v>1</v>
      </c>
      <c r="K489" s="119" t="s">
        <v>619</v>
      </c>
      <c r="L489" s="62" t="s">
        <v>1416</v>
      </c>
      <c r="M489" s="120" t="s">
        <v>1462</v>
      </c>
      <c r="N489" s="65">
        <v>44602</v>
      </c>
      <c r="O489" s="24">
        <v>55000</v>
      </c>
      <c r="P489" s="24">
        <v>22882</v>
      </c>
      <c r="Q489" s="64">
        <v>1258510000</v>
      </c>
      <c r="R489" s="64"/>
      <c r="S489" s="64"/>
      <c r="T489" s="130">
        <v>36123929</v>
      </c>
      <c r="U489" s="139"/>
      <c r="V489" s="121">
        <v>1294633929</v>
      </c>
      <c r="W489" s="122"/>
      <c r="X489" s="64">
        <v>1294633929</v>
      </c>
      <c r="Y489" s="121"/>
      <c r="Z489" s="121"/>
      <c r="AA489" s="128"/>
      <c r="AB489" s="121"/>
      <c r="AC489" s="64">
        <v>1294633929</v>
      </c>
      <c r="AD489" s="63">
        <v>44648</v>
      </c>
      <c r="AE489" s="65">
        <v>47569</v>
      </c>
      <c r="AF489" s="62">
        <v>8</v>
      </c>
      <c r="AG489" s="119">
        <v>96</v>
      </c>
      <c r="AH489" s="25">
        <v>13485770.09375</v>
      </c>
      <c r="AI489" s="78">
        <v>284941269.9375</v>
      </c>
      <c r="AJ489" s="78">
        <v>1009692659.0625</v>
      </c>
      <c r="AK489" s="27">
        <f t="shared" si="146"/>
        <v>13485770.09375</v>
      </c>
      <c r="AL489" s="27">
        <f t="shared" si="150"/>
        <v>13485770.09375</v>
      </c>
      <c r="AM489" s="27">
        <f t="shared" si="150"/>
        <v>13485770.09375</v>
      </c>
      <c r="AN489" s="27">
        <f t="shared" si="152"/>
        <v>13485770.09375</v>
      </c>
      <c r="AO489" s="27">
        <f t="shared" si="153"/>
        <v>13485770.09375</v>
      </c>
      <c r="AP489" s="27">
        <f t="shared" si="153"/>
        <v>13485770.09375</v>
      </c>
      <c r="AQ489" s="27">
        <f t="shared" si="154"/>
        <v>13485770.09375</v>
      </c>
      <c r="AR489" s="27">
        <f t="shared" si="155"/>
        <v>13485770.09375</v>
      </c>
      <c r="AS489" s="27"/>
      <c r="AT489" s="27"/>
      <c r="AU489" s="27"/>
      <c r="AV489" s="27"/>
      <c r="AW489" s="27">
        <f t="shared" si="143"/>
        <v>107886160.75</v>
      </c>
      <c r="AX489" s="79">
        <f t="shared" si="147"/>
        <v>901806498.3125</v>
      </c>
      <c r="AY489" s="79">
        <f t="shared" si="148"/>
        <v>392827430.6875</v>
      </c>
      <c r="AZ489" s="25">
        <v>1</v>
      </c>
      <c r="BA489" s="62" t="s">
        <v>97</v>
      </c>
      <c r="BB489" s="66">
        <v>1</v>
      </c>
      <c r="BC489" s="66"/>
      <c r="BD489" s="66"/>
      <c r="BE489" s="67">
        <f t="shared" si="151"/>
        <v>13485770.09375</v>
      </c>
      <c r="BF489" s="67">
        <f t="shared" si="156"/>
        <v>0</v>
      </c>
      <c r="BG489" s="67">
        <f t="shared" si="149"/>
        <v>0</v>
      </c>
      <c r="BH489" s="66"/>
      <c r="BI489" s="68" t="s">
        <v>871</v>
      </c>
      <c r="BJ489" s="68" t="s">
        <v>98</v>
      </c>
      <c r="BK489" s="68" t="s">
        <v>98</v>
      </c>
      <c r="BL489" s="29"/>
      <c r="BO489" s="35" t="s">
        <v>1805</v>
      </c>
    </row>
    <row r="490" spans="3:68" ht="15" customHeight="1">
      <c r="C490" s="1" t="str">
        <f t="shared" si="144"/>
        <v>3003</v>
      </c>
      <c r="D490" s="1" t="str">
        <f t="shared" si="145"/>
        <v>2203</v>
      </c>
      <c r="E490" s="19" t="s">
        <v>1452</v>
      </c>
      <c r="F490" s="68" t="s">
        <v>515</v>
      </c>
      <c r="G490" s="62">
        <v>2112</v>
      </c>
      <c r="H490" s="62" t="s">
        <v>1464</v>
      </c>
      <c r="I490" s="62" t="s">
        <v>1465</v>
      </c>
      <c r="J490" s="118">
        <v>1</v>
      </c>
      <c r="K490" s="119" t="s">
        <v>619</v>
      </c>
      <c r="L490" s="62" t="s">
        <v>1416</v>
      </c>
      <c r="M490" s="120" t="s">
        <v>1462</v>
      </c>
      <c r="N490" s="65">
        <v>44602</v>
      </c>
      <c r="O490" s="24">
        <v>45000</v>
      </c>
      <c r="P490" s="24">
        <v>22882</v>
      </c>
      <c r="Q490" s="64">
        <v>1029690000</v>
      </c>
      <c r="R490" s="64"/>
      <c r="S490" s="64"/>
      <c r="T490" s="130">
        <v>29555943</v>
      </c>
      <c r="U490" s="139"/>
      <c r="V490" s="121">
        <v>1059245943</v>
      </c>
      <c r="W490" s="122"/>
      <c r="X490" s="64">
        <v>1059245943</v>
      </c>
      <c r="Y490" s="121"/>
      <c r="Z490" s="121"/>
      <c r="AA490" s="128"/>
      <c r="AB490" s="121"/>
      <c r="AC490" s="64">
        <v>1059245943</v>
      </c>
      <c r="AD490" s="63">
        <v>44648</v>
      </c>
      <c r="AE490" s="65">
        <v>47569</v>
      </c>
      <c r="AF490" s="62">
        <v>8</v>
      </c>
      <c r="AG490" s="119">
        <v>96</v>
      </c>
      <c r="AH490" s="25">
        <v>11033811.90625</v>
      </c>
      <c r="AI490" s="78">
        <v>233133769.0625</v>
      </c>
      <c r="AJ490" s="78">
        <v>826112173.9375</v>
      </c>
      <c r="AK490" s="27">
        <f t="shared" si="146"/>
        <v>11033811.90625</v>
      </c>
      <c r="AL490" s="27">
        <f t="shared" si="150"/>
        <v>11033811.90625</v>
      </c>
      <c r="AM490" s="27">
        <f t="shared" si="150"/>
        <v>11033811.90625</v>
      </c>
      <c r="AN490" s="27">
        <f t="shared" si="152"/>
        <v>11033811.90625</v>
      </c>
      <c r="AO490" s="27">
        <f t="shared" si="153"/>
        <v>11033811.90625</v>
      </c>
      <c r="AP490" s="27">
        <f t="shared" si="153"/>
        <v>11033811.90625</v>
      </c>
      <c r="AQ490" s="27">
        <f t="shared" si="154"/>
        <v>11033811.90625</v>
      </c>
      <c r="AR490" s="27">
        <f t="shared" si="155"/>
        <v>11033811.90625</v>
      </c>
      <c r="AS490" s="27"/>
      <c r="AT490" s="27"/>
      <c r="AU490" s="27"/>
      <c r="AV490" s="27"/>
      <c r="AW490" s="27">
        <f t="shared" si="143"/>
        <v>88270495.25</v>
      </c>
      <c r="AX490" s="79">
        <f t="shared" si="147"/>
        <v>737841678.6875</v>
      </c>
      <c r="AY490" s="79">
        <f t="shared" si="148"/>
        <v>321404264.3125</v>
      </c>
      <c r="AZ490" s="25">
        <v>1</v>
      </c>
      <c r="BA490" s="62" t="s">
        <v>97</v>
      </c>
      <c r="BB490" s="66">
        <v>1</v>
      </c>
      <c r="BC490" s="66"/>
      <c r="BD490" s="66"/>
      <c r="BE490" s="67">
        <f t="shared" si="151"/>
        <v>11033811.90625</v>
      </c>
      <c r="BF490" s="67">
        <f t="shared" si="156"/>
        <v>0</v>
      </c>
      <c r="BG490" s="67">
        <f t="shared" si="149"/>
        <v>0</v>
      </c>
      <c r="BH490" s="66"/>
      <c r="BI490" s="68" t="s">
        <v>871</v>
      </c>
      <c r="BJ490" s="68" t="s">
        <v>81</v>
      </c>
      <c r="BK490" s="68" t="s">
        <v>81</v>
      </c>
      <c r="BL490" s="29"/>
      <c r="BO490" s="35" t="s">
        <v>1805</v>
      </c>
    </row>
    <row r="491" spans="3:68" ht="15" customHeight="1">
      <c r="C491" s="1" t="str">
        <f t="shared" si="144"/>
        <v>2802</v>
      </c>
      <c r="D491" s="1" t="str">
        <f t="shared" si="145"/>
        <v>2203</v>
      </c>
      <c r="E491" s="19" t="s">
        <v>1452</v>
      </c>
      <c r="F491" s="68" t="s">
        <v>49</v>
      </c>
      <c r="G491" s="62">
        <v>2112</v>
      </c>
      <c r="H491" s="62" t="s">
        <v>1466</v>
      </c>
      <c r="I491" s="62" t="s">
        <v>1467</v>
      </c>
      <c r="J491" s="118">
        <v>1</v>
      </c>
      <c r="K491" s="119" t="s">
        <v>619</v>
      </c>
      <c r="L491" s="62" t="s">
        <v>218</v>
      </c>
      <c r="M491" s="120" t="s">
        <v>1468</v>
      </c>
      <c r="N491" s="65">
        <v>44579</v>
      </c>
      <c r="O491" s="24">
        <v>2500</v>
      </c>
      <c r="P491" s="24">
        <v>22980</v>
      </c>
      <c r="Q491" s="64">
        <v>57450000</v>
      </c>
      <c r="R491" s="64"/>
      <c r="S491" s="64"/>
      <c r="T491" s="130">
        <v>7741000</v>
      </c>
      <c r="U491" s="139" t="s">
        <v>1470</v>
      </c>
      <c r="V491" s="121">
        <v>65191000</v>
      </c>
      <c r="W491" s="122"/>
      <c r="X491" s="64">
        <v>65191000</v>
      </c>
      <c r="Y491" s="121"/>
      <c r="Z491" s="121"/>
      <c r="AA491" s="128"/>
      <c r="AB491" s="121"/>
      <c r="AC491" s="64">
        <v>65191000</v>
      </c>
      <c r="AD491" s="63">
        <v>44621</v>
      </c>
      <c r="AE491" s="65">
        <v>46812</v>
      </c>
      <c r="AF491" s="62">
        <v>6</v>
      </c>
      <c r="AG491" s="119">
        <v>72</v>
      </c>
      <c r="AH491" s="25">
        <v>905430.5555555555</v>
      </c>
      <c r="AI491" s="78">
        <v>19919477.55555556</v>
      </c>
      <c r="AJ491" s="78">
        <v>45271522.44444444</v>
      </c>
      <c r="AK491" s="27">
        <f t="shared" si="146"/>
        <v>905430.5555555555</v>
      </c>
      <c r="AL491" s="27">
        <f t="shared" si="150"/>
        <v>905430.5555555555</v>
      </c>
      <c r="AM491" s="27">
        <f t="shared" si="150"/>
        <v>905430.5555555555</v>
      </c>
      <c r="AN491" s="27">
        <f t="shared" si="152"/>
        <v>905430.5555555555</v>
      </c>
      <c r="AO491" s="27">
        <f t="shared" si="153"/>
        <v>905430.5555555555</v>
      </c>
      <c r="AP491" s="27">
        <f t="shared" si="153"/>
        <v>905430.5555555555</v>
      </c>
      <c r="AQ491" s="27">
        <f t="shared" si="154"/>
        <v>905430.5555555555</v>
      </c>
      <c r="AR491" s="27">
        <f t="shared" si="155"/>
        <v>905430.5555555555</v>
      </c>
      <c r="AS491" s="27"/>
      <c r="AT491" s="27"/>
      <c r="AU491" s="27"/>
      <c r="AV491" s="27"/>
      <c r="AW491" s="27">
        <f t="shared" si="143"/>
        <v>7243444.4444444459</v>
      </c>
      <c r="AX491" s="79">
        <f t="shared" si="147"/>
        <v>38028077.999999993</v>
      </c>
      <c r="AY491" s="79">
        <f t="shared" si="148"/>
        <v>27162922.000000007</v>
      </c>
      <c r="AZ491" s="25">
        <v>1</v>
      </c>
      <c r="BA491" s="62" t="s">
        <v>97</v>
      </c>
      <c r="BB491" s="66">
        <v>1</v>
      </c>
      <c r="BC491" s="66"/>
      <c r="BD491" s="66"/>
      <c r="BE491" s="67">
        <f t="shared" si="151"/>
        <v>905430.5555555555</v>
      </c>
      <c r="BF491" s="67">
        <f t="shared" si="156"/>
        <v>0</v>
      </c>
      <c r="BG491" s="67">
        <f t="shared" si="149"/>
        <v>0</v>
      </c>
      <c r="BH491" s="66"/>
      <c r="BI491" s="68" t="s">
        <v>466</v>
      </c>
      <c r="BJ491" s="69" t="s">
        <v>1471</v>
      </c>
      <c r="BK491" s="68" t="s">
        <v>159</v>
      </c>
      <c r="BL491" s="29"/>
      <c r="BO491" s="35" t="s">
        <v>1804</v>
      </c>
    </row>
    <row r="492" spans="3:68" ht="15" customHeight="1">
      <c r="C492" s="1" t="str">
        <f t="shared" si="144"/>
        <v>3204</v>
      </c>
      <c r="D492" s="1" t="str">
        <f t="shared" si="145"/>
        <v>2204</v>
      </c>
      <c r="E492" s="19" t="s">
        <v>1472</v>
      </c>
      <c r="F492" s="62" t="s">
        <v>1896</v>
      </c>
      <c r="G492" s="62">
        <v>2112</v>
      </c>
      <c r="H492" s="62" t="s">
        <v>1473</v>
      </c>
      <c r="I492" s="62" t="s">
        <v>1474</v>
      </c>
      <c r="J492" s="118">
        <v>1</v>
      </c>
      <c r="K492" s="119" t="s">
        <v>619</v>
      </c>
      <c r="L492" s="62" t="s">
        <v>1475</v>
      </c>
      <c r="M492" s="120" t="s">
        <v>1476</v>
      </c>
      <c r="N492" s="65">
        <v>44657</v>
      </c>
      <c r="O492" s="24">
        <v>425000000</v>
      </c>
      <c r="P492" s="24">
        <v>1</v>
      </c>
      <c r="Q492" s="64">
        <v>425000000</v>
      </c>
      <c r="R492" s="64"/>
      <c r="S492" s="64"/>
      <c r="T492" s="130">
        <v>0</v>
      </c>
      <c r="U492" s="139">
        <v>0</v>
      </c>
      <c r="V492" s="121">
        <v>425000000</v>
      </c>
      <c r="W492" s="122"/>
      <c r="X492" s="64">
        <v>425000000</v>
      </c>
      <c r="Y492" s="121"/>
      <c r="Z492" s="121"/>
      <c r="AA492" s="128"/>
      <c r="AB492" s="121"/>
      <c r="AC492" s="64">
        <v>425000000</v>
      </c>
      <c r="AD492" s="63">
        <v>44661</v>
      </c>
      <c r="AE492" s="65">
        <v>48313</v>
      </c>
      <c r="AF492" s="62">
        <v>10</v>
      </c>
      <c r="AG492" s="119">
        <v>120</v>
      </c>
      <c r="AH492" s="25">
        <v>3541666.6666666665</v>
      </c>
      <c r="AI492" s="78">
        <v>73312503.666666657</v>
      </c>
      <c r="AJ492" s="78">
        <v>351687496.33333331</v>
      </c>
      <c r="AK492" s="27">
        <f t="shared" si="146"/>
        <v>3541666.6666666665</v>
      </c>
      <c r="AL492" s="27">
        <f t="shared" si="150"/>
        <v>3541666.6666666665</v>
      </c>
      <c r="AM492" s="27">
        <f t="shared" si="150"/>
        <v>3541666.6666666665</v>
      </c>
      <c r="AN492" s="27">
        <f t="shared" si="152"/>
        <v>3541666.6666666665</v>
      </c>
      <c r="AO492" s="27">
        <f t="shared" si="153"/>
        <v>3541666.6666666665</v>
      </c>
      <c r="AP492" s="27">
        <f t="shared" si="153"/>
        <v>3541666.6666666665</v>
      </c>
      <c r="AQ492" s="27">
        <f t="shared" si="154"/>
        <v>3541666.6666666665</v>
      </c>
      <c r="AR492" s="27">
        <f t="shared" si="155"/>
        <v>3541666.6666666665</v>
      </c>
      <c r="AS492" s="27"/>
      <c r="AT492" s="27"/>
      <c r="AU492" s="27"/>
      <c r="AV492" s="27"/>
      <c r="AW492" s="27">
        <f t="shared" si="143"/>
        <v>28333333.333333336</v>
      </c>
      <c r="AX492" s="79">
        <f t="shared" si="147"/>
        <v>323354163.00000006</v>
      </c>
      <c r="AY492" s="79">
        <f t="shared" si="148"/>
        <v>101645837</v>
      </c>
      <c r="AZ492" s="25">
        <v>1</v>
      </c>
      <c r="BA492" s="62" t="s">
        <v>97</v>
      </c>
      <c r="BB492" s="66">
        <v>1</v>
      </c>
      <c r="BC492" s="66"/>
      <c r="BD492" s="66"/>
      <c r="BE492" s="67">
        <f t="shared" si="151"/>
        <v>3541666.6666666665</v>
      </c>
      <c r="BF492" s="67">
        <f t="shared" si="156"/>
        <v>0</v>
      </c>
      <c r="BG492" s="67">
        <f t="shared" si="149"/>
        <v>0</v>
      </c>
      <c r="BH492" s="66"/>
      <c r="BI492" s="68" t="s">
        <v>871</v>
      </c>
      <c r="BJ492" s="68" t="s">
        <v>1930</v>
      </c>
      <c r="BK492" s="68" t="s">
        <v>1930</v>
      </c>
      <c r="BL492" s="29"/>
      <c r="BO492" s="35" t="s">
        <v>1801</v>
      </c>
      <c r="BP492" s="1" t="s">
        <v>1825</v>
      </c>
    </row>
    <row r="493" spans="3:68" ht="15" customHeight="1">
      <c r="C493" s="1" t="str">
        <f t="shared" si="144"/>
        <v>3204</v>
      </c>
      <c r="D493" s="1" t="str">
        <f t="shared" si="145"/>
        <v>2204</v>
      </c>
      <c r="E493" s="19" t="s">
        <v>1472</v>
      </c>
      <c r="F493" s="62" t="s">
        <v>1896</v>
      </c>
      <c r="G493" s="62">
        <v>2112</v>
      </c>
      <c r="H493" s="62" t="s">
        <v>1477</v>
      </c>
      <c r="I493" s="62" t="s">
        <v>1474</v>
      </c>
      <c r="J493" s="118">
        <v>1</v>
      </c>
      <c r="K493" s="119" t="s">
        <v>619</v>
      </c>
      <c r="L493" s="62" t="s">
        <v>1475</v>
      </c>
      <c r="M493" s="120" t="s">
        <v>1476</v>
      </c>
      <c r="N493" s="65">
        <v>44657</v>
      </c>
      <c r="O493" s="24">
        <v>425000000</v>
      </c>
      <c r="P493" s="24">
        <v>1</v>
      </c>
      <c r="Q493" s="64">
        <v>425000000</v>
      </c>
      <c r="R493" s="64"/>
      <c r="S493" s="64"/>
      <c r="T493" s="130">
        <v>0</v>
      </c>
      <c r="U493" s="139">
        <v>0</v>
      </c>
      <c r="V493" s="121">
        <v>425000000</v>
      </c>
      <c r="W493" s="122"/>
      <c r="X493" s="64">
        <v>425000000</v>
      </c>
      <c r="Y493" s="121"/>
      <c r="Z493" s="121"/>
      <c r="AA493" s="128"/>
      <c r="AB493" s="121"/>
      <c r="AC493" s="64">
        <v>425000000</v>
      </c>
      <c r="AD493" s="63">
        <v>44661</v>
      </c>
      <c r="AE493" s="65">
        <v>48313</v>
      </c>
      <c r="AF493" s="62">
        <v>10</v>
      </c>
      <c r="AG493" s="119">
        <v>120</v>
      </c>
      <c r="AH493" s="25">
        <v>3541666.6666666665</v>
      </c>
      <c r="AI493" s="78">
        <v>73312503.666666657</v>
      </c>
      <c r="AJ493" s="78">
        <v>351687496.33333331</v>
      </c>
      <c r="AK493" s="27">
        <f t="shared" si="146"/>
        <v>3541666.6666666665</v>
      </c>
      <c r="AL493" s="27">
        <f t="shared" si="150"/>
        <v>3541666.6666666665</v>
      </c>
      <c r="AM493" s="27">
        <f t="shared" si="150"/>
        <v>3541666.6666666665</v>
      </c>
      <c r="AN493" s="27">
        <f t="shared" si="152"/>
        <v>3541666.6666666665</v>
      </c>
      <c r="AO493" s="27">
        <f t="shared" si="153"/>
        <v>3541666.6666666665</v>
      </c>
      <c r="AP493" s="27">
        <f t="shared" si="153"/>
        <v>3541666.6666666665</v>
      </c>
      <c r="AQ493" s="27">
        <f t="shared" si="154"/>
        <v>3541666.6666666665</v>
      </c>
      <c r="AR493" s="27">
        <f t="shared" si="155"/>
        <v>3541666.6666666665</v>
      </c>
      <c r="AS493" s="27"/>
      <c r="AT493" s="27"/>
      <c r="AU493" s="27"/>
      <c r="AV493" s="27"/>
      <c r="AW493" s="27">
        <f t="shared" si="143"/>
        <v>28333333.333333336</v>
      </c>
      <c r="AX493" s="79">
        <f t="shared" si="147"/>
        <v>323354163.00000006</v>
      </c>
      <c r="AY493" s="79">
        <f t="shared" si="148"/>
        <v>101645837</v>
      </c>
      <c r="AZ493" s="25">
        <v>1</v>
      </c>
      <c r="BA493" s="62" t="s">
        <v>97</v>
      </c>
      <c r="BB493" s="66">
        <v>1</v>
      </c>
      <c r="BC493" s="66"/>
      <c r="BD493" s="66"/>
      <c r="BE493" s="67">
        <f t="shared" si="151"/>
        <v>3541666.6666666665</v>
      </c>
      <c r="BF493" s="67">
        <f t="shared" si="156"/>
        <v>0</v>
      </c>
      <c r="BG493" s="67">
        <f t="shared" si="149"/>
        <v>0</v>
      </c>
      <c r="BH493" s="66"/>
      <c r="BI493" s="68" t="s">
        <v>871</v>
      </c>
      <c r="BJ493" s="68" t="s">
        <v>1930</v>
      </c>
      <c r="BK493" s="68" t="s">
        <v>1930</v>
      </c>
      <c r="BL493" s="29"/>
      <c r="BO493" s="35" t="s">
        <v>1801</v>
      </c>
      <c r="BP493" s="1" t="s">
        <v>1813</v>
      </c>
    </row>
    <row r="494" spans="3:68" ht="15" customHeight="1">
      <c r="C494" s="1" t="str">
        <f t="shared" si="144"/>
        <v>2804</v>
      </c>
      <c r="D494" s="1" t="str">
        <f t="shared" si="145"/>
        <v>2204</v>
      </c>
      <c r="E494" s="19" t="s">
        <v>1472</v>
      </c>
      <c r="F494" s="68" t="s">
        <v>49</v>
      </c>
      <c r="G494" s="62">
        <v>2112</v>
      </c>
      <c r="H494" s="62" t="s">
        <v>1478</v>
      </c>
      <c r="I494" s="62" t="s">
        <v>1479</v>
      </c>
      <c r="J494" s="118">
        <v>1</v>
      </c>
      <c r="K494" s="119" t="s">
        <v>271</v>
      </c>
      <c r="L494" s="62" t="s">
        <v>1480</v>
      </c>
      <c r="M494" s="120" t="s">
        <v>1481</v>
      </c>
      <c r="N494" s="65">
        <v>44679</v>
      </c>
      <c r="O494" s="24">
        <v>127821000</v>
      </c>
      <c r="P494" s="24">
        <v>1</v>
      </c>
      <c r="Q494" s="64">
        <v>127821000</v>
      </c>
      <c r="R494" s="64"/>
      <c r="S494" s="64"/>
      <c r="T494" s="130">
        <v>0</v>
      </c>
      <c r="U494" s="139"/>
      <c r="V494" s="121">
        <v>127821000</v>
      </c>
      <c r="W494" s="122"/>
      <c r="X494" s="64">
        <v>127821000</v>
      </c>
      <c r="Y494" s="121"/>
      <c r="Z494" s="121"/>
      <c r="AA494" s="128"/>
      <c r="AB494" s="121"/>
      <c r="AC494" s="64">
        <v>127821000</v>
      </c>
      <c r="AD494" s="63">
        <v>44671</v>
      </c>
      <c r="AE494" s="65">
        <v>46862</v>
      </c>
      <c r="AF494" s="62">
        <v>6</v>
      </c>
      <c r="AG494" s="119">
        <v>72</v>
      </c>
      <c r="AH494" s="25">
        <v>1775291.6666666667</v>
      </c>
      <c r="AI494" s="78">
        <v>36156776.666666672</v>
      </c>
      <c r="AJ494" s="78">
        <v>91664223.333333328</v>
      </c>
      <c r="AK494" s="27">
        <f t="shared" si="146"/>
        <v>1775291.6666666667</v>
      </c>
      <c r="AL494" s="27">
        <f t="shared" si="150"/>
        <v>1775291.6666666667</v>
      </c>
      <c r="AM494" s="27">
        <f t="shared" si="150"/>
        <v>1775291.6666666667</v>
      </c>
      <c r="AN494" s="27">
        <f t="shared" si="152"/>
        <v>1775291.6666666667</v>
      </c>
      <c r="AO494" s="27">
        <f t="shared" si="153"/>
        <v>1775291.6666666667</v>
      </c>
      <c r="AP494" s="27">
        <f t="shared" si="153"/>
        <v>1775291.6666666667</v>
      </c>
      <c r="AQ494" s="27">
        <f t="shared" si="154"/>
        <v>1775291.6666666667</v>
      </c>
      <c r="AR494" s="27">
        <f t="shared" si="155"/>
        <v>1775291.6666666667</v>
      </c>
      <c r="AS494" s="27"/>
      <c r="AT494" s="27"/>
      <c r="AU494" s="27"/>
      <c r="AV494" s="27"/>
      <c r="AW494" s="27">
        <f t="shared" si="143"/>
        <v>14202333.333333332</v>
      </c>
      <c r="AX494" s="79">
        <f t="shared" si="147"/>
        <v>77461890</v>
      </c>
      <c r="AY494" s="79">
        <f t="shared" si="148"/>
        <v>50359110</v>
      </c>
      <c r="AZ494" s="25">
        <v>1</v>
      </c>
      <c r="BA494" s="62" t="s">
        <v>97</v>
      </c>
      <c r="BB494" s="66">
        <v>1</v>
      </c>
      <c r="BC494" s="66"/>
      <c r="BD494" s="66"/>
      <c r="BE494" s="67">
        <f t="shared" si="151"/>
        <v>1775291.6666666667</v>
      </c>
      <c r="BF494" s="67">
        <f t="shared" si="156"/>
        <v>0</v>
      </c>
      <c r="BG494" s="67">
        <f t="shared" si="149"/>
        <v>0</v>
      </c>
      <c r="BH494" s="66"/>
      <c r="BI494" s="68" t="s">
        <v>57</v>
      </c>
      <c r="BJ494" s="68" t="s">
        <v>98</v>
      </c>
      <c r="BK494" s="68" t="s">
        <v>98</v>
      </c>
      <c r="BL494" s="29"/>
      <c r="BO494" s="35" t="s">
        <v>1800</v>
      </c>
      <c r="BP494" s="1" t="s">
        <v>1822</v>
      </c>
    </row>
    <row r="495" spans="3:68" ht="15" customHeight="1">
      <c r="C495" s="1" t="str">
        <f t="shared" si="144"/>
        <v>3004</v>
      </c>
      <c r="D495" s="1" t="str">
        <f t="shared" si="145"/>
        <v>2204</v>
      </c>
      <c r="E495" s="19" t="s">
        <v>1472</v>
      </c>
      <c r="F495" s="62" t="s">
        <v>1896</v>
      </c>
      <c r="G495" s="62">
        <v>2112</v>
      </c>
      <c r="H495" s="62" t="s">
        <v>1482</v>
      </c>
      <c r="I495" s="62" t="s">
        <v>1483</v>
      </c>
      <c r="J495" s="118">
        <v>1</v>
      </c>
      <c r="K495" s="119" t="s">
        <v>619</v>
      </c>
      <c r="L495" s="62" t="s">
        <v>980</v>
      </c>
      <c r="M495" s="120" t="s">
        <v>1484</v>
      </c>
      <c r="N495" s="65">
        <v>44637</v>
      </c>
      <c r="O495" s="24">
        <v>70000</v>
      </c>
      <c r="P495" s="24">
        <v>22974</v>
      </c>
      <c r="Q495" s="64">
        <v>1608180000</v>
      </c>
      <c r="R495" s="64"/>
      <c r="S495" s="64"/>
      <c r="T495" s="130">
        <v>19745516</v>
      </c>
      <c r="U495" s="139" t="s">
        <v>1486</v>
      </c>
      <c r="V495" s="121">
        <v>1627925516</v>
      </c>
      <c r="W495" s="122"/>
      <c r="X495" s="64">
        <v>1627925516</v>
      </c>
      <c r="Y495" s="121"/>
      <c r="Z495" s="121"/>
      <c r="AA495" s="128"/>
      <c r="AB495" s="121"/>
      <c r="AC495" s="64">
        <v>1627925516</v>
      </c>
      <c r="AD495" s="63">
        <v>44661</v>
      </c>
      <c r="AE495" s="65">
        <v>47582</v>
      </c>
      <c r="AF495" s="62">
        <v>8</v>
      </c>
      <c r="AG495" s="119">
        <v>96</v>
      </c>
      <c r="AH495" s="25">
        <v>16957557.458333332</v>
      </c>
      <c r="AI495" s="78">
        <v>351021434.58333337</v>
      </c>
      <c r="AJ495" s="78">
        <v>1276904081.4166667</v>
      </c>
      <c r="AK495" s="27">
        <f t="shared" si="146"/>
        <v>16957557.458333332</v>
      </c>
      <c r="AL495" s="27">
        <f t="shared" si="150"/>
        <v>16957557.458333332</v>
      </c>
      <c r="AM495" s="27">
        <f t="shared" si="150"/>
        <v>16957557.458333332</v>
      </c>
      <c r="AN495" s="27">
        <f t="shared" si="152"/>
        <v>16957557.458333332</v>
      </c>
      <c r="AO495" s="27">
        <f t="shared" si="153"/>
        <v>16957557.458333332</v>
      </c>
      <c r="AP495" s="27">
        <f t="shared" si="153"/>
        <v>16957557.458333332</v>
      </c>
      <c r="AQ495" s="27">
        <f t="shared" si="154"/>
        <v>16957557.458333332</v>
      </c>
      <c r="AR495" s="27">
        <f t="shared" si="155"/>
        <v>16957557.458333332</v>
      </c>
      <c r="AS495" s="27"/>
      <c r="AT495" s="27"/>
      <c r="AU495" s="27"/>
      <c r="AV495" s="27"/>
      <c r="AW495" s="27">
        <f t="shared" si="143"/>
        <v>135660459.66666666</v>
      </c>
      <c r="AX495" s="79">
        <f t="shared" si="147"/>
        <v>1141243621.7499998</v>
      </c>
      <c r="AY495" s="79">
        <f t="shared" si="148"/>
        <v>486681894.25</v>
      </c>
      <c r="AZ495" s="25">
        <v>1</v>
      </c>
      <c r="BA495" s="62" t="s">
        <v>97</v>
      </c>
      <c r="BB495" s="66">
        <v>1</v>
      </c>
      <c r="BC495" s="66"/>
      <c r="BD495" s="66"/>
      <c r="BE495" s="67">
        <f t="shared" si="151"/>
        <v>16957557.458333332</v>
      </c>
      <c r="BF495" s="67">
        <f t="shared" si="156"/>
        <v>0</v>
      </c>
      <c r="BG495" s="67">
        <f t="shared" si="149"/>
        <v>0</v>
      </c>
      <c r="BH495" s="66"/>
      <c r="BI495" s="68" t="s">
        <v>695</v>
      </c>
      <c r="BJ495" s="68" t="s">
        <v>1930</v>
      </c>
      <c r="BK495" s="68" t="s">
        <v>1930</v>
      </c>
      <c r="BL495" s="29"/>
      <c r="BO495" s="35" t="s">
        <v>1801</v>
      </c>
      <c r="BP495" s="1" t="s">
        <v>1825</v>
      </c>
    </row>
    <row r="496" spans="3:68" ht="15" customHeight="1">
      <c r="C496" s="1" t="str">
        <f t="shared" si="144"/>
        <v>3004</v>
      </c>
      <c r="D496" s="1" t="str">
        <f t="shared" si="145"/>
        <v>2204</v>
      </c>
      <c r="E496" s="19" t="s">
        <v>1472</v>
      </c>
      <c r="F496" s="68" t="s">
        <v>1896</v>
      </c>
      <c r="G496" s="62">
        <v>2112</v>
      </c>
      <c r="H496" s="62" t="s">
        <v>1487</v>
      </c>
      <c r="I496" s="62" t="s">
        <v>1483</v>
      </c>
      <c r="J496" s="118">
        <v>1</v>
      </c>
      <c r="K496" s="119" t="s">
        <v>619</v>
      </c>
      <c r="L496" s="62" t="s">
        <v>980</v>
      </c>
      <c r="M496" s="120" t="s">
        <v>1484</v>
      </c>
      <c r="N496" s="65">
        <v>44637</v>
      </c>
      <c r="O496" s="24">
        <v>73000</v>
      </c>
      <c r="P496" s="24">
        <v>22974.034520547946</v>
      </c>
      <c r="Q496" s="64">
        <v>1677104520</v>
      </c>
      <c r="R496" s="64"/>
      <c r="S496" s="64"/>
      <c r="T496" s="130">
        <v>20591784</v>
      </c>
      <c r="U496" s="139" t="s">
        <v>1486</v>
      </c>
      <c r="V496" s="121">
        <v>1697696304</v>
      </c>
      <c r="W496" s="122"/>
      <c r="X496" s="64">
        <v>1697696304</v>
      </c>
      <c r="Y496" s="121"/>
      <c r="Z496" s="121"/>
      <c r="AA496" s="128"/>
      <c r="AB496" s="121"/>
      <c r="AC496" s="64">
        <v>1697696304</v>
      </c>
      <c r="AD496" s="63">
        <v>44663</v>
      </c>
      <c r="AE496" s="65">
        <v>47584</v>
      </c>
      <c r="AF496" s="62">
        <v>8</v>
      </c>
      <c r="AG496" s="119">
        <v>96</v>
      </c>
      <c r="AH496" s="25">
        <v>17684336.5</v>
      </c>
      <c r="AI496" s="78">
        <v>364886815</v>
      </c>
      <c r="AJ496" s="78">
        <v>1332809489</v>
      </c>
      <c r="AK496" s="27">
        <f t="shared" si="146"/>
        <v>17684336.5</v>
      </c>
      <c r="AL496" s="27">
        <f t="shared" si="150"/>
        <v>17684336.5</v>
      </c>
      <c r="AM496" s="27">
        <f t="shared" si="150"/>
        <v>17684336.5</v>
      </c>
      <c r="AN496" s="27">
        <f t="shared" si="152"/>
        <v>17684336.5</v>
      </c>
      <c r="AO496" s="27">
        <f t="shared" si="153"/>
        <v>17684336.5</v>
      </c>
      <c r="AP496" s="27">
        <f t="shared" si="153"/>
        <v>17684336.5</v>
      </c>
      <c r="AQ496" s="27">
        <f t="shared" si="154"/>
        <v>17684336.5</v>
      </c>
      <c r="AR496" s="27">
        <f t="shared" si="155"/>
        <v>17684336.5</v>
      </c>
      <c r="AS496" s="27"/>
      <c r="AT496" s="27"/>
      <c r="AU496" s="27"/>
      <c r="AV496" s="27"/>
      <c r="AW496" s="27">
        <f t="shared" si="143"/>
        <v>141474692</v>
      </c>
      <c r="AX496" s="79">
        <f t="shared" si="147"/>
        <v>1191334797</v>
      </c>
      <c r="AY496" s="79">
        <f t="shared" si="148"/>
        <v>506361507</v>
      </c>
      <c r="AZ496" s="25">
        <v>1</v>
      </c>
      <c r="BA496" s="62" t="s">
        <v>97</v>
      </c>
      <c r="BB496" s="66">
        <v>1</v>
      </c>
      <c r="BC496" s="66"/>
      <c r="BD496" s="66"/>
      <c r="BE496" s="67">
        <f t="shared" si="151"/>
        <v>17684336.5</v>
      </c>
      <c r="BF496" s="67">
        <f t="shared" si="156"/>
        <v>0</v>
      </c>
      <c r="BG496" s="67">
        <f t="shared" si="149"/>
        <v>0</v>
      </c>
      <c r="BH496" s="66"/>
      <c r="BI496" s="68" t="s">
        <v>932</v>
      </c>
      <c r="BJ496" s="68" t="s">
        <v>81</v>
      </c>
      <c r="BK496" s="68" t="s">
        <v>81</v>
      </c>
      <c r="BL496" s="29"/>
      <c r="BO496" s="35" t="s">
        <v>1801</v>
      </c>
      <c r="BP496" s="1" t="s">
        <v>1813</v>
      </c>
    </row>
    <row r="497" spans="3:68" ht="15" customHeight="1">
      <c r="C497" s="1" t="str">
        <f t="shared" si="144"/>
        <v>3205</v>
      </c>
      <c r="D497" s="1" t="str">
        <f t="shared" si="145"/>
        <v>2205</v>
      </c>
      <c r="E497" s="19" t="s">
        <v>1488</v>
      </c>
      <c r="F497" s="68" t="s">
        <v>49</v>
      </c>
      <c r="G497" s="62">
        <v>2112</v>
      </c>
      <c r="H497" s="62" t="s">
        <v>1489</v>
      </c>
      <c r="I497" s="62" t="s">
        <v>1490</v>
      </c>
      <c r="J497" s="118">
        <v>1</v>
      </c>
      <c r="K497" s="119" t="s">
        <v>619</v>
      </c>
      <c r="L497" s="62" t="s">
        <v>77</v>
      </c>
      <c r="M497" s="120" t="s">
        <v>1491</v>
      </c>
      <c r="N497" s="65">
        <v>44652</v>
      </c>
      <c r="O497" s="24">
        <v>73660.350000000006</v>
      </c>
      <c r="P497" s="24">
        <v>23010</v>
      </c>
      <c r="Q497" s="64">
        <v>1694924653.5000002</v>
      </c>
      <c r="R497" s="64"/>
      <c r="S497" s="64"/>
      <c r="T497" s="130">
        <v>21368243</v>
      </c>
      <c r="U497" s="139" t="s">
        <v>1493</v>
      </c>
      <c r="V497" s="121">
        <v>1716292897</v>
      </c>
      <c r="W497" s="122"/>
      <c r="X497" s="64">
        <v>1716292897</v>
      </c>
      <c r="Y497" s="121"/>
      <c r="Z497" s="121"/>
      <c r="AA497" s="128"/>
      <c r="AB497" s="121"/>
      <c r="AC497" s="64">
        <v>1716292897</v>
      </c>
      <c r="AD497" s="63">
        <v>44686</v>
      </c>
      <c r="AE497" s="65">
        <v>48338</v>
      </c>
      <c r="AF497" s="62">
        <v>10</v>
      </c>
      <c r="AG497" s="119">
        <v>120</v>
      </c>
      <c r="AH497" s="25">
        <v>14302440.808333334</v>
      </c>
      <c r="AI497" s="78">
        <v>284203342.08333337</v>
      </c>
      <c r="AJ497" s="78">
        <v>1432089554.9166665</v>
      </c>
      <c r="AK497" s="27">
        <f t="shared" si="146"/>
        <v>14302440.808333334</v>
      </c>
      <c r="AL497" s="27">
        <f t="shared" si="150"/>
        <v>14302440.808333334</v>
      </c>
      <c r="AM497" s="27">
        <f t="shared" si="150"/>
        <v>14302440.808333334</v>
      </c>
      <c r="AN497" s="27">
        <f t="shared" si="152"/>
        <v>14302440.808333334</v>
      </c>
      <c r="AO497" s="27">
        <f t="shared" si="153"/>
        <v>14302440.808333334</v>
      </c>
      <c r="AP497" s="27">
        <f t="shared" si="153"/>
        <v>14302440.808333334</v>
      </c>
      <c r="AQ497" s="27">
        <f t="shared" si="154"/>
        <v>14302440.808333334</v>
      </c>
      <c r="AR497" s="27">
        <f t="shared" si="155"/>
        <v>14302440.808333334</v>
      </c>
      <c r="AS497" s="27"/>
      <c r="AT497" s="27"/>
      <c r="AU497" s="27"/>
      <c r="AV497" s="27"/>
      <c r="AW497" s="27">
        <f t="shared" si="143"/>
        <v>114419526.46666668</v>
      </c>
      <c r="AX497" s="79">
        <f t="shared" si="147"/>
        <v>1317670028.4499998</v>
      </c>
      <c r="AY497" s="79">
        <f t="shared" si="148"/>
        <v>398622868.55000007</v>
      </c>
      <c r="AZ497" s="25">
        <v>1</v>
      </c>
      <c r="BA497" s="62" t="s">
        <v>97</v>
      </c>
      <c r="BB497" s="66"/>
      <c r="BC497" s="66">
        <v>1</v>
      </c>
      <c r="BD497" s="66"/>
      <c r="BE497" s="67">
        <f t="shared" si="151"/>
        <v>0</v>
      </c>
      <c r="BF497" s="67">
        <f t="shared" si="156"/>
        <v>14302440.808333334</v>
      </c>
      <c r="BG497" s="67">
        <f t="shared" si="149"/>
        <v>0</v>
      </c>
      <c r="BH497" s="62" t="s">
        <v>1668</v>
      </c>
      <c r="BI497" s="19" t="s">
        <v>1624</v>
      </c>
      <c r="BJ497" s="68" t="s">
        <v>1438</v>
      </c>
      <c r="BK497" s="68" t="s">
        <v>1438</v>
      </c>
      <c r="BL497" s="29"/>
      <c r="BM497" s="1" t="s">
        <v>1886</v>
      </c>
      <c r="BN497" s="1" t="s">
        <v>1666</v>
      </c>
      <c r="BO497" s="35" t="s">
        <v>1804</v>
      </c>
    </row>
    <row r="498" spans="3:68" ht="15" customHeight="1">
      <c r="C498" s="1" t="str">
        <f t="shared" si="144"/>
        <v>2905</v>
      </c>
      <c r="D498" s="1" t="str">
        <f t="shared" si="145"/>
        <v>2205</v>
      </c>
      <c r="E498" s="19" t="s">
        <v>1488</v>
      </c>
      <c r="F498" s="68" t="s">
        <v>49</v>
      </c>
      <c r="G498" s="62">
        <v>2112</v>
      </c>
      <c r="H498" s="62" t="s">
        <v>1494</v>
      </c>
      <c r="I498" s="62" t="s">
        <v>1495</v>
      </c>
      <c r="J498" s="118">
        <v>1</v>
      </c>
      <c r="K498" s="119" t="s">
        <v>619</v>
      </c>
      <c r="L498" s="62" t="s">
        <v>924</v>
      </c>
      <c r="M498" s="120" t="s">
        <v>1496</v>
      </c>
      <c r="N498" s="65">
        <v>44659</v>
      </c>
      <c r="O498" s="24">
        <v>35030</v>
      </c>
      <c r="P498" s="24">
        <v>23030</v>
      </c>
      <c r="Q498" s="64">
        <v>806740900</v>
      </c>
      <c r="R498" s="64"/>
      <c r="S498" s="64"/>
      <c r="T498" s="130">
        <v>15613079</v>
      </c>
      <c r="U498" s="139" t="s">
        <v>1498</v>
      </c>
      <c r="V498" s="121">
        <v>822353979</v>
      </c>
      <c r="W498" s="122"/>
      <c r="X498" s="64">
        <v>822353979</v>
      </c>
      <c r="Y498" s="121"/>
      <c r="Z498" s="121"/>
      <c r="AA498" s="128"/>
      <c r="AB498" s="121"/>
      <c r="AC498" s="64">
        <v>822353979</v>
      </c>
      <c r="AD498" s="63">
        <v>44688</v>
      </c>
      <c r="AE498" s="65">
        <v>47244</v>
      </c>
      <c r="AF498" s="62">
        <v>7</v>
      </c>
      <c r="AG498" s="119">
        <v>84</v>
      </c>
      <c r="AH498" s="25">
        <v>9789928.3214285709</v>
      </c>
      <c r="AI498" s="78">
        <v>193903738.21428567</v>
      </c>
      <c r="AJ498" s="78">
        <v>628450240.78571427</v>
      </c>
      <c r="AK498" s="27">
        <f t="shared" si="146"/>
        <v>9789928.3214285709</v>
      </c>
      <c r="AL498" s="27">
        <f t="shared" si="150"/>
        <v>9789928.3214285709</v>
      </c>
      <c r="AM498" s="27">
        <f t="shared" si="150"/>
        <v>9789928.3214285709</v>
      </c>
      <c r="AN498" s="27">
        <f t="shared" si="152"/>
        <v>9789928.3214285709</v>
      </c>
      <c r="AO498" s="27">
        <f t="shared" si="153"/>
        <v>9789928.3214285709</v>
      </c>
      <c r="AP498" s="27">
        <f t="shared" si="153"/>
        <v>9789928.3214285709</v>
      </c>
      <c r="AQ498" s="27">
        <f t="shared" si="154"/>
        <v>9789928.3214285709</v>
      </c>
      <c r="AR498" s="27">
        <f t="shared" si="155"/>
        <v>9789928.3214285709</v>
      </c>
      <c r="AS498" s="27"/>
      <c r="AT498" s="27"/>
      <c r="AU498" s="27"/>
      <c r="AV498" s="27"/>
      <c r="AW498" s="27">
        <f t="shared" si="143"/>
        <v>78319426.571428552</v>
      </c>
      <c r="AX498" s="79">
        <f t="shared" si="147"/>
        <v>550130814.21428585</v>
      </c>
      <c r="AY498" s="79">
        <f t="shared" si="148"/>
        <v>272223164.78571421</v>
      </c>
      <c r="AZ498" s="25">
        <v>1</v>
      </c>
      <c r="BA498" s="62" t="s">
        <v>97</v>
      </c>
      <c r="BB498" s="66">
        <v>1</v>
      </c>
      <c r="BC498" s="66"/>
      <c r="BD498" s="66"/>
      <c r="BE498" s="67">
        <f t="shared" si="151"/>
        <v>9789928.3214285709</v>
      </c>
      <c r="BF498" s="67">
        <f t="shared" si="156"/>
        <v>0</v>
      </c>
      <c r="BG498" s="67">
        <f t="shared" si="149"/>
        <v>0</v>
      </c>
      <c r="BH498" s="66"/>
      <c r="BI498" s="68" t="s">
        <v>57</v>
      </c>
      <c r="BJ498" s="68" t="s">
        <v>121</v>
      </c>
      <c r="BK498" s="68" t="s">
        <v>121</v>
      </c>
      <c r="BL498" s="29"/>
      <c r="BO498" s="35" t="s">
        <v>1800</v>
      </c>
      <c r="BP498" s="1" t="s">
        <v>1812</v>
      </c>
    </row>
    <row r="499" spans="3:68" ht="15" customHeight="1">
      <c r="C499" s="1" t="str">
        <f t="shared" si="144"/>
        <v>2905</v>
      </c>
      <c r="D499" s="1" t="str">
        <f t="shared" si="145"/>
        <v>2205</v>
      </c>
      <c r="E499" s="19" t="s">
        <v>1488</v>
      </c>
      <c r="F499" s="62" t="s">
        <v>1896</v>
      </c>
      <c r="G499" s="62">
        <v>2112</v>
      </c>
      <c r="H499" s="62" t="s">
        <v>1499</v>
      </c>
      <c r="I499" s="62" t="s">
        <v>1495</v>
      </c>
      <c r="J499" s="118">
        <v>1</v>
      </c>
      <c r="K499" s="119" t="s">
        <v>619</v>
      </c>
      <c r="L499" s="62" t="s">
        <v>924</v>
      </c>
      <c r="M499" s="120" t="s">
        <v>1496</v>
      </c>
      <c r="N499" s="65">
        <v>44659</v>
      </c>
      <c r="O499" s="24">
        <v>35030</v>
      </c>
      <c r="P499" s="24">
        <v>23030</v>
      </c>
      <c r="Q499" s="64">
        <v>806740900</v>
      </c>
      <c r="R499" s="64"/>
      <c r="S499" s="64"/>
      <c r="T499" s="130">
        <v>15613080</v>
      </c>
      <c r="U499" s="139" t="s">
        <v>1498</v>
      </c>
      <c r="V499" s="121">
        <v>822353980</v>
      </c>
      <c r="W499" s="122"/>
      <c r="X499" s="64">
        <v>822353980</v>
      </c>
      <c r="Y499" s="121"/>
      <c r="Z499" s="121"/>
      <c r="AA499" s="128"/>
      <c r="AB499" s="121"/>
      <c r="AC499" s="64">
        <v>822353980</v>
      </c>
      <c r="AD499" s="63">
        <v>44688</v>
      </c>
      <c r="AE499" s="65">
        <v>47244</v>
      </c>
      <c r="AF499" s="62">
        <v>7</v>
      </c>
      <c r="AG499" s="119">
        <v>84</v>
      </c>
      <c r="AH499" s="25">
        <v>9789928.333333334</v>
      </c>
      <c r="AI499" s="78">
        <v>193903738.33333331</v>
      </c>
      <c r="AJ499" s="78">
        <v>628450241.66666675</v>
      </c>
      <c r="AK499" s="27">
        <f t="shared" si="146"/>
        <v>9789928.333333334</v>
      </c>
      <c r="AL499" s="27">
        <f t="shared" si="150"/>
        <v>9789928.333333334</v>
      </c>
      <c r="AM499" s="27">
        <f t="shared" si="150"/>
        <v>9789928.333333334</v>
      </c>
      <c r="AN499" s="27">
        <f t="shared" si="152"/>
        <v>9789928.333333334</v>
      </c>
      <c r="AO499" s="27">
        <f t="shared" si="153"/>
        <v>9789928.333333334</v>
      </c>
      <c r="AP499" s="27">
        <f t="shared" si="153"/>
        <v>9789928.333333334</v>
      </c>
      <c r="AQ499" s="27">
        <f t="shared" si="154"/>
        <v>9789928.333333334</v>
      </c>
      <c r="AR499" s="27">
        <f t="shared" si="155"/>
        <v>9789928.333333334</v>
      </c>
      <c r="AS499" s="27"/>
      <c r="AT499" s="27"/>
      <c r="AU499" s="27"/>
      <c r="AV499" s="27"/>
      <c r="AW499" s="27">
        <f t="shared" si="143"/>
        <v>78319426.666666672</v>
      </c>
      <c r="AX499" s="79">
        <f t="shared" si="147"/>
        <v>550130815.00000012</v>
      </c>
      <c r="AY499" s="79">
        <f t="shared" si="148"/>
        <v>272223165</v>
      </c>
      <c r="AZ499" s="25">
        <v>1</v>
      </c>
      <c r="BA499" s="62" t="s">
        <v>97</v>
      </c>
      <c r="BB499" s="66">
        <v>1</v>
      </c>
      <c r="BC499" s="66"/>
      <c r="BD499" s="66"/>
      <c r="BE499" s="67">
        <f t="shared" si="151"/>
        <v>9789928.333333334</v>
      </c>
      <c r="BF499" s="67">
        <f t="shared" si="156"/>
        <v>0</v>
      </c>
      <c r="BG499" s="67">
        <f t="shared" si="149"/>
        <v>0</v>
      </c>
      <c r="BH499" s="66"/>
      <c r="BI499" s="68" t="s">
        <v>57</v>
      </c>
      <c r="BJ499" s="68" t="s">
        <v>1979</v>
      </c>
      <c r="BK499" s="68" t="s">
        <v>1979</v>
      </c>
      <c r="BL499" s="29"/>
      <c r="BO499" s="35" t="s">
        <v>1801</v>
      </c>
      <c r="BP499" s="1" t="s">
        <v>1825</v>
      </c>
    </row>
    <row r="500" spans="3:68" ht="15" customHeight="1">
      <c r="C500" s="1" t="str">
        <f t="shared" si="144"/>
        <v>3205</v>
      </c>
      <c r="D500" s="1" t="str">
        <f t="shared" si="145"/>
        <v>2205</v>
      </c>
      <c r="E500" s="19" t="s">
        <v>1488</v>
      </c>
      <c r="F500" s="62" t="s">
        <v>1896</v>
      </c>
      <c r="G500" s="62">
        <v>2112</v>
      </c>
      <c r="H500" s="62" t="s">
        <v>1500</v>
      </c>
      <c r="I500" s="62" t="s">
        <v>1501</v>
      </c>
      <c r="J500" s="118">
        <v>1</v>
      </c>
      <c r="K500" s="119" t="s">
        <v>619</v>
      </c>
      <c r="L500" s="62" t="s">
        <v>742</v>
      </c>
      <c r="M500" s="120" t="s">
        <v>1502</v>
      </c>
      <c r="N500" s="65">
        <v>44671</v>
      </c>
      <c r="O500" s="24">
        <v>172690</v>
      </c>
      <c r="P500" s="24">
        <v>23105</v>
      </c>
      <c r="Q500" s="64">
        <v>3990002450</v>
      </c>
      <c r="R500" s="64"/>
      <c r="S500" s="64"/>
      <c r="T500" s="130">
        <v>37409350</v>
      </c>
      <c r="U500" s="139" t="s">
        <v>1504</v>
      </c>
      <c r="V500" s="121">
        <v>4027411800</v>
      </c>
      <c r="W500" s="122"/>
      <c r="X500" s="64">
        <v>4027411800</v>
      </c>
      <c r="Y500" s="121"/>
      <c r="Z500" s="121"/>
      <c r="AA500" s="128"/>
      <c r="AB500" s="121"/>
      <c r="AC500" s="64">
        <v>4027411800</v>
      </c>
      <c r="AD500" s="63">
        <v>44696</v>
      </c>
      <c r="AE500" s="65">
        <v>48348</v>
      </c>
      <c r="AF500" s="62">
        <v>10</v>
      </c>
      <c r="AG500" s="119">
        <v>120</v>
      </c>
      <c r="AH500" s="25">
        <v>33561765</v>
      </c>
      <c r="AI500" s="78">
        <v>656078374</v>
      </c>
      <c r="AJ500" s="78">
        <v>3371333426</v>
      </c>
      <c r="AK500" s="27">
        <f t="shared" si="146"/>
        <v>33561765</v>
      </c>
      <c r="AL500" s="27">
        <f t="shared" si="150"/>
        <v>33561765</v>
      </c>
      <c r="AM500" s="27">
        <f t="shared" si="150"/>
        <v>33561765</v>
      </c>
      <c r="AN500" s="27">
        <f t="shared" si="152"/>
        <v>33561765</v>
      </c>
      <c r="AO500" s="27">
        <f t="shared" si="153"/>
        <v>33561765</v>
      </c>
      <c r="AP500" s="27">
        <f t="shared" si="153"/>
        <v>33561765</v>
      </c>
      <c r="AQ500" s="27">
        <f t="shared" si="154"/>
        <v>33561765</v>
      </c>
      <c r="AR500" s="27">
        <f t="shared" si="155"/>
        <v>33561765</v>
      </c>
      <c r="AS500" s="27"/>
      <c r="AT500" s="27"/>
      <c r="AU500" s="27"/>
      <c r="AV500" s="27"/>
      <c r="AW500" s="27">
        <f t="shared" si="143"/>
        <v>268494120</v>
      </c>
      <c r="AX500" s="79">
        <f t="shared" si="147"/>
        <v>3102839306</v>
      </c>
      <c r="AY500" s="79">
        <f t="shared" si="148"/>
        <v>924572494</v>
      </c>
      <c r="AZ500" s="25">
        <v>1</v>
      </c>
      <c r="BA500" s="62" t="s">
        <v>97</v>
      </c>
      <c r="BB500" s="66">
        <v>1</v>
      </c>
      <c r="BC500" s="66"/>
      <c r="BD500" s="66"/>
      <c r="BE500" s="67">
        <f t="shared" si="151"/>
        <v>33561765</v>
      </c>
      <c r="BF500" s="67">
        <f t="shared" si="156"/>
        <v>0</v>
      </c>
      <c r="BG500" s="67">
        <f t="shared" si="149"/>
        <v>0</v>
      </c>
      <c r="BH500" s="66"/>
      <c r="BI500" s="68" t="s">
        <v>57</v>
      </c>
      <c r="BJ500" s="68" t="s">
        <v>1980</v>
      </c>
      <c r="BK500" s="68" t="s">
        <v>1980</v>
      </c>
      <c r="BL500" s="29"/>
      <c r="BO500" s="35" t="s">
        <v>1801</v>
      </c>
      <c r="BP500" s="1" t="s">
        <v>1825</v>
      </c>
    </row>
    <row r="501" spans="3:68" ht="15" customHeight="1">
      <c r="C501" s="1" t="str">
        <f t="shared" si="144"/>
        <v>2705</v>
      </c>
      <c r="D501" s="1" t="str">
        <f t="shared" si="145"/>
        <v>2205</v>
      </c>
      <c r="E501" s="19" t="s">
        <v>1488</v>
      </c>
      <c r="F501" s="68" t="s">
        <v>515</v>
      </c>
      <c r="G501" s="62">
        <v>2112</v>
      </c>
      <c r="H501" s="62" t="s">
        <v>1505</v>
      </c>
      <c r="I501" s="62" t="s">
        <v>1506</v>
      </c>
      <c r="J501" s="118">
        <v>4</v>
      </c>
      <c r="K501" s="119" t="s">
        <v>619</v>
      </c>
      <c r="L501" s="62" t="s">
        <v>1507</v>
      </c>
      <c r="M501" s="120" t="s">
        <v>1508</v>
      </c>
      <c r="N501" s="65">
        <v>44706</v>
      </c>
      <c r="O501" s="24"/>
      <c r="P501" s="24"/>
      <c r="Q501" s="64">
        <v>198360000</v>
      </c>
      <c r="R501" s="64"/>
      <c r="S501" s="64"/>
      <c r="T501" s="130"/>
      <c r="U501" s="139"/>
      <c r="V501" s="121">
        <v>198360000</v>
      </c>
      <c r="W501" s="122"/>
      <c r="X501" s="64">
        <v>198360000</v>
      </c>
      <c r="Y501" s="121"/>
      <c r="Z501" s="121"/>
      <c r="AA501" s="128"/>
      <c r="AB501" s="121"/>
      <c r="AC501" s="64">
        <v>198360000</v>
      </c>
      <c r="AD501" s="63">
        <v>44703</v>
      </c>
      <c r="AE501" s="65">
        <v>46528</v>
      </c>
      <c r="AF501" s="62">
        <v>5</v>
      </c>
      <c r="AG501" s="119">
        <v>60</v>
      </c>
      <c r="AH501" s="25">
        <v>3306000</v>
      </c>
      <c r="AI501" s="78">
        <v>63880452</v>
      </c>
      <c r="AJ501" s="78">
        <v>134479548</v>
      </c>
      <c r="AK501" s="27">
        <f t="shared" si="146"/>
        <v>3306000</v>
      </c>
      <c r="AL501" s="27">
        <f t="shared" si="150"/>
        <v>3306000</v>
      </c>
      <c r="AM501" s="27">
        <f t="shared" si="150"/>
        <v>3306000</v>
      </c>
      <c r="AN501" s="27">
        <f t="shared" si="152"/>
        <v>3306000</v>
      </c>
      <c r="AO501" s="27">
        <f t="shared" si="153"/>
        <v>3306000</v>
      </c>
      <c r="AP501" s="27">
        <f t="shared" si="153"/>
        <v>3306000</v>
      </c>
      <c r="AQ501" s="27">
        <f t="shared" si="154"/>
        <v>3306000</v>
      </c>
      <c r="AR501" s="27">
        <f t="shared" si="155"/>
        <v>3306000</v>
      </c>
      <c r="AS501" s="27"/>
      <c r="AT501" s="27"/>
      <c r="AU501" s="27"/>
      <c r="AV501" s="27"/>
      <c r="AW501" s="27">
        <f t="shared" si="143"/>
        <v>26448000</v>
      </c>
      <c r="AX501" s="79">
        <f t="shared" si="147"/>
        <v>108031548</v>
      </c>
      <c r="AY501" s="79">
        <f t="shared" si="148"/>
        <v>90328452</v>
      </c>
      <c r="AZ501" s="25">
        <v>4</v>
      </c>
      <c r="BA501" s="62" t="s">
        <v>97</v>
      </c>
      <c r="BB501" s="66">
        <v>1</v>
      </c>
      <c r="BC501" s="66"/>
      <c r="BD501" s="66"/>
      <c r="BE501" s="67">
        <f t="shared" si="151"/>
        <v>3306000</v>
      </c>
      <c r="BF501" s="67">
        <f t="shared" si="156"/>
        <v>0</v>
      </c>
      <c r="BG501" s="67">
        <f t="shared" si="149"/>
        <v>0</v>
      </c>
      <c r="BH501" s="66"/>
      <c r="BI501" s="68" t="s">
        <v>871</v>
      </c>
      <c r="BJ501" s="68" t="s">
        <v>1509</v>
      </c>
      <c r="BK501" s="68" t="s">
        <v>1509</v>
      </c>
      <c r="BL501" s="29"/>
      <c r="BO501" s="35" t="s">
        <v>1802</v>
      </c>
    </row>
    <row r="502" spans="3:68" ht="15" customHeight="1">
      <c r="C502" s="1" t="str">
        <f t="shared" si="144"/>
        <v>2706</v>
      </c>
      <c r="D502" s="1" t="str">
        <f t="shared" si="145"/>
        <v>2206</v>
      </c>
      <c r="E502" s="19" t="s">
        <v>1510</v>
      </c>
      <c r="F502" s="68" t="s">
        <v>515</v>
      </c>
      <c r="G502" s="62">
        <v>2112</v>
      </c>
      <c r="H502" s="62" t="s">
        <v>1511</v>
      </c>
      <c r="I502" s="62" t="s">
        <v>1512</v>
      </c>
      <c r="J502" s="118">
        <v>1</v>
      </c>
      <c r="K502" s="119" t="s">
        <v>619</v>
      </c>
      <c r="L502" s="62" t="s">
        <v>1507</v>
      </c>
      <c r="M502" s="137" t="s">
        <v>1513</v>
      </c>
      <c r="N502" s="65">
        <v>44718</v>
      </c>
      <c r="O502" s="19"/>
      <c r="P502" s="19"/>
      <c r="Q502" s="64">
        <v>52345000</v>
      </c>
      <c r="R502" s="19"/>
      <c r="S502" s="19"/>
      <c r="T502" s="19"/>
      <c r="U502" s="19"/>
      <c r="V502" s="121">
        <v>52345000</v>
      </c>
      <c r="W502" s="19"/>
      <c r="X502" s="64">
        <v>52345000</v>
      </c>
      <c r="Y502" s="19"/>
      <c r="Z502" s="19"/>
      <c r="AA502" s="128"/>
      <c r="AB502" s="19"/>
      <c r="AC502" s="64">
        <v>52345000</v>
      </c>
      <c r="AD502" s="63">
        <v>44727</v>
      </c>
      <c r="AE502" s="65">
        <v>46552</v>
      </c>
      <c r="AF502" s="62">
        <v>5</v>
      </c>
      <c r="AG502" s="119">
        <v>60</v>
      </c>
      <c r="AH502" s="25">
        <v>872416.66666666663</v>
      </c>
      <c r="AI502" s="78">
        <v>16168791.666666666</v>
      </c>
      <c r="AJ502" s="92">
        <v>36176208.333333336</v>
      </c>
      <c r="AK502" s="27">
        <f t="shared" si="146"/>
        <v>872416.66666666663</v>
      </c>
      <c r="AL502" s="27">
        <f t="shared" si="150"/>
        <v>872416.66666666663</v>
      </c>
      <c r="AM502" s="27">
        <f t="shared" si="150"/>
        <v>872416.66666666663</v>
      </c>
      <c r="AN502" s="27">
        <f t="shared" si="152"/>
        <v>872416.66666666663</v>
      </c>
      <c r="AO502" s="27">
        <f t="shared" si="153"/>
        <v>872416.66666666663</v>
      </c>
      <c r="AP502" s="27">
        <f t="shared" si="153"/>
        <v>872416.66666666663</v>
      </c>
      <c r="AQ502" s="27">
        <f t="shared" si="154"/>
        <v>872416.66666666663</v>
      </c>
      <c r="AR502" s="27">
        <f t="shared" si="155"/>
        <v>872416.66666666663</v>
      </c>
      <c r="AS502" s="27"/>
      <c r="AT502" s="27"/>
      <c r="AU502" s="27"/>
      <c r="AV502" s="27"/>
      <c r="AW502" s="27">
        <f t="shared" si="143"/>
        <v>6979333.333333334</v>
      </c>
      <c r="AX502" s="79">
        <f t="shared" si="147"/>
        <v>29196875</v>
      </c>
      <c r="AY502" s="79">
        <f t="shared" si="148"/>
        <v>23148125</v>
      </c>
      <c r="AZ502" s="25">
        <v>1</v>
      </c>
      <c r="BA502" s="62" t="s">
        <v>97</v>
      </c>
      <c r="BB502" s="66">
        <v>1</v>
      </c>
      <c r="BC502" s="19"/>
      <c r="BD502" s="19"/>
      <c r="BE502" s="67">
        <f t="shared" si="151"/>
        <v>872416.66666666663</v>
      </c>
      <c r="BF502" s="67">
        <f t="shared" si="156"/>
        <v>0</v>
      </c>
      <c r="BG502" s="67">
        <f t="shared" si="149"/>
        <v>0</v>
      </c>
      <c r="BH502" s="19"/>
      <c r="BI502" s="68" t="s">
        <v>871</v>
      </c>
      <c r="BJ502" s="68" t="s">
        <v>1509</v>
      </c>
      <c r="BK502" s="68" t="s">
        <v>1509</v>
      </c>
      <c r="BO502" s="35" t="s">
        <v>1802</v>
      </c>
    </row>
    <row r="503" spans="3:68" ht="15" customHeight="1">
      <c r="C503" s="1" t="str">
        <f t="shared" si="144"/>
        <v>2706</v>
      </c>
      <c r="D503" s="1" t="str">
        <f t="shared" si="145"/>
        <v>2206</v>
      </c>
      <c r="E503" s="19" t="s">
        <v>1510</v>
      </c>
      <c r="F503" s="68" t="s">
        <v>515</v>
      </c>
      <c r="G503" s="62">
        <v>2112</v>
      </c>
      <c r="H503" s="62" t="s">
        <v>1514</v>
      </c>
      <c r="I503" s="62" t="s">
        <v>1512</v>
      </c>
      <c r="J503" s="118">
        <v>1</v>
      </c>
      <c r="K503" s="119" t="s">
        <v>619</v>
      </c>
      <c r="L503" s="62" t="s">
        <v>1507</v>
      </c>
      <c r="M503" s="137" t="s">
        <v>1513</v>
      </c>
      <c r="N503" s="65">
        <v>44718</v>
      </c>
      <c r="O503" s="19"/>
      <c r="P503" s="19"/>
      <c r="Q503" s="64">
        <v>52345000</v>
      </c>
      <c r="R503" s="19"/>
      <c r="S503" s="19"/>
      <c r="T503" s="19"/>
      <c r="U503" s="19"/>
      <c r="V503" s="121">
        <v>52345000</v>
      </c>
      <c r="W503" s="19"/>
      <c r="X503" s="64">
        <v>52345000</v>
      </c>
      <c r="Y503" s="19"/>
      <c r="Z503" s="19"/>
      <c r="AA503" s="128"/>
      <c r="AB503" s="19"/>
      <c r="AC503" s="64">
        <v>52345000</v>
      </c>
      <c r="AD503" s="63">
        <v>44727</v>
      </c>
      <c r="AE503" s="65">
        <v>46552</v>
      </c>
      <c r="AF503" s="62">
        <v>5</v>
      </c>
      <c r="AG503" s="119">
        <v>60</v>
      </c>
      <c r="AH503" s="25">
        <v>872416.66666666663</v>
      </c>
      <c r="AI503" s="78">
        <v>16168791.666666666</v>
      </c>
      <c r="AJ503" s="92">
        <v>36176208.333333336</v>
      </c>
      <c r="AK503" s="27">
        <f t="shared" si="146"/>
        <v>872416.66666666663</v>
      </c>
      <c r="AL503" s="27">
        <f t="shared" si="150"/>
        <v>872416.66666666663</v>
      </c>
      <c r="AM503" s="27">
        <f t="shared" si="150"/>
        <v>872416.66666666663</v>
      </c>
      <c r="AN503" s="27">
        <f t="shared" si="152"/>
        <v>872416.66666666663</v>
      </c>
      <c r="AO503" s="27">
        <f t="shared" si="153"/>
        <v>872416.66666666663</v>
      </c>
      <c r="AP503" s="27">
        <f t="shared" si="153"/>
        <v>872416.66666666663</v>
      </c>
      <c r="AQ503" s="27">
        <f t="shared" si="154"/>
        <v>872416.66666666663</v>
      </c>
      <c r="AR503" s="27">
        <f t="shared" si="155"/>
        <v>872416.66666666663</v>
      </c>
      <c r="AS503" s="27"/>
      <c r="AT503" s="27"/>
      <c r="AU503" s="27"/>
      <c r="AV503" s="27"/>
      <c r="AW503" s="27">
        <f t="shared" si="143"/>
        <v>6979333.333333334</v>
      </c>
      <c r="AX503" s="79">
        <f t="shared" si="147"/>
        <v>29196875</v>
      </c>
      <c r="AY503" s="79">
        <f t="shared" si="148"/>
        <v>23148125</v>
      </c>
      <c r="AZ503" s="25">
        <v>1</v>
      </c>
      <c r="BA503" s="62" t="s">
        <v>97</v>
      </c>
      <c r="BB503" s="66">
        <v>1</v>
      </c>
      <c r="BC503" s="19"/>
      <c r="BD503" s="19"/>
      <c r="BE503" s="67">
        <f t="shared" si="151"/>
        <v>872416.66666666663</v>
      </c>
      <c r="BF503" s="67">
        <f t="shared" si="156"/>
        <v>0</v>
      </c>
      <c r="BG503" s="67">
        <f t="shared" si="149"/>
        <v>0</v>
      </c>
      <c r="BH503" s="19"/>
      <c r="BI503" s="68" t="s">
        <v>871</v>
      </c>
      <c r="BJ503" s="68" t="s">
        <v>1509</v>
      </c>
      <c r="BK503" s="68" t="s">
        <v>1509</v>
      </c>
      <c r="BO503" s="35" t="s">
        <v>1802</v>
      </c>
    </row>
    <row r="504" spans="3:68" ht="15" customHeight="1">
      <c r="C504" s="1" t="str">
        <f t="shared" si="144"/>
        <v>2706</v>
      </c>
      <c r="D504" s="1" t="str">
        <f t="shared" si="145"/>
        <v>2206</v>
      </c>
      <c r="E504" s="19" t="s">
        <v>1510</v>
      </c>
      <c r="F504" s="68" t="s">
        <v>515</v>
      </c>
      <c r="G504" s="62">
        <v>2112</v>
      </c>
      <c r="H504" s="62" t="s">
        <v>1515</v>
      </c>
      <c r="I504" s="62" t="s">
        <v>1512</v>
      </c>
      <c r="J504" s="118">
        <v>1</v>
      </c>
      <c r="K504" s="119" t="s">
        <v>619</v>
      </c>
      <c r="L504" s="62" t="s">
        <v>1507</v>
      </c>
      <c r="M504" s="137" t="s">
        <v>1513</v>
      </c>
      <c r="N504" s="65">
        <v>44718</v>
      </c>
      <c r="O504" s="19"/>
      <c r="P504" s="19"/>
      <c r="Q504" s="64">
        <v>52345000</v>
      </c>
      <c r="R504" s="19"/>
      <c r="S504" s="19"/>
      <c r="T504" s="19"/>
      <c r="U504" s="19"/>
      <c r="V504" s="121">
        <v>52345000</v>
      </c>
      <c r="W504" s="19"/>
      <c r="X504" s="64">
        <v>52345000</v>
      </c>
      <c r="Y504" s="19"/>
      <c r="Z504" s="19"/>
      <c r="AA504" s="128"/>
      <c r="AB504" s="19"/>
      <c r="AC504" s="64">
        <v>52345000</v>
      </c>
      <c r="AD504" s="63">
        <v>44727</v>
      </c>
      <c r="AE504" s="65">
        <v>46552</v>
      </c>
      <c r="AF504" s="62">
        <v>5</v>
      </c>
      <c r="AG504" s="119">
        <v>60</v>
      </c>
      <c r="AH504" s="25">
        <v>872416.66666666663</v>
      </c>
      <c r="AI504" s="78">
        <v>16168791.666666666</v>
      </c>
      <c r="AJ504" s="92">
        <v>36176208.333333336</v>
      </c>
      <c r="AK504" s="27">
        <f t="shared" si="146"/>
        <v>872416.66666666663</v>
      </c>
      <c r="AL504" s="27">
        <f t="shared" si="150"/>
        <v>872416.66666666663</v>
      </c>
      <c r="AM504" s="27">
        <f t="shared" si="150"/>
        <v>872416.66666666663</v>
      </c>
      <c r="AN504" s="27">
        <f t="shared" si="152"/>
        <v>872416.66666666663</v>
      </c>
      <c r="AO504" s="27">
        <f t="shared" si="153"/>
        <v>872416.66666666663</v>
      </c>
      <c r="AP504" s="27">
        <f t="shared" si="153"/>
        <v>872416.66666666663</v>
      </c>
      <c r="AQ504" s="27">
        <f t="shared" si="154"/>
        <v>872416.66666666663</v>
      </c>
      <c r="AR504" s="27">
        <f t="shared" si="155"/>
        <v>872416.66666666663</v>
      </c>
      <c r="AS504" s="27"/>
      <c r="AT504" s="27"/>
      <c r="AU504" s="27"/>
      <c r="AV504" s="27"/>
      <c r="AW504" s="27">
        <f t="shared" si="143"/>
        <v>6979333.333333334</v>
      </c>
      <c r="AX504" s="79">
        <f t="shared" si="147"/>
        <v>29196875</v>
      </c>
      <c r="AY504" s="79">
        <f t="shared" si="148"/>
        <v>23148125</v>
      </c>
      <c r="AZ504" s="25">
        <v>1</v>
      </c>
      <c r="BA504" s="62" t="s">
        <v>97</v>
      </c>
      <c r="BB504" s="66">
        <v>1</v>
      </c>
      <c r="BC504" s="19"/>
      <c r="BD504" s="19"/>
      <c r="BE504" s="67">
        <f t="shared" si="151"/>
        <v>872416.66666666663</v>
      </c>
      <c r="BF504" s="67">
        <f t="shared" si="156"/>
        <v>0</v>
      </c>
      <c r="BG504" s="67">
        <f t="shared" si="149"/>
        <v>0</v>
      </c>
      <c r="BH504" s="19"/>
      <c r="BI504" s="68" t="s">
        <v>871</v>
      </c>
      <c r="BJ504" s="68" t="s">
        <v>1509</v>
      </c>
      <c r="BK504" s="68" t="s">
        <v>1509</v>
      </c>
      <c r="BO504" s="35" t="s">
        <v>1802</v>
      </c>
    </row>
    <row r="505" spans="3:68" ht="15" customHeight="1">
      <c r="C505" s="1" t="str">
        <f t="shared" si="144"/>
        <v>2706</v>
      </c>
      <c r="D505" s="1" t="str">
        <f t="shared" si="145"/>
        <v>2206</v>
      </c>
      <c r="E505" s="19" t="s">
        <v>1510</v>
      </c>
      <c r="F505" s="68" t="s">
        <v>515</v>
      </c>
      <c r="G505" s="62">
        <v>2112</v>
      </c>
      <c r="H505" s="62" t="s">
        <v>1516</v>
      </c>
      <c r="I505" s="62" t="s">
        <v>1512</v>
      </c>
      <c r="J505" s="118">
        <v>1</v>
      </c>
      <c r="K505" s="119" t="s">
        <v>619</v>
      </c>
      <c r="L505" s="62" t="s">
        <v>1507</v>
      </c>
      <c r="M505" s="137" t="s">
        <v>1513</v>
      </c>
      <c r="N505" s="65">
        <v>44718</v>
      </c>
      <c r="O505" s="19"/>
      <c r="P505" s="19"/>
      <c r="Q505" s="64">
        <v>52345000</v>
      </c>
      <c r="R505" s="19"/>
      <c r="S505" s="19"/>
      <c r="T505" s="19"/>
      <c r="U505" s="19"/>
      <c r="V505" s="121">
        <v>52345000</v>
      </c>
      <c r="W505" s="19"/>
      <c r="X505" s="64">
        <v>52345000</v>
      </c>
      <c r="Y505" s="19"/>
      <c r="Z505" s="19"/>
      <c r="AA505" s="128"/>
      <c r="AB505" s="19"/>
      <c r="AC505" s="64">
        <v>52345000</v>
      </c>
      <c r="AD505" s="63">
        <v>44727</v>
      </c>
      <c r="AE505" s="65">
        <v>46552</v>
      </c>
      <c r="AF505" s="62">
        <v>5</v>
      </c>
      <c r="AG505" s="119">
        <v>60</v>
      </c>
      <c r="AH505" s="25">
        <v>872416.66666666663</v>
      </c>
      <c r="AI505" s="78">
        <v>16168791.666666666</v>
      </c>
      <c r="AJ505" s="92">
        <v>36176208.333333336</v>
      </c>
      <c r="AK505" s="27">
        <f t="shared" si="146"/>
        <v>872416.66666666663</v>
      </c>
      <c r="AL505" s="27">
        <f t="shared" si="150"/>
        <v>872416.66666666663</v>
      </c>
      <c r="AM505" s="27">
        <f t="shared" si="150"/>
        <v>872416.66666666663</v>
      </c>
      <c r="AN505" s="27">
        <f t="shared" si="152"/>
        <v>872416.66666666663</v>
      </c>
      <c r="AO505" s="27">
        <f t="shared" si="153"/>
        <v>872416.66666666663</v>
      </c>
      <c r="AP505" s="27">
        <f t="shared" si="153"/>
        <v>872416.66666666663</v>
      </c>
      <c r="AQ505" s="27">
        <f t="shared" si="154"/>
        <v>872416.66666666663</v>
      </c>
      <c r="AR505" s="27">
        <f t="shared" si="155"/>
        <v>872416.66666666663</v>
      </c>
      <c r="AS505" s="27"/>
      <c r="AT505" s="27"/>
      <c r="AU505" s="27"/>
      <c r="AV505" s="27"/>
      <c r="AW505" s="27">
        <f t="shared" si="143"/>
        <v>6979333.333333334</v>
      </c>
      <c r="AX505" s="79">
        <f t="shared" si="147"/>
        <v>29196875</v>
      </c>
      <c r="AY505" s="79">
        <f t="shared" si="148"/>
        <v>23148125</v>
      </c>
      <c r="AZ505" s="25">
        <v>1</v>
      </c>
      <c r="BA505" s="62" t="s">
        <v>97</v>
      </c>
      <c r="BB505" s="66">
        <v>1</v>
      </c>
      <c r="BC505" s="19"/>
      <c r="BD505" s="19"/>
      <c r="BE505" s="67">
        <f t="shared" si="151"/>
        <v>872416.66666666663</v>
      </c>
      <c r="BF505" s="67">
        <f t="shared" si="156"/>
        <v>0</v>
      </c>
      <c r="BG505" s="67">
        <f t="shared" si="149"/>
        <v>0</v>
      </c>
      <c r="BH505" s="19"/>
      <c r="BI505" s="68" t="s">
        <v>871</v>
      </c>
      <c r="BJ505" s="68" t="s">
        <v>1509</v>
      </c>
      <c r="BK505" s="68" t="s">
        <v>1509</v>
      </c>
      <c r="BO505" s="35" t="s">
        <v>1802</v>
      </c>
    </row>
    <row r="506" spans="3:68" ht="15" customHeight="1">
      <c r="C506" s="1" t="str">
        <f t="shared" si="144"/>
        <v>2905</v>
      </c>
      <c r="D506" s="1" t="str">
        <f t="shared" si="145"/>
        <v>2206</v>
      </c>
      <c r="E506" s="19" t="s">
        <v>1510</v>
      </c>
      <c r="F506" s="62" t="s">
        <v>1896</v>
      </c>
      <c r="G506" s="62">
        <v>2112</v>
      </c>
      <c r="H506" s="19" t="s">
        <v>1517</v>
      </c>
      <c r="I506" s="19" t="s">
        <v>1518</v>
      </c>
      <c r="J506" s="86">
        <v>1</v>
      </c>
      <c r="K506" s="19" t="s">
        <v>619</v>
      </c>
      <c r="L506" s="62" t="s">
        <v>77</v>
      </c>
      <c r="M506" s="19" t="s">
        <v>1519</v>
      </c>
      <c r="N506" s="141">
        <v>44659</v>
      </c>
      <c r="O506" s="24">
        <v>3868.55</v>
      </c>
      <c r="P506" s="24">
        <v>23000</v>
      </c>
      <c r="Q506" s="64">
        <v>88976650</v>
      </c>
      <c r="R506" s="64">
        <v>4390804</v>
      </c>
      <c r="S506" s="27"/>
      <c r="T506" s="25">
        <v>2967358</v>
      </c>
      <c r="U506" s="33" t="s">
        <v>1520</v>
      </c>
      <c r="V506" s="121">
        <v>96334812</v>
      </c>
      <c r="W506" s="19"/>
      <c r="X506" s="64">
        <v>96334812</v>
      </c>
      <c r="Y506" s="19"/>
      <c r="Z506" s="19"/>
      <c r="AA506" s="128"/>
      <c r="AB506" s="19"/>
      <c r="AC506" s="64">
        <v>96334812</v>
      </c>
      <c r="AD506" s="63">
        <v>44713</v>
      </c>
      <c r="AE506" s="65">
        <v>47269</v>
      </c>
      <c r="AF506" s="19">
        <v>7</v>
      </c>
      <c r="AG506" s="19">
        <v>84</v>
      </c>
      <c r="AH506" s="25">
        <v>1146843</v>
      </c>
      <c r="AI506" s="78">
        <v>21790017</v>
      </c>
      <c r="AJ506" s="92">
        <v>74544795</v>
      </c>
      <c r="AK506" s="27">
        <f t="shared" si="146"/>
        <v>1146843</v>
      </c>
      <c r="AL506" s="27">
        <f t="shared" si="150"/>
        <v>1146843</v>
      </c>
      <c r="AM506" s="27">
        <f t="shared" si="150"/>
        <v>1146843</v>
      </c>
      <c r="AN506" s="27">
        <f t="shared" si="152"/>
        <v>1146843</v>
      </c>
      <c r="AO506" s="27">
        <f t="shared" si="153"/>
        <v>1146843</v>
      </c>
      <c r="AP506" s="27">
        <f t="shared" si="153"/>
        <v>1146843</v>
      </c>
      <c r="AQ506" s="27">
        <f t="shared" si="154"/>
        <v>1146843</v>
      </c>
      <c r="AR506" s="27">
        <f t="shared" si="155"/>
        <v>1146843</v>
      </c>
      <c r="AS506" s="27"/>
      <c r="AT506" s="27"/>
      <c r="AU506" s="27"/>
      <c r="AV506" s="27"/>
      <c r="AW506" s="27">
        <f t="shared" si="143"/>
        <v>9174744</v>
      </c>
      <c r="AX506" s="79">
        <f t="shared" si="147"/>
        <v>65370051</v>
      </c>
      <c r="AY506" s="79">
        <f t="shared" si="148"/>
        <v>30964761</v>
      </c>
      <c r="AZ506" s="25">
        <v>1</v>
      </c>
      <c r="BA506" s="62" t="s">
        <v>97</v>
      </c>
      <c r="BB506" s="66">
        <v>1</v>
      </c>
      <c r="BC506" s="19"/>
      <c r="BD506" s="19"/>
      <c r="BE506" s="67">
        <f t="shared" si="151"/>
        <v>1146843</v>
      </c>
      <c r="BF506" s="67">
        <f t="shared" si="156"/>
        <v>0</v>
      </c>
      <c r="BG506" s="67">
        <f t="shared" si="149"/>
        <v>0</v>
      </c>
      <c r="BH506" s="19"/>
      <c r="BI506" s="68" t="s">
        <v>57</v>
      </c>
      <c r="BJ506" s="68" t="s">
        <v>1980</v>
      </c>
      <c r="BK506" s="68" t="s">
        <v>1980</v>
      </c>
      <c r="BO506" s="35" t="s">
        <v>1801</v>
      </c>
      <c r="BP506" s="1" t="s">
        <v>1826</v>
      </c>
    </row>
    <row r="507" spans="3:68" ht="15" customHeight="1">
      <c r="C507" s="1" t="str">
        <f t="shared" si="144"/>
        <v>2905</v>
      </c>
      <c r="D507" s="1" t="str">
        <f t="shared" si="145"/>
        <v>2206</v>
      </c>
      <c r="E507" s="19" t="s">
        <v>1510</v>
      </c>
      <c r="F507" s="68" t="s">
        <v>49</v>
      </c>
      <c r="G507" s="62">
        <v>2112</v>
      </c>
      <c r="H507" s="19" t="s">
        <v>1521</v>
      </c>
      <c r="I507" s="19" t="s">
        <v>1522</v>
      </c>
      <c r="J507" s="86">
        <v>1</v>
      </c>
      <c r="K507" s="19" t="s">
        <v>619</v>
      </c>
      <c r="L507" s="62" t="s">
        <v>77</v>
      </c>
      <c r="M507" s="19" t="s">
        <v>1523</v>
      </c>
      <c r="N507" s="141">
        <v>44666</v>
      </c>
      <c r="O507" s="24">
        <v>6059.93</v>
      </c>
      <c r="P507" s="24">
        <v>23100</v>
      </c>
      <c r="Q507" s="64">
        <v>139984383</v>
      </c>
      <c r="R507" s="19"/>
      <c r="S507" s="19"/>
      <c r="T507" s="25">
        <v>2433772</v>
      </c>
      <c r="U507" s="19" t="s">
        <v>1525</v>
      </c>
      <c r="V507" s="121">
        <v>142418155</v>
      </c>
      <c r="W507" s="19"/>
      <c r="X507" s="64">
        <v>142418155</v>
      </c>
      <c r="Y507" s="19"/>
      <c r="Z507" s="19"/>
      <c r="AA507" s="128"/>
      <c r="AB507" s="19"/>
      <c r="AC507" s="64">
        <v>142418155</v>
      </c>
      <c r="AD507" s="63">
        <v>44713</v>
      </c>
      <c r="AE507" s="65">
        <v>47269</v>
      </c>
      <c r="AF507" s="19">
        <v>7</v>
      </c>
      <c r="AG507" s="19">
        <v>84</v>
      </c>
      <c r="AH507" s="25">
        <v>1695454.2261904762</v>
      </c>
      <c r="AI507" s="78">
        <v>32213628.261904761</v>
      </c>
      <c r="AJ507" s="92">
        <v>110204526.73809524</v>
      </c>
      <c r="AK507" s="27">
        <f t="shared" si="146"/>
        <v>1695454.2261904762</v>
      </c>
      <c r="AL507" s="27">
        <f t="shared" si="150"/>
        <v>1695454.2261904762</v>
      </c>
      <c r="AM507" s="27">
        <f t="shared" si="150"/>
        <v>1695454.2261904762</v>
      </c>
      <c r="AN507" s="27">
        <f t="shared" si="152"/>
        <v>1695454.2261904762</v>
      </c>
      <c r="AO507" s="27">
        <f t="shared" si="153"/>
        <v>1695454.2261904762</v>
      </c>
      <c r="AP507" s="27">
        <f t="shared" si="153"/>
        <v>1695454.2261904762</v>
      </c>
      <c r="AQ507" s="27">
        <f t="shared" si="154"/>
        <v>1695454.2261904762</v>
      </c>
      <c r="AR507" s="27">
        <f t="shared" si="155"/>
        <v>1695454.2261904762</v>
      </c>
      <c r="AS507" s="27"/>
      <c r="AT507" s="27"/>
      <c r="AU507" s="27"/>
      <c r="AV507" s="27"/>
      <c r="AW507" s="27">
        <f t="shared" si="143"/>
        <v>13563633.809523808</v>
      </c>
      <c r="AX507" s="79">
        <f t="shared" si="147"/>
        <v>96640892.928571433</v>
      </c>
      <c r="AY507" s="79">
        <f t="shared" si="148"/>
        <v>45777262.071428567</v>
      </c>
      <c r="AZ507" s="25">
        <v>1</v>
      </c>
      <c r="BA507" s="62" t="s">
        <v>97</v>
      </c>
      <c r="BB507" s="66">
        <v>1</v>
      </c>
      <c r="BC507" s="19"/>
      <c r="BD507" s="19"/>
      <c r="BE507" s="67">
        <f t="shared" si="151"/>
        <v>1695454.2261904762</v>
      </c>
      <c r="BF507" s="67">
        <f t="shared" si="156"/>
        <v>0</v>
      </c>
      <c r="BG507" s="67">
        <f t="shared" si="149"/>
        <v>0</v>
      </c>
      <c r="BH507" s="19"/>
      <c r="BI507" s="68" t="s">
        <v>57</v>
      </c>
      <c r="BJ507" s="68" t="s">
        <v>58</v>
      </c>
      <c r="BK507" s="68" t="s">
        <v>159</v>
      </c>
      <c r="BO507" s="35" t="s">
        <v>1804</v>
      </c>
    </row>
    <row r="508" spans="3:68" ht="15" customHeight="1">
      <c r="C508" s="1" t="str">
        <f t="shared" si="144"/>
        <v>2905</v>
      </c>
      <c r="D508" s="1" t="str">
        <f t="shared" si="145"/>
        <v>2206</v>
      </c>
      <c r="E508" s="19" t="s">
        <v>1510</v>
      </c>
      <c r="F508" s="68" t="s">
        <v>49</v>
      </c>
      <c r="G508" s="62">
        <v>2112</v>
      </c>
      <c r="H508" s="19" t="s">
        <v>1526</v>
      </c>
      <c r="I508" s="19" t="s">
        <v>1522</v>
      </c>
      <c r="J508" s="86">
        <v>1</v>
      </c>
      <c r="K508" s="19" t="s">
        <v>619</v>
      </c>
      <c r="L508" s="62" t="s">
        <v>77</v>
      </c>
      <c r="M508" s="19" t="s">
        <v>1523</v>
      </c>
      <c r="N508" s="141">
        <v>44666</v>
      </c>
      <c r="O508" s="24">
        <v>6059.93</v>
      </c>
      <c r="P508" s="24">
        <v>23100</v>
      </c>
      <c r="Q508" s="64">
        <v>139984383</v>
      </c>
      <c r="R508" s="19"/>
      <c r="S508" s="19"/>
      <c r="T508" s="25">
        <v>2433772</v>
      </c>
      <c r="U508" s="19" t="s">
        <v>1525</v>
      </c>
      <c r="V508" s="121">
        <v>142418155</v>
      </c>
      <c r="W508" s="19"/>
      <c r="X508" s="64">
        <v>142418155</v>
      </c>
      <c r="Y508" s="19"/>
      <c r="Z508" s="19"/>
      <c r="AA508" s="128"/>
      <c r="AB508" s="19"/>
      <c r="AC508" s="64">
        <v>142418155</v>
      </c>
      <c r="AD508" s="63">
        <v>44713</v>
      </c>
      <c r="AE508" s="65">
        <v>47269</v>
      </c>
      <c r="AF508" s="19">
        <v>7</v>
      </c>
      <c r="AG508" s="19">
        <v>84</v>
      </c>
      <c r="AH508" s="25">
        <v>1695454.2261904762</v>
      </c>
      <c r="AI508" s="78">
        <v>32213628.261904761</v>
      </c>
      <c r="AJ508" s="92">
        <v>110204526.73809524</v>
      </c>
      <c r="AK508" s="27">
        <f t="shared" si="146"/>
        <v>1695454.2261904762</v>
      </c>
      <c r="AL508" s="27">
        <f t="shared" si="150"/>
        <v>1695454.2261904762</v>
      </c>
      <c r="AM508" s="27">
        <f t="shared" si="150"/>
        <v>1695454.2261904762</v>
      </c>
      <c r="AN508" s="27">
        <f t="shared" si="152"/>
        <v>1695454.2261904762</v>
      </c>
      <c r="AO508" s="27">
        <f t="shared" si="153"/>
        <v>1695454.2261904762</v>
      </c>
      <c r="AP508" s="27">
        <f t="shared" si="153"/>
        <v>1695454.2261904762</v>
      </c>
      <c r="AQ508" s="27">
        <f t="shared" si="154"/>
        <v>1695454.2261904762</v>
      </c>
      <c r="AR508" s="27">
        <f t="shared" si="155"/>
        <v>1695454.2261904762</v>
      </c>
      <c r="AS508" s="27"/>
      <c r="AT508" s="27"/>
      <c r="AU508" s="27"/>
      <c r="AV508" s="27"/>
      <c r="AW508" s="27">
        <f t="shared" si="143"/>
        <v>13563633.809523808</v>
      </c>
      <c r="AX508" s="79">
        <f t="shared" si="147"/>
        <v>96640892.928571433</v>
      </c>
      <c r="AY508" s="79">
        <f t="shared" si="148"/>
        <v>45777262.071428567</v>
      </c>
      <c r="AZ508" s="25">
        <v>1</v>
      </c>
      <c r="BA508" s="62" t="s">
        <v>97</v>
      </c>
      <c r="BB508" s="66">
        <v>1</v>
      </c>
      <c r="BC508" s="19"/>
      <c r="BD508" s="19"/>
      <c r="BE508" s="67">
        <f t="shared" si="151"/>
        <v>1695454.2261904762</v>
      </c>
      <c r="BF508" s="67">
        <f t="shared" si="156"/>
        <v>0</v>
      </c>
      <c r="BG508" s="67">
        <f t="shared" si="149"/>
        <v>0</v>
      </c>
      <c r="BH508" s="19"/>
      <c r="BI508" s="68" t="s">
        <v>57</v>
      </c>
      <c r="BJ508" s="68" t="s">
        <v>58</v>
      </c>
      <c r="BK508" s="68" t="s">
        <v>159</v>
      </c>
      <c r="BO508" s="35" t="s">
        <v>1804</v>
      </c>
    </row>
    <row r="509" spans="3:68" ht="15" customHeight="1">
      <c r="C509" s="1" t="str">
        <f t="shared" si="144"/>
        <v>3006</v>
      </c>
      <c r="D509" s="1" t="str">
        <f t="shared" si="145"/>
        <v>2207</v>
      </c>
      <c r="E509" s="19" t="s">
        <v>1527</v>
      </c>
      <c r="F509" s="68" t="s">
        <v>1426</v>
      </c>
      <c r="G509" s="62">
        <v>2112</v>
      </c>
      <c r="H509" s="19" t="s">
        <v>1528</v>
      </c>
      <c r="I509" s="19" t="s">
        <v>1529</v>
      </c>
      <c r="J509" s="86">
        <v>1</v>
      </c>
      <c r="K509" s="19" t="s">
        <v>619</v>
      </c>
      <c r="L509" s="62" t="s">
        <v>77</v>
      </c>
      <c r="M509" s="19" t="s">
        <v>1523</v>
      </c>
      <c r="N509" s="141">
        <v>44666</v>
      </c>
      <c r="O509" s="24">
        <v>17909.22</v>
      </c>
      <c r="P509" s="24">
        <v>23100</v>
      </c>
      <c r="Q509" s="64">
        <v>413702982</v>
      </c>
      <c r="R509" s="19"/>
      <c r="S509" s="19"/>
      <c r="T509" s="25"/>
      <c r="U509" s="19"/>
      <c r="V509" s="121">
        <v>413702982</v>
      </c>
      <c r="W509" s="19"/>
      <c r="X509" s="64">
        <v>413702982</v>
      </c>
      <c r="Y509" s="19"/>
      <c r="Z509" s="19"/>
      <c r="AA509" s="128"/>
      <c r="AB509" s="19"/>
      <c r="AC509" s="64">
        <v>413702982</v>
      </c>
      <c r="AD509" s="63">
        <v>44743</v>
      </c>
      <c r="AE509" s="65">
        <v>47664</v>
      </c>
      <c r="AF509" s="19">
        <v>8</v>
      </c>
      <c r="AG509" s="19">
        <v>96</v>
      </c>
      <c r="AH509" s="25">
        <v>4309406.0625</v>
      </c>
      <c r="AI509" s="78">
        <v>77569308.625</v>
      </c>
      <c r="AJ509" s="92">
        <v>336133673.375</v>
      </c>
      <c r="AK509" s="27">
        <f t="shared" si="146"/>
        <v>4309406.0625</v>
      </c>
      <c r="AL509" s="27">
        <f t="shared" si="150"/>
        <v>4309406.0625</v>
      </c>
      <c r="AM509" s="27">
        <f t="shared" si="150"/>
        <v>4309406.0625</v>
      </c>
      <c r="AN509" s="27">
        <f t="shared" si="152"/>
        <v>4309406.0625</v>
      </c>
      <c r="AO509" s="27">
        <f t="shared" si="153"/>
        <v>4309406.0625</v>
      </c>
      <c r="AP509" s="27">
        <f t="shared" si="153"/>
        <v>4309406.0625</v>
      </c>
      <c r="AQ509" s="27">
        <f t="shared" si="154"/>
        <v>4309406.0625</v>
      </c>
      <c r="AR509" s="27">
        <f t="shared" si="155"/>
        <v>4309406.0625</v>
      </c>
      <c r="AS509" s="27"/>
      <c r="AT509" s="27"/>
      <c r="AU509" s="27"/>
      <c r="AV509" s="27"/>
      <c r="AW509" s="27">
        <f t="shared" ref="AW509:AW544" si="157">+SUM(AK509:AV509)</f>
        <v>34475248.5</v>
      </c>
      <c r="AX509" s="79">
        <f t="shared" si="147"/>
        <v>301658424.875</v>
      </c>
      <c r="AY509" s="79">
        <f t="shared" si="148"/>
        <v>112044557.125</v>
      </c>
      <c r="AZ509" s="25">
        <v>1</v>
      </c>
      <c r="BA509" s="62" t="s">
        <v>97</v>
      </c>
      <c r="BB509" s="66"/>
      <c r="BC509" s="66">
        <v>1</v>
      </c>
      <c r="BD509" s="66"/>
      <c r="BE509" s="67">
        <f t="shared" si="151"/>
        <v>0</v>
      </c>
      <c r="BF509" s="67">
        <f t="shared" si="156"/>
        <v>4309406.0625</v>
      </c>
      <c r="BG509" s="67">
        <f t="shared" si="149"/>
        <v>0</v>
      </c>
      <c r="BH509" s="62" t="s">
        <v>1668</v>
      </c>
      <c r="BI509" s="19" t="s">
        <v>1624</v>
      </c>
      <c r="BJ509" s="68" t="s">
        <v>1438</v>
      </c>
      <c r="BK509" s="68" t="s">
        <v>1438</v>
      </c>
      <c r="BM509" s="1" t="s">
        <v>1886</v>
      </c>
      <c r="BN509" s="1" t="s">
        <v>1666</v>
      </c>
      <c r="BO509" s="35" t="s">
        <v>1804</v>
      </c>
    </row>
    <row r="510" spans="3:68" ht="15" customHeight="1">
      <c r="C510" s="1" t="str">
        <f t="shared" ref="C510:C573" si="158">+RIGHT(YEAR(AE510),2)&amp;IF(LEN(MONTH(AE510))=2,MONTH(AE510),"0"&amp;MONTH(AE510))</f>
        <v>2906</v>
      </c>
      <c r="D510" s="1" t="str">
        <f t="shared" ref="D510:D573" si="159">+RIGHT(YEAR(AD510),2)&amp;IF(LEN(MONTH(AD510))=2,MONTH(AD510),"0"&amp;MONTH(AD510))</f>
        <v>2207</v>
      </c>
      <c r="E510" s="19" t="s">
        <v>1527</v>
      </c>
      <c r="F510" s="68" t="s">
        <v>1426</v>
      </c>
      <c r="G510" s="62">
        <v>2112</v>
      </c>
      <c r="H510" s="19" t="s">
        <v>1530</v>
      </c>
      <c r="I510" s="19" t="s">
        <v>1531</v>
      </c>
      <c r="J510" s="86">
        <v>1</v>
      </c>
      <c r="K510" s="19" t="s">
        <v>619</v>
      </c>
      <c r="L510" s="62" t="s">
        <v>77</v>
      </c>
      <c r="M510" s="19" t="s">
        <v>1523</v>
      </c>
      <c r="N510" s="141">
        <v>44666</v>
      </c>
      <c r="O510" s="24">
        <v>5210.0600000000004</v>
      </c>
      <c r="P510" s="24">
        <v>23100</v>
      </c>
      <c r="Q510" s="64">
        <v>120352386.00000001</v>
      </c>
      <c r="R510" s="19"/>
      <c r="S510" s="19"/>
      <c r="T510" s="25"/>
      <c r="U510" s="19"/>
      <c r="V510" s="121">
        <v>120352386</v>
      </c>
      <c r="W510" s="19"/>
      <c r="X510" s="64">
        <v>120352386</v>
      </c>
      <c r="Y510" s="19"/>
      <c r="Z510" s="19"/>
      <c r="AA510" s="128"/>
      <c r="AB510" s="19"/>
      <c r="AC510" s="64">
        <v>120352386</v>
      </c>
      <c r="AD510" s="63">
        <v>44743</v>
      </c>
      <c r="AE510" s="65">
        <v>47299</v>
      </c>
      <c r="AF510" s="19">
        <v>7</v>
      </c>
      <c r="AG510" s="19">
        <v>84</v>
      </c>
      <c r="AH510" s="25">
        <v>1432766.5</v>
      </c>
      <c r="AI510" s="78">
        <v>25789801</v>
      </c>
      <c r="AJ510" s="92">
        <v>94562585</v>
      </c>
      <c r="AK510" s="27">
        <f t="shared" ref="AK510:AK573" si="160">+IF(AND(AK$3&gt;=$D510,AK$3&lt;$C510),$AH510,$AJ510)</f>
        <v>1432766.5</v>
      </c>
      <c r="AL510" s="27">
        <f t="shared" si="150"/>
        <v>1432766.5</v>
      </c>
      <c r="AM510" s="27">
        <f t="shared" si="150"/>
        <v>1432766.5</v>
      </c>
      <c r="AN510" s="27">
        <f t="shared" si="152"/>
        <v>1432766.5</v>
      </c>
      <c r="AO510" s="27">
        <f t="shared" si="153"/>
        <v>1432766.5</v>
      </c>
      <c r="AP510" s="27">
        <f t="shared" si="153"/>
        <v>1432766.5</v>
      </c>
      <c r="AQ510" s="27">
        <f t="shared" si="154"/>
        <v>1432766.5</v>
      </c>
      <c r="AR510" s="27">
        <f t="shared" si="155"/>
        <v>1432766.5</v>
      </c>
      <c r="AS510" s="27"/>
      <c r="AT510" s="27"/>
      <c r="AU510" s="27"/>
      <c r="AV510" s="27"/>
      <c r="AW510" s="27">
        <f t="shared" si="157"/>
        <v>11462132</v>
      </c>
      <c r="AX510" s="79">
        <f t="shared" ref="AX510:AX570" si="161">AC510-AI510-AW510</f>
        <v>83100453</v>
      </c>
      <c r="AY510" s="79">
        <f t="shared" ref="AY510:AY573" si="162">AW510+AI510</f>
        <v>37251933</v>
      </c>
      <c r="AZ510" s="25">
        <v>1</v>
      </c>
      <c r="BA510" s="62" t="s">
        <v>97</v>
      </c>
      <c r="BB510" s="66"/>
      <c r="BC510" s="66">
        <v>1</v>
      </c>
      <c r="BD510" s="66"/>
      <c r="BE510" s="67">
        <f t="shared" si="151"/>
        <v>0</v>
      </c>
      <c r="BF510" s="67">
        <f t="shared" si="156"/>
        <v>1432766.5</v>
      </c>
      <c r="BG510" s="67">
        <f t="shared" si="149"/>
        <v>0</v>
      </c>
      <c r="BH510" s="62" t="s">
        <v>1668</v>
      </c>
      <c r="BI510" s="19" t="s">
        <v>1624</v>
      </c>
      <c r="BJ510" s="68" t="s">
        <v>1438</v>
      </c>
      <c r="BK510" s="68" t="s">
        <v>1438</v>
      </c>
      <c r="BM510" s="1" t="s">
        <v>1886</v>
      </c>
      <c r="BN510" s="1" t="s">
        <v>1666</v>
      </c>
      <c r="BO510" s="35" t="s">
        <v>1804</v>
      </c>
    </row>
    <row r="511" spans="3:68" ht="15" customHeight="1">
      <c r="C511" s="1" t="str">
        <f t="shared" si="158"/>
        <v>2906</v>
      </c>
      <c r="D511" s="1" t="str">
        <f t="shared" si="159"/>
        <v>2207</v>
      </c>
      <c r="E511" s="19" t="s">
        <v>1527</v>
      </c>
      <c r="F511" s="62" t="s">
        <v>1896</v>
      </c>
      <c r="G511" s="62">
        <v>2112</v>
      </c>
      <c r="H511" s="19" t="s">
        <v>1532</v>
      </c>
      <c r="I511" s="19" t="s">
        <v>1531</v>
      </c>
      <c r="J511" s="86">
        <v>1</v>
      </c>
      <c r="K511" s="19" t="s">
        <v>619</v>
      </c>
      <c r="L511" s="62" t="s">
        <v>77</v>
      </c>
      <c r="M511" s="19" t="s">
        <v>1523</v>
      </c>
      <c r="N511" s="141">
        <v>44666</v>
      </c>
      <c r="O511" s="24">
        <v>5835.27</v>
      </c>
      <c r="P511" s="24">
        <v>23100</v>
      </c>
      <c r="Q511" s="64">
        <v>134794737</v>
      </c>
      <c r="R511" s="19"/>
      <c r="S511" s="19"/>
      <c r="T511" s="25"/>
      <c r="U511" s="19"/>
      <c r="V511" s="121">
        <v>134794737</v>
      </c>
      <c r="W511" s="19"/>
      <c r="X511" s="64">
        <v>134794737</v>
      </c>
      <c r="Y511" s="19"/>
      <c r="Z511" s="19"/>
      <c r="AA511" s="128"/>
      <c r="AB511" s="19"/>
      <c r="AC511" s="64">
        <v>134794737</v>
      </c>
      <c r="AD511" s="63">
        <v>44743</v>
      </c>
      <c r="AE511" s="65">
        <v>47299</v>
      </c>
      <c r="AF511" s="19">
        <v>7</v>
      </c>
      <c r="AG511" s="19">
        <v>84</v>
      </c>
      <c r="AH511" s="25">
        <v>1604699.25</v>
      </c>
      <c r="AI511" s="78">
        <v>28884584.5</v>
      </c>
      <c r="AJ511" s="92">
        <v>105910152.5</v>
      </c>
      <c r="AK511" s="27">
        <f t="shared" si="160"/>
        <v>1604699.25</v>
      </c>
      <c r="AL511" s="27">
        <f t="shared" si="150"/>
        <v>1604699.25</v>
      </c>
      <c r="AM511" s="27">
        <f t="shared" si="150"/>
        <v>1604699.25</v>
      </c>
      <c r="AN511" s="27">
        <f t="shared" si="152"/>
        <v>1604699.25</v>
      </c>
      <c r="AO511" s="27">
        <f t="shared" si="153"/>
        <v>1604699.25</v>
      </c>
      <c r="AP511" s="27">
        <f t="shared" si="153"/>
        <v>1604699.25</v>
      </c>
      <c r="AQ511" s="27">
        <f t="shared" si="154"/>
        <v>1604699.25</v>
      </c>
      <c r="AR511" s="27">
        <f t="shared" si="155"/>
        <v>1604699.25</v>
      </c>
      <c r="AS511" s="27"/>
      <c r="AT511" s="27"/>
      <c r="AU511" s="27"/>
      <c r="AV511" s="27"/>
      <c r="AW511" s="27">
        <f t="shared" si="157"/>
        <v>12837594</v>
      </c>
      <c r="AX511" s="79">
        <f t="shared" si="161"/>
        <v>93072558.5</v>
      </c>
      <c r="AY511" s="79">
        <f t="shared" si="162"/>
        <v>41722178.5</v>
      </c>
      <c r="AZ511" s="25">
        <v>1</v>
      </c>
      <c r="BA511" s="62" t="s">
        <v>97</v>
      </c>
      <c r="BB511" s="66">
        <v>1</v>
      </c>
      <c r="BC511" s="66"/>
      <c r="BD511" s="66"/>
      <c r="BE511" s="67">
        <f t="shared" si="151"/>
        <v>1604699.25</v>
      </c>
      <c r="BF511" s="67">
        <f t="shared" si="156"/>
        <v>0</v>
      </c>
      <c r="BG511" s="67">
        <f t="shared" si="149"/>
        <v>0</v>
      </c>
      <c r="BH511" s="62" t="s">
        <v>1668</v>
      </c>
      <c r="BI511" s="19" t="s">
        <v>1624</v>
      </c>
      <c r="BJ511" s="68" t="s">
        <v>1989</v>
      </c>
      <c r="BK511" s="68" t="s">
        <v>1929</v>
      </c>
      <c r="BM511" s="1" t="s">
        <v>1886</v>
      </c>
      <c r="BN511" s="1" t="s">
        <v>1666</v>
      </c>
      <c r="BO511" s="35" t="s">
        <v>1804</v>
      </c>
    </row>
    <row r="512" spans="3:68" ht="15" customHeight="1">
      <c r="C512" s="1" t="str">
        <f t="shared" si="158"/>
        <v>3207</v>
      </c>
      <c r="D512" s="1" t="str">
        <f t="shared" si="159"/>
        <v>2207</v>
      </c>
      <c r="E512" s="19" t="s">
        <v>1527</v>
      </c>
      <c r="F512" s="68" t="s">
        <v>49</v>
      </c>
      <c r="G512" s="62">
        <v>2112</v>
      </c>
      <c r="H512" s="19" t="s">
        <v>1533</v>
      </c>
      <c r="I512" s="19" t="s">
        <v>1534</v>
      </c>
      <c r="J512" s="86">
        <v>1</v>
      </c>
      <c r="K512" s="19" t="s">
        <v>619</v>
      </c>
      <c r="L512" s="62" t="s">
        <v>77</v>
      </c>
      <c r="M512" s="19" t="s">
        <v>1535</v>
      </c>
      <c r="N512" s="141">
        <v>44736</v>
      </c>
      <c r="O512" s="24">
        <v>184900</v>
      </c>
      <c r="P512" s="24">
        <v>23380</v>
      </c>
      <c r="Q512" s="64">
        <v>4322962000</v>
      </c>
      <c r="R512" s="19"/>
      <c r="S512" s="19"/>
      <c r="T512" s="25">
        <v>12217042.057638049</v>
      </c>
      <c r="U512" s="19" t="s">
        <v>1537</v>
      </c>
      <c r="V512" s="121">
        <v>4335179042</v>
      </c>
      <c r="W512" s="19"/>
      <c r="X512" s="64">
        <v>4335179042</v>
      </c>
      <c r="Y512" s="19"/>
      <c r="Z512" s="19"/>
      <c r="AA512" s="128"/>
      <c r="AB512" s="19"/>
      <c r="AC512" s="64">
        <v>4335179042</v>
      </c>
      <c r="AD512" s="63">
        <v>44753</v>
      </c>
      <c r="AE512" s="65">
        <v>48405</v>
      </c>
      <c r="AF512" s="19">
        <v>10</v>
      </c>
      <c r="AG512" s="19">
        <v>120</v>
      </c>
      <c r="AH512" s="25">
        <v>36126492.016666666</v>
      </c>
      <c r="AI512" s="78">
        <v>638623149.16666651</v>
      </c>
      <c r="AJ512" s="92">
        <v>3696555892.8333335</v>
      </c>
      <c r="AK512" s="27">
        <f t="shared" si="160"/>
        <v>36126492.016666666</v>
      </c>
      <c r="AL512" s="27">
        <f t="shared" si="150"/>
        <v>36126492.016666666</v>
      </c>
      <c r="AM512" s="27">
        <f t="shared" si="150"/>
        <v>36126492.016666666</v>
      </c>
      <c r="AN512" s="27">
        <f t="shared" si="152"/>
        <v>36126492.016666666</v>
      </c>
      <c r="AO512" s="27">
        <f t="shared" si="153"/>
        <v>36126492.016666666</v>
      </c>
      <c r="AP512" s="27">
        <f t="shared" si="153"/>
        <v>36126492.016666666</v>
      </c>
      <c r="AQ512" s="27">
        <f t="shared" si="154"/>
        <v>36126492.016666666</v>
      </c>
      <c r="AR512" s="27">
        <f t="shared" si="155"/>
        <v>36126492.016666666</v>
      </c>
      <c r="AS512" s="27"/>
      <c r="AT512" s="27"/>
      <c r="AU512" s="27"/>
      <c r="AV512" s="27"/>
      <c r="AW512" s="27">
        <f t="shared" si="157"/>
        <v>289011936.13333327</v>
      </c>
      <c r="AX512" s="79">
        <f t="shared" si="161"/>
        <v>3407543956.7000003</v>
      </c>
      <c r="AY512" s="79">
        <f t="shared" si="162"/>
        <v>927635085.29999971</v>
      </c>
      <c r="AZ512" s="25">
        <v>1</v>
      </c>
      <c r="BA512" s="62" t="s">
        <v>97</v>
      </c>
      <c r="BB512" s="66">
        <v>1</v>
      </c>
      <c r="BC512" s="19"/>
      <c r="BD512" s="19"/>
      <c r="BE512" s="67">
        <f t="shared" si="151"/>
        <v>36126492.016666666</v>
      </c>
      <c r="BF512" s="67">
        <f t="shared" si="156"/>
        <v>0</v>
      </c>
      <c r="BG512" s="67">
        <f t="shared" si="149"/>
        <v>0</v>
      </c>
      <c r="BH512" s="19"/>
      <c r="BI512" s="68" t="s">
        <v>57</v>
      </c>
      <c r="BJ512" s="68" t="s">
        <v>1297</v>
      </c>
      <c r="BK512" s="68" t="s">
        <v>1538</v>
      </c>
      <c r="BO512" s="35" t="s">
        <v>1800</v>
      </c>
      <c r="BP512" s="1" t="s">
        <v>1815</v>
      </c>
    </row>
    <row r="513" spans="3:68" ht="15" customHeight="1">
      <c r="C513" s="1" t="str">
        <f t="shared" si="158"/>
        <v>3007</v>
      </c>
      <c r="D513" s="1" t="str">
        <f t="shared" si="159"/>
        <v>2207</v>
      </c>
      <c r="E513" s="19" t="s">
        <v>1527</v>
      </c>
      <c r="F513" s="68" t="s">
        <v>49</v>
      </c>
      <c r="G513" s="62">
        <v>2112</v>
      </c>
      <c r="H513" s="19" t="s">
        <v>1539</v>
      </c>
      <c r="I513" s="19" t="s">
        <v>1540</v>
      </c>
      <c r="J513" s="86">
        <v>1</v>
      </c>
      <c r="K513" s="19" t="s">
        <v>619</v>
      </c>
      <c r="L513" s="62" t="s">
        <v>77</v>
      </c>
      <c r="M513" s="19" t="s">
        <v>1535</v>
      </c>
      <c r="N513" s="141">
        <v>44736</v>
      </c>
      <c r="O513" s="24">
        <v>63200</v>
      </c>
      <c r="P513" s="24">
        <v>23380</v>
      </c>
      <c r="Q513" s="64">
        <v>1477616000</v>
      </c>
      <c r="R513" s="19"/>
      <c r="S513" s="19"/>
      <c r="T513" s="25">
        <v>4175862.9423619513</v>
      </c>
      <c r="U513" s="19" t="s">
        <v>1537</v>
      </c>
      <c r="V513" s="121">
        <v>1481791863</v>
      </c>
      <c r="W513" s="19"/>
      <c r="X513" s="64">
        <v>1481791863</v>
      </c>
      <c r="Y513" s="19"/>
      <c r="Z513" s="19"/>
      <c r="AA513" s="128"/>
      <c r="AB513" s="19"/>
      <c r="AC513" s="64">
        <v>1481791863</v>
      </c>
      <c r="AD513" s="63">
        <v>44753</v>
      </c>
      <c r="AE513" s="65">
        <v>47674</v>
      </c>
      <c r="AF513" s="19">
        <v>8</v>
      </c>
      <c r="AG513" s="19">
        <v>96</v>
      </c>
      <c r="AH513" s="25">
        <v>15435331.90625</v>
      </c>
      <c r="AI513" s="78">
        <v>272856836.0625</v>
      </c>
      <c r="AJ513" s="92">
        <v>1208935026.9375</v>
      </c>
      <c r="AK513" s="27">
        <f t="shared" si="160"/>
        <v>15435331.90625</v>
      </c>
      <c r="AL513" s="27">
        <f t="shared" si="150"/>
        <v>15435331.90625</v>
      </c>
      <c r="AM513" s="27">
        <f t="shared" si="150"/>
        <v>15435331.90625</v>
      </c>
      <c r="AN513" s="27">
        <f t="shared" si="152"/>
        <v>15435331.90625</v>
      </c>
      <c r="AO513" s="27">
        <f t="shared" si="153"/>
        <v>15435331.90625</v>
      </c>
      <c r="AP513" s="27">
        <f t="shared" si="153"/>
        <v>15435331.90625</v>
      </c>
      <c r="AQ513" s="27">
        <f t="shared" si="154"/>
        <v>15435331.90625</v>
      </c>
      <c r="AR513" s="27">
        <f t="shared" si="155"/>
        <v>15435331.90625</v>
      </c>
      <c r="AS513" s="27"/>
      <c r="AT513" s="27"/>
      <c r="AU513" s="27"/>
      <c r="AV513" s="27"/>
      <c r="AW513" s="27">
        <f t="shared" si="157"/>
        <v>123482655.25</v>
      </c>
      <c r="AX513" s="79">
        <f t="shared" si="161"/>
        <v>1085452371.6875</v>
      </c>
      <c r="AY513" s="79">
        <f t="shared" si="162"/>
        <v>396339491.3125</v>
      </c>
      <c r="AZ513" s="25">
        <v>1</v>
      </c>
      <c r="BA513" s="62" t="s">
        <v>97</v>
      </c>
      <c r="BB513" s="66">
        <v>1</v>
      </c>
      <c r="BC513" s="19"/>
      <c r="BD513" s="19"/>
      <c r="BE513" s="67">
        <f t="shared" si="151"/>
        <v>15435331.90625</v>
      </c>
      <c r="BF513" s="67">
        <f t="shared" si="156"/>
        <v>0</v>
      </c>
      <c r="BG513" s="67">
        <f t="shared" ref="BG513:BG576" si="163">+$AL513*BD513</f>
        <v>0</v>
      </c>
      <c r="BH513" s="19"/>
      <c r="BI513" s="68" t="s">
        <v>57</v>
      </c>
      <c r="BJ513" s="68" t="s">
        <v>81</v>
      </c>
      <c r="BK513" s="68" t="s">
        <v>1538</v>
      </c>
      <c r="BO513" s="35" t="s">
        <v>1800</v>
      </c>
      <c r="BP513" s="1" t="s">
        <v>1815</v>
      </c>
    </row>
    <row r="514" spans="3:68" ht="15" customHeight="1">
      <c r="C514" s="1" t="str">
        <f t="shared" si="158"/>
        <v>3007</v>
      </c>
      <c r="D514" s="1" t="str">
        <f t="shared" si="159"/>
        <v>2207</v>
      </c>
      <c r="E514" s="19" t="s">
        <v>1527</v>
      </c>
      <c r="F514" s="68" t="s">
        <v>49</v>
      </c>
      <c r="G514" s="62">
        <v>2112</v>
      </c>
      <c r="H514" s="19" t="s">
        <v>1541</v>
      </c>
      <c r="I514" s="19" t="s">
        <v>1542</v>
      </c>
      <c r="J514" s="86">
        <v>1</v>
      </c>
      <c r="K514" s="19" t="s">
        <v>619</v>
      </c>
      <c r="L514" s="62" t="s">
        <v>77</v>
      </c>
      <c r="M514" s="19" t="s">
        <v>1543</v>
      </c>
      <c r="N514" s="141">
        <v>44739</v>
      </c>
      <c r="O514" s="24">
        <v>49650</v>
      </c>
      <c r="P514" s="24">
        <v>23440</v>
      </c>
      <c r="Q514" s="64">
        <v>1163796000</v>
      </c>
      <c r="R514" s="19"/>
      <c r="S514" s="19"/>
      <c r="T514" s="25">
        <v>8932897.4732998628</v>
      </c>
      <c r="U514" s="19" t="s">
        <v>1545</v>
      </c>
      <c r="V514" s="121">
        <v>1172728897</v>
      </c>
      <c r="W514" s="19"/>
      <c r="X514" s="64">
        <v>1172728897</v>
      </c>
      <c r="Y514" s="19"/>
      <c r="Z514" s="19"/>
      <c r="AA514" s="128"/>
      <c r="AB514" s="19"/>
      <c r="AC514" s="64">
        <v>1172728897</v>
      </c>
      <c r="AD514" s="63">
        <v>44753</v>
      </c>
      <c r="AE514" s="65">
        <v>47674</v>
      </c>
      <c r="AF514" s="19">
        <v>8</v>
      </c>
      <c r="AG514" s="19">
        <v>96</v>
      </c>
      <c r="AH514" s="25">
        <v>12215926.010416666</v>
      </c>
      <c r="AI514" s="78">
        <v>215946047.10416666</v>
      </c>
      <c r="AJ514" s="92">
        <v>956782849.89583337</v>
      </c>
      <c r="AK514" s="27">
        <f t="shared" si="160"/>
        <v>12215926.010416666</v>
      </c>
      <c r="AL514" s="27">
        <f t="shared" si="150"/>
        <v>12215926.010416666</v>
      </c>
      <c r="AM514" s="27">
        <f t="shared" si="150"/>
        <v>12215926.010416666</v>
      </c>
      <c r="AN514" s="27">
        <f t="shared" si="152"/>
        <v>12215926.010416666</v>
      </c>
      <c r="AO514" s="27">
        <f t="shared" si="153"/>
        <v>12215926.010416666</v>
      </c>
      <c r="AP514" s="27">
        <f t="shared" si="153"/>
        <v>12215926.010416666</v>
      </c>
      <c r="AQ514" s="27">
        <f t="shared" si="154"/>
        <v>12215926.010416666</v>
      </c>
      <c r="AR514" s="27">
        <f t="shared" si="155"/>
        <v>12215926.010416666</v>
      </c>
      <c r="AS514" s="27"/>
      <c r="AT514" s="27"/>
      <c r="AU514" s="27"/>
      <c r="AV514" s="27"/>
      <c r="AW514" s="27">
        <f t="shared" si="157"/>
        <v>97727408.083333343</v>
      </c>
      <c r="AX514" s="79">
        <f t="shared" si="161"/>
        <v>859055441.8125</v>
      </c>
      <c r="AY514" s="79">
        <f t="shared" si="162"/>
        <v>313673455.1875</v>
      </c>
      <c r="AZ514" s="25">
        <v>1</v>
      </c>
      <c r="BA514" s="62" t="s">
        <v>97</v>
      </c>
      <c r="BB514" s="66">
        <v>1</v>
      </c>
      <c r="BC514" s="19"/>
      <c r="BD514" s="19"/>
      <c r="BE514" s="67">
        <f t="shared" si="151"/>
        <v>12215926.010416666</v>
      </c>
      <c r="BF514" s="67">
        <f t="shared" si="156"/>
        <v>0</v>
      </c>
      <c r="BG514" s="67">
        <f t="shared" si="163"/>
        <v>0</v>
      </c>
      <c r="BH514" s="19"/>
      <c r="BI514" s="68" t="s">
        <v>57</v>
      </c>
      <c r="BJ514" s="68" t="s">
        <v>121</v>
      </c>
      <c r="BK514" s="68" t="s">
        <v>1538</v>
      </c>
      <c r="BO514" s="35" t="s">
        <v>1800</v>
      </c>
      <c r="BP514" s="1" t="s">
        <v>1817</v>
      </c>
    </row>
    <row r="515" spans="3:68" ht="15" customHeight="1">
      <c r="C515" s="1" t="str">
        <f t="shared" si="158"/>
        <v>3007</v>
      </c>
      <c r="D515" s="1" t="str">
        <f t="shared" si="159"/>
        <v>2207</v>
      </c>
      <c r="E515" s="19" t="s">
        <v>1527</v>
      </c>
      <c r="F515" s="62" t="s">
        <v>1896</v>
      </c>
      <c r="G515" s="62">
        <v>2112</v>
      </c>
      <c r="H515" s="19" t="s">
        <v>1546</v>
      </c>
      <c r="I515" s="19" t="s">
        <v>1547</v>
      </c>
      <c r="J515" s="86">
        <v>1</v>
      </c>
      <c r="K515" s="19" t="s">
        <v>619</v>
      </c>
      <c r="L515" s="62" t="s">
        <v>77</v>
      </c>
      <c r="M515" s="19" t="s">
        <v>1543</v>
      </c>
      <c r="N515" s="141">
        <v>44739</v>
      </c>
      <c r="O515" s="24">
        <v>59900</v>
      </c>
      <c r="P515" s="24">
        <v>23440</v>
      </c>
      <c r="Q515" s="64">
        <v>1404056000</v>
      </c>
      <c r="R515" s="19"/>
      <c r="S515" s="19"/>
      <c r="T515" s="25">
        <v>10777050.526700137</v>
      </c>
      <c r="U515" s="19" t="s">
        <v>1545</v>
      </c>
      <c r="V515" s="121">
        <v>1414833051</v>
      </c>
      <c r="W515" s="19"/>
      <c r="X515" s="64">
        <v>1414833051</v>
      </c>
      <c r="Y515" s="19"/>
      <c r="Z515" s="19"/>
      <c r="AA515" s="128"/>
      <c r="AB515" s="19"/>
      <c r="AC515" s="64">
        <v>1414833051</v>
      </c>
      <c r="AD515" s="63">
        <v>44757</v>
      </c>
      <c r="AE515" s="65">
        <v>47678</v>
      </c>
      <c r="AF515" s="19">
        <v>8</v>
      </c>
      <c r="AG515" s="19">
        <v>96</v>
      </c>
      <c r="AH515" s="25">
        <v>14737844.28125</v>
      </c>
      <c r="AI515" s="78">
        <v>258625393.8125</v>
      </c>
      <c r="AJ515" s="92">
        <v>1156207657.1875</v>
      </c>
      <c r="AK515" s="27">
        <f t="shared" si="160"/>
        <v>14737844.28125</v>
      </c>
      <c r="AL515" s="27">
        <f t="shared" si="150"/>
        <v>14737844.28125</v>
      </c>
      <c r="AM515" s="27">
        <f t="shared" si="150"/>
        <v>14737844.28125</v>
      </c>
      <c r="AN515" s="27">
        <f t="shared" si="152"/>
        <v>14737844.28125</v>
      </c>
      <c r="AO515" s="27">
        <f t="shared" si="153"/>
        <v>14737844.28125</v>
      </c>
      <c r="AP515" s="27">
        <f t="shared" si="153"/>
        <v>14737844.28125</v>
      </c>
      <c r="AQ515" s="27">
        <f t="shared" si="154"/>
        <v>14737844.28125</v>
      </c>
      <c r="AR515" s="27">
        <f t="shared" si="155"/>
        <v>14737844.28125</v>
      </c>
      <c r="AS515" s="27"/>
      <c r="AT515" s="27"/>
      <c r="AU515" s="27"/>
      <c r="AV515" s="27"/>
      <c r="AW515" s="27">
        <f t="shared" si="157"/>
        <v>117902754.25</v>
      </c>
      <c r="AX515" s="79">
        <f t="shared" si="161"/>
        <v>1038304902.9375</v>
      </c>
      <c r="AY515" s="79">
        <f t="shared" si="162"/>
        <v>376528148.0625</v>
      </c>
      <c r="AZ515" s="25">
        <v>1</v>
      </c>
      <c r="BA515" s="62" t="s">
        <v>97</v>
      </c>
      <c r="BB515" s="66">
        <v>1</v>
      </c>
      <c r="BC515" s="19"/>
      <c r="BD515" s="19"/>
      <c r="BE515" s="67">
        <f t="shared" si="151"/>
        <v>14737844.28125</v>
      </c>
      <c r="BF515" s="67">
        <f t="shared" si="156"/>
        <v>0</v>
      </c>
      <c r="BG515" s="67">
        <f t="shared" si="163"/>
        <v>0</v>
      </c>
      <c r="BH515" s="19"/>
      <c r="BI515" s="68" t="s">
        <v>871</v>
      </c>
      <c r="BJ515" s="68" t="s">
        <v>1981</v>
      </c>
      <c r="BK515" s="68" t="s">
        <v>1989</v>
      </c>
      <c r="BO515" s="35" t="s">
        <v>1805</v>
      </c>
    </row>
    <row r="516" spans="3:68" ht="15" customHeight="1">
      <c r="C516" s="1" t="str">
        <f t="shared" si="158"/>
        <v>3208</v>
      </c>
      <c r="D516" s="1" t="str">
        <f t="shared" si="159"/>
        <v>2208</v>
      </c>
      <c r="E516" s="19" t="s">
        <v>1550</v>
      </c>
      <c r="F516" s="68" t="s">
        <v>49</v>
      </c>
      <c r="G516" s="62">
        <v>2112</v>
      </c>
      <c r="H516" s="19" t="s">
        <v>1551</v>
      </c>
      <c r="I516" s="19" t="s">
        <v>1534</v>
      </c>
      <c r="J516" s="86">
        <v>1</v>
      </c>
      <c r="K516" s="19" t="s">
        <v>619</v>
      </c>
      <c r="L516" s="62" t="s">
        <v>77</v>
      </c>
      <c r="M516" s="142" t="s">
        <v>1552</v>
      </c>
      <c r="N516" s="143">
        <v>44739</v>
      </c>
      <c r="O516" s="70">
        <v>188560</v>
      </c>
      <c r="P516" s="70">
        <v>23440</v>
      </c>
      <c r="Q516" s="144">
        <v>4419846400</v>
      </c>
      <c r="R516" s="19"/>
      <c r="S516" s="19"/>
      <c r="T516" s="25">
        <v>14899136.68</v>
      </c>
      <c r="U516" s="144">
        <v>1.1778040005181399E+34</v>
      </c>
      <c r="V516" s="121">
        <v>4434745537</v>
      </c>
      <c r="W516" s="19"/>
      <c r="X516" s="64">
        <v>4434745537</v>
      </c>
      <c r="Y516" s="19"/>
      <c r="Z516" s="19"/>
      <c r="AA516" s="128"/>
      <c r="AB516" s="19"/>
      <c r="AC516" s="64">
        <v>4434745537</v>
      </c>
      <c r="AD516" s="63">
        <v>44779</v>
      </c>
      <c r="AE516" s="65">
        <v>48431</v>
      </c>
      <c r="AF516" s="19">
        <v>10</v>
      </c>
      <c r="AG516" s="19">
        <v>120</v>
      </c>
      <c r="AH516" s="25">
        <v>36956212.80833333</v>
      </c>
      <c r="AI516" s="78">
        <v>622294939.08333337</v>
      </c>
      <c r="AJ516" s="92">
        <v>3812450597.9166665</v>
      </c>
      <c r="AK516" s="27">
        <f t="shared" si="160"/>
        <v>36956212.80833333</v>
      </c>
      <c r="AL516" s="27">
        <f t="shared" ref="AL516:AM579" si="164">+IF(AND(AL$3&gt;=$D516,AL$3&lt;$C516),$AH516,$AJ516-SUM(AJ516:AK516))</f>
        <v>36956212.80833333</v>
      </c>
      <c r="AM516" s="27">
        <f t="shared" si="164"/>
        <v>36956212.80833333</v>
      </c>
      <c r="AN516" s="27">
        <f t="shared" si="152"/>
        <v>36956212.80833333</v>
      </c>
      <c r="AO516" s="27">
        <f t="shared" si="153"/>
        <v>36956212.80833333</v>
      </c>
      <c r="AP516" s="27">
        <f t="shared" si="153"/>
        <v>36956212.80833333</v>
      </c>
      <c r="AQ516" s="27">
        <f t="shared" si="154"/>
        <v>36956212.80833333</v>
      </c>
      <c r="AR516" s="27">
        <f t="shared" si="155"/>
        <v>36956212.80833333</v>
      </c>
      <c r="AS516" s="27"/>
      <c r="AT516" s="27"/>
      <c r="AU516" s="27"/>
      <c r="AV516" s="27"/>
      <c r="AW516" s="27">
        <f t="shared" si="157"/>
        <v>295649702.46666664</v>
      </c>
      <c r="AX516" s="79">
        <f t="shared" si="161"/>
        <v>3516800895.4499998</v>
      </c>
      <c r="AY516" s="79">
        <f t="shared" si="162"/>
        <v>917944641.54999995</v>
      </c>
      <c r="AZ516" s="25">
        <v>1</v>
      </c>
      <c r="BA516" s="62" t="s">
        <v>97</v>
      </c>
      <c r="BB516" s="66">
        <v>1</v>
      </c>
      <c r="BC516" s="19"/>
      <c r="BD516" s="19"/>
      <c r="BE516" s="67">
        <f t="shared" si="151"/>
        <v>36956212.80833333</v>
      </c>
      <c r="BF516" s="67">
        <f t="shared" si="156"/>
        <v>0</v>
      </c>
      <c r="BG516" s="67">
        <f t="shared" si="163"/>
        <v>0</v>
      </c>
      <c r="BH516" s="19"/>
      <c r="BI516" s="68" t="s">
        <v>57</v>
      </c>
      <c r="BJ516" s="68" t="s">
        <v>85</v>
      </c>
      <c r="BK516" s="68" t="s">
        <v>1553</v>
      </c>
      <c r="BO516" s="35" t="s">
        <v>1800</v>
      </c>
      <c r="BP516" s="1" t="s">
        <v>1817</v>
      </c>
    </row>
    <row r="517" spans="3:68" ht="15" customHeight="1">
      <c r="C517" s="1" t="str">
        <f t="shared" si="158"/>
        <v>3007</v>
      </c>
      <c r="D517" s="1" t="str">
        <f t="shared" si="159"/>
        <v>2208</v>
      </c>
      <c r="E517" s="19" t="s">
        <v>1550</v>
      </c>
      <c r="F517" s="68" t="s">
        <v>49</v>
      </c>
      <c r="G517" s="62">
        <v>2112</v>
      </c>
      <c r="H517" s="19" t="s">
        <v>1554</v>
      </c>
      <c r="I517" s="19" t="s">
        <v>1555</v>
      </c>
      <c r="J517" s="86">
        <v>1</v>
      </c>
      <c r="K517" s="19" t="s">
        <v>619</v>
      </c>
      <c r="L517" s="62" t="s">
        <v>77</v>
      </c>
      <c r="M517" s="142" t="s">
        <v>1552</v>
      </c>
      <c r="N517" s="143">
        <v>44739</v>
      </c>
      <c r="O517" s="70">
        <v>64400</v>
      </c>
      <c r="P517" s="70">
        <v>23440</v>
      </c>
      <c r="Q517" s="144">
        <v>1509536000</v>
      </c>
      <c r="R517" s="19"/>
      <c r="S517" s="19"/>
      <c r="T517" s="25">
        <v>5088589.32</v>
      </c>
      <c r="U517" s="144">
        <v>1.1778040005181399E+34</v>
      </c>
      <c r="V517" s="121">
        <v>1514624589</v>
      </c>
      <c r="W517" s="19"/>
      <c r="X517" s="64">
        <v>1514624589</v>
      </c>
      <c r="Y517" s="19"/>
      <c r="Z517" s="19"/>
      <c r="AA517" s="128"/>
      <c r="AB517" s="19"/>
      <c r="AC517" s="64">
        <v>1514624589</v>
      </c>
      <c r="AD517" s="63">
        <v>44774</v>
      </c>
      <c r="AE517" s="65">
        <v>47695</v>
      </c>
      <c r="AF517" s="19">
        <v>8</v>
      </c>
      <c r="AG517" s="19">
        <v>96</v>
      </c>
      <c r="AH517" s="25">
        <v>15777339.46875</v>
      </c>
      <c r="AI517" s="78">
        <v>268214767.6875</v>
      </c>
      <c r="AJ517" s="92">
        <v>1246409821.3125</v>
      </c>
      <c r="AK517" s="27">
        <f t="shared" si="160"/>
        <v>15777339.46875</v>
      </c>
      <c r="AL517" s="27">
        <f t="shared" si="164"/>
        <v>15777339.46875</v>
      </c>
      <c r="AM517" s="27">
        <f t="shared" si="164"/>
        <v>15777339.46875</v>
      </c>
      <c r="AN517" s="27">
        <f t="shared" si="152"/>
        <v>15777339.46875</v>
      </c>
      <c r="AO517" s="27">
        <f t="shared" si="153"/>
        <v>15777339.46875</v>
      </c>
      <c r="AP517" s="27">
        <f t="shared" si="153"/>
        <v>15777339.46875</v>
      </c>
      <c r="AQ517" s="27">
        <f t="shared" si="154"/>
        <v>15777339.46875</v>
      </c>
      <c r="AR517" s="27">
        <f t="shared" si="155"/>
        <v>15777339.46875</v>
      </c>
      <c r="AS517" s="27"/>
      <c r="AT517" s="27"/>
      <c r="AU517" s="27"/>
      <c r="AV517" s="27"/>
      <c r="AW517" s="27">
        <f t="shared" si="157"/>
        <v>126218715.75</v>
      </c>
      <c r="AX517" s="79">
        <f t="shared" si="161"/>
        <v>1120191105.5625</v>
      </c>
      <c r="AY517" s="79">
        <f t="shared" si="162"/>
        <v>394433483.4375</v>
      </c>
      <c r="AZ517" s="25">
        <v>1</v>
      </c>
      <c r="BA517" s="62" t="s">
        <v>97</v>
      </c>
      <c r="BB517" s="66">
        <v>1</v>
      </c>
      <c r="BC517" s="19"/>
      <c r="BD517" s="19"/>
      <c r="BE517" s="67">
        <f t="shared" si="151"/>
        <v>15777339.46875</v>
      </c>
      <c r="BF517" s="67">
        <f t="shared" si="156"/>
        <v>0</v>
      </c>
      <c r="BG517" s="67">
        <f t="shared" si="163"/>
        <v>0</v>
      </c>
      <c r="BH517" s="19"/>
      <c r="BI517" s="68" t="s">
        <v>57</v>
      </c>
      <c r="BJ517" s="68" t="s">
        <v>81</v>
      </c>
      <c r="BK517" s="68" t="s">
        <v>1553</v>
      </c>
      <c r="BO517" s="35" t="s">
        <v>1800</v>
      </c>
      <c r="BP517" s="1" t="s">
        <v>1817</v>
      </c>
    </row>
    <row r="518" spans="3:68" ht="15" customHeight="1">
      <c r="C518" s="1" t="str">
        <f t="shared" si="158"/>
        <v>3208</v>
      </c>
      <c r="D518" s="1" t="str">
        <f t="shared" si="159"/>
        <v>2208</v>
      </c>
      <c r="E518" s="19" t="s">
        <v>1550</v>
      </c>
      <c r="F518" s="68" t="s">
        <v>49</v>
      </c>
      <c r="G518" s="62">
        <v>2112</v>
      </c>
      <c r="H518" s="19" t="s">
        <v>1556</v>
      </c>
      <c r="I518" s="19" t="s">
        <v>1557</v>
      </c>
      <c r="J518" s="86">
        <v>1</v>
      </c>
      <c r="K518" s="19" t="s">
        <v>619</v>
      </c>
      <c r="L518" s="19" t="s">
        <v>858</v>
      </c>
      <c r="M518" s="145">
        <v>104827852840</v>
      </c>
      <c r="N518" s="143">
        <v>44747</v>
      </c>
      <c r="O518" s="70">
        <v>26500</v>
      </c>
      <c r="P518" s="70">
        <v>23505</v>
      </c>
      <c r="Q518" s="144">
        <v>622882500</v>
      </c>
      <c r="R518" s="19"/>
      <c r="S518" s="19"/>
      <c r="T518" s="25">
        <v>13260643.5</v>
      </c>
      <c r="U518" s="144">
        <v>1.18513614638E+35</v>
      </c>
      <c r="V518" s="121">
        <v>636143144</v>
      </c>
      <c r="W518" s="19"/>
      <c r="X518" s="64">
        <v>636143144</v>
      </c>
      <c r="Y518" s="19"/>
      <c r="Z518" s="19"/>
      <c r="AA518" s="128"/>
      <c r="AB518" s="19"/>
      <c r="AC518" s="64">
        <v>636143144</v>
      </c>
      <c r="AD518" s="63">
        <v>44781</v>
      </c>
      <c r="AE518" s="65">
        <v>48433</v>
      </c>
      <c r="AF518" s="62">
        <v>10</v>
      </c>
      <c r="AG518" s="19">
        <v>120</v>
      </c>
      <c r="AH518" s="25">
        <v>5301192.8666666662</v>
      </c>
      <c r="AI518" s="78">
        <v>88923235.666666672</v>
      </c>
      <c r="AJ518" s="92">
        <v>547219908.33333337</v>
      </c>
      <c r="AK518" s="27">
        <f t="shared" si="160"/>
        <v>5301192.8666666662</v>
      </c>
      <c r="AL518" s="27">
        <f t="shared" si="164"/>
        <v>5301192.8666666662</v>
      </c>
      <c r="AM518" s="27">
        <f t="shared" si="164"/>
        <v>5301192.8666666662</v>
      </c>
      <c r="AN518" s="27">
        <f t="shared" si="152"/>
        <v>5301192.8666666662</v>
      </c>
      <c r="AO518" s="27">
        <f t="shared" si="153"/>
        <v>5301192.8666666662</v>
      </c>
      <c r="AP518" s="27">
        <f t="shared" si="153"/>
        <v>5301192.8666666662</v>
      </c>
      <c r="AQ518" s="27">
        <f t="shared" si="154"/>
        <v>5301192.8666666662</v>
      </c>
      <c r="AR518" s="27">
        <f t="shared" si="155"/>
        <v>5301192.8666666662</v>
      </c>
      <c r="AS518" s="27"/>
      <c r="AT518" s="27"/>
      <c r="AU518" s="27"/>
      <c r="AV518" s="27"/>
      <c r="AW518" s="27">
        <f t="shared" si="157"/>
        <v>42409542.93333333</v>
      </c>
      <c r="AX518" s="79">
        <f t="shared" si="161"/>
        <v>504810365.40000004</v>
      </c>
      <c r="AY518" s="79">
        <f t="shared" si="162"/>
        <v>131332778.59999999</v>
      </c>
      <c r="AZ518" s="25">
        <v>1</v>
      </c>
      <c r="BA518" s="62" t="s">
        <v>97</v>
      </c>
      <c r="BB518" s="66">
        <v>1</v>
      </c>
      <c r="BC518" s="19"/>
      <c r="BD518" s="19"/>
      <c r="BE518" s="67">
        <f t="shared" si="151"/>
        <v>5301192.8666666662</v>
      </c>
      <c r="BF518" s="67">
        <f t="shared" si="156"/>
        <v>0</v>
      </c>
      <c r="BG518" s="67">
        <f t="shared" si="163"/>
        <v>0</v>
      </c>
      <c r="BH518" s="19"/>
      <c r="BI518" s="68" t="s">
        <v>57</v>
      </c>
      <c r="BJ518" s="68" t="s">
        <v>58</v>
      </c>
      <c r="BK518" s="68" t="s">
        <v>1558</v>
      </c>
      <c r="BO518" s="35" t="s">
        <v>1800</v>
      </c>
    </row>
    <row r="519" spans="3:68" ht="15" customHeight="1">
      <c r="C519" s="1" t="str">
        <f t="shared" si="158"/>
        <v>3208</v>
      </c>
      <c r="D519" s="1" t="str">
        <f t="shared" si="159"/>
        <v>2208</v>
      </c>
      <c r="E519" s="19" t="s">
        <v>1550</v>
      </c>
      <c r="F519" s="68" t="s">
        <v>49</v>
      </c>
      <c r="G519" s="62">
        <v>2112</v>
      </c>
      <c r="H519" s="19" t="s">
        <v>1559</v>
      </c>
      <c r="I519" s="19" t="s">
        <v>1560</v>
      </c>
      <c r="J519" s="86">
        <v>1</v>
      </c>
      <c r="K519" s="19" t="s">
        <v>619</v>
      </c>
      <c r="L519" s="19" t="s">
        <v>858</v>
      </c>
      <c r="M519" s="145">
        <v>104827852840</v>
      </c>
      <c r="N519" s="143">
        <v>44747</v>
      </c>
      <c r="O519" s="70">
        <v>26500</v>
      </c>
      <c r="P519" s="70">
        <v>23505</v>
      </c>
      <c r="Q519" s="144">
        <v>622882500</v>
      </c>
      <c r="R519" s="19"/>
      <c r="S519" s="19"/>
      <c r="T519" s="25">
        <v>13260643.5</v>
      </c>
      <c r="U519" s="144">
        <v>1.18513614638E+35</v>
      </c>
      <c r="V519" s="121">
        <v>636143144</v>
      </c>
      <c r="W519" s="19"/>
      <c r="X519" s="64">
        <v>636143144</v>
      </c>
      <c r="Y519" s="19"/>
      <c r="Z519" s="19"/>
      <c r="AA519" s="128"/>
      <c r="AB519" s="19"/>
      <c r="AC519" s="64">
        <v>636143144</v>
      </c>
      <c r="AD519" s="63">
        <v>44781</v>
      </c>
      <c r="AE519" s="65">
        <v>48433</v>
      </c>
      <c r="AF519" s="62">
        <v>10</v>
      </c>
      <c r="AG519" s="19">
        <v>120</v>
      </c>
      <c r="AH519" s="25">
        <v>5301192.8666666662</v>
      </c>
      <c r="AI519" s="78">
        <v>88923235.666666672</v>
      </c>
      <c r="AJ519" s="92">
        <v>547219908.33333337</v>
      </c>
      <c r="AK519" s="27">
        <f t="shared" si="160"/>
        <v>5301192.8666666662</v>
      </c>
      <c r="AL519" s="27">
        <f t="shared" si="164"/>
        <v>5301192.8666666662</v>
      </c>
      <c r="AM519" s="27">
        <f t="shared" si="164"/>
        <v>5301192.8666666662</v>
      </c>
      <c r="AN519" s="27">
        <f t="shared" si="152"/>
        <v>5301192.8666666662</v>
      </c>
      <c r="AO519" s="27">
        <f t="shared" si="153"/>
        <v>5301192.8666666662</v>
      </c>
      <c r="AP519" s="27">
        <f t="shared" si="153"/>
        <v>5301192.8666666662</v>
      </c>
      <c r="AQ519" s="27">
        <f t="shared" si="154"/>
        <v>5301192.8666666662</v>
      </c>
      <c r="AR519" s="27">
        <f t="shared" si="155"/>
        <v>5301192.8666666662</v>
      </c>
      <c r="AS519" s="27"/>
      <c r="AT519" s="27"/>
      <c r="AU519" s="27"/>
      <c r="AV519" s="27"/>
      <c r="AW519" s="27">
        <f t="shared" si="157"/>
        <v>42409542.93333333</v>
      </c>
      <c r="AX519" s="79">
        <f t="shared" si="161"/>
        <v>504810365.40000004</v>
      </c>
      <c r="AY519" s="79">
        <f t="shared" si="162"/>
        <v>131332778.59999999</v>
      </c>
      <c r="AZ519" s="25">
        <v>1</v>
      </c>
      <c r="BA519" s="62" t="s">
        <v>97</v>
      </c>
      <c r="BB519" s="66">
        <v>1</v>
      </c>
      <c r="BC519" s="19"/>
      <c r="BD519" s="19"/>
      <c r="BE519" s="67">
        <f t="shared" si="151"/>
        <v>5301192.8666666662</v>
      </c>
      <c r="BF519" s="67">
        <f t="shared" si="156"/>
        <v>0</v>
      </c>
      <c r="BG519" s="67">
        <f t="shared" si="163"/>
        <v>0</v>
      </c>
      <c r="BH519" s="19"/>
      <c r="BI519" s="68" t="s">
        <v>57</v>
      </c>
      <c r="BJ519" s="68" t="s">
        <v>58</v>
      </c>
      <c r="BK519" s="68" t="s">
        <v>1558</v>
      </c>
      <c r="BO519" s="35" t="s">
        <v>1800</v>
      </c>
    </row>
    <row r="520" spans="3:68" ht="15" customHeight="1">
      <c r="C520" s="1" t="str">
        <f t="shared" si="158"/>
        <v>3208</v>
      </c>
      <c r="D520" s="1" t="str">
        <f t="shared" si="159"/>
        <v>2208</v>
      </c>
      <c r="E520" s="19" t="s">
        <v>1550</v>
      </c>
      <c r="F520" s="68" t="s">
        <v>49</v>
      </c>
      <c r="G520" s="62">
        <v>2112</v>
      </c>
      <c r="H520" s="19" t="s">
        <v>1561</v>
      </c>
      <c r="I520" s="19" t="s">
        <v>1562</v>
      </c>
      <c r="J520" s="86">
        <v>1</v>
      </c>
      <c r="K520" s="19" t="s">
        <v>619</v>
      </c>
      <c r="L520" s="19" t="s">
        <v>608</v>
      </c>
      <c r="M520" s="145">
        <v>104830963860</v>
      </c>
      <c r="N520" s="143">
        <v>44714</v>
      </c>
      <c r="O520" s="70">
        <v>207090</v>
      </c>
      <c r="P520" s="70">
        <v>23295.905595730572</v>
      </c>
      <c r="Q520" s="144">
        <v>4824349090</v>
      </c>
      <c r="R520" s="19"/>
      <c r="S520" s="19"/>
      <c r="T520" s="25">
        <v>310300257.36199999</v>
      </c>
      <c r="U520" s="144">
        <v>1.20635000027582E+58</v>
      </c>
      <c r="V520" s="121">
        <v>5134649347.3619995</v>
      </c>
      <c r="W520" s="19"/>
      <c r="X520" s="64">
        <v>5134649347.3619995</v>
      </c>
      <c r="Y520" s="19"/>
      <c r="Z520" s="19"/>
      <c r="AA520" s="128"/>
      <c r="AB520" s="19"/>
      <c r="AC520" s="64">
        <v>5134649347.3619995</v>
      </c>
      <c r="AD520" s="63">
        <v>44781</v>
      </c>
      <c r="AE520" s="65">
        <v>48433</v>
      </c>
      <c r="AF520" s="62">
        <v>10</v>
      </c>
      <c r="AG520" s="19">
        <v>120</v>
      </c>
      <c r="AH520" s="25">
        <v>42788744.561349995</v>
      </c>
      <c r="AI520" s="78">
        <v>717746683.84188056</v>
      </c>
      <c r="AJ520" s="92">
        <v>4416902663.5201197</v>
      </c>
      <c r="AK520" s="27">
        <f t="shared" si="160"/>
        <v>42788744.561349995</v>
      </c>
      <c r="AL520" s="27">
        <f t="shared" si="164"/>
        <v>42788744.561349995</v>
      </c>
      <c r="AM520" s="27">
        <f t="shared" si="164"/>
        <v>42788744.561349995</v>
      </c>
      <c r="AN520" s="27">
        <f t="shared" si="152"/>
        <v>42788744.561349995</v>
      </c>
      <c r="AO520" s="27">
        <f t="shared" si="153"/>
        <v>42788744.561349995</v>
      </c>
      <c r="AP520" s="27">
        <f t="shared" si="153"/>
        <v>42788744.561349995</v>
      </c>
      <c r="AQ520" s="27">
        <f t="shared" si="154"/>
        <v>42788744.561349995</v>
      </c>
      <c r="AR520" s="27">
        <f t="shared" si="155"/>
        <v>42788744.561349995</v>
      </c>
      <c r="AS520" s="27"/>
      <c r="AT520" s="27"/>
      <c r="AU520" s="27"/>
      <c r="AV520" s="27"/>
      <c r="AW520" s="27">
        <f t="shared" si="157"/>
        <v>342309956.49079996</v>
      </c>
      <c r="AX520" s="79">
        <f t="shared" si="161"/>
        <v>4074592707.0293188</v>
      </c>
      <c r="AY520" s="79">
        <f t="shared" si="162"/>
        <v>1060056640.3326805</v>
      </c>
      <c r="AZ520" s="25">
        <v>1</v>
      </c>
      <c r="BA520" s="62" t="s">
        <v>97</v>
      </c>
      <c r="BB520" s="66">
        <v>1</v>
      </c>
      <c r="BC520" s="19"/>
      <c r="BD520" s="19"/>
      <c r="BE520" s="67">
        <f t="shared" si="151"/>
        <v>42788744.561349995</v>
      </c>
      <c r="BF520" s="67">
        <f t="shared" si="156"/>
        <v>0</v>
      </c>
      <c r="BG520" s="67">
        <f t="shared" si="163"/>
        <v>0</v>
      </c>
      <c r="BH520" s="19"/>
      <c r="BI520" s="68" t="s">
        <v>57</v>
      </c>
      <c r="BJ520" s="68" t="s">
        <v>58</v>
      </c>
      <c r="BK520" s="68" t="s">
        <v>1563</v>
      </c>
      <c r="BO520" s="35" t="s">
        <v>1804</v>
      </c>
    </row>
    <row r="521" spans="3:68" ht="15" customHeight="1">
      <c r="C521" s="1" t="str">
        <f t="shared" si="158"/>
        <v>3208</v>
      </c>
      <c r="D521" s="1" t="str">
        <f t="shared" si="159"/>
        <v>2208</v>
      </c>
      <c r="E521" s="19" t="s">
        <v>1550</v>
      </c>
      <c r="F521" s="68" t="s">
        <v>49</v>
      </c>
      <c r="G521" s="62">
        <v>2112</v>
      </c>
      <c r="H521" s="19" t="s">
        <v>1564</v>
      </c>
      <c r="I521" s="19" t="s">
        <v>1565</v>
      </c>
      <c r="J521" s="86">
        <v>1</v>
      </c>
      <c r="K521" s="19" t="s">
        <v>619</v>
      </c>
      <c r="L521" s="19" t="s">
        <v>608</v>
      </c>
      <c r="M521" s="145">
        <v>104830963860</v>
      </c>
      <c r="N521" s="143">
        <v>44714</v>
      </c>
      <c r="O521" s="70">
        <v>109580</v>
      </c>
      <c r="P521" s="70">
        <v>23295.905595730572</v>
      </c>
      <c r="Q521" s="144">
        <v>2552765335</v>
      </c>
      <c r="R521" s="19"/>
      <c r="S521" s="19"/>
      <c r="T521" s="25">
        <v>164192873.63800001</v>
      </c>
      <c r="U521" s="144">
        <v>1.20635000027582E+58</v>
      </c>
      <c r="V521" s="121">
        <v>2716958208.638</v>
      </c>
      <c r="W521" s="19"/>
      <c r="X521" s="64">
        <v>2716958208.638</v>
      </c>
      <c r="Y521" s="19"/>
      <c r="Z521" s="19"/>
      <c r="AA521" s="128"/>
      <c r="AB521" s="19"/>
      <c r="AC521" s="64">
        <v>2716958208.638</v>
      </c>
      <c r="AD521" s="63">
        <v>44786</v>
      </c>
      <c r="AE521" s="65">
        <v>48438</v>
      </c>
      <c r="AF521" s="62">
        <v>10</v>
      </c>
      <c r="AG521" s="19">
        <v>120</v>
      </c>
      <c r="AH521" s="25">
        <v>22641318.405316666</v>
      </c>
      <c r="AI521" s="78">
        <v>376138030.76156282</v>
      </c>
      <c r="AJ521" s="92">
        <v>2340820177.8764372</v>
      </c>
      <c r="AK521" s="27">
        <f t="shared" si="160"/>
        <v>22641318.405316666</v>
      </c>
      <c r="AL521" s="27">
        <f t="shared" si="164"/>
        <v>22641318.405316666</v>
      </c>
      <c r="AM521" s="27">
        <f t="shared" si="164"/>
        <v>22641318.405316666</v>
      </c>
      <c r="AN521" s="27">
        <f t="shared" si="152"/>
        <v>22641318.405316666</v>
      </c>
      <c r="AO521" s="27">
        <f t="shared" si="153"/>
        <v>22641318.405316666</v>
      </c>
      <c r="AP521" s="27">
        <f t="shared" si="153"/>
        <v>22641318.405316666</v>
      </c>
      <c r="AQ521" s="27">
        <f t="shared" si="154"/>
        <v>22641318.405316666</v>
      </c>
      <c r="AR521" s="27">
        <f t="shared" si="155"/>
        <v>22641318.405316666</v>
      </c>
      <c r="AS521" s="27"/>
      <c r="AT521" s="27"/>
      <c r="AU521" s="27"/>
      <c r="AV521" s="27"/>
      <c r="AW521" s="27">
        <f t="shared" si="157"/>
        <v>181130547.24253333</v>
      </c>
      <c r="AX521" s="79">
        <f t="shared" si="161"/>
        <v>2159689630.633904</v>
      </c>
      <c r="AY521" s="79">
        <f t="shared" si="162"/>
        <v>557268578.00409615</v>
      </c>
      <c r="AZ521" s="25">
        <v>1</v>
      </c>
      <c r="BA521" s="62" t="s">
        <v>97</v>
      </c>
      <c r="BB521" s="66">
        <v>1</v>
      </c>
      <c r="BC521" s="19"/>
      <c r="BD521" s="19"/>
      <c r="BE521" s="67">
        <f t="shared" si="151"/>
        <v>22641318.405316666</v>
      </c>
      <c r="BF521" s="67">
        <f t="shared" si="156"/>
        <v>0</v>
      </c>
      <c r="BG521" s="67">
        <f t="shared" si="163"/>
        <v>0</v>
      </c>
      <c r="BH521" s="19"/>
      <c r="BI521" s="68" t="s">
        <v>57</v>
      </c>
      <c r="BJ521" s="68" t="s">
        <v>58</v>
      </c>
      <c r="BK521" s="68" t="s">
        <v>1563</v>
      </c>
      <c r="BO521" s="35" t="s">
        <v>1804</v>
      </c>
    </row>
    <row r="522" spans="3:68" ht="15" customHeight="1">
      <c r="C522" s="1" t="str">
        <f t="shared" si="158"/>
        <v>3008</v>
      </c>
      <c r="D522" s="1" t="str">
        <f t="shared" si="159"/>
        <v>2208</v>
      </c>
      <c r="E522" s="19" t="s">
        <v>1550</v>
      </c>
      <c r="F522" s="68" t="s">
        <v>49</v>
      </c>
      <c r="G522" s="62">
        <v>2112</v>
      </c>
      <c r="H522" s="19" t="s">
        <v>1566</v>
      </c>
      <c r="I522" s="19" t="s">
        <v>1567</v>
      </c>
      <c r="J522" s="86">
        <v>1</v>
      </c>
      <c r="K522" s="19" t="s">
        <v>619</v>
      </c>
      <c r="L522" s="19" t="s">
        <v>980</v>
      </c>
      <c r="M522" s="145">
        <v>104858647611</v>
      </c>
      <c r="N522" s="143">
        <v>44753</v>
      </c>
      <c r="O522" s="70">
        <v>8310</v>
      </c>
      <c r="P522" s="70">
        <v>23580</v>
      </c>
      <c r="Q522" s="144">
        <v>195949800</v>
      </c>
      <c r="R522" s="19"/>
      <c r="S522" s="19"/>
      <c r="T522" s="25">
        <v>3417955.952</v>
      </c>
      <c r="U522" s="144">
        <v>3.0750000219599999E+19</v>
      </c>
      <c r="V522" s="121">
        <v>199367756</v>
      </c>
      <c r="W522" s="19"/>
      <c r="X522" s="64">
        <v>199367756</v>
      </c>
      <c r="Y522" s="19"/>
      <c r="Z522" s="19"/>
      <c r="AA522" s="128"/>
      <c r="AB522" s="19"/>
      <c r="AC522" s="64">
        <v>199367756</v>
      </c>
      <c r="AD522" s="63">
        <v>44776</v>
      </c>
      <c r="AE522" s="65">
        <v>47697</v>
      </c>
      <c r="AF522" s="19">
        <v>8</v>
      </c>
      <c r="AG522" s="19">
        <v>96</v>
      </c>
      <c r="AH522" s="25">
        <v>2076747.4583333333</v>
      </c>
      <c r="AI522" s="78">
        <v>35170719.583333328</v>
      </c>
      <c r="AJ522" s="92">
        <v>164197036.41666666</v>
      </c>
      <c r="AK522" s="27">
        <f t="shared" si="160"/>
        <v>2076747.4583333333</v>
      </c>
      <c r="AL522" s="27">
        <f t="shared" si="164"/>
        <v>2076747.4583333333</v>
      </c>
      <c r="AM522" s="27">
        <f t="shared" si="164"/>
        <v>2076747.4583333333</v>
      </c>
      <c r="AN522" s="27">
        <f t="shared" si="152"/>
        <v>2076747.4583333333</v>
      </c>
      <c r="AO522" s="27">
        <f t="shared" si="153"/>
        <v>2076747.4583333333</v>
      </c>
      <c r="AP522" s="27">
        <f t="shared" si="153"/>
        <v>2076747.4583333333</v>
      </c>
      <c r="AQ522" s="27">
        <f t="shared" si="154"/>
        <v>2076747.4583333333</v>
      </c>
      <c r="AR522" s="27">
        <f t="shared" si="155"/>
        <v>2076747.4583333333</v>
      </c>
      <c r="AS522" s="27"/>
      <c r="AT522" s="27"/>
      <c r="AU522" s="27"/>
      <c r="AV522" s="27"/>
      <c r="AW522" s="27">
        <f t="shared" si="157"/>
        <v>16613979.666666668</v>
      </c>
      <c r="AX522" s="79">
        <f t="shared" si="161"/>
        <v>147583056.75000003</v>
      </c>
      <c r="AY522" s="79">
        <f t="shared" si="162"/>
        <v>51784699.25</v>
      </c>
      <c r="AZ522" s="25">
        <v>1</v>
      </c>
      <c r="BA522" s="62" t="s">
        <v>97</v>
      </c>
      <c r="BB522" s="66">
        <v>1</v>
      </c>
      <c r="BC522" s="19"/>
      <c r="BD522" s="19"/>
      <c r="BE522" s="67">
        <f t="shared" si="151"/>
        <v>2076747.4583333333</v>
      </c>
      <c r="BF522" s="67">
        <f t="shared" si="156"/>
        <v>0</v>
      </c>
      <c r="BG522" s="67">
        <f t="shared" si="163"/>
        <v>0</v>
      </c>
      <c r="BH522" s="19"/>
      <c r="BI522" s="68" t="s">
        <v>57</v>
      </c>
      <c r="BJ522" s="68" t="s">
        <v>81</v>
      </c>
      <c r="BK522" s="68" t="s">
        <v>1568</v>
      </c>
      <c r="BO522" s="35" t="s">
        <v>1800</v>
      </c>
      <c r="BP522" s="1" t="s">
        <v>1810</v>
      </c>
    </row>
    <row r="523" spans="3:68" ht="15" customHeight="1">
      <c r="C523" s="1" t="str">
        <f t="shared" si="158"/>
        <v>3008</v>
      </c>
      <c r="D523" s="1" t="str">
        <f t="shared" si="159"/>
        <v>2208</v>
      </c>
      <c r="E523" s="19" t="s">
        <v>1550</v>
      </c>
      <c r="F523" s="68" t="s">
        <v>49</v>
      </c>
      <c r="G523" s="62">
        <v>2112</v>
      </c>
      <c r="H523" s="19" t="s">
        <v>1569</v>
      </c>
      <c r="I523" s="19" t="s">
        <v>1570</v>
      </c>
      <c r="J523" s="86">
        <v>1</v>
      </c>
      <c r="K523" s="19" t="s">
        <v>619</v>
      </c>
      <c r="L523" s="19" t="s">
        <v>980</v>
      </c>
      <c r="M523" s="145">
        <v>104858647611</v>
      </c>
      <c r="N523" s="143">
        <v>44753</v>
      </c>
      <c r="O523" s="70">
        <v>6595</v>
      </c>
      <c r="P523" s="70">
        <v>23580</v>
      </c>
      <c r="Q523" s="144">
        <v>155510100</v>
      </c>
      <c r="R523" s="19"/>
      <c r="S523" s="19"/>
      <c r="T523" s="25">
        <v>2712565.5240000002</v>
      </c>
      <c r="U523" s="144">
        <v>3.0750000219599999E+19</v>
      </c>
      <c r="V523" s="121">
        <v>158222666</v>
      </c>
      <c r="W523" s="19"/>
      <c r="X523" s="64">
        <v>158222666</v>
      </c>
      <c r="Y523" s="19"/>
      <c r="Z523" s="19"/>
      <c r="AA523" s="128"/>
      <c r="AB523" s="19"/>
      <c r="AC523" s="64">
        <v>158222666</v>
      </c>
      <c r="AD523" s="63">
        <v>44776</v>
      </c>
      <c r="AE523" s="65">
        <v>47697</v>
      </c>
      <c r="AF523" s="19">
        <v>8</v>
      </c>
      <c r="AG523" s="19">
        <v>96</v>
      </c>
      <c r="AH523" s="25">
        <v>1648152.7708333333</v>
      </c>
      <c r="AI523" s="78">
        <v>27912266.708333332</v>
      </c>
      <c r="AJ523" s="92">
        <v>130310399.29166667</v>
      </c>
      <c r="AK523" s="27">
        <f t="shared" si="160"/>
        <v>1648152.7708333333</v>
      </c>
      <c r="AL523" s="27">
        <f t="shared" si="164"/>
        <v>1648152.7708333333</v>
      </c>
      <c r="AM523" s="27">
        <f t="shared" si="164"/>
        <v>1648152.7708333333</v>
      </c>
      <c r="AN523" s="27">
        <f t="shared" si="152"/>
        <v>1648152.7708333333</v>
      </c>
      <c r="AO523" s="27">
        <f t="shared" si="153"/>
        <v>1648152.7708333333</v>
      </c>
      <c r="AP523" s="27">
        <f t="shared" si="153"/>
        <v>1648152.7708333333</v>
      </c>
      <c r="AQ523" s="27">
        <f t="shared" si="154"/>
        <v>1648152.7708333333</v>
      </c>
      <c r="AR523" s="27">
        <f t="shared" si="155"/>
        <v>1648152.7708333333</v>
      </c>
      <c r="AS523" s="27"/>
      <c r="AT523" s="27"/>
      <c r="AU523" s="27"/>
      <c r="AV523" s="27"/>
      <c r="AW523" s="27">
        <f t="shared" si="157"/>
        <v>13185222.166666668</v>
      </c>
      <c r="AX523" s="79">
        <f t="shared" si="161"/>
        <v>117125177.125</v>
      </c>
      <c r="AY523" s="79">
        <f t="shared" si="162"/>
        <v>41097488.875</v>
      </c>
      <c r="AZ523" s="25">
        <v>1</v>
      </c>
      <c r="BA523" s="62" t="s">
        <v>97</v>
      </c>
      <c r="BB523" s="66">
        <v>1</v>
      </c>
      <c r="BC523" s="19"/>
      <c r="BD523" s="19"/>
      <c r="BE523" s="67">
        <f t="shared" si="151"/>
        <v>1648152.7708333333</v>
      </c>
      <c r="BF523" s="67">
        <f t="shared" si="156"/>
        <v>0</v>
      </c>
      <c r="BG523" s="67">
        <f t="shared" si="163"/>
        <v>0</v>
      </c>
      <c r="BH523" s="19"/>
      <c r="BI523" s="68" t="s">
        <v>57</v>
      </c>
      <c r="BJ523" s="68" t="s">
        <v>81</v>
      </c>
      <c r="BK523" s="68" t="s">
        <v>1571</v>
      </c>
      <c r="BO523" s="35" t="s">
        <v>1800</v>
      </c>
      <c r="BP523" s="1" t="s">
        <v>1810</v>
      </c>
    </row>
    <row r="524" spans="3:68" ht="15" customHeight="1">
      <c r="C524" s="1" t="str">
        <f t="shared" si="158"/>
        <v>3008</v>
      </c>
      <c r="D524" s="1" t="str">
        <f t="shared" si="159"/>
        <v>2208</v>
      </c>
      <c r="E524" s="19" t="s">
        <v>1550</v>
      </c>
      <c r="F524" s="68" t="s">
        <v>49</v>
      </c>
      <c r="G524" s="62">
        <v>2112</v>
      </c>
      <c r="H524" s="19" t="s">
        <v>1572</v>
      </c>
      <c r="I524" s="19" t="s">
        <v>1570</v>
      </c>
      <c r="J524" s="86">
        <v>1</v>
      </c>
      <c r="K524" s="19" t="s">
        <v>619</v>
      </c>
      <c r="L524" s="19" t="s">
        <v>980</v>
      </c>
      <c r="M524" s="145">
        <v>104858647611</v>
      </c>
      <c r="N524" s="143">
        <v>44753</v>
      </c>
      <c r="O524" s="70">
        <v>6595</v>
      </c>
      <c r="P524" s="70">
        <v>23580</v>
      </c>
      <c r="Q524" s="144">
        <v>155510100</v>
      </c>
      <c r="R524" s="19"/>
      <c r="S524" s="19"/>
      <c r="T524" s="25">
        <v>2712565.5240000002</v>
      </c>
      <c r="U524" s="144">
        <v>3.0750000219599999E+19</v>
      </c>
      <c r="V524" s="121">
        <v>158222666</v>
      </c>
      <c r="W524" s="19"/>
      <c r="X524" s="64">
        <v>158222666</v>
      </c>
      <c r="Y524" s="19"/>
      <c r="Z524" s="19"/>
      <c r="AA524" s="128"/>
      <c r="AB524" s="19"/>
      <c r="AC524" s="64">
        <v>158222666</v>
      </c>
      <c r="AD524" s="63">
        <v>44776</v>
      </c>
      <c r="AE524" s="65">
        <v>47697</v>
      </c>
      <c r="AF524" s="19">
        <v>8</v>
      </c>
      <c r="AG524" s="19">
        <v>96</v>
      </c>
      <c r="AH524" s="25">
        <v>1648152.7708333333</v>
      </c>
      <c r="AI524" s="78">
        <v>27912266.708333332</v>
      </c>
      <c r="AJ524" s="92">
        <v>130310399.29166667</v>
      </c>
      <c r="AK524" s="27">
        <f t="shared" si="160"/>
        <v>1648152.7708333333</v>
      </c>
      <c r="AL524" s="27">
        <f t="shared" si="164"/>
        <v>1648152.7708333333</v>
      </c>
      <c r="AM524" s="27">
        <f t="shared" si="164"/>
        <v>1648152.7708333333</v>
      </c>
      <c r="AN524" s="27">
        <f t="shared" si="152"/>
        <v>1648152.7708333333</v>
      </c>
      <c r="AO524" s="27">
        <f t="shared" si="153"/>
        <v>1648152.7708333333</v>
      </c>
      <c r="AP524" s="27">
        <f t="shared" si="153"/>
        <v>1648152.7708333333</v>
      </c>
      <c r="AQ524" s="27">
        <f t="shared" si="154"/>
        <v>1648152.7708333333</v>
      </c>
      <c r="AR524" s="27">
        <f t="shared" si="155"/>
        <v>1648152.7708333333</v>
      </c>
      <c r="AS524" s="27"/>
      <c r="AT524" s="27"/>
      <c r="AU524" s="27"/>
      <c r="AV524" s="27"/>
      <c r="AW524" s="27">
        <f t="shared" si="157"/>
        <v>13185222.166666668</v>
      </c>
      <c r="AX524" s="79">
        <f t="shared" si="161"/>
        <v>117125177.125</v>
      </c>
      <c r="AY524" s="79">
        <f t="shared" si="162"/>
        <v>41097488.875</v>
      </c>
      <c r="AZ524" s="25">
        <v>1</v>
      </c>
      <c r="BA524" s="62" t="s">
        <v>97</v>
      </c>
      <c r="BB524" s="66">
        <v>1</v>
      </c>
      <c r="BC524" s="19"/>
      <c r="BD524" s="19"/>
      <c r="BE524" s="67">
        <f t="shared" si="151"/>
        <v>1648152.7708333333</v>
      </c>
      <c r="BF524" s="67">
        <f t="shared" si="156"/>
        <v>0</v>
      </c>
      <c r="BG524" s="67">
        <f t="shared" si="163"/>
        <v>0</v>
      </c>
      <c r="BH524" s="19"/>
      <c r="BI524" s="68" t="s">
        <v>57</v>
      </c>
      <c r="BJ524" s="68" t="s">
        <v>81</v>
      </c>
      <c r="BK524" s="68" t="s">
        <v>1573</v>
      </c>
      <c r="BO524" s="35" t="s">
        <v>1800</v>
      </c>
      <c r="BP524" s="1" t="s">
        <v>1823</v>
      </c>
    </row>
    <row r="525" spans="3:68" ht="15" customHeight="1">
      <c r="C525" s="1" t="str">
        <f t="shared" si="158"/>
        <v>2808</v>
      </c>
      <c r="D525" s="1" t="str">
        <f t="shared" si="159"/>
        <v>2208</v>
      </c>
      <c r="E525" s="19" t="s">
        <v>1550</v>
      </c>
      <c r="F525" s="68" t="s">
        <v>49</v>
      </c>
      <c r="G525" s="62">
        <v>2114</v>
      </c>
      <c r="H525" s="19" t="s">
        <v>1574</v>
      </c>
      <c r="I525" s="19" t="s">
        <v>1575</v>
      </c>
      <c r="J525" s="86">
        <v>1</v>
      </c>
      <c r="K525" s="19" t="s">
        <v>1226</v>
      </c>
      <c r="L525" s="19" t="s">
        <v>773</v>
      </c>
      <c r="M525" s="145">
        <v>7</v>
      </c>
      <c r="N525" s="143">
        <v>44770</v>
      </c>
      <c r="O525" s="19"/>
      <c r="P525" s="19"/>
      <c r="Q525" s="144">
        <v>35000000</v>
      </c>
      <c r="R525" s="19"/>
      <c r="S525" s="19"/>
      <c r="T525" s="25"/>
      <c r="U525" s="19"/>
      <c r="V525" s="121">
        <v>35000000</v>
      </c>
      <c r="W525" s="19"/>
      <c r="X525" s="64">
        <v>35000000</v>
      </c>
      <c r="Y525" s="19"/>
      <c r="Z525" s="19"/>
      <c r="AA525" s="128"/>
      <c r="AB525" s="19"/>
      <c r="AC525" s="64">
        <v>35000000</v>
      </c>
      <c r="AD525" s="63">
        <v>44788</v>
      </c>
      <c r="AE525" s="65">
        <v>46979</v>
      </c>
      <c r="AF525" s="19">
        <v>6</v>
      </c>
      <c r="AG525" s="19">
        <v>72</v>
      </c>
      <c r="AH525" s="25">
        <v>486111.11111111112</v>
      </c>
      <c r="AI525" s="78">
        <v>8044354.1111111101</v>
      </c>
      <c r="AJ525" s="92">
        <v>26955645.888888888</v>
      </c>
      <c r="AK525" s="27">
        <f t="shared" si="160"/>
        <v>486111.11111111112</v>
      </c>
      <c r="AL525" s="27">
        <f t="shared" si="164"/>
        <v>486111.11111111112</v>
      </c>
      <c r="AM525" s="27">
        <f t="shared" si="164"/>
        <v>486111.11111111112</v>
      </c>
      <c r="AN525" s="27">
        <f t="shared" si="152"/>
        <v>486111.11111111112</v>
      </c>
      <c r="AO525" s="27">
        <f t="shared" si="153"/>
        <v>486111.11111111112</v>
      </c>
      <c r="AP525" s="27">
        <f t="shared" si="153"/>
        <v>486111.11111111112</v>
      </c>
      <c r="AQ525" s="27">
        <f t="shared" si="154"/>
        <v>486111.11111111112</v>
      </c>
      <c r="AR525" s="27">
        <f t="shared" si="155"/>
        <v>486111.11111111112</v>
      </c>
      <c r="AS525" s="27"/>
      <c r="AT525" s="27"/>
      <c r="AU525" s="27"/>
      <c r="AV525" s="27"/>
      <c r="AW525" s="27">
        <f t="shared" si="157"/>
        <v>3888888.8888888885</v>
      </c>
      <c r="AX525" s="79">
        <f t="shared" si="161"/>
        <v>23066757</v>
      </c>
      <c r="AY525" s="79">
        <f t="shared" si="162"/>
        <v>11933242.999999998</v>
      </c>
      <c r="AZ525" s="25">
        <v>1</v>
      </c>
      <c r="BA525" s="62" t="s">
        <v>79</v>
      </c>
      <c r="BB525" s="66">
        <v>1</v>
      </c>
      <c r="BC525" s="19"/>
      <c r="BD525" s="19"/>
      <c r="BE525" s="67">
        <f t="shared" si="151"/>
        <v>486111.11111111112</v>
      </c>
      <c r="BF525" s="67">
        <f t="shared" si="156"/>
        <v>0</v>
      </c>
      <c r="BG525" s="67">
        <f t="shared" si="163"/>
        <v>0</v>
      </c>
      <c r="BH525" s="19"/>
      <c r="BI525" s="68" t="s">
        <v>57</v>
      </c>
      <c r="BJ525" s="68" t="s">
        <v>1576</v>
      </c>
      <c r="BK525" s="68" t="s">
        <v>1576</v>
      </c>
      <c r="BO525" s="35" t="s">
        <v>1801</v>
      </c>
    </row>
    <row r="526" spans="3:68" ht="15" customHeight="1">
      <c r="C526" s="1" t="str">
        <f t="shared" si="158"/>
        <v>3008</v>
      </c>
      <c r="D526" s="1" t="str">
        <f t="shared" si="159"/>
        <v>2208</v>
      </c>
      <c r="E526" s="19" t="s">
        <v>1550</v>
      </c>
      <c r="F526" s="68" t="s">
        <v>49</v>
      </c>
      <c r="G526" s="62">
        <v>2112</v>
      </c>
      <c r="H526" s="19" t="s">
        <v>1577</v>
      </c>
      <c r="I526" s="19" t="s">
        <v>1578</v>
      </c>
      <c r="J526" s="86">
        <v>1</v>
      </c>
      <c r="K526" s="19" t="s">
        <v>619</v>
      </c>
      <c r="L526" s="62" t="s">
        <v>77</v>
      </c>
      <c r="M526" s="142" t="s">
        <v>1579</v>
      </c>
      <c r="N526" s="143">
        <v>44789</v>
      </c>
      <c r="O526" s="70">
        <v>49650</v>
      </c>
      <c r="P526" s="70">
        <v>23530</v>
      </c>
      <c r="Q526" s="144">
        <v>1168264500</v>
      </c>
      <c r="R526" s="19"/>
      <c r="S526" s="19"/>
      <c r="T526" s="25">
        <v>9887519.1530000009</v>
      </c>
      <c r="U526" s="19" t="s">
        <v>1580</v>
      </c>
      <c r="V526" s="121">
        <v>1178152019</v>
      </c>
      <c r="W526" s="19"/>
      <c r="X526" s="64">
        <v>1178152019</v>
      </c>
      <c r="Y526" s="19"/>
      <c r="Z526" s="19"/>
      <c r="AA526" s="128"/>
      <c r="AB526" s="19"/>
      <c r="AC526" s="64">
        <v>1178152019</v>
      </c>
      <c r="AD526" s="63">
        <v>44793</v>
      </c>
      <c r="AE526" s="65">
        <v>47714</v>
      </c>
      <c r="AF526" s="19">
        <v>8</v>
      </c>
      <c r="AG526" s="19">
        <v>96</v>
      </c>
      <c r="AH526" s="25">
        <v>12272416.864583334</v>
      </c>
      <c r="AI526" s="78">
        <v>201109283.64583334</v>
      </c>
      <c r="AJ526" s="92">
        <v>977042735.35416663</v>
      </c>
      <c r="AK526" s="27">
        <f t="shared" si="160"/>
        <v>12272416.864583334</v>
      </c>
      <c r="AL526" s="27">
        <f t="shared" si="164"/>
        <v>12272416.864583334</v>
      </c>
      <c r="AM526" s="27">
        <f t="shared" si="164"/>
        <v>12272416.864583334</v>
      </c>
      <c r="AN526" s="27">
        <f t="shared" si="152"/>
        <v>12272416.864583334</v>
      </c>
      <c r="AO526" s="27">
        <f t="shared" si="153"/>
        <v>12272416.864583334</v>
      </c>
      <c r="AP526" s="27">
        <f t="shared" si="153"/>
        <v>12272416.864583334</v>
      </c>
      <c r="AQ526" s="27">
        <f t="shared" si="154"/>
        <v>12272416.864583334</v>
      </c>
      <c r="AR526" s="27">
        <f t="shared" si="155"/>
        <v>12272416.864583334</v>
      </c>
      <c r="AS526" s="27"/>
      <c r="AT526" s="27"/>
      <c r="AU526" s="27"/>
      <c r="AV526" s="27"/>
      <c r="AW526" s="27">
        <f t="shared" si="157"/>
        <v>98179334.916666657</v>
      </c>
      <c r="AX526" s="79">
        <f t="shared" si="161"/>
        <v>878863400.4375</v>
      </c>
      <c r="AY526" s="79">
        <f t="shared" si="162"/>
        <v>299288618.5625</v>
      </c>
      <c r="AZ526" s="25">
        <v>1</v>
      </c>
      <c r="BA526" s="62" t="s">
        <v>97</v>
      </c>
      <c r="BB526" s="66">
        <v>1</v>
      </c>
      <c r="BC526" s="19"/>
      <c r="BD526" s="19"/>
      <c r="BE526" s="67">
        <f t="shared" si="151"/>
        <v>12272416.864583334</v>
      </c>
      <c r="BF526" s="67">
        <f t="shared" si="156"/>
        <v>0</v>
      </c>
      <c r="BG526" s="67">
        <f t="shared" si="163"/>
        <v>0</v>
      </c>
      <c r="BH526" s="19"/>
      <c r="BI526" s="68" t="s">
        <v>57</v>
      </c>
      <c r="BJ526" s="68" t="s">
        <v>121</v>
      </c>
      <c r="BK526" s="68" t="s">
        <v>1553</v>
      </c>
      <c r="BO526" s="35" t="s">
        <v>1800</v>
      </c>
      <c r="BP526" s="1" t="s">
        <v>1815</v>
      </c>
    </row>
    <row r="527" spans="3:68" ht="15" customHeight="1">
      <c r="C527" s="1" t="str">
        <f t="shared" si="158"/>
        <v>3008</v>
      </c>
      <c r="D527" s="1" t="str">
        <f t="shared" si="159"/>
        <v>2208</v>
      </c>
      <c r="E527" s="19" t="s">
        <v>1550</v>
      </c>
      <c r="F527" s="62" t="s">
        <v>1896</v>
      </c>
      <c r="G527" s="62">
        <v>2112</v>
      </c>
      <c r="H527" s="19" t="s">
        <v>1581</v>
      </c>
      <c r="I527" s="19" t="s">
        <v>1547</v>
      </c>
      <c r="J527" s="86">
        <v>1</v>
      </c>
      <c r="K527" s="19" t="s">
        <v>619</v>
      </c>
      <c r="L527" s="62" t="s">
        <v>77</v>
      </c>
      <c r="M527" s="142" t="s">
        <v>1579</v>
      </c>
      <c r="N527" s="143">
        <v>44789</v>
      </c>
      <c r="O527" s="70">
        <v>59900</v>
      </c>
      <c r="P527" s="70">
        <v>23530</v>
      </c>
      <c r="Q527" s="144">
        <v>1409447000</v>
      </c>
      <c r="R527" s="19"/>
      <c r="S527" s="19"/>
      <c r="T527" s="25">
        <v>11928749.189999999</v>
      </c>
      <c r="U527" s="19" t="s">
        <v>1580</v>
      </c>
      <c r="V527" s="121">
        <v>1421375749</v>
      </c>
      <c r="W527" s="19"/>
      <c r="X527" s="64">
        <v>1421375749</v>
      </c>
      <c r="Y527" s="19"/>
      <c r="Z527" s="19"/>
      <c r="AA527" s="128"/>
      <c r="AB527" s="19"/>
      <c r="AC527" s="64">
        <v>1421375749</v>
      </c>
      <c r="AD527" s="63">
        <v>44793</v>
      </c>
      <c r="AE527" s="65">
        <v>47714</v>
      </c>
      <c r="AF527" s="19">
        <v>8</v>
      </c>
      <c r="AG527" s="19">
        <v>96</v>
      </c>
      <c r="AH527" s="25">
        <v>14805997.385416666</v>
      </c>
      <c r="AI527" s="78">
        <v>242627309.85416666</v>
      </c>
      <c r="AJ527" s="92">
        <v>1178748439.1458333</v>
      </c>
      <c r="AK527" s="27">
        <f t="shared" si="160"/>
        <v>14805997.385416666</v>
      </c>
      <c r="AL527" s="27">
        <f t="shared" si="164"/>
        <v>14805997.385416666</v>
      </c>
      <c r="AM527" s="27">
        <f t="shared" si="164"/>
        <v>14805997.385416666</v>
      </c>
      <c r="AN527" s="27">
        <f t="shared" si="152"/>
        <v>14805997.385416666</v>
      </c>
      <c r="AO527" s="27">
        <f t="shared" si="153"/>
        <v>14805997.385416666</v>
      </c>
      <c r="AP527" s="27">
        <f t="shared" si="153"/>
        <v>14805997.385416666</v>
      </c>
      <c r="AQ527" s="27">
        <f t="shared" si="154"/>
        <v>14805997.385416666</v>
      </c>
      <c r="AR527" s="27">
        <f t="shared" si="155"/>
        <v>14805997.385416666</v>
      </c>
      <c r="AS527" s="27"/>
      <c r="AT527" s="27"/>
      <c r="AU527" s="27"/>
      <c r="AV527" s="27"/>
      <c r="AW527" s="27">
        <f t="shared" si="157"/>
        <v>118447979.08333334</v>
      </c>
      <c r="AX527" s="79">
        <f t="shared" si="161"/>
        <v>1060300460.0624999</v>
      </c>
      <c r="AY527" s="79">
        <f t="shared" si="162"/>
        <v>361075288.9375</v>
      </c>
      <c r="AZ527" s="25">
        <v>1</v>
      </c>
      <c r="BA527" s="62" t="s">
        <v>97</v>
      </c>
      <c r="BB527" s="66">
        <v>1</v>
      </c>
      <c r="BC527" s="19"/>
      <c r="BD527" s="19"/>
      <c r="BE527" s="67">
        <f t="shared" si="151"/>
        <v>14805997.385416666</v>
      </c>
      <c r="BF527" s="67">
        <f t="shared" si="156"/>
        <v>0</v>
      </c>
      <c r="BG527" s="67">
        <f t="shared" si="163"/>
        <v>0</v>
      </c>
      <c r="BH527" s="19"/>
      <c r="BI527" s="68" t="s">
        <v>871</v>
      </c>
      <c r="BJ527" s="68" t="s">
        <v>1982</v>
      </c>
      <c r="BK527" s="68" t="s">
        <v>1982</v>
      </c>
      <c r="BO527" s="35" t="s">
        <v>1805</v>
      </c>
    </row>
    <row r="528" spans="3:68" ht="15" customHeight="1">
      <c r="C528" s="1" t="str">
        <f t="shared" si="158"/>
        <v>2908</v>
      </c>
      <c r="D528" s="1" t="str">
        <f t="shared" si="159"/>
        <v>2208</v>
      </c>
      <c r="E528" s="19" t="s">
        <v>1550</v>
      </c>
      <c r="F528" s="68" t="s">
        <v>49</v>
      </c>
      <c r="G528" s="62">
        <v>2112</v>
      </c>
      <c r="H528" s="19" t="s">
        <v>1583</v>
      </c>
      <c r="I528" s="19" t="s">
        <v>1584</v>
      </c>
      <c r="J528" s="86">
        <v>1</v>
      </c>
      <c r="K528" s="19" t="s">
        <v>619</v>
      </c>
      <c r="L528" s="62" t="s">
        <v>77</v>
      </c>
      <c r="M528" s="142" t="s">
        <v>1579</v>
      </c>
      <c r="N528" s="143">
        <v>44789</v>
      </c>
      <c r="O528" s="70">
        <v>38613.96</v>
      </c>
      <c r="P528" s="70">
        <v>23530</v>
      </c>
      <c r="Q528" s="144">
        <v>908586479</v>
      </c>
      <c r="R528" s="19"/>
      <c r="S528" s="19"/>
      <c r="T528" s="25">
        <v>7689753.6569999997</v>
      </c>
      <c r="U528" s="19" t="s">
        <v>1580</v>
      </c>
      <c r="V528" s="121">
        <v>916276232</v>
      </c>
      <c r="W528" s="19"/>
      <c r="X528" s="64">
        <v>916276232</v>
      </c>
      <c r="Y528" s="19"/>
      <c r="Z528" s="19"/>
      <c r="AA528" s="128"/>
      <c r="AB528" s="19"/>
      <c r="AC528" s="64">
        <v>916276232</v>
      </c>
      <c r="AD528" s="63">
        <v>44798</v>
      </c>
      <c r="AE528" s="65">
        <v>47354</v>
      </c>
      <c r="AF528" s="19">
        <v>7</v>
      </c>
      <c r="AG528" s="19">
        <v>84</v>
      </c>
      <c r="AH528" s="25">
        <v>10908050.380952381</v>
      </c>
      <c r="AI528" s="78">
        <v>176991911.80952385</v>
      </c>
      <c r="AJ528" s="92">
        <v>739284320.19047618</v>
      </c>
      <c r="AK528" s="27">
        <f t="shared" si="160"/>
        <v>10908050.380952381</v>
      </c>
      <c r="AL528" s="27">
        <f t="shared" si="164"/>
        <v>10908050.380952381</v>
      </c>
      <c r="AM528" s="27">
        <f t="shared" si="164"/>
        <v>10908050.380952381</v>
      </c>
      <c r="AN528" s="27">
        <f t="shared" si="152"/>
        <v>10908050.380952381</v>
      </c>
      <c r="AO528" s="27">
        <f t="shared" si="153"/>
        <v>10908050.380952381</v>
      </c>
      <c r="AP528" s="27">
        <f t="shared" si="153"/>
        <v>10908050.380952381</v>
      </c>
      <c r="AQ528" s="27">
        <f t="shared" si="154"/>
        <v>10908050.380952381</v>
      </c>
      <c r="AR528" s="27">
        <f t="shared" si="155"/>
        <v>10908050.380952381</v>
      </c>
      <c r="AS528" s="27"/>
      <c r="AT528" s="27"/>
      <c r="AU528" s="27"/>
      <c r="AV528" s="27"/>
      <c r="AW528" s="27">
        <f t="shared" si="157"/>
        <v>87264403.047619045</v>
      </c>
      <c r="AX528" s="79">
        <f t="shared" si="161"/>
        <v>652019917.14285707</v>
      </c>
      <c r="AY528" s="79">
        <f t="shared" si="162"/>
        <v>264256314.8571429</v>
      </c>
      <c r="AZ528" s="25">
        <v>1</v>
      </c>
      <c r="BA528" s="62" t="s">
        <v>97</v>
      </c>
      <c r="BB528" s="66">
        <v>1</v>
      </c>
      <c r="BC528" s="19"/>
      <c r="BD528" s="19"/>
      <c r="BE528" s="67">
        <f t="shared" si="151"/>
        <v>10908050.380952381</v>
      </c>
      <c r="BF528" s="67">
        <f t="shared" si="156"/>
        <v>0</v>
      </c>
      <c r="BG528" s="67">
        <f t="shared" si="163"/>
        <v>0</v>
      </c>
      <c r="BH528" s="19"/>
      <c r="BI528" s="68" t="s">
        <v>57</v>
      </c>
      <c r="BJ528" s="68" t="s">
        <v>121</v>
      </c>
      <c r="BK528" s="68" t="s">
        <v>1585</v>
      </c>
      <c r="BO528" s="35" t="s">
        <v>1801</v>
      </c>
      <c r="BP528" s="1" t="s">
        <v>1820</v>
      </c>
    </row>
    <row r="529" spans="3:68" ht="15" customHeight="1">
      <c r="C529" s="1" t="str">
        <f t="shared" si="158"/>
        <v>3208</v>
      </c>
      <c r="D529" s="1" t="str">
        <f t="shared" si="159"/>
        <v>2208</v>
      </c>
      <c r="E529" s="19" t="s">
        <v>1550</v>
      </c>
      <c r="F529" s="68" t="s">
        <v>1586</v>
      </c>
      <c r="G529" s="62">
        <v>2114</v>
      </c>
      <c r="H529" s="19" t="s">
        <v>1587</v>
      </c>
      <c r="I529" s="19" t="s">
        <v>1588</v>
      </c>
      <c r="J529" s="86">
        <v>1</v>
      </c>
      <c r="K529" s="19" t="s">
        <v>619</v>
      </c>
      <c r="L529" s="19" t="s">
        <v>1145</v>
      </c>
      <c r="M529" s="19">
        <v>204</v>
      </c>
      <c r="N529" s="143">
        <v>44777</v>
      </c>
      <c r="O529" s="19"/>
      <c r="P529" s="19"/>
      <c r="Q529" s="144">
        <v>207720000</v>
      </c>
      <c r="R529" s="19"/>
      <c r="S529" s="19"/>
      <c r="T529" s="25"/>
      <c r="U529" s="19"/>
      <c r="V529" s="121">
        <v>207720000</v>
      </c>
      <c r="W529" s="19"/>
      <c r="X529" s="64">
        <v>207720000</v>
      </c>
      <c r="Y529" s="19"/>
      <c r="Z529" s="19"/>
      <c r="AA529" s="128"/>
      <c r="AB529" s="19"/>
      <c r="AC529" s="64">
        <v>207720000</v>
      </c>
      <c r="AD529" s="63">
        <v>44786</v>
      </c>
      <c r="AE529" s="65">
        <v>48438</v>
      </c>
      <c r="AF529" s="19">
        <v>10</v>
      </c>
      <c r="AG529" s="19">
        <v>120</v>
      </c>
      <c r="AH529" s="25">
        <v>1731000</v>
      </c>
      <c r="AI529" s="78">
        <v>28756935</v>
      </c>
      <c r="AJ529" s="92">
        <v>178963065</v>
      </c>
      <c r="AK529" s="27">
        <f t="shared" si="160"/>
        <v>1731000</v>
      </c>
      <c r="AL529" s="27">
        <f t="shared" si="164"/>
        <v>1731000</v>
      </c>
      <c r="AM529" s="27">
        <f t="shared" si="164"/>
        <v>1731000</v>
      </c>
      <c r="AN529" s="27">
        <f t="shared" si="152"/>
        <v>1731000</v>
      </c>
      <c r="AO529" s="27">
        <f t="shared" si="153"/>
        <v>1731000</v>
      </c>
      <c r="AP529" s="27">
        <f t="shared" si="153"/>
        <v>1731000</v>
      </c>
      <c r="AQ529" s="27">
        <f t="shared" si="154"/>
        <v>1731000</v>
      </c>
      <c r="AR529" s="27">
        <f t="shared" si="155"/>
        <v>1731000</v>
      </c>
      <c r="AS529" s="27"/>
      <c r="AT529" s="27"/>
      <c r="AU529" s="27"/>
      <c r="AV529" s="27"/>
      <c r="AW529" s="27">
        <f t="shared" si="157"/>
        <v>13848000</v>
      </c>
      <c r="AX529" s="79">
        <f t="shared" si="161"/>
        <v>165115065</v>
      </c>
      <c r="AY529" s="79">
        <f t="shared" si="162"/>
        <v>42604935</v>
      </c>
      <c r="AZ529" s="25">
        <v>1</v>
      </c>
      <c r="BA529" s="62" t="s">
        <v>79</v>
      </c>
      <c r="BB529" s="66"/>
      <c r="BC529" s="66">
        <v>1</v>
      </c>
      <c r="BD529" s="66"/>
      <c r="BE529" s="67">
        <f t="shared" si="151"/>
        <v>0</v>
      </c>
      <c r="BF529" s="67">
        <f t="shared" si="156"/>
        <v>1731000</v>
      </c>
      <c r="BG529" s="67">
        <f t="shared" si="163"/>
        <v>0</v>
      </c>
      <c r="BH529" s="62" t="s">
        <v>1668</v>
      </c>
      <c r="BI529" s="19" t="s">
        <v>1624</v>
      </c>
      <c r="BJ529" s="68" t="s">
        <v>1438</v>
      </c>
      <c r="BK529" s="68" t="s">
        <v>1438</v>
      </c>
      <c r="BM529" s="1" t="s">
        <v>1886</v>
      </c>
      <c r="BN529" s="1" t="s">
        <v>1666</v>
      </c>
      <c r="BO529" s="35" t="s">
        <v>1804</v>
      </c>
    </row>
    <row r="530" spans="3:68" ht="15" customHeight="1">
      <c r="C530" s="1" t="str">
        <f t="shared" si="158"/>
        <v>2708</v>
      </c>
      <c r="D530" s="1" t="str">
        <f t="shared" si="159"/>
        <v>2208</v>
      </c>
      <c r="E530" s="19" t="s">
        <v>1550</v>
      </c>
      <c r="F530" s="68" t="s">
        <v>49</v>
      </c>
      <c r="G530" s="62">
        <v>2114</v>
      </c>
      <c r="H530" s="19" t="s">
        <v>1589</v>
      </c>
      <c r="I530" s="19" t="s">
        <v>1590</v>
      </c>
      <c r="J530" s="86">
        <v>1</v>
      </c>
      <c r="K530" s="19" t="s">
        <v>619</v>
      </c>
      <c r="L530" s="19" t="s">
        <v>1591</v>
      </c>
      <c r="M530" s="19">
        <v>474</v>
      </c>
      <c r="N530" s="143">
        <v>44792</v>
      </c>
      <c r="O530" s="19"/>
      <c r="P530" s="19"/>
      <c r="Q530" s="144">
        <v>82400000</v>
      </c>
      <c r="R530" s="19"/>
      <c r="S530" s="144">
        <v>5500000</v>
      </c>
      <c r="T530" s="25"/>
      <c r="U530" s="19" t="s">
        <v>1592</v>
      </c>
      <c r="V530" s="121">
        <v>87900000</v>
      </c>
      <c r="W530" s="19"/>
      <c r="X530" s="64">
        <v>87900000</v>
      </c>
      <c r="Y530" s="19"/>
      <c r="Z530" s="19"/>
      <c r="AA530" s="128"/>
      <c r="AB530" s="19"/>
      <c r="AC530" s="64">
        <v>87900000</v>
      </c>
      <c r="AD530" s="63">
        <v>44783</v>
      </c>
      <c r="AE530" s="65">
        <v>46608</v>
      </c>
      <c r="AF530" s="19">
        <v>5</v>
      </c>
      <c r="AG530" s="19">
        <v>60</v>
      </c>
      <c r="AH530" s="25">
        <v>1465000</v>
      </c>
      <c r="AI530" s="78">
        <v>24479677</v>
      </c>
      <c r="AJ530" s="92">
        <v>63420323</v>
      </c>
      <c r="AK530" s="27">
        <f t="shared" si="160"/>
        <v>1465000</v>
      </c>
      <c r="AL530" s="27">
        <f t="shared" si="164"/>
        <v>1465000</v>
      </c>
      <c r="AM530" s="27">
        <f t="shared" si="164"/>
        <v>1465000</v>
      </c>
      <c r="AN530" s="27">
        <f t="shared" si="152"/>
        <v>1465000</v>
      </c>
      <c r="AO530" s="27">
        <f t="shared" si="153"/>
        <v>1465000</v>
      </c>
      <c r="AP530" s="27">
        <f t="shared" si="153"/>
        <v>1465000</v>
      </c>
      <c r="AQ530" s="27">
        <f t="shared" si="154"/>
        <v>1465000</v>
      </c>
      <c r="AR530" s="27">
        <f t="shared" si="155"/>
        <v>1465000</v>
      </c>
      <c r="AS530" s="27"/>
      <c r="AT530" s="27"/>
      <c r="AU530" s="27"/>
      <c r="AV530" s="27"/>
      <c r="AW530" s="27">
        <f t="shared" si="157"/>
        <v>11720000</v>
      </c>
      <c r="AX530" s="79">
        <f t="shared" si="161"/>
        <v>51700323</v>
      </c>
      <c r="AY530" s="79">
        <f t="shared" si="162"/>
        <v>36199677</v>
      </c>
      <c r="AZ530" s="25">
        <v>1</v>
      </c>
      <c r="BA530" s="62" t="s">
        <v>79</v>
      </c>
      <c r="BB530" s="66">
        <v>1</v>
      </c>
      <c r="BC530" s="19"/>
      <c r="BD530" s="19"/>
      <c r="BE530" s="67">
        <f t="shared" si="151"/>
        <v>1465000</v>
      </c>
      <c r="BF530" s="67">
        <f t="shared" si="156"/>
        <v>0</v>
      </c>
      <c r="BG530" s="67">
        <f t="shared" si="163"/>
        <v>0</v>
      </c>
      <c r="BH530" s="19"/>
      <c r="BI530" s="68" t="s">
        <v>57</v>
      </c>
      <c r="BJ530" s="68" t="s">
        <v>58</v>
      </c>
      <c r="BK530" s="68" t="s">
        <v>1563</v>
      </c>
      <c r="BO530" s="35" t="s">
        <v>1804</v>
      </c>
    </row>
    <row r="531" spans="3:68" ht="15" customHeight="1">
      <c r="C531" s="1" t="str">
        <f t="shared" si="158"/>
        <v>2708</v>
      </c>
      <c r="D531" s="1" t="str">
        <f t="shared" si="159"/>
        <v>2208</v>
      </c>
      <c r="E531" s="19" t="s">
        <v>1550</v>
      </c>
      <c r="F531" s="68" t="s">
        <v>49</v>
      </c>
      <c r="G531" s="62">
        <v>2114</v>
      </c>
      <c r="H531" s="19" t="s">
        <v>1593</v>
      </c>
      <c r="I531" s="19" t="s">
        <v>1594</v>
      </c>
      <c r="J531" s="86">
        <v>1</v>
      </c>
      <c r="K531" s="19" t="s">
        <v>619</v>
      </c>
      <c r="L531" s="19" t="s">
        <v>1591</v>
      </c>
      <c r="M531" s="19">
        <v>474</v>
      </c>
      <c r="N531" s="143">
        <v>44792</v>
      </c>
      <c r="O531" s="19"/>
      <c r="P531" s="19"/>
      <c r="Q531" s="144">
        <v>80800000</v>
      </c>
      <c r="R531" s="19"/>
      <c r="S531" s="144">
        <v>5500000</v>
      </c>
      <c r="T531" s="25"/>
      <c r="U531" s="19" t="s">
        <v>1592</v>
      </c>
      <c r="V531" s="121">
        <v>86300000</v>
      </c>
      <c r="W531" s="19"/>
      <c r="X531" s="64">
        <v>86300000</v>
      </c>
      <c r="Y531" s="19"/>
      <c r="Z531" s="19"/>
      <c r="AA531" s="128"/>
      <c r="AB531" s="19"/>
      <c r="AC531" s="64">
        <v>86300000</v>
      </c>
      <c r="AD531" s="63">
        <v>44783</v>
      </c>
      <c r="AE531" s="65">
        <v>46608</v>
      </c>
      <c r="AF531" s="19">
        <v>5</v>
      </c>
      <c r="AG531" s="19">
        <v>60</v>
      </c>
      <c r="AH531" s="25">
        <v>1438333.3333333333</v>
      </c>
      <c r="AI531" s="78">
        <v>24034083.333333336</v>
      </c>
      <c r="AJ531" s="92">
        <v>62265916.666666664</v>
      </c>
      <c r="AK531" s="27">
        <f t="shared" si="160"/>
        <v>1438333.3333333333</v>
      </c>
      <c r="AL531" s="27">
        <f t="shared" si="164"/>
        <v>1438333.3333333333</v>
      </c>
      <c r="AM531" s="27">
        <f t="shared" si="164"/>
        <v>1438333.3333333333</v>
      </c>
      <c r="AN531" s="27">
        <f t="shared" si="152"/>
        <v>1438333.3333333333</v>
      </c>
      <c r="AO531" s="27">
        <f t="shared" si="153"/>
        <v>1438333.3333333333</v>
      </c>
      <c r="AP531" s="27">
        <f t="shared" si="153"/>
        <v>1438333.3333333333</v>
      </c>
      <c r="AQ531" s="27">
        <f t="shared" si="154"/>
        <v>1438333.3333333333</v>
      </c>
      <c r="AR531" s="27">
        <f t="shared" si="155"/>
        <v>1438333.3333333333</v>
      </c>
      <c r="AS531" s="27"/>
      <c r="AT531" s="27"/>
      <c r="AU531" s="27"/>
      <c r="AV531" s="27"/>
      <c r="AW531" s="27">
        <f t="shared" si="157"/>
        <v>11506666.666666668</v>
      </c>
      <c r="AX531" s="79">
        <f t="shared" si="161"/>
        <v>50759250</v>
      </c>
      <c r="AY531" s="79">
        <f t="shared" si="162"/>
        <v>35540750</v>
      </c>
      <c r="AZ531" s="25">
        <v>1</v>
      </c>
      <c r="BA531" s="62" t="s">
        <v>79</v>
      </c>
      <c r="BB531" s="66">
        <v>1</v>
      </c>
      <c r="BC531" s="19"/>
      <c r="BD531" s="19"/>
      <c r="BE531" s="67">
        <f t="shared" si="151"/>
        <v>1438333.3333333333</v>
      </c>
      <c r="BF531" s="67">
        <f t="shared" si="156"/>
        <v>0</v>
      </c>
      <c r="BG531" s="67">
        <f t="shared" si="163"/>
        <v>0</v>
      </c>
      <c r="BH531" s="19"/>
      <c r="BI531" s="68" t="s">
        <v>57</v>
      </c>
      <c r="BJ531" s="68" t="s">
        <v>58</v>
      </c>
      <c r="BK531" s="68" t="s">
        <v>1563</v>
      </c>
      <c r="BO531" s="35" t="s">
        <v>1804</v>
      </c>
    </row>
    <row r="532" spans="3:68" ht="15" customHeight="1">
      <c r="C532" s="1" t="str">
        <f t="shared" si="158"/>
        <v>2708</v>
      </c>
      <c r="D532" s="1" t="str">
        <f t="shared" si="159"/>
        <v>2208</v>
      </c>
      <c r="E532" s="19" t="s">
        <v>1550</v>
      </c>
      <c r="F532" s="68" t="s">
        <v>515</v>
      </c>
      <c r="G532" s="62">
        <v>2114</v>
      </c>
      <c r="H532" s="19" t="s">
        <v>1595</v>
      </c>
      <c r="I532" s="19" t="s">
        <v>1596</v>
      </c>
      <c r="J532" s="86">
        <v>1</v>
      </c>
      <c r="K532" s="19" t="s">
        <v>619</v>
      </c>
      <c r="L532" s="19" t="s">
        <v>1591</v>
      </c>
      <c r="M532" s="19">
        <v>474</v>
      </c>
      <c r="N532" s="143">
        <v>44792</v>
      </c>
      <c r="O532" s="19"/>
      <c r="P532" s="19"/>
      <c r="Q532" s="144">
        <v>68400000</v>
      </c>
      <c r="R532" s="19"/>
      <c r="S532" s="144">
        <v>5500000</v>
      </c>
      <c r="T532" s="25"/>
      <c r="U532" s="19" t="s">
        <v>1592</v>
      </c>
      <c r="V532" s="121">
        <v>73900000</v>
      </c>
      <c r="W532" s="19"/>
      <c r="X532" s="64">
        <v>73900000</v>
      </c>
      <c r="Y532" s="19"/>
      <c r="Z532" s="19"/>
      <c r="AA532" s="128"/>
      <c r="AB532" s="19"/>
      <c r="AC532" s="64">
        <v>73900000</v>
      </c>
      <c r="AD532" s="63">
        <v>44783</v>
      </c>
      <c r="AE532" s="65">
        <v>46608</v>
      </c>
      <c r="AF532" s="19">
        <v>5</v>
      </c>
      <c r="AG532" s="19">
        <v>60</v>
      </c>
      <c r="AH532" s="25">
        <v>1231666.6666666667</v>
      </c>
      <c r="AI532" s="78">
        <v>20580754.666666664</v>
      </c>
      <c r="AJ532" s="92">
        <v>53319245.333333336</v>
      </c>
      <c r="AK532" s="27">
        <f t="shared" si="160"/>
        <v>1231666.6666666667</v>
      </c>
      <c r="AL532" s="27">
        <f t="shared" si="164"/>
        <v>1231666.6666666667</v>
      </c>
      <c r="AM532" s="27">
        <f t="shared" si="164"/>
        <v>1231666.6666666667</v>
      </c>
      <c r="AN532" s="27">
        <f t="shared" si="152"/>
        <v>1231666.6666666667</v>
      </c>
      <c r="AO532" s="27">
        <f t="shared" si="153"/>
        <v>1231666.6666666667</v>
      </c>
      <c r="AP532" s="27">
        <f t="shared" si="153"/>
        <v>1231666.6666666667</v>
      </c>
      <c r="AQ532" s="27">
        <f t="shared" si="154"/>
        <v>1231666.6666666667</v>
      </c>
      <c r="AR532" s="27">
        <f t="shared" si="155"/>
        <v>1231666.6666666667</v>
      </c>
      <c r="AS532" s="27"/>
      <c r="AT532" s="27"/>
      <c r="AU532" s="27"/>
      <c r="AV532" s="27"/>
      <c r="AW532" s="27">
        <f t="shared" si="157"/>
        <v>9853333.333333334</v>
      </c>
      <c r="AX532" s="79">
        <f t="shared" si="161"/>
        <v>43465912</v>
      </c>
      <c r="AY532" s="79">
        <f t="shared" si="162"/>
        <v>30434088</v>
      </c>
      <c r="AZ532" s="25">
        <v>1</v>
      </c>
      <c r="BA532" s="62" t="s">
        <v>79</v>
      </c>
      <c r="BB532" s="66">
        <v>1</v>
      </c>
      <c r="BC532" s="19"/>
      <c r="BD532" s="19"/>
      <c r="BE532" s="67">
        <f t="shared" si="151"/>
        <v>1231666.6666666667</v>
      </c>
      <c r="BF532" s="67">
        <f t="shared" si="156"/>
        <v>0</v>
      </c>
      <c r="BG532" s="67">
        <f t="shared" si="163"/>
        <v>0</v>
      </c>
      <c r="BH532" s="19"/>
      <c r="BI532" s="68" t="s">
        <v>871</v>
      </c>
      <c r="BJ532" s="68" t="s">
        <v>58</v>
      </c>
      <c r="BK532" s="68" t="s">
        <v>1563</v>
      </c>
      <c r="BO532" s="35" t="s">
        <v>1802</v>
      </c>
    </row>
    <row r="533" spans="3:68" ht="15" customHeight="1">
      <c r="C533" s="1" t="str">
        <f t="shared" si="158"/>
        <v>3009</v>
      </c>
      <c r="D533" s="1" t="str">
        <f t="shared" si="159"/>
        <v>2209</v>
      </c>
      <c r="E533" s="19" t="s">
        <v>1597</v>
      </c>
      <c r="F533" s="68" t="s">
        <v>49</v>
      </c>
      <c r="G533" s="62">
        <v>2112</v>
      </c>
      <c r="H533" s="19" t="s">
        <v>1598</v>
      </c>
      <c r="I533" s="19" t="s">
        <v>1599</v>
      </c>
      <c r="J533" s="86">
        <v>1</v>
      </c>
      <c r="K533" s="19" t="s">
        <v>619</v>
      </c>
      <c r="L533" s="19" t="s">
        <v>1600</v>
      </c>
      <c r="M533" s="19" t="s">
        <v>1601</v>
      </c>
      <c r="N533" s="143">
        <v>44823</v>
      </c>
      <c r="O533" s="19"/>
      <c r="P533" s="19"/>
      <c r="Q533" s="25">
        <v>148380000</v>
      </c>
      <c r="R533" s="19"/>
      <c r="S533" s="19"/>
      <c r="T533" s="25"/>
      <c r="U533" s="19"/>
      <c r="V533" s="121">
        <v>148380000</v>
      </c>
      <c r="W533" s="19"/>
      <c r="X533" s="64">
        <v>148380000</v>
      </c>
      <c r="Y533" s="19"/>
      <c r="Z533" s="19"/>
      <c r="AA533" s="128"/>
      <c r="AB533" s="19"/>
      <c r="AC533" s="64">
        <v>148380000</v>
      </c>
      <c r="AD533" s="63">
        <v>44824</v>
      </c>
      <c r="AE533" s="65">
        <v>47745</v>
      </c>
      <c r="AF533" s="19">
        <v>8</v>
      </c>
      <c r="AG533" s="19">
        <v>96</v>
      </c>
      <c r="AH533" s="25">
        <v>1545625</v>
      </c>
      <c r="AI533" s="78">
        <v>23751104</v>
      </c>
      <c r="AJ533" s="92">
        <v>124628896</v>
      </c>
      <c r="AK533" s="27">
        <f t="shared" si="160"/>
        <v>1545625</v>
      </c>
      <c r="AL533" s="27">
        <f t="shared" si="164"/>
        <v>1545625</v>
      </c>
      <c r="AM533" s="27">
        <f t="shared" si="164"/>
        <v>1545625</v>
      </c>
      <c r="AN533" s="27">
        <f t="shared" si="152"/>
        <v>1545625</v>
      </c>
      <c r="AO533" s="27">
        <f t="shared" si="153"/>
        <v>1545625</v>
      </c>
      <c r="AP533" s="27">
        <f t="shared" si="153"/>
        <v>1545625</v>
      </c>
      <c r="AQ533" s="27">
        <f t="shared" si="154"/>
        <v>1545625</v>
      </c>
      <c r="AR533" s="27">
        <f t="shared" si="155"/>
        <v>1545625</v>
      </c>
      <c r="AS533" s="27"/>
      <c r="AT533" s="27"/>
      <c r="AU533" s="27"/>
      <c r="AV533" s="27"/>
      <c r="AW533" s="27">
        <f t="shared" si="157"/>
        <v>12365000</v>
      </c>
      <c r="AX533" s="79">
        <f t="shared" si="161"/>
        <v>112263896</v>
      </c>
      <c r="AY533" s="79">
        <f t="shared" si="162"/>
        <v>36116104</v>
      </c>
      <c r="AZ533" s="25">
        <v>1</v>
      </c>
      <c r="BA533" s="62" t="s">
        <v>97</v>
      </c>
      <c r="BB533" s="66">
        <v>1</v>
      </c>
      <c r="BC533" s="19"/>
      <c r="BD533" s="19"/>
      <c r="BE533" s="67">
        <f t="shared" si="151"/>
        <v>1545625</v>
      </c>
      <c r="BF533" s="67">
        <f t="shared" si="156"/>
        <v>0</v>
      </c>
      <c r="BG533" s="67">
        <f t="shared" si="163"/>
        <v>0</v>
      </c>
      <c r="BH533" s="19"/>
      <c r="BI533" s="68" t="s">
        <v>57</v>
      </c>
      <c r="BJ533" s="71" t="s">
        <v>58</v>
      </c>
      <c r="BK533" s="71" t="s">
        <v>59</v>
      </c>
      <c r="BO533" s="35" t="s">
        <v>1804</v>
      </c>
    </row>
    <row r="534" spans="3:68" ht="15" customHeight="1">
      <c r="C534" s="1" t="str">
        <f t="shared" si="158"/>
        <v>2709</v>
      </c>
      <c r="D534" s="1" t="str">
        <f t="shared" si="159"/>
        <v>2209</v>
      </c>
      <c r="E534" s="19" t="s">
        <v>1597</v>
      </c>
      <c r="F534" s="68" t="s">
        <v>515</v>
      </c>
      <c r="G534" s="62">
        <v>2113</v>
      </c>
      <c r="H534" s="19" t="s">
        <v>1602</v>
      </c>
      <c r="I534" s="19" t="s">
        <v>1603</v>
      </c>
      <c r="J534" s="86">
        <v>1</v>
      </c>
      <c r="K534" s="19" t="s">
        <v>619</v>
      </c>
      <c r="L534" s="19" t="s">
        <v>1027</v>
      </c>
      <c r="M534" s="19" t="s">
        <v>1604</v>
      </c>
      <c r="N534" s="143">
        <v>44828</v>
      </c>
      <c r="O534" s="27"/>
      <c r="P534" s="19"/>
      <c r="Q534" s="25">
        <v>37919123</v>
      </c>
      <c r="R534" s="19"/>
      <c r="S534" s="25">
        <v>15080877</v>
      </c>
      <c r="T534" s="25"/>
      <c r="U534" s="19"/>
      <c r="V534" s="121">
        <v>53000000</v>
      </c>
      <c r="W534" s="19"/>
      <c r="X534" s="64">
        <v>53000000</v>
      </c>
      <c r="Y534" s="19"/>
      <c r="Z534" s="19"/>
      <c r="AA534" s="128"/>
      <c r="AB534" s="19"/>
      <c r="AC534" s="64">
        <v>53000000</v>
      </c>
      <c r="AD534" s="63">
        <v>44829</v>
      </c>
      <c r="AE534" s="65">
        <v>46654</v>
      </c>
      <c r="AF534" s="19">
        <v>5</v>
      </c>
      <c r="AG534" s="19">
        <v>60</v>
      </c>
      <c r="AH534" s="25">
        <v>883333.33333333337</v>
      </c>
      <c r="AI534" s="78">
        <v>13426666.333333334</v>
      </c>
      <c r="AJ534" s="92">
        <v>39573333.666666664</v>
      </c>
      <c r="AK534" s="27">
        <f t="shared" si="160"/>
        <v>883333.33333333337</v>
      </c>
      <c r="AL534" s="27">
        <f t="shared" si="164"/>
        <v>883333.33333333337</v>
      </c>
      <c r="AM534" s="27">
        <f t="shared" si="164"/>
        <v>883333.33333333337</v>
      </c>
      <c r="AN534" s="27">
        <f t="shared" si="152"/>
        <v>883333.33333333337</v>
      </c>
      <c r="AO534" s="27">
        <f t="shared" si="153"/>
        <v>883333.33333333337</v>
      </c>
      <c r="AP534" s="27">
        <f t="shared" si="153"/>
        <v>883333.33333333337</v>
      </c>
      <c r="AQ534" s="27">
        <f t="shared" si="154"/>
        <v>883333.33333333337</v>
      </c>
      <c r="AR534" s="27">
        <f t="shared" si="155"/>
        <v>883333.33333333337</v>
      </c>
      <c r="AS534" s="27"/>
      <c r="AT534" s="27"/>
      <c r="AU534" s="27"/>
      <c r="AV534" s="27"/>
      <c r="AW534" s="27">
        <f t="shared" si="157"/>
        <v>7066666.666666666</v>
      </c>
      <c r="AX534" s="79">
        <f t="shared" si="161"/>
        <v>32506667</v>
      </c>
      <c r="AY534" s="79">
        <f t="shared" si="162"/>
        <v>20493333</v>
      </c>
      <c r="AZ534" s="25">
        <v>1</v>
      </c>
      <c r="BA534" s="62" t="s">
        <v>275</v>
      </c>
      <c r="BB534" s="66">
        <v>1</v>
      </c>
      <c r="BC534" s="19"/>
      <c r="BD534" s="19"/>
      <c r="BE534" s="67">
        <f t="shared" si="151"/>
        <v>883333.33333333337</v>
      </c>
      <c r="BF534" s="67">
        <f t="shared" si="156"/>
        <v>0</v>
      </c>
      <c r="BG534" s="67">
        <f t="shared" si="163"/>
        <v>0</v>
      </c>
      <c r="BH534" s="19"/>
      <c r="BI534" s="68" t="s">
        <v>871</v>
      </c>
      <c r="BJ534" s="71" t="s">
        <v>644</v>
      </c>
      <c r="BK534" s="71" t="s">
        <v>644</v>
      </c>
      <c r="BO534" s="35" t="s">
        <v>1804</v>
      </c>
    </row>
    <row r="535" spans="3:68" ht="15" customHeight="1">
      <c r="C535" s="1" t="str">
        <f t="shared" si="158"/>
        <v>3009</v>
      </c>
      <c r="D535" s="1" t="str">
        <f t="shared" si="159"/>
        <v>2210</v>
      </c>
      <c r="E535" s="19" t="s">
        <v>1622</v>
      </c>
      <c r="F535" s="62" t="s">
        <v>1896</v>
      </c>
      <c r="G535" s="62">
        <v>2112</v>
      </c>
      <c r="H535" s="19" t="s">
        <v>1605</v>
      </c>
      <c r="I535" s="19" t="s">
        <v>1606</v>
      </c>
      <c r="J535" s="86">
        <v>1</v>
      </c>
      <c r="K535" s="19" t="s">
        <v>619</v>
      </c>
      <c r="L535" s="19" t="s">
        <v>742</v>
      </c>
      <c r="M535" s="19" t="s">
        <v>1607</v>
      </c>
      <c r="N535" s="143">
        <v>44666</v>
      </c>
      <c r="O535" s="43">
        <v>4800</v>
      </c>
      <c r="P535" s="43">
        <v>23010</v>
      </c>
      <c r="Q535" s="146">
        <v>110448000</v>
      </c>
      <c r="R535" s="147">
        <v>746825</v>
      </c>
      <c r="S535" s="25"/>
      <c r="T535" s="148">
        <v>439322</v>
      </c>
      <c r="U535" s="149" t="s">
        <v>1608</v>
      </c>
      <c r="V535" s="121">
        <v>111634147</v>
      </c>
      <c r="W535" s="19"/>
      <c r="X535" s="64">
        <v>111634147</v>
      </c>
      <c r="Y535" s="19"/>
      <c r="Z535" s="19"/>
      <c r="AA535" s="128"/>
      <c r="AB535" s="19"/>
      <c r="AC535" s="64">
        <v>111634147</v>
      </c>
      <c r="AD535" s="63">
        <v>44835</v>
      </c>
      <c r="AE535" s="65">
        <v>47756</v>
      </c>
      <c r="AF535" s="19">
        <v>8</v>
      </c>
      <c r="AG535" s="19">
        <v>96</v>
      </c>
      <c r="AH535" s="25">
        <v>1162855.6979166667</v>
      </c>
      <c r="AI535" s="78">
        <v>17442836.072916664</v>
      </c>
      <c r="AJ535" s="92">
        <v>94191310.927083328</v>
      </c>
      <c r="AK535" s="27">
        <f t="shared" si="160"/>
        <v>1162855.6979166667</v>
      </c>
      <c r="AL535" s="27">
        <f t="shared" si="164"/>
        <v>1162855.6979166667</v>
      </c>
      <c r="AM535" s="27">
        <f t="shared" si="164"/>
        <v>1162855.6979166667</v>
      </c>
      <c r="AN535" s="27">
        <f t="shared" si="152"/>
        <v>1162855.6979166667</v>
      </c>
      <c r="AO535" s="27">
        <f t="shared" si="153"/>
        <v>1162855.6979166667</v>
      </c>
      <c r="AP535" s="27">
        <f t="shared" si="153"/>
        <v>1162855.6979166667</v>
      </c>
      <c r="AQ535" s="27">
        <f t="shared" si="154"/>
        <v>1162855.6979166667</v>
      </c>
      <c r="AR535" s="27">
        <f t="shared" si="155"/>
        <v>1162855.6979166667</v>
      </c>
      <c r="AS535" s="27"/>
      <c r="AT535" s="27"/>
      <c r="AU535" s="27"/>
      <c r="AV535" s="27"/>
      <c r="AW535" s="27">
        <f t="shared" si="157"/>
        <v>9302845.583333334</v>
      </c>
      <c r="AX535" s="79">
        <f t="shared" si="161"/>
        <v>84888465.343750015</v>
      </c>
      <c r="AY535" s="79">
        <f t="shared" si="162"/>
        <v>26745681.65625</v>
      </c>
      <c r="AZ535" s="25">
        <v>1</v>
      </c>
      <c r="BA535" s="62" t="s">
        <v>97</v>
      </c>
      <c r="BB535" s="66">
        <v>1</v>
      </c>
      <c r="BC535" s="19"/>
      <c r="BD535" s="19"/>
      <c r="BE535" s="67">
        <f t="shared" si="151"/>
        <v>1162855.6979166667</v>
      </c>
      <c r="BF535" s="67">
        <f t="shared" si="156"/>
        <v>0</v>
      </c>
      <c r="BG535" s="67">
        <f t="shared" si="163"/>
        <v>0</v>
      </c>
      <c r="BH535" s="19"/>
      <c r="BI535" s="68" t="s">
        <v>57</v>
      </c>
      <c r="BJ535" s="68" t="s">
        <v>1980</v>
      </c>
      <c r="BK535" s="68" t="s">
        <v>1980</v>
      </c>
      <c r="BO535" s="35" t="s">
        <v>1801</v>
      </c>
      <c r="BP535" s="1" t="s">
        <v>1820</v>
      </c>
    </row>
    <row r="536" spans="3:68" ht="15" customHeight="1">
      <c r="C536" s="1" t="str">
        <f t="shared" si="158"/>
        <v>2710</v>
      </c>
      <c r="D536" s="1" t="str">
        <f t="shared" si="159"/>
        <v>2210</v>
      </c>
      <c r="E536" s="19" t="s">
        <v>1622</v>
      </c>
      <c r="F536" s="68" t="s">
        <v>49</v>
      </c>
      <c r="G536" s="62">
        <v>2114</v>
      </c>
      <c r="H536" s="19" t="s">
        <v>1609</v>
      </c>
      <c r="I536" s="19" t="s">
        <v>1610</v>
      </c>
      <c r="J536" s="86">
        <v>1</v>
      </c>
      <c r="K536" s="19" t="s">
        <v>619</v>
      </c>
      <c r="L536" s="19" t="s">
        <v>1611</v>
      </c>
      <c r="M536" s="19" t="s">
        <v>1612</v>
      </c>
      <c r="N536" s="143">
        <v>44802</v>
      </c>
      <c r="O536" s="150"/>
      <c r="P536" s="151"/>
      <c r="Q536" s="151">
        <v>33150000</v>
      </c>
      <c r="R536" s="19"/>
      <c r="S536" s="25"/>
      <c r="T536" s="151"/>
      <c r="U536" s="152"/>
      <c r="V536" s="121">
        <v>33150000</v>
      </c>
      <c r="W536" s="19"/>
      <c r="X536" s="64">
        <v>33150000</v>
      </c>
      <c r="Y536" s="19"/>
      <c r="Z536" s="19"/>
      <c r="AA536" s="128"/>
      <c r="AB536" s="19"/>
      <c r="AC536" s="64">
        <v>33150000</v>
      </c>
      <c r="AD536" s="63">
        <v>44852</v>
      </c>
      <c r="AE536" s="65">
        <v>46677</v>
      </c>
      <c r="AF536" s="19">
        <v>5</v>
      </c>
      <c r="AG536" s="19">
        <v>60</v>
      </c>
      <c r="AH536" s="25">
        <v>552500</v>
      </c>
      <c r="AI536" s="78">
        <v>7984516.1290322579</v>
      </c>
      <c r="AJ536" s="92">
        <v>25165483.870967742</v>
      </c>
      <c r="AK536" s="27">
        <f t="shared" si="160"/>
        <v>552500</v>
      </c>
      <c r="AL536" s="27">
        <f t="shared" si="164"/>
        <v>552500</v>
      </c>
      <c r="AM536" s="27">
        <f t="shared" si="164"/>
        <v>552500</v>
      </c>
      <c r="AN536" s="27">
        <f t="shared" si="152"/>
        <v>552500</v>
      </c>
      <c r="AO536" s="27">
        <f t="shared" si="153"/>
        <v>552500</v>
      </c>
      <c r="AP536" s="27">
        <f t="shared" si="153"/>
        <v>552500</v>
      </c>
      <c r="AQ536" s="27">
        <f t="shared" si="154"/>
        <v>552500</v>
      </c>
      <c r="AR536" s="27">
        <f t="shared" si="155"/>
        <v>552500</v>
      </c>
      <c r="AS536" s="27"/>
      <c r="AT536" s="27"/>
      <c r="AU536" s="27"/>
      <c r="AV536" s="27"/>
      <c r="AW536" s="27">
        <f t="shared" si="157"/>
        <v>4420000</v>
      </c>
      <c r="AX536" s="79">
        <f t="shared" si="161"/>
        <v>20745483.870967742</v>
      </c>
      <c r="AY536" s="79">
        <f t="shared" si="162"/>
        <v>12404516.129032258</v>
      </c>
      <c r="AZ536" s="25">
        <v>1</v>
      </c>
      <c r="BA536" s="62" t="s">
        <v>79</v>
      </c>
      <c r="BB536" s="66">
        <v>1</v>
      </c>
      <c r="BC536" s="19"/>
      <c r="BD536" s="19"/>
      <c r="BE536" s="67">
        <f t="shared" ref="BE536:BE599" si="165">+$AP536*BB536</f>
        <v>552500</v>
      </c>
      <c r="BF536" s="67">
        <f t="shared" si="156"/>
        <v>0</v>
      </c>
      <c r="BG536" s="67">
        <f t="shared" si="163"/>
        <v>0</v>
      </c>
      <c r="BH536" s="19"/>
      <c r="BI536" s="68" t="s">
        <v>57</v>
      </c>
      <c r="BJ536" s="72" t="s">
        <v>349</v>
      </c>
      <c r="BK536" s="72" t="s">
        <v>349</v>
      </c>
      <c r="BO536" s="35" t="s">
        <v>1802</v>
      </c>
    </row>
    <row r="537" spans="3:68" ht="15" customHeight="1">
      <c r="C537" s="1" t="str">
        <f t="shared" si="158"/>
        <v>3010</v>
      </c>
      <c r="D537" s="1" t="str">
        <f t="shared" si="159"/>
        <v>2210</v>
      </c>
      <c r="E537" s="19" t="s">
        <v>1622</v>
      </c>
      <c r="F537" s="62" t="s">
        <v>1896</v>
      </c>
      <c r="G537" s="62">
        <v>2112</v>
      </c>
      <c r="H537" s="19" t="s">
        <v>1613</v>
      </c>
      <c r="I537" s="19" t="s">
        <v>1614</v>
      </c>
      <c r="J537" s="86">
        <v>1</v>
      </c>
      <c r="K537" s="19" t="s">
        <v>619</v>
      </c>
      <c r="L537" s="19" t="s">
        <v>1615</v>
      </c>
      <c r="M537" s="19" t="s">
        <v>1616</v>
      </c>
      <c r="N537" s="42">
        <v>44812</v>
      </c>
      <c r="O537" s="150">
        <v>49650</v>
      </c>
      <c r="P537" s="151">
        <v>23600</v>
      </c>
      <c r="Q537" s="151">
        <v>1171740000</v>
      </c>
      <c r="R537" s="19"/>
      <c r="S537" s="25"/>
      <c r="T537" s="151">
        <v>24591816</v>
      </c>
      <c r="U537" s="152" t="s">
        <v>1617</v>
      </c>
      <c r="V537" s="121">
        <v>1196331816</v>
      </c>
      <c r="W537" s="19"/>
      <c r="X537" s="64">
        <v>1196331816</v>
      </c>
      <c r="Y537" s="19"/>
      <c r="Z537" s="19"/>
      <c r="AA537" s="128"/>
      <c r="AB537" s="19"/>
      <c r="AC537" s="64">
        <v>1196331816</v>
      </c>
      <c r="AD537" s="63">
        <v>44844</v>
      </c>
      <c r="AE537" s="65">
        <v>47765</v>
      </c>
      <c r="AF537" s="19">
        <v>8</v>
      </c>
      <c r="AG537" s="19">
        <v>96</v>
      </c>
      <c r="AH537" s="25">
        <v>12461789.75</v>
      </c>
      <c r="AI537" s="78">
        <v>183308907.79032257</v>
      </c>
      <c r="AJ537" s="92">
        <v>1013022908.2096775</v>
      </c>
      <c r="AK537" s="27">
        <f t="shared" si="160"/>
        <v>12461789.75</v>
      </c>
      <c r="AL537" s="27">
        <f t="shared" si="164"/>
        <v>12461789.75</v>
      </c>
      <c r="AM537" s="27">
        <f t="shared" si="164"/>
        <v>12461789.75</v>
      </c>
      <c r="AN537" s="27">
        <f t="shared" si="152"/>
        <v>12461789.75</v>
      </c>
      <c r="AO537" s="27">
        <f t="shared" si="153"/>
        <v>12461789.75</v>
      </c>
      <c r="AP537" s="27">
        <f t="shared" si="153"/>
        <v>12461789.75</v>
      </c>
      <c r="AQ537" s="27">
        <f t="shared" si="154"/>
        <v>12461789.75</v>
      </c>
      <c r="AR537" s="27">
        <f t="shared" si="155"/>
        <v>12461789.75</v>
      </c>
      <c r="AS537" s="27"/>
      <c r="AT537" s="27"/>
      <c r="AU537" s="27"/>
      <c r="AV537" s="27"/>
      <c r="AW537" s="27">
        <f t="shared" si="157"/>
        <v>99694318</v>
      </c>
      <c r="AX537" s="79">
        <f t="shared" si="161"/>
        <v>913328590.20967746</v>
      </c>
      <c r="AY537" s="79">
        <f t="shared" si="162"/>
        <v>283003225.79032254</v>
      </c>
      <c r="AZ537" s="25">
        <v>1</v>
      </c>
      <c r="BA537" s="62" t="s">
        <v>97</v>
      </c>
      <c r="BB537" s="66">
        <v>1</v>
      </c>
      <c r="BC537" s="19"/>
      <c r="BD537" s="19"/>
      <c r="BE537" s="67">
        <f t="shared" si="165"/>
        <v>12461789.75</v>
      </c>
      <c r="BF537" s="67">
        <f t="shared" si="156"/>
        <v>0</v>
      </c>
      <c r="BG537" s="67">
        <f t="shared" si="163"/>
        <v>0</v>
      </c>
      <c r="BH537" s="19"/>
      <c r="BI537" s="68" t="s">
        <v>57</v>
      </c>
      <c r="BJ537" s="68" t="s">
        <v>1979</v>
      </c>
      <c r="BK537" s="68" t="s">
        <v>1979</v>
      </c>
      <c r="BO537" s="35" t="s">
        <v>1801</v>
      </c>
      <c r="BP537" s="1" t="s">
        <v>1824</v>
      </c>
    </row>
    <row r="538" spans="3:68" ht="15" customHeight="1">
      <c r="C538" s="1" t="str">
        <f t="shared" si="158"/>
        <v>2910</v>
      </c>
      <c r="D538" s="1" t="str">
        <f t="shared" si="159"/>
        <v>2210</v>
      </c>
      <c r="E538" s="19" t="s">
        <v>1622</v>
      </c>
      <c r="F538" s="68" t="s">
        <v>515</v>
      </c>
      <c r="G538" s="62">
        <v>2112</v>
      </c>
      <c r="H538" s="19" t="s">
        <v>1618</v>
      </c>
      <c r="I538" s="19" t="s">
        <v>1619</v>
      </c>
      <c r="J538" s="86">
        <v>1</v>
      </c>
      <c r="K538" s="19" t="s">
        <v>619</v>
      </c>
      <c r="L538" s="19" t="s">
        <v>1620</v>
      </c>
      <c r="M538" s="19" t="s">
        <v>1621</v>
      </c>
      <c r="N538" s="42">
        <v>44822</v>
      </c>
      <c r="O538" s="150">
        <v>31500</v>
      </c>
      <c r="P538" s="153">
        <v>23703.5</v>
      </c>
      <c r="Q538" s="151">
        <v>746660250</v>
      </c>
      <c r="R538" s="19"/>
      <c r="S538" s="25"/>
      <c r="T538" s="25"/>
      <c r="U538" s="19"/>
      <c r="V538" s="121">
        <v>746660250</v>
      </c>
      <c r="W538" s="19"/>
      <c r="X538" s="64">
        <v>746660250</v>
      </c>
      <c r="Y538" s="19"/>
      <c r="Z538" s="19"/>
      <c r="AA538" s="128"/>
      <c r="AB538" s="19"/>
      <c r="AC538" s="64">
        <v>746660250</v>
      </c>
      <c r="AD538" s="63">
        <v>44840</v>
      </c>
      <c r="AE538" s="65">
        <v>47396</v>
      </c>
      <c r="AF538" s="19">
        <v>7</v>
      </c>
      <c r="AG538" s="19">
        <v>84</v>
      </c>
      <c r="AH538" s="25">
        <v>8888813</v>
      </c>
      <c r="AI538" s="78">
        <v>131898515.48387097</v>
      </c>
      <c r="AJ538" s="92">
        <v>614761734.51612902</v>
      </c>
      <c r="AK538" s="27">
        <f t="shared" si="160"/>
        <v>8888813</v>
      </c>
      <c r="AL538" s="27">
        <f t="shared" si="164"/>
        <v>8888813</v>
      </c>
      <c r="AM538" s="27">
        <f t="shared" si="164"/>
        <v>8888813</v>
      </c>
      <c r="AN538" s="27">
        <f t="shared" si="152"/>
        <v>8888813</v>
      </c>
      <c r="AO538" s="27">
        <f t="shared" si="153"/>
        <v>8888813</v>
      </c>
      <c r="AP538" s="27">
        <f t="shared" si="153"/>
        <v>8888813</v>
      </c>
      <c r="AQ538" s="27">
        <f t="shared" si="154"/>
        <v>8888813</v>
      </c>
      <c r="AR538" s="27">
        <f t="shared" si="155"/>
        <v>8888813</v>
      </c>
      <c r="AS538" s="27"/>
      <c r="AT538" s="27"/>
      <c r="AU538" s="27"/>
      <c r="AV538" s="27"/>
      <c r="AW538" s="27">
        <f t="shared" si="157"/>
        <v>71110504</v>
      </c>
      <c r="AX538" s="79">
        <f t="shared" si="161"/>
        <v>543651230.51612902</v>
      </c>
      <c r="AY538" s="79">
        <f t="shared" si="162"/>
        <v>203009019.48387098</v>
      </c>
      <c r="AZ538" s="25">
        <v>1</v>
      </c>
      <c r="BA538" s="62" t="s">
        <v>97</v>
      </c>
      <c r="BB538" s="66">
        <v>1</v>
      </c>
      <c r="BC538" s="19"/>
      <c r="BD538" s="19"/>
      <c r="BE538" s="67">
        <f t="shared" si="165"/>
        <v>8888813</v>
      </c>
      <c r="BF538" s="67">
        <f t="shared" si="156"/>
        <v>0</v>
      </c>
      <c r="BG538" s="67">
        <f t="shared" si="163"/>
        <v>0</v>
      </c>
      <c r="BH538" s="19"/>
      <c r="BI538" s="68" t="s">
        <v>871</v>
      </c>
      <c r="BJ538" s="68" t="s">
        <v>102</v>
      </c>
      <c r="BK538" s="68" t="s">
        <v>102</v>
      </c>
      <c r="BO538" s="35" t="s">
        <v>1802</v>
      </c>
    </row>
    <row r="539" spans="3:68" ht="15" customHeight="1">
      <c r="C539" s="1" t="str">
        <f t="shared" si="158"/>
        <v>2911</v>
      </c>
      <c r="D539" s="1" t="str">
        <f t="shared" si="159"/>
        <v>2211</v>
      </c>
      <c r="E539" s="19" t="s">
        <v>1623</v>
      </c>
      <c r="F539" s="19" t="s">
        <v>1624</v>
      </c>
      <c r="G539" s="62">
        <v>2112</v>
      </c>
      <c r="H539" s="19" t="s">
        <v>1625</v>
      </c>
      <c r="I539" s="19" t="s">
        <v>1627</v>
      </c>
      <c r="J539" s="86">
        <v>1</v>
      </c>
      <c r="K539" s="19" t="s">
        <v>271</v>
      </c>
      <c r="L539" s="19" t="s">
        <v>186</v>
      </c>
      <c r="M539" s="19" t="s">
        <v>1628</v>
      </c>
      <c r="N539" s="42">
        <v>44874</v>
      </c>
      <c r="O539" s="19"/>
      <c r="P539" s="19"/>
      <c r="Q539" s="73">
        <v>112739000</v>
      </c>
      <c r="R539" s="19"/>
      <c r="S539" s="19"/>
      <c r="T539" s="19"/>
      <c r="U539" s="19"/>
      <c r="V539" s="74">
        <v>112739000</v>
      </c>
      <c r="W539" s="75"/>
      <c r="X539" s="64">
        <v>112739000</v>
      </c>
      <c r="Y539" s="19"/>
      <c r="Z539" s="19"/>
      <c r="AA539" s="128"/>
      <c r="AB539" s="19"/>
      <c r="AC539" s="64">
        <v>112739000</v>
      </c>
      <c r="AD539" s="63">
        <v>44875</v>
      </c>
      <c r="AE539" s="65">
        <v>47431</v>
      </c>
      <c r="AF539" s="19">
        <v>7</v>
      </c>
      <c r="AG539" s="19">
        <v>84</v>
      </c>
      <c r="AH539" s="25">
        <v>1342130.9523809524</v>
      </c>
      <c r="AI539" s="92">
        <v>18387194.142857138</v>
      </c>
      <c r="AJ539" s="92">
        <v>94351805.857142866</v>
      </c>
      <c r="AK539" s="27">
        <f t="shared" si="160"/>
        <v>1342130.9523809524</v>
      </c>
      <c r="AL539" s="27">
        <f t="shared" si="164"/>
        <v>1342130.9523809524</v>
      </c>
      <c r="AM539" s="27">
        <f t="shared" si="164"/>
        <v>1342130.9523809524</v>
      </c>
      <c r="AN539" s="27">
        <f t="shared" si="152"/>
        <v>1342130.9523809524</v>
      </c>
      <c r="AO539" s="27">
        <f t="shared" si="153"/>
        <v>1342130.9523809524</v>
      </c>
      <c r="AP539" s="27">
        <f t="shared" si="153"/>
        <v>1342130.9523809524</v>
      </c>
      <c r="AQ539" s="27">
        <f t="shared" si="154"/>
        <v>1342130.9523809524</v>
      </c>
      <c r="AR539" s="27">
        <f t="shared" si="155"/>
        <v>1342130.9523809524</v>
      </c>
      <c r="AS539" s="27"/>
      <c r="AT539" s="27"/>
      <c r="AU539" s="27"/>
      <c r="AV539" s="27"/>
      <c r="AW539" s="27">
        <f t="shared" si="157"/>
        <v>10737047.619047619</v>
      </c>
      <c r="AX539" s="79">
        <f t="shared" si="161"/>
        <v>83614758.238095254</v>
      </c>
      <c r="AY539" s="79">
        <f t="shared" si="162"/>
        <v>29124241.761904757</v>
      </c>
      <c r="AZ539" s="25">
        <v>1</v>
      </c>
      <c r="BA539" s="62" t="s">
        <v>97</v>
      </c>
      <c r="BB539" s="66"/>
      <c r="BC539" s="66">
        <v>1</v>
      </c>
      <c r="BD539" s="66"/>
      <c r="BE539" s="67">
        <f t="shared" si="165"/>
        <v>0</v>
      </c>
      <c r="BF539" s="67">
        <f t="shared" si="156"/>
        <v>1342130.9523809524</v>
      </c>
      <c r="BG539" s="67">
        <f t="shared" si="163"/>
        <v>0</v>
      </c>
      <c r="BH539" s="62" t="s">
        <v>1668</v>
      </c>
      <c r="BI539" s="19" t="s">
        <v>1624</v>
      </c>
      <c r="BJ539" s="68" t="s">
        <v>1438</v>
      </c>
      <c r="BK539" s="68" t="s">
        <v>1438</v>
      </c>
      <c r="BM539" s="1" t="s">
        <v>1886</v>
      </c>
      <c r="BN539" s="1" t="s">
        <v>1666</v>
      </c>
      <c r="BO539" s="35" t="s">
        <v>1804</v>
      </c>
    </row>
    <row r="540" spans="3:68" ht="15" customHeight="1">
      <c r="C540" s="1" t="str">
        <f t="shared" si="158"/>
        <v>3211</v>
      </c>
      <c r="D540" s="1" t="str">
        <f t="shared" si="159"/>
        <v>2211</v>
      </c>
      <c r="E540" s="19" t="s">
        <v>1623</v>
      </c>
      <c r="F540" s="19" t="s">
        <v>1624</v>
      </c>
      <c r="G540" s="62">
        <v>2112</v>
      </c>
      <c r="H540" s="19" t="s">
        <v>1626</v>
      </c>
      <c r="I540" s="19" t="s">
        <v>1629</v>
      </c>
      <c r="J540" s="86">
        <v>1</v>
      </c>
      <c r="K540" s="19" t="s">
        <v>271</v>
      </c>
      <c r="L540" s="19" t="s">
        <v>186</v>
      </c>
      <c r="M540" s="19" t="s">
        <v>1628</v>
      </c>
      <c r="N540" s="42">
        <v>44874</v>
      </c>
      <c r="O540" s="19"/>
      <c r="P540" s="19"/>
      <c r="Q540" s="73">
        <v>997000000</v>
      </c>
      <c r="R540" s="19"/>
      <c r="S540" s="19"/>
      <c r="T540" s="19"/>
      <c r="U540" s="19"/>
      <c r="V540" s="74">
        <v>997000000</v>
      </c>
      <c r="W540" s="75"/>
      <c r="X540" s="64">
        <v>997000000</v>
      </c>
      <c r="Y540" s="19"/>
      <c r="Z540" s="19"/>
      <c r="AA540" s="128"/>
      <c r="AB540" s="19"/>
      <c r="AC540" s="64">
        <v>997000000</v>
      </c>
      <c r="AD540" s="63">
        <v>44875</v>
      </c>
      <c r="AE540" s="65">
        <v>48527</v>
      </c>
      <c r="AF540" s="19">
        <v>10</v>
      </c>
      <c r="AG540" s="19">
        <v>120</v>
      </c>
      <c r="AH540" s="25">
        <v>8308333.333333333</v>
      </c>
      <c r="AI540" s="92">
        <v>113824166</v>
      </c>
      <c r="AJ540" s="92">
        <v>883175834</v>
      </c>
      <c r="AK540" s="27">
        <f t="shared" si="160"/>
        <v>8308333.333333333</v>
      </c>
      <c r="AL540" s="27">
        <f t="shared" si="164"/>
        <v>8308333.333333333</v>
      </c>
      <c r="AM540" s="27">
        <f t="shared" si="164"/>
        <v>8308333.333333333</v>
      </c>
      <c r="AN540" s="27">
        <f t="shared" si="152"/>
        <v>8308333.333333333</v>
      </c>
      <c r="AO540" s="27">
        <f t="shared" si="153"/>
        <v>8308333.333333333</v>
      </c>
      <c r="AP540" s="27">
        <f t="shared" si="153"/>
        <v>8308333.333333333</v>
      </c>
      <c r="AQ540" s="27">
        <f t="shared" si="154"/>
        <v>8308333.333333333</v>
      </c>
      <c r="AR540" s="27">
        <f t="shared" si="155"/>
        <v>8308333.333333333</v>
      </c>
      <c r="AS540" s="27"/>
      <c r="AT540" s="27"/>
      <c r="AU540" s="27"/>
      <c r="AV540" s="27"/>
      <c r="AW540" s="27">
        <f t="shared" si="157"/>
        <v>66466666.666666672</v>
      </c>
      <c r="AX540" s="79">
        <f t="shared" si="161"/>
        <v>816709167.33333337</v>
      </c>
      <c r="AY540" s="79">
        <f t="shared" si="162"/>
        <v>180290832.66666669</v>
      </c>
      <c r="AZ540" s="25">
        <v>1</v>
      </c>
      <c r="BA540" s="62" t="s">
        <v>97</v>
      </c>
      <c r="BB540" s="66"/>
      <c r="BC540" s="66">
        <v>1</v>
      </c>
      <c r="BD540" s="66"/>
      <c r="BE540" s="67">
        <f t="shared" si="165"/>
        <v>0</v>
      </c>
      <c r="BF540" s="67">
        <f t="shared" si="156"/>
        <v>8308333.333333333</v>
      </c>
      <c r="BG540" s="67">
        <f t="shared" si="163"/>
        <v>0</v>
      </c>
      <c r="BH540" s="62" t="s">
        <v>1668</v>
      </c>
      <c r="BI540" s="19" t="s">
        <v>1624</v>
      </c>
      <c r="BJ540" s="68" t="s">
        <v>1438</v>
      </c>
      <c r="BK540" s="68" t="s">
        <v>1438</v>
      </c>
      <c r="BM540" s="1" t="s">
        <v>1886</v>
      </c>
      <c r="BN540" s="1" t="s">
        <v>1666</v>
      </c>
      <c r="BO540" s="35" t="s">
        <v>1804</v>
      </c>
    </row>
    <row r="541" spans="3:68" ht="15" customHeight="1">
      <c r="C541" s="1" t="str">
        <f t="shared" si="158"/>
        <v>2911</v>
      </c>
      <c r="D541" s="1" t="str">
        <f t="shared" si="159"/>
        <v>2212</v>
      </c>
      <c r="E541" s="19" t="s">
        <v>1652</v>
      </c>
      <c r="F541" s="19" t="s">
        <v>49</v>
      </c>
      <c r="G541" s="62">
        <v>2112</v>
      </c>
      <c r="H541" s="19" t="s">
        <v>1630</v>
      </c>
      <c r="I541" s="19" t="s">
        <v>1631</v>
      </c>
      <c r="J541" s="86">
        <v>1</v>
      </c>
      <c r="K541" s="19" t="s">
        <v>619</v>
      </c>
      <c r="L541" s="19" t="s">
        <v>77</v>
      </c>
      <c r="M541" s="19" t="s">
        <v>1632</v>
      </c>
      <c r="N541" s="42">
        <v>44868</v>
      </c>
      <c r="O541" s="70">
        <v>27755</v>
      </c>
      <c r="P541" s="70">
        <v>24877</v>
      </c>
      <c r="Q541" s="73">
        <v>690461135</v>
      </c>
      <c r="R541" s="19"/>
      <c r="S541" s="19"/>
      <c r="T541" s="70">
        <v>27166000</v>
      </c>
      <c r="U541" s="19" t="s">
        <v>1634</v>
      </c>
      <c r="V541" s="74">
        <v>717627135</v>
      </c>
      <c r="W541" s="75"/>
      <c r="X541" s="64">
        <v>717627135</v>
      </c>
      <c r="Y541" s="19"/>
      <c r="Z541" s="19"/>
      <c r="AA541" s="128"/>
      <c r="AB541" s="19"/>
      <c r="AC541" s="64">
        <v>717627135</v>
      </c>
      <c r="AD541" s="63">
        <v>44896</v>
      </c>
      <c r="AE541" s="65">
        <v>47452</v>
      </c>
      <c r="AF541" s="19">
        <v>7</v>
      </c>
      <c r="AG541" s="19">
        <v>84</v>
      </c>
      <c r="AH541" s="25">
        <v>8543180.1785714291</v>
      </c>
      <c r="AI541" s="92">
        <v>111061341.96428575</v>
      </c>
      <c r="AJ541" s="92">
        <v>606565793.03571427</v>
      </c>
      <c r="AK541" s="27">
        <f t="shared" si="160"/>
        <v>8543180.1785714291</v>
      </c>
      <c r="AL541" s="27">
        <f t="shared" si="164"/>
        <v>8543180.1785714291</v>
      </c>
      <c r="AM541" s="27">
        <f t="shared" si="164"/>
        <v>8543180.1785714291</v>
      </c>
      <c r="AN541" s="27">
        <f t="shared" si="152"/>
        <v>8543180.1785714291</v>
      </c>
      <c r="AO541" s="27">
        <f t="shared" si="153"/>
        <v>8543180.1785714291</v>
      </c>
      <c r="AP541" s="27">
        <f t="shared" si="153"/>
        <v>8543180.1785714291</v>
      </c>
      <c r="AQ541" s="27">
        <f t="shared" si="154"/>
        <v>8543180.1785714291</v>
      </c>
      <c r="AR541" s="27">
        <f t="shared" si="155"/>
        <v>8543180.1785714291</v>
      </c>
      <c r="AS541" s="27"/>
      <c r="AT541" s="27"/>
      <c r="AU541" s="27"/>
      <c r="AV541" s="27"/>
      <c r="AW541" s="27">
        <f t="shared" si="157"/>
        <v>68345441.428571448</v>
      </c>
      <c r="AX541" s="79">
        <f t="shared" si="161"/>
        <v>538220351.60714281</v>
      </c>
      <c r="AY541" s="79">
        <f t="shared" si="162"/>
        <v>179406783.39285719</v>
      </c>
      <c r="AZ541" s="25">
        <v>1</v>
      </c>
      <c r="BA541" s="62" t="s">
        <v>97</v>
      </c>
      <c r="BB541" s="66">
        <v>1</v>
      </c>
      <c r="BC541" s="19"/>
      <c r="BD541" s="19"/>
      <c r="BE541" s="67">
        <f t="shared" si="165"/>
        <v>8543180.1785714291</v>
      </c>
      <c r="BF541" s="67">
        <f t="shared" si="156"/>
        <v>0</v>
      </c>
      <c r="BG541" s="67">
        <f t="shared" si="163"/>
        <v>0</v>
      </c>
      <c r="BH541" s="19"/>
      <c r="BI541" s="19" t="s">
        <v>57</v>
      </c>
      <c r="BJ541" s="68" t="s">
        <v>624</v>
      </c>
      <c r="BK541" s="68" t="s">
        <v>624</v>
      </c>
      <c r="BO541" s="35" t="s">
        <v>1805</v>
      </c>
    </row>
    <row r="542" spans="3:68" ht="15" customHeight="1">
      <c r="C542" s="1" t="str">
        <f t="shared" si="158"/>
        <v>2912</v>
      </c>
      <c r="D542" s="1" t="str">
        <f t="shared" si="159"/>
        <v>2212</v>
      </c>
      <c r="E542" s="19" t="s">
        <v>1652</v>
      </c>
      <c r="F542" s="19" t="s">
        <v>515</v>
      </c>
      <c r="G542" s="62">
        <v>2112</v>
      </c>
      <c r="H542" s="19" t="s">
        <v>1635</v>
      </c>
      <c r="I542" s="19" t="s">
        <v>1636</v>
      </c>
      <c r="J542" s="86">
        <v>1</v>
      </c>
      <c r="K542" s="19" t="s">
        <v>619</v>
      </c>
      <c r="L542" s="19" t="s">
        <v>1637</v>
      </c>
      <c r="M542" s="19" t="s">
        <v>1638</v>
      </c>
      <c r="N542" s="42">
        <v>44893</v>
      </c>
      <c r="O542" s="70">
        <v>21400</v>
      </c>
      <c r="P542" s="70">
        <v>24860</v>
      </c>
      <c r="Q542" s="73">
        <v>532004000</v>
      </c>
      <c r="R542" s="19"/>
      <c r="S542" s="19"/>
      <c r="T542" s="70">
        <v>4326600</v>
      </c>
      <c r="U542" s="19" t="s">
        <v>1640</v>
      </c>
      <c r="V542" s="74">
        <v>536330600</v>
      </c>
      <c r="W542" s="75"/>
      <c r="X542" s="64">
        <v>536330600</v>
      </c>
      <c r="Y542" s="19"/>
      <c r="Z542" s="19"/>
      <c r="AA542" s="128"/>
      <c r="AB542" s="19"/>
      <c r="AC542" s="64">
        <v>536330600</v>
      </c>
      <c r="AD542" s="63">
        <v>44901</v>
      </c>
      <c r="AE542" s="65">
        <v>47457</v>
      </c>
      <c r="AF542" s="19">
        <v>7</v>
      </c>
      <c r="AG542" s="19">
        <v>84</v>
      </c>
      <c r="AH542" s="25">
        <v>6384888.0952380951</v>
      </c>
      <c r="AI542" s="92">
        <v>81973724.387096778</v>
      </c>
      <c r="AJ542" s="92">
        <v>454356875.61290324</v>
      </c>
      <c r="AK542" s="27">
        <f t="shared" si="160"/>
        <v>6384888.0952380951</v>
      </c>
      <c r="AL542" s="27">
        <f t="shared" si="164"/>
        <v>6384888.0952380951</v>
      </c>
      <c r="AM542" s="27">
        <f t="shared" si="164"/>
        <v>6384888.0952380951</v>
      </c>
      <c r="AN542" s="27">
        <f t="shared" si="152"/>
        <v>6384888.0952380951</v>
      </c>
      <c r="AO542" s="27">
        <f t="shared" si="153"/>
        <v>6384888.0952380951</v>
      </c>
      <c r="AP542" s="27">
        <f t="shared" si="153"/>
        <v>6384888.0952380951</v>
      </c>
      <c r="AQ542" s="27">
        <f t="shared" si="154"/>
        <v>6384888.0952380951</v>
      </c>
      <c r="AR542" s="27">
        <f t="shared" si="155"/>
        <v>6384888.0952380951</v>
      </c>
      <c r="AS542" s="27"/>
      <c r="AT542" s="27"/>
      <c r="AU542" s="27"/>
      <c r="AV542" s="27"/>
      <c r="AW542" s="27">
        <f t="shared" si="157"/>
        <v>51079104.761904769</v>
      </c>
      <c r="AX542" s="79">
        <f t="shared" si="161"/>
        <v>403277770.85099846</v>
      </c>
      <c r="AY542" s="79">
        <f t="shared" si="162"/>
        <v>133052829.14900154</v>
      </c>
      <c r="AZ542" s="25">
        <v>1</v>
      </c>
      <c r="BA542" s="62" t="s">
        <v>97</v>
      </c>
      <c r="BB542" s="66">
        <v>1</v>
      </c>
      <c r="BC542" s="19"/>
      <c r="BD542" s="19"/>
      <c r="BE542" s="67">
        <f t="shared" si="165"/>
        <v>6384888.0952380951</v>
      </c>
      <c r="BF542" s="67">
        <f t="shared" si="156"/>
        <v>0</v>
      </c>
      <c r="BG542" s="67">
        <f t="shared" si="163"/>
        <v>0</v>
      </c>
      <c r="BH542" s="19"/>
      <c r="BI542" s="19" t="s">
        <v>1649</v>
      </c>
      <c r="BJ542" s="19" t="s">
        <v>644</v>
      </c>
      <c r="BK542" s="19" t="s">
        <v>644</v>
      </c>
      <c r="BO542" s="35" t="s">
        <v>1802</v>
      </c>
    </row>
    <row r="543" spans="3:68" ht="15" customHeight="1">
      <c r="C543" s="1" t="str">
        <f t="shared" si="158"/>
        <v>2712</v>
      </c>
      <c r="D543" s="1" t="str">
        <f t="shared" si="159"/>
        <v>2212</v>
      </c>
      <c r="E543" s="19" t="s">
        <v>1652</v>
      </c>
      <c r="F543" s="19" t="s">
        <v>515</v>
      </c>
      <c r="G543" s="62">
        <v>2112</v>
      </c>
      <c r="H543" s="19" t="s">
        <v>1641</v>
      </c>
      <c r="I543" s="19" t="s">
        <v>1642</v>
      </c>
      <c r="J543" s="86">
        <v>1</v>
      </c>
      <c r="K543" s="19" t="s">
        <v>619</v>
      </c>
      <c r="L543" s="19" t="s">
        <v>1643</v>
      </c>
      <c r="M543" s="19" t="s">
        <v>1644</v>
      </c>
      <c r="N543" s="42">
        <v>44910</v>
      </c>
      <c r="O543" s="19"/>
      <c r="P543" s="19"/>
      <c r="Q543" s="73">
        <v>139510000</v>
      </c>
      <c r="R543" s="19"/>
      <c r="S543" s="19"/>
      <c r="T543" s="19"/>
      <c r="U543" s="19"/>
      <c r="V543" s="74">
        <v>139510000</v>
      </c>
      <c r="W543" s="75"/>
      <c r="X543" s="64">
        <v>139510000</v>
      </c>
      <c r="Y543" s="19"/>
      <c r="Z543" s="19"/>
      <c r="AA543" s="128"/>
      <c r="AB543" s="19"/>
      <c r="AC543" s="64">
        <v>139510000</v>
      </c>
      <c r="AD543" s="63">
        <v>44911</v>
      </c>
      <c r="AE543" s="65">
        <v>46736</v>
      </c>
      <c r="AF543" s="19">
        <v>5</v>
      </c>
      <c r="AG543" s="19">
        <v>60</v>
      </c>
      <c r="AH543" s="25">
        <v>2325166.6666666665</v>
      </c>
      <c r="AI543" s="92">
        <v>29102086.688172042</v>
      </c>
      <c r="AJ543" s="92">
        <v>110407913.31182794</v>
      </c>
      <c r="AK543" s="27">
        <f t="shared" si="160"/>
        <v>2325166.6666666665</v>
      </c>
      <c r="AL543" s="27">
        <f t="shared" si="164"/>
        <v>2325166.6666666665</v>
      </c>
      <c r="AM543" s="27">
        <f t="shared" si="164"/>
        <v>2325166.6666666665</v>
      </c>
      <c r="AN543" s="27">
        <f t="shared" ref="AN543:AN606" si="166">+IF(AND(AN$3&gt;=$D543,AN$3&lt;$C543),$AH543,$AJ543-SUM(AL543:AM543))</f>
        <v>2325166.6666666665</v>
      </c>
      <c r="AO543" s="27">
        <f t="shared" ref="AO543:AP606" si="167">+IF(AND(AO$3&gt;=$D543,AO$3&lt;$C543),$AH543,$AJ543-SUM(AM543:AN543))</f>
        <v>2325166.6666666665</v>
      </c>
      <c r="AP543" s="27">
        <f t="shared" si="167"/>
        <v>2325166.6666666665</v>
      </c>
      <c r="AQ543" s="27">
        <f t="shared" ref="AQ543:AQ606" si="168">+IF(AND(AQ$3&gt;=$D543,AQ$3&lt;$C543),$AH543,$AJ543-SUM(AK543:AP543))</f>
        <v>2325166.6666666665</v>
      </c>
      <c r="AR543" s="27">
        <f t="shared" ref="AR543:AR606" si="169">+IF(AND(AR$3&gt;=$D543,AR$3&lt;$C543),$AH543,$AJ543-SUM(AL543:AQ543))</f>
        <v>2325166.6666666665</v>
      </c>
      <c r="AS543" s="27"/>
      <c r="AT543" s="27"/>
      <c r="AU543" s="27"/>
      <c r="AV543" s="27"/>
      <c r="AW543" s="27">
        <f t="shared" si="157"/>
        <v>18601333.333333332</v>
      </c>
      <c r="AX543" s="79">
        <f t="shared" si="161"/>
        <v>91806579.978494629</v>
      </c>
      <c r="AY543" s="79">
        <f t="shared" si="162"/>
        <v>47703420.021505371</v>
      </c>
      <c r="AZ543" s="25">
        <v>1</v>
      </c>
      <c r="BA543" s="62" t="s">
        <v>97</v>
      </c>
      <c r="BB543" s="66">
        <v>1</v>
      </c>
      <c r="BC543" s="19"/>
      <c r="BD543" s="19"/>
      <c r="BE543" s="67">
        <f t="shared" si="165"/>
        <v>2325166.6666666665</v>
      </c>
      <c r="BF543" s="67">
        <f t="shared" ref="BF543:BF606" si="170">+$AM543*BC543</f>
        <v>0</v>
      </c>
      <c r="BG543" s="67">
        <f t="shared" si="163"/>
        <v>0</v>
      </c>
      <c r="BH543" s="19"/>
      <c r="BI543" s="19" t="s">
        <v>1650</v>
      </c>
      <c r="BJ543" s="19" t="s">
        <v>58</v>
      </c>
      <c r="BK543" s="19" t="s">
        <v>59</v>
      </c>
      <c r="BO543" s="35" t="s">
        <v>1799</v>
      </c>
    </row>
    <row r="544" spans="3:68" ht="15" customHeight="1">
      <c r="C544" s="1" t="str">
        <f t="shared" si="158"/>
        <v>2912</v>
      </c>
      <c r="D544" s="1" t="str">
        <f t="shared" si="159"/>
        <v>2212</v>
      </c>
      <c r="E544" s="19" t="s">
        <v>1652</v>
      </c>
      <c r="F544" s="19" t="s">
        <v>515</v>
      </c>
      <c r="G544" s="62">
        <v>2112</v>
      </c>
      <c r="H544" s="19" t="s">
        <v>1645</v>
      </c>
      <c r="I544" s="19" t="s">
        <v>1646</v>
      </c>
      <c r="J544" s="86">
        <v>1</v>
      </c>
      <c r="K544" s="19" t="s">
        <v>619</v>
      </c>
      <c r="L544" s="19" t="s">
        <v>1647</v>
      </c>
      <c r="M544" s="19" t="s">
        <v>1648</v>
      </c>
      <c r="N544" s="42">
        <v>44902</v>
      </c>
      <c r="O544" s="19"/>
      <c r="P544" s="19"/>
      <c r="Q544" s="73">
        <v>700000000</v>
      </c>
      <c r="R544" s="19"/>
      <c r="S544" s="19"/>
      <c r="T544" s="19"/>
      <c r="U544" s="19"/>
      <c r="V544" s="74">
        <v>700000000</v>
      </c>
      <c r="W544" s="75"/>
      <c r="X544" s="64">
        <v>700000000</v>
      </c>
      <c r="Y544" s="19"/>
      <c r="Z544" s="19"/>
      <c r="AA544" s="128"/>
      <c r="AB544" s="19"/>
      <c r="AC544" s="64">
        <v>700000000</v>
      </c>
      <c r="AD544" s="63">
        <v>44903</v>
      </c>
      <c r="AE544" s="65">
        <v>47459</v>
      </c>
      <c r="AF544" s="19">
        <v>7</v>
      </c>
      <c r="AG544" s="19">
        <v>84</v>
      </c>
      <c r="AH544" s="25">
        <v>8333333.333333333</v>
      </c>
      <c r="AI544" s="92">
        <v>106451612.23655914</v>
      </c>
      <c r="AJ544" s="92">
        <v>593548387.76344085</v>
      </c>
      <c r="AK544" s="27">
        <f t="shared" si="160"/>
        <v>8333333.333333333</v>
      </c>
      <c r="AL544" s="27">
        <f t="shared" si="164"/>
        <v>8333333.333333333</v>
      </c>
      <c r="AM544" s="27">
        <f t="shared" si="164"/>
        <v>8333333.333333333</v>
      </c>
      <c r="AN544" s="27">
        <f t="shared" si="166"/>
        <v>8333333.333333333</v>
      </c>
      <c r="AO544" s="27">
        <f t="shared" si="167"/>
        <v>8333333.333333333</v>
      </c>
      <c r="AP544" s="27">
        <f t="shared" si="167"/>
        <v>8333333.333333333</v>
      </c>
      <c r="AQ544" s="27">
        <f t="shared" si="168"/>
        <v>8333333.333333333</v>
      </c>
      <c r="AR544" s="27">
        <f t="shared" si="169"/>
        <v>8333333.333333333</v>
      </c>
      <c r="AS544" s="27"/>
      <c r="AT544" s="27"/>
      <c r="AU544" s="27"/>
      <c r="AV544" s="27"/>
      <c r="AW544" s="27">
        <f t="shared" si="157"/>
        <v>66666666.666666672</v>
      </c>
      <c r="AX544" s="79">
        <f t="shared" si="161"/>
        <v>526881721.09677416</v>
      </c>
      <c r="AY544" s="79">
        <f t="shared" si="162"/>
        <v>173118278.90322581</v>
      </c>
      <c r="AZ544" s="25">
        <v>1</v>
      </c>
      <c r="BA544" s="62" t="s">
        <v>97</v>
      </c>
      <c r="BB544" s="66">
        <v>1</v>
      </c>
      <c r="BC544" s="19"/>
      <c r="BD544" s="19"/>
      <c r="BE544" s="67">
        <f t="shared" si="165"/>
        <v>8333333.333333333</v>
      </c>
      <c r="BF544" s="67">
        <f t="shared" si="170"/>
        <v>0</v>
      </c>
      <c r="BG544" s="67">
        <f t="shared" si="163"/>
        <v>0</v>
      </c>
      <c r="BH544" s="19"/>
      <c r="BI544" s="19" t="s">
        <v>1651</v>
      </c>
      <c r="BJ544" s="19" t="s">
        <v>644</v>
      </c>
      <c r="BK544" s="19" t="s">
        <v>644</v>
      </c>
      <c r="BO544" s="35" t="s">
        <v>1799</v>
      </c>
    </row>
    <row r="545" spans="3:67" ht="15" customHeight="1">
      <c r="C545" s="1" t="str">
        <f t="shared" si="158"/>
        <v>2912</v>
      </c>
      <c r="D545" s="1" t="str">
        <f t="shared" si="159"/>
        <v>2301</v>
      </c>
      <c r="E545" s="19" t="s">
        <v>1654</v>
      </c>
      <c r="F545" s="19" t="s">
        <v>515</v>
      </c>
      <c r="G545" s="62">
        <v>2112</v>
      </c>
      <c r="H545" s="19" t="s">
        <v>1655</v>
      </c>
      <c r="I545" s="19" t="s">
        <v>1656</v>
      </c>
      <c r="J545" s="86">
        <v>1</v>
      </c>
      <c r="K545" s="19" t="s">
        <v>619</v>
      </c>
      <c r="L545" s="19" t="s">
        <v>760</v>
      </c>
      <c r="M545" s="19" t="s">
        <v>1657</v>
      </c>
      <c r="N545" s="42">
        <v>44917</v>
      </c>
      <c r="O545" s="70">
        <v>6000</v>
      </c>
      <c r="P545" s="70">
        <v>24877</v>
      </c>
      <c r="Q545" s="73">
        <v>149262000</v>
      </c>
      <c r="R545" s="144">
        <v>14131420</v>
      </c>
      <c r="S545" s="19"/>
      <c r="T545" s="19">
        <v>5592010</v>
      </c>
      <c r="U545" s="19" t="s">
        <v>1659</v>
      </c>
      <c r="V545" s="74">
        <v>168985430</v>
      </c>
      <c r="W545" s="75"/>
      <c r="X545" s="64">
        <v>168985430</v>
      </c>
      <c r="Y545" s="19"/>
      <c r="Z545" s="19"/>
      <c r="AA545" s="128"/>
      <c r="AB545" s="19"/>
      <c r="AC545" s="64">
        <v>168985430</v>
      </c>
      <c r="AD545" s="63">
        <v>44927</v>
      </c>
      <c r="AE545" s="65">
        <v>47483</v>
      </c>
      <c r="AF545" s="19">
        <v>7</v>
      </c>
      <c r="AG545" s="19">
        <v>84</v>
      </c>
      <c r="AH545" s="25">
        <v>2011731.3095238095</v>
      </c>
      <c r="AI545" s="92">
        <v>24140775.714285713</v>
      </c>
      <c r="AJ545" s="92">
        <v>144844654.2857143</v>
      </c>
      <c r="AK545" s="27">
        <f t="shared" si="160"/>
        <v>2011731.3095238095</v>
      </c>
      <c r="AL545" s="27">
        <f t="shared" si="164"/>
        <v>2011731.3095238095</v>
      </c>
      <c r="AM545" s="27">
        <f t="shared" si="164"/>
        <v>2011731.3095238095</v>
      </c>
      <c r="AN545" s="27">
        <f t="shared" si="166"/>
        <v>2011731.3095238095</v>
      </c>
      <c r="AO545" s="27">
        <f t="shared" si="167"/>
        <v>2011731.3095238095</v>
      </c>
      <c r="AP545" s="27">
        <f t="shared" si="167"/>
        <v>2011731.3095238095</v>
      </c>
      <c r="AQ545" s="27">
        <f t="shared" si="168"/>
        <v>2011731.3095238095</v>
      </c>
      <c r="AR545" s="27">
        <f t="shared" si="169"/>
        <v>2011731.3095238095</v>
      </c>
      <c r="AS545" s="27"/>
      <c r="AT545" s="27"/>
      <c r="AU545" s="27"/>
      <c r="AV545" s="27"/>
      <c r="AW545" s="27">
        <f t="shared" ref="AW545:AW551" si="171">+SUM(AK545:AV545)</f>
        <v>16093850.476190476</v>
      </c>
      <c r="AX545" s="79">
        <f t="shared" si="161"/>
        <v>128750803.80952382</v>
      </c>
      <c r="AY545" s="79">
        <f t="shared" si="162"/>
        <v>40234626.190476187</v>
      </c>
      <c r="AZ545" s="25">
        <v>1</v>
      </c>
      <c r="BA545" s="62" t="s">
        <v>97</v>
      </c>
      <c r="BB545" s="25">
        <v>1</v>
      </c>
      <c r="BC545" s="62"/>
      <c r="BD545" s="66"/>
      <c r="BE545" s="67">
        <f t="shared" si="165"/>
        <v>2011731.3095238095</v>
      </c>
      <c r="BF545" s="67">
        <f t="shared" si="170"/>
        <v>0</v>
      </c>
      <c r="BG545" s="67">
        <f t="shared" si="163"/>
        <v>0</v>
      </c>
      <c r="BH545" s="67"/>
      <c r="BI545" s="19" t="s">
        <v>1660</v>
      </c>
      <c r="BJ545" s="19" t="s">
        <v>58</v>
      </c>
      <c r="BK545" s="19" t="s">
        <v>1563</v>
      </c>
      <c r="BO545" s="35" t="s">
        <v>1804</v>
      </c>
    </row>
    <row r="546" spans="3:67" ht="15" customHeight="1">
      <c r="C546" s="1" t="str">
        <f t="shared" si="158"/>
        <v>3002</v>
      </c>
      <c r="D546" s="1" t="str">
        <f t="shared" si="159"/>
        <v>2303</v>
      </c>
      <c r="E546" s="19" t="s">
        <v>1673</v>
      </c>
      <c r="F546" s="19" t="s">
        <v>1624</v>
      </c>
      <c r="G546" s="62">
        <v>2112</v>
      </c>
      <c r="H546" s="19" t="s">
        <v>1674</v>
      </c>
      <c r="I546" s="19" t="s">
        <v>1675</v>
      </c>
      <c r="J546" s="86">
        <v>1</v>
      </c>
      <c r="K546" s="19" t="s">
        <v>619</v>
      </c>
      <c r="L546" s="19" t="s">
        <v>1637</v>
      </c>
      <c r="M546" s="142" t="s">
        <v>1676</v>
      </c>
      <c r="N546" s="42">
        <v>44978</v>
      </c>
      <c r="O546" s="70">
        <v>53700</v>
      </c>
      <c r="P546" s="70">
        <v>23669</v>
      </c>
      <c r="Q546" s="73">
        <f>+P546*O546</f>
        <v>1271025300</v>
      </c>
      <c r="R546" s="144"/>
      <c r="S546" s="19"/>
      <c r="T546" s="19">
        <v>16454047</v>
      </c>
      <c r="U546" s="19" t="s">
        <v>1678</v>
      </c>
      <c r="V546" s="74">
        <v>1287479347</v>
      </c>
      <c r="W546" s="75"/>
      <c r="X546" s="64">
        <v>1287479347</v>
      </c>
      <c r="Y546" s="19"/>
      <c r="Z546" s="19"/>
      <c r="AA546" s="128"/>
      <c r="AB546" s="19"/>
      <c r="AC546" s="64">
        <v>1287479347</v>
      </c>
      <c r="AD546" s="63">
        <v>44986</v>
      </c>
      <c r="AE546" s="65">
        <v>47542</v>
      </c>
      <c r="AF546" s="19">
        <v>7</v>
      </c>
      <c r="AG546" s="19">
        <v>84</v>
      </c>
      <c r="AH546" s="25">
        <v>15327135</v>
      </c>
      <c r="AI546" s="92">
        <v>153271350</v>
      </c>
      <c r="AJ546" s="92">
        <v>1134207997</v>
      </c>
      <c r="AK546" s="27">
        <f t="shared" si="160"/>
        <v>15327135</v>
      </c>
      <c r="AL546" s="27">
        <f t="shared" si="164"/>
        <v>15327135</v>
      </c>
      <c r="AM546" s="27">
        <f t="shared" si="164"/>
        <v>15327135</v>
      </c>
      <c r="AN546" s="27">
        <f t="shared" si="166"/>
        <v>15327135</v>
      </c>
      <c r="AO546" s="27">
        <f t="shared" si="167"/>
        <v>15327135</v>
      </c>
      <c r="AP546" s="27">
        <f t="shared" si="167"/>
        <v>15327135</v>
      </c>
      <c r="AQ546" s="27">
        <f t="shared" si="168"/>
        <v>15327135</v>
      </c>
      <c r="AR546" s="27">
        <f t="shared" si="169"/>
        <v>15327135</v>
      </c>
      <c r="AS546" s="27"/>
      <c r="AT546" s="27"/>
      <c r="AU546" s="27"/>
      <c r="AV546" s="27"/>
      <c r="AW546" s="27">
        <f t="shared" si="171"/>
        <v>122617080</v>
      </c>
      <c r="AX546" s="79">
        <f t="shared" si="161"/>
        <v>1011590917</v>
      </c>
      <c r="AY546" s="79">
        <f t="shared" si="162"/>
        <v>275888430</v>
      </c>
      <c r="AZ546" s="25">
        <v>1</v>
      </c>
      <c r="BA546" s="62" t="s">
        <v>97</v>
      </c>
      <c r="BB546" s="25"/>
      <c r="BC546" s="25">
        <v>1</v>
      </c>
      <c r="BD546" s="66"/>
      <c r="BE546" s="67">
        <f t="shared" si="165"/>
        <v>0</v>
      </c>
      <c r="BF546" s="67">
        <f t="shared" si="170"/>
        <v>15327135</v>
      </c>
      <c r="BG546" s="67">
        <f t="shared" si="163"/>
        <v>0</v>
      </c>
      <c r="BH546" s="67"/>
      <c r="BI546" s="19" t="s">
        <v>1624</v>
      </c>
      <c r="BJ546" s="68" t="s">
        <v>1438</v>
      </c>
      <c r="BK546" s="68" t="s">
        <v>1438</v>
      </c>
      <c r="BL546" s="19"/>
      <c r="BO546" s="35" t="s">
        <v>1804</v>
      </c>
    </row>
    <row r="547" spans="3:67" ht="15" customHeight="1">
      <c r="C547" s="1" t="str">
        <f t="shared" si="158"/>
        <v>3003</v>
      </c>
      <c r="D547" s="1" t="str">
        <f t="shared" si="159"/>
        <v>2304</v>
      </c>
      <c r="E547" s="19" t="s">
        <v>1700</v>
      </c>
      <c r="F547" s="19" t="s">
        <v>1701</v>
      </c>
      <c r="G547" s="62">
        <v>2112</v>
      </c>
      <c r="H547" s="19" t="s">
        <v>1680</v>
      </c>
      <c r="I547" s="19" t="s">
        <v>1703</v>
      </c>
      <c r="J547" s="86">
        <v>1</v>
      </c>
      <c r="K547" s="19" t="s">
        <v>619</v>
      </c>
      <c r="L547" s="19" t="s">
        <v>1681</v>
      </c>
      <c r="M547" s="142" t="s">
        <v>1682</v>
      </c>
      <c r="N547" s="42">
        <v>44971</v>
      </c>
      <c r="O547" s="70">
        <v>56250</v>
      </c>
      <c r="P547" s="70">
        <v>24338.799999999999</v>
      </c>
      <c r="Q547" s="73">
        <f>+P547*O547</f>
        <v>1369057500</v>
      </c>
      <c r="R547" s="144"/>
      <c r="S547" s="19"/>
      <c r="T547" s="19">
        <v>55065775</v>
      </c>
      <c r="U547" s="19" t="s">
        <v>1702</v>
      </c>
      <c r="V547" s="74">
        <v>1424123275</v>
      </c>
      <c r="W547" s="75"/>
      <c r="X547" s="64">
        <v>1424123275</v>
      </c>
      <c r="Y547" s="19"/>
      <c r="Z547" s="19"/>
      <c r="AA547" s="128"/>
      <c r="AB547" s="19"/>
      <c r="AC547" s="64">
        <v>1424123275</v>
      </c>
      <c r="AD547" s="63">
        <v>45017</v>
      </c>
      <c r="AE547" s="65">
        <v>47573</v>
      </c>
      <c r="AF547" s="19">
        <v>7</v>
      </c>
      <c r="AG547" s="19">
        <v>84</v>
      </c>
      <c r="AH547" s="25">
        <v>16953849</v>
      </c>
      <c r="AI547" s="92">
        <v>152584641</v>
      </c>
      <c r="AJ547" s="92">
        <v>1271538634</v>
      </c>
      <c r="AK547" s="27">
        <f t="shared" si="160"/>
        <v>16953849</v>
      </c>
      <c r="AL547" s="27">
        <f t="shared" si="164"/>
        <v>16953849</v>
      </c>
      <c r="AM547" s="27">
        <f t="shared" si="164"/>
        <v>16953849</v>
      </c>
      <c r="AN547" s="27">
        <f t="shared" si="166"/>
        <v>16953849</v>
      </c>
      <c r="AO547" s="27">
        <f t="shared" si="167"/>
        <v>16953849</v>
      </c>
      <c r="AP547" s="27">
        <f t="shared" si="167"/>
        <v>16953849</v>
      </c>
      <c r="AQ547" s="27">
        <f t="shared" si="168"/>
        <v>16953849</v>
      </c>
      <c r="AR547" s="27">
        <f t="shared" si="169"/>
        <v>16953849</v>
      </c>
      <c r="AS547" s="27"/>
      <c r="AT547" s="27"/>
      <c r="AU547" s="27"/>
      <c r="AV547" s="27"/>
      <c r="AW547" s="27">
        <f t="shared" si="171"/>
        <v>135630792</v>
      </c>
      <c r="AX547" s="79">
        <f t="shared" si="161"/>
        <v>1135907842</v>
      </c>
      <c r="AY547" s="79">
        <f t="shared" si="162"/>
        <v>288215433</v>
      </c>
      <c r="AZ547" s="25">
        <v>1</v>
      </c>
      <c r="BA547" s="62" t="s">
        <v>97</v>
      </c>
      <c r="BB547" s="25">
        <v>1</v>
      </c>
      <c r="BC547" s="25"/>
      <c r="BD547" s="66"/>
      <c r="BE547" s="67">
        <f t="shared" si="165"/>
        <v>16953849</v>
      </c>
      <c r="BF547" s="67">
        <f t="shared" si="170"/>
        <v>0</v>
      </c>
      <c r="BG547" s="67">
        <f t="shared" si="163"/>
        <v>0</v>
      </c>
      <c r="BH547" s="67"/>
      <c r="BI547" s="19" t="s">
        <v>1701</v>
      </c>
      <c r="BJ547" s="19" t="s">
        <v>644</v>
      </c>
      <c r="BK547" s="19" t="s">
        <v>644</v>
      </c>
      <c r="BO547" s="35" t="s">
        <v>1802</v>
      </c>
    </row>
    <row r="548" spans="3:67" ht="15" customHeight="1">
      <c r="C548" s="1" t="str">
        <f t="shared" si="158"/>
        <v>3003</v>
      </c>
      <c r="D548" s="1" t="str">
        <f t="shared" si="159"/>
        <v>2304</v>
      </c>
      <c r="E548" s="19" t="s">
        <v>1700</v>
      </c>
      <c r="F548" s="19" t="s">
        <v>1701</v>
      </c>
      <c r="G548" s="62">
        <v>2112</v>
      </c>
      <c r="H548" s="19" t="s">
        <v>1683</v>
      </c>
      <c r="I548" s="19" t="s">
        <v>1703</v>
      </c>
      <c r="J548" s="86">
        <v>1</v>
      </c>
      <c r="K548" s="19" t="s">
        <v>619</v>
      </c>
      <c r="L548" s="19" t="s">
        <v>1681</v>
      </c>
      <c r="M548" s="142" t="s">
        <v>1682</v>
      </c>
      <c r="N548" s="42">
        <v>44971</v>
      </c>
      <c r="O548" s="70">
        <v>56250</v>
      </c>
      <c r="P548" s="70">
        <v>24338.799999999999</v>
      </c>
      <c r="Q548" s="73">
        <f>+P548*O548</f>
        <v>1369057500</v>
      </c>
      <c r="R548" s="144"/>
      <c r="S548" s="19"/>
      <c r="T548" s="19">
        <v>55065775</v>
      </c>
      <c r="U548" s="19" t="s">
        <v>1702</v>
      </c>
      <c r="V548" s="74">
        <v>1424123275</v>
      </c>
      <c r="W548" s="75"/>
      <c r="X548" s="64">
        <v>1424123275</v>
      </c>
      <c r="Y548" s="19"/>
      <c r="Z548" s="19"/>
      <c r="AA548" s="128"/>
      <c r="AB548" s="19"/>
      <c r="AC548" s="64">
        <v>1424123275</v>
      </c>
      <c r="AD548" s="63">
        <v>45017</v>
      </c>
      <c r="AE548" s="65">
        <v>47573</v>
      </c>
      <c r="AF548" s="19">
        <v>7</v>
      </c>
      <c r="AG548" s="19">
        <v>84</v>
      </c>
      <c r="AH548" s="25">
        <v>16953849</v>
      </c>
      <c r="AI548" s="92">
        <v>152584641</v>
      </c>
      <c r="AJ548" s="92">
        <v>1271538634</v>
      </c>
      <c r="AK548" s="27">
        <f t="shared" si="160"/>
        <v>16953849</v>
      </c>
      <c r="AL548" s="27">
        <f t="shared" si="164"/>
        <v>16953849</v>
      </c>
      <c r="AM548" s="27">
        <f t="shared" si="164"/>
        <v>16953849</v>
      </c>
      <c r="AN548" s="27">
        <f t="shared" si="166"/>
        <v>16953849</v>
      </c>
      <c r="AO548" s="27">
        <f t="shared" si="167"/>
        <v>16953849</v>
      </c>
      <c r="AP548" s="27">
        <f t="shared" si="167"/>
        <v>16953849</v>
      </c>
      <c r="AQ548" s="27">
        <f t="shared" si="168"/>
        <v>16953849</v>
      </c>
      <c r="AR548" s="27">
        <f t="shared" si="169"/>
        <v>16953849</v>
      </c>
      <c r="AS548" s="27"/>
      <c r="AT548" s="27"/>
      <c r="AU548" s="27"/>
      <c r="AV548" s="27"/>
      <c r="AW548" s="27">
        <f t="shared" si="171"/>
        <v>135630792</v>
      </c>
      <c r="AX548" s="79">
        <f t="shared" si="161"/>
        <v>1135907842</v>
      </c>
      <c r="AY548" s="79">
        <f t="shared" si="162"/>
        <v>288215433</v>
      </c>
      <c r="AZ548" s="25">
        <v>1</v>
      </c>
      <c r="BA548" s="62" t="s">
        <v>97</v>
      </c>
      <c r="BB548" s="25">
        <v>1</v>
      </c>
      <c r="BC548" s="25"/>
      <c r="BD548" s="66"/>
      <c r="BE548" s="67">
        <f t="shared" si="165"/>
        <v>16953849</v>
      </c>
      <c r="BF548" s="67">
        <f t="shared" si="170"/>
        <v>0</v>
      </c>
      <c r="BG548" s="67">
        <f t="shared" si="163"/>
        <v>0</v>
      </c>
      <c r="BH548" s="67"/>
      <c r="BI548" s="19" t="s">
        <v>1701</v>
      </c>
      <c r="BJ548" s="19" t="s">
        <v>644</v>
      </c>
      <c r="BK548" s="19" t="s">
        <v>644</v>
      </c>
      <c r="BO548" s="35" t="s">
        <v>1802</v>
      </c>
    </row>
    <row r="549" spans="3:67" ht="15" customHeight="1">
      <c r="C549" s="1" t="str">
        <f t="shared" si="158"/>
        <v>2803</v>
      </c>
      <c r="D549" s="1" t="str">
        <f t="shared" si="159"/>
        <v>2304</v>
      </c>
      <c r="E549" s="19" t="s">
        <v>1700</v>
      </c>
      <c r="F549" s="19" t="s">
        <v>1701</v>
      </c>
      <c r="G549" s="62">
        <v>2112</v>
      </c>
      <c r="H549" s="19" t="s">
        <v>1684</v>
      </c>
      <c r="I549" s="19" t="s">
        <v>1704</v>
      </c>
      <c r="J549" s="86">
        <v>1</v>
      </c>
      <c r="K549" s="19" t="s">
        <v>1192</v>
      </c>
      <c r="L549" s="19" t="s">
        <v>1507</v>
      </c>
      <c r="M549" s="142" t="s">
        <v>1685</v>
      </c>
      <c r="N549" s="42">
        <v>45014</v>
      </c>
      <c r="O549" s="70"/>
      <c r="P549" s="70"/>
      <c r="Q549" s="73">
        <v>58000000</v>
      </c>
      <c r="R549" s="144"/>
      <c r="S549" s="19"/>
      <c r="T549" s="19"/>
      <c r="U549" s="19"/>
      <c r="V549" s="74">
        <v>58000000</v>
      </c>
      <c r="W549" s="75"/>
      <c r="X549" s="64">
        <v>58000000</v>
      </c>
      <c r="Y549" s="19"/>
      <c r="Z549" s="19"/>
      <c r="AA549" s="128"/>
      <c r="AB549" s="19"/>
      <c r="AC549" s="64">
        <v>58000000</v>
      </c>
      <c r="AD549" s="63">
        <v>45017</v>
      </c>
      <c r="AE549" s="65">
        <v>46843</v>
      </c>
      <c r="AF549" s="19">
        <v>5</v>
      </c>
      <c r="AG549" s="19">
        <v>60</v>
      </c>
      <c r="AH549" s="25">
        <v>966667</v>
      </c>
      <c r="AI549" s="92">
        <v>8700003</v>
      </c>
      <c r="AJ549" s="92">
        <v>49299997</v>
      </c>
      <c r="AK549" s="27">
        <f t="shared" si="160"/>
        <v>966667</v>
      </c>
      <c r="AL549" s="27">
        <f t="shared" si="164"/>
        <v>966667</v>
      </c>
      <c r="AM549" s="27">
        <f t="shared" si="164"/>
        <v>966667</v>
      </c>
      <c r="AN549" s="27">
        <f t="shared" si="166"/>
        <v>966667</v>
      </c>
      <c r="AO549" s="27">
        <f t="shared" si="167"/>
        <v>966667</v>
      </c>
      <c r="AP549" s="27">
        <f t="shared" si="167"/>
        <v>966667</v>
      </c>
      <c r="AQ549" s="27">
        <f t="shared" si="168"/>
        <v>966667</v>
      </c>
      <c r="AR549" s="27">
        <f t="shared" si="169"/>
        <v>966667</v>
      </c>
      <c r="AS549" s="27"/>
      <c r="AT549" s="27"/>
      <c r="AU549" s="27"/>
      <c r="AV549" s="27"/>
      <c r="AW549" s="27">
        <f t="shared" si="171"/>
        <v>7733336</v>
      </c>
      <c r="AX549" s="79">
        <f t="shared" si="161"/>
        <v>41566661</v>
      </c>
      <c r="AY549" s="79">
        <f t="shared" si="162"/>
        <v>16433339</v>
      </c>
      <c r="AZ549" s="25">
        <v>1</v>
      </c>
      <c r="BA549" s="62" t="s">
        <v>97</v>
      </c>
      <c r="BB549" s="25">
        <v>1</v>
      </c>
      <c r="BC549" s="25"/>
      <c r="BD549" s="66"/>
      <c r="BE549" s="67">
        <f t="shared" si="165"/>
        <v>966667</v>
      </c>
      <c r="BF549" s="67">
        <f t="shared" si="170"/>
        <v>0</v>
      </c>
      <c r="BG549" s="67">
        <f t="shared" si="163"/>
        <v>0</v>
      </c>
      <c r="BH549" s="67"/>
      <c r="BI549" s="19" t="s">
        <v>1701</v>
      </c>
      <c r="BJ549" s="19" t="s">
        <v>644</v>
      </c>
      <c r="BK549" s="19" t="s">
        <v>644</v>
      </c>
      <c r="BO549" s="35" t="s">
        <v>1802</v>
      </c>
    </row>
    <row r="550" spans="3:67" ht="15" customHeight="1">
      <c r="C550" s="1" t="str">
        <f t="shared" si="158"/>
        <v>2804</v>
      </c>
      <c r="D550" s="1" t="str">
        <f t="shared" si="159"/>
        <v>2305</v>
      </c>
      <c r="E550" s="19" t="s">
        <v>1708</v>
      </c>
      <c r="F550" s="19" t="s">
        <v>1624</v>
      </c>
      <c r="G550" s="62">
        <v>2112</v>
      </c>
      <c r="H550" s="19" t="s">
        <v>1709</v>
      </c>
      <c r="I550" s="19" t="s">
        <v>1710</v>
      </c>
      <c r="J550" s="86">
        <v>1</v>
      </c>
      <c r="K550" s="19" t="s">
        <v>1233</v>
      </c>
      <c r="L550" s="19" t="s">
        <v>186</v>
      </c>
      <c r="M550" s="142">
        <v>875</v>
      </c>
      <c r="N550" s="42">
        <v>45034</v>
      </c>
      <c r="O550" s="70"/>
      <c r="P550" s="70"/>
      <c r="Q550" s="73">
        <v>115000000</v>
      </c>
      <c r="R550" s="144"/>
      <c r="S550" s="19"/>
      <c r="T550" s="19"/>
      <c r="U550" s="19"/>
      <c r="V550" s="74">
        <v>115000000</v>
      </c>
      <c r="W550" s="75"/>
      <c r="X550" s="64">
        <v>115000000</v>
      </c>
      <c r="Y550" s="19"/>
      <c r="Z550" s="19"/>
      <c r="AA550" s="128"/>
      <c r="AB550" s="19"/>
      <c r="AC550" s="64">
        <v>115000000</v>
      </c>
      <c r="AD550" s="63">
        <v>45047</v>
      </c>
      <c r="AE550" s="65">
        <v>46873</v>
      </c>
      <c r="AF550" s="19">
        <v>5</v>
      </c>
      <c r="AG550" s="19">
        <v>60</v>
      </c>
      <c r="AH550" s="25">
        <v>1916667</v>
      </c>
      <c r="AI550" s="92">
        <v>15333336</v>
      </c>
      <c r="AJ550" s="92">
        <v>99666664</v>
      </c>
      <c r="AK550" s="27">
        <f t="shared" si="160"/>
        <v>1916667</v>
      </c>
      <c r="AL550" s="27">
        <f t="shared" si="164"/>
        <v>1916667</v>
      </c>
      <c r="AM550" s="27">
        <f t="shared" si="164"/>
        <v>1916667</v>
      </c>
      <c r="AN550" s="27">
        <f t="shared" si="166"/>
        <v>1916667</v>
      </c>
      <c r="AO550" s="27">
        <f t="shared" si="167"/>
        <v>1916667</v>
      </c>
      <c r="AP550" s="27">
        <f t="shared" si="167"/>
        <v>1916667</v>
      </c>
      <c r="AQ550" s="27">
        <f t="shared" si="168"/>
        <v>1916667</v>
      </c>
      <c r="AR550" s="27">
        <f t="shared" si="169"/>
        <v>1916667</v>
      </c>
      <c r="AS550" s="27"/>
      <c r="AT550" s="27"/>
      <c r="AU550" s="27"/>
      <c r="AV550" s="27"/>
      <c r="AW550" s="27">
        <f t="shared" si="171"/>
        <v>15333336</v>
      </c>
      <c r="AX550" s="79">
        <f t="shared" si="161"/>
        <v>84333328</v>
      </c>
      <c r="AY550" s="79">
        <f t="shared" si="162"/>
        <v>30666672</v>
      </c>
      <c r="AZ550" s="25">
        <v>1</v>
      </c>
      <c r="BA550" s="62" t="s">
        <v>97</v>
      </c>
      <c r="BB550" s="25"/>
      <c r="BC550" s="25">
        <v>1</v>
      </c>
      <c r="BD550" s="66"/>
      <c r="BE550" s="67">
        <f t="shared" si="165"/>
        <v>0</v>
      </c>
      <c r="BF550" s="67">
        <f t="shared" si="170"/>
        <v>1916667</v>
      </c>
      <c r="BG550" s="67">
        <f t="shared" si="163"/>
        <v>0</v>
      </c>
      <c r="BH550" s="67"/>
      <c r="BI550" s="19" t="s">
        <v>1624</v>
      </c>
      <c r="BJ550" s="68" t="s">
        <v>1438</v>
      </c>
      <c r="BK550" s="68" t="s">
        <v>1438</v>
      </c>
      <c r="BO550" s="35" t="s">
        <v>1804</v>
      </c>
    </row>
    <row r="551" spans="3:67" ht="15" customHeight="1">
      <c r="C551" s="1" t="str">
        <f t="shared" si="158"/>
        <v>3104</v>
      </c>
      <c r="D551" s="1" t="str">
        <f t="shared" si="159"/>
        <v>2305</v>
      </c>
      <c r="E551" s="19" t="s">
        <v>1708</v>
      </c>
      <c r="F551" s="19" t="s">
        <v>1714</v>
      </c>
      <c r="G551" s="62">
        <v>2114</v>
      </c>
      <c r="H551" s="19" t="s">
        <v>1711</v>
      </c>
      <c r="I551" s="19" t="s">
        <v>1712</v>
      </c>
      <c r="J551" s="86">
        <v>1</v>
      </c>
      <c r="K551" s="19" t="s">
        <v>1226</v>
      </c>
      <c r="L551" s="19" t="s">
        <v>967</v>
      </c>
      <c r="M551" s="142" t="s">
        <v>1713</v>
      </c>
      <c r="N551" s="42">
        <v>45042</v>
      </c>
      <c r="O551" s="70"/>
      <c r="P551" s="70"/>
      <c r="Q551" s="73">
        <v>34400000</v>
      </c>
      <c r="R551" s="144"/>
      <c r="S551" s="144"/>
      <c r="T551" s="19"/>
      <c r="U551" s="19"/>
      <c r="V551" s="74">
        <v>34400000</v>
      </c>
      <c r="W551" s="75"/>
      <c r="X551" s="64">
        <v>34400000</v>
      </c>
      <c r="Y551" s="19"/>
      <c r="Z551" s="19"/>
      <c r="AA551" s="128"/>
      <c r="AB551" s="19"/>
      <c r="AC551" s="64">
        <v>34400000</v>
      </c>
      <c r="AD551" s="63">
        <v>45047</v>
      </c>
      <c r="AE551" s="65">
        <v>47968</v>
      </c>
      <c r="AF551" s="19">
        <v>8</v>
      </c>
      <c r="AG551" s="19">
        <v>96</v>
      </c>
      <c r="AH551" s="25">
        <v>358333</v>
      </c>
      <c r="AI551" s="92">
        <v>2866664</v>
      </c>
      <c r="AJ551" s="92">
        <v>31533336</v>
      </c>
      <c r="AK551" s="27">
        <f t="shared" si="160"/>
        <v>358333</v>
      </c>
      <c r="AL551" s="27">
        <f t="shared" si="164"/>
        <v>358333</v>
      </c>
      <c r="AM551" s="27">
        <f t="shared" si="164"/>
        <v>358333</v>
      </c>
      <c r="AN551" s="27">
        <f t="shared" si="166"/>
        <v>358333</v>
      </c>
      <c r="AO551" s="27">
        <f t="shared" si="167"/>
        <v>358333</v>
      </c>
      <c r="AP551" s="27">
        <f t="shared" si="167"/>
        <v>358333</v>
      </c>
      <c r="AQ551" s="27">
        <f t="shared" si="168"/>
        <v>358333</v>
      </c>
      <c r="AR551" s="27">
        <f t="shared" si="169"/>
        <v>358333</v>
      </c>
      <c r="AS551" s="27"/>
      <c r="AT551" s="27"/>
      <c r="AU551" s="27"/>
      <c r="AV551" s="27"/>
      <c r="AW551" s="27">
        <f t="shared" si="171"/>
        <v>2866664</v>
      </c>
      <c r="AX551" s="79">
        <f t="shared" si="161"/>
        <v>28666672</v>
      </c>
      <c r="AY551" s="79">
        <f t="shared" si="162"/>
        <v>5733328</v>
      </c>
      <c r="AZ551" s="25">
        <v>1</v>
      </c>
      <c r="BA551" s="62" t="s">
        <v>79</v>
      </c>
      <c r="BB551" s="25">
        <v>1</v>
      </c>
      <c r="BC551" s="25"/>
      <c r="BD551" s="66"/>
      <c r="BE551" s="67">
        <f t="shared" si="165"/>
        <v>358333</v>
      </c>
      <c r="BF551" s="67">
        <f t="shared" si="170"/>
        <v>0</v>
      </c>
      <c r="BG551" s="67">
        <f t="shared" si="163"/>
        <v>0</v>
      </c>
      <c r="BH551" s="67"/>
      <c r="BI551" s="19" t="s">
        <v>1715</v>
      </c>
      <c r="BJ551" s="19" t="s">
        <v>58</v>
      </c>
      <c r="BK551" s="68" t="s">
        <v>1715</v>
      </c>
      <c r="BO551" s="35" t="s">
        <v>1799</v>
      </c>
    </row>
    <row r="552" spans="3:67" ht="15" customHeight="1">
      <c r="C552" s="1" t="str">
        <f t="shared" si="158"/>
        <v>3105</v>
      </c>
      <c r="D552" s="1" t="str">
        <f t="shared" si="159"/>
        <v>2306</v>
      </c>
      <c r="E552" s="19" t="s">
        <v>1741</v>
      </c>
      <c r="F552" s="68" t="s">
        <v>49</v>
      </c>
      <c r="G552" s="62">
        <v>2112</v>
      </c>
      <c r="H552" s="19" t="s">
        <v>1721</v>
      </c>
      <c r="I552" s="19" t="s">
        <v>1731</v>
      </c>
      <c r="J552" s="86">
        <v>1</v>
      </c>
      <c r="K552" s="19" t="s">
        <v>1737</v>
      </c>
      <c r="L552" s="19" t="s">
        <v>77</v>
      </c>
      <c r="M552" s="142" t="s">
        <v>1738</v>
      </c>
      <c r="N552" s="42">
        <v>45030</v>
      </c>
      <c r="O552" s="70">
        <v>118670.39999999999</v>
      </c>
      <c r="P552" s="70">
        <v>23650</v>
      </c>
      <c r="Q552" s="73">
        <f>+ROUND(O552*P552,0)</f>
        <v>2806554960</v>
      </c>
      <c r="R552" s="144">
        <f>+ROUND(85173250/9,0)</f>
        <v>9463694</v>
      </c>
      <c r="S552" s="19"/>
      <c r="T552" s="19"/>
      <c r="U552" s="19" t="s">
        <v>1742</v>
      </c>
      <c r="V552" s="74">
        <v>2816018654</v>
      </c>
      <c r="W552" s="75"/>
      <c r="X552" s="64">
        <v>2816018654</v>
      </c>
      <c r="Y552" s="19"/>
      <c r="Z552" s="19"/>
      <c r="AA552" s="128"/>
      <c r="AB552" s="19"/>
      <c r="AC552" s="64">
        <v>2816018654</v>
      </c>
      <c r="AD552" s="63">
        <v>45078</v>
      </c>
      <c r="AE552" s="65">
        <v>47999</v>
      </c>
      <c r="AF552" s="19">
        <v>8</v>
      </c>
      <c r="AG552" s="19">
        <v>96</v>
      </c>
      <c r="AH552" s="25">
        <v>29333528</v>
      </c>
      <c r="AI552" s="92">
        <v>205334696</v>
      </c>
      <c r="AJ552" s="92">
        <v>2610683958</v>
      </c>
      <c r="AK552" s="27">
        <f t="shared" si="160"/>
        <v>29333528</v>
      </c>
      <c r="AL552" s="27">
        <f t="shared" si="164"/>
        <v>29333528</v>
      </c>
      <c r="AM552" s="27">
        <f t="shared" si="164"/>
        <v>29333528</v>
      </c>
      <c r="AN552" s="27">
        <f t="shared" si="166"/>
        <v>29333528</v>
      </c>
      <c r="AO552" s="27">
        <f t="shared" si="167"/>
        <v>29333528</v>
      </c>
      <c r="AP552" s="27">
        <f t="shared" si="167"/>
        <v>29333528</v>
      </c>
      <c r="AQ552" s="27">
        <f t="shared" si="168"/>
        <v>29333528</v>
      </c>
      <c r="AR552" s="27">
        <f t="shared" si="169"/>
        <v>29333528</v>
      </c>
      <c r="AS552" s="27"/>
      <c r="AT552" s="27"/>
      <c r="AU552" s="27"/>
      <c r="AV552" s="27"/>
      <c r="AW552" s="27">
        <f t="shared" ref="AW552:AW561" si="172">+SUM(AK552:AV552)</f>
        <v>234668224</v>
      </c>
      <c r="AX552" s="79">
        <f t="shared" si="161"/>
        <v>2376015734</v>
      </c>
      <c r="AY552" s="79">
        <f t="shared" si="162"/>
        <v>440002920</v>
      </c>
      <c r="AZ552" s="25">
        <v>1</v>
      </c>
      <c r="BA552" s="62" t="s">
        <v>97</v>
      </c>
      <c r="BB552" s="66">
        <v>1</v>
      </c>
      <c r="BC552" s="25"/>
      <c r="BD552" s="66"/>
      <c r="BE552" s="67">
        <f t="shared" si="165"/>
        <v>29333528</v>
      </c>
      <c r="BF552" s="67">
        <f t="shared" si="170"/>
        <v>0</v>
      </c>
      <c r="BG552" s="67">
        <f t="shared" si="163"/>
        <v>0</v>
      </c>
      <c r="BH552" s="67"/>
      <c r="BI552" s="68" t="s">
        <v>57</v>
      </c>
      <c r="BJ552" s="68" t="s">
        <v>85</v>
      </c>
      <c r="BK552" s="68" t="s">
        <v>85</v>
      </c>
      <c r="BO552" s="35" t="s">
        <v>1805</v>
      </c>
    </row>
    <row r="553" spans="3:67" ht="15" customHeight="1">
      <c r="C553" s="1" t="str">
        <f t="shared" si="158"/>
        <v>3105</v>
      </c>
      <c r="D553" s="1" t="str">
        <f t="shared" si="159"/>
        <v>2306</v>
      </c>
      <c r="E553" s="19" t="s">
        <v>1741</v>
      </c>
      <c r="F553" s="68" t="s">
        <v>49</v>
      </c>
      <c r="G553" s="62">
        <v>2112</v>
      </c>
      <c r="H553" s="19" t="s">
        <v>1722</v>
      </c>
      <c r="I553" s="19" t="s">
        <v>1731</v>
      </c>
      <c r="J553" s="86">
        <v>1</v>
      </c>
      <c r="K553" s="19" t="s">
        <v>1737</v>
      </c>
      <c r="L553" s="19" t="s">
        <v>77</v>
      </c>
      <c r="M553" s="142" t="s">
        <v>1738</v>
      </c>
      <c r="N553" s="42">
        <v>45030</v>
      </c>
      <c r="O553" s="70">
        <v>118521.14</v>
      </c>
      <c r="P553" s="70">
        <v>23650</v>
      </c>
      <c r="Q553" s="73">
        <f t="shared" ref="Q553:Q562" si="173">+ROUND(O553*P553,0)</f>
        <v>2803024961</v>
      </c>
      <c r="R553" s="144">
        <f t="shared" ref="R553:R559" si="174">+ROUND(85173250/9,0)</f>
        <v>9463694</v>
      </c>
      <c r="S553" s="19"/>
      <c r="T553" s="19"/>
      <c r="U553" s="19" t="s">
        <v>1742</v>
      </c>
      <c r="V553" s="74">
        <v>2812488655</v>
      </c>
      <c r="W553" s="75"/>
      <c r="X553" s="64">
        <v>2812488655</v>
      </c>
      <c r="Y553" s="19"/>
      <c r="Z553" s="19"/>
      <c r="AA553" s="128"/>
      <c r="AB553" s="19"/>
      <c r="AC553" s="64">
        <v>2812488655</v>
      </c>
      <c r="AD553" s="63">
        <v>45078</v>
      </c>
      <c r="AE553" s="65">
        <v>47999</v>
      </c>
      <c r="AF553" s="19">
        <v>8</v>
      </c>
      <c r="AG553" s="19">
        <v>96</v>
      </c>
      <c r="AH553" s="25">
        <v>29296757</v>
      </c>
      <c r="AI553" s="92">
        <v>205077299</v>
      </c>
      <c r="AJ553" s="92">
        <v>2607411356</v>
      </c>
      <c r="AK553" s="27">
        <f t="shared" si="160"/>
        <v>29296757</v>
      </c>
      <c r="AL553" s="27">
        <f t="shared" si="164"/>
        <v>29296757</v>
      </c>
      <c r="AM553" s="27">
        <f t="shared" si="164"/>
        <v>29296757</v>
      </c>
      <c r="AN553" s="27">
        <f t="shared" si="166"/>
        <v>29296757</v>
      </c>
      <c r="AO553" s="27">
        <f t="shared" si="167"/>
        <v>29296757</v>
      </c>
      <c r="AP553" s="27">
        <f t="shared" si="167"/>
        <v>29296757</v>
      </c>
      <c r="AQ553" s="27">
        <f t="shared" si="168"/>
        <v>29296757</v>
      </c>
      <c r="AR553" s="27">
        <f t="shared" si="169"/>
        <v>29296757</v>
      </c>
      <c r="AS553" s="27"/>
      <c r="AT553" s="27"/>
      <c r="AU553" s="27"/>
      <c r="AV553" s="27"/>
      <c r="AW553" s="27">
        <f t="shared" si="172"/>
        <v>234374056</v>
      </c>
      <c r="AX553" s="79">
        <f t="shared" si="161"/>
        <v>2373037300</v>
      </c>
      <c r="AY553" s="79">
        <f t="shared" si="162"/>
        <v>439451355</v>
      </c>
      <c r="AZ553" s="25">
        <v>1</v>
      </c>
      <c r="BA553" s="62" t="s">
        <v>97</v>
      </c>
      <c r="BB553" s="66">
        <v>1</v>
      </c>
      <c r="BC553" s="25"/>
      <c r="BD553" s="66"/>
      <c r="BE553" s="67">
        <f t="shared" si="165"/>
        <v>29296757</v>
      </c>
      <c r="BF553" s="67">
        <f t="shared" si="170"/>
        <v>0</v>
      </c>
      <c r="BG553" s="67">
        <f t="shared" si="163"/>
        <v>0</v>
      </c>
      <c r="BH553" s="67"/>
      <c r="BI553" s="68" t="s">
        <v>57</v>
      </c>
      <c r="BJ553" s="68" t="s">
        <v>85</v>
      </c>
      <c r="BK553" s="68" t="s">
        <v>85</v>
      </c>
      <c r="BO553" s="35" t="s">
        <v>1805</v>
      </c>
    </row>
    <row r="554" spans="3:67" ht="15" customHeight="1">
      <c r="C554" s="1" t="str">
        <f t="shared" si="158"/>
        <v>3305</v>
      </c>
      <c r="D554" s="1" t="str">
        <f t="shared" si="159"/>
        <v>2306</v>
      </c>
      <c r="E554" s="19" t="s">
        <v>1741</v>
      </c>
      <c r="F554" s="68" t="s">
        <v>49</v>
      </c>
      <c r="G554" s="62">
        <v>2112</v>
      </c>
      <c r="H554" s="19" t="s">
        <v>1723</v>
      </c>
      <c r="I554" s="19" t="s">
        <v>1732</v>
      </c>
      <c r="J554" s="86">
        <v>1</v>
      </c>
      <c r="K554" s="19" t="s">
        <v>1737</v>
      </c>
      <c r="L554" s="19" t="s">
        <v>77</v>
      </c>
      <c r="M554" s="142" t="s">
        <v>1738</v>
      </c>
      <c r="N554" s="42">
        <v>45030</v>
      </c>
      <c r="O554" s="70">
        <v>157134.63</v>
      </c>
      <c r="P554" s="70">
        <v>23650</v>
      </c>
      <c r="Q554" s="73">
        <f t="shared" si="173"/>
        <v>3716234000</v>
      </c>
      <c r="R554" s="144">
        <f t="shared" si="174"/>
        <v>9463694</v>
      </c>
      <c r="S554" s="19"/>
      <c r="T554" s="19"/>
      <c r="U554" s="19" t="s">
        <v>1742</v>
      </c>
      <c r="V554" s="74">
        <v>3725697694</v>
      </c>
      <c r="W554" s="75"/>
      <c r="X554" s="64">
        <v>3725697694</v>
      </c>
      <c r="Y554" s="19"/>
      <c r="Z554" s="19"/>
      <c r="AA554" s="128"/>
      <c r="AB554" s="19"/>
      <c r="AC554" s="64">
        <v>3725697694</v>
      </c>
      <c r="AD554" s="63">
        <v>45078</v>
      </c>
      <c r="AE554" s="65">
        <v>48730</v>
      </c>
      <c r="AF554" s="19">
        <v>10</v>
      </c>
      <c r="AG554" s="19">
        <v>120</v>
      </c>
      <c r="AH554" s="25">
        <v>31047481</v>
      </c>
      <c r="AI554" s="92">
        <v>217332367</v>
      </c>
      <c r="AJ554" s="92">
        <v>3508365327</v>
      </c>
      <c r="AK554" s="27">
        <f t="shared" si="160"/>
        <v>31047481</v>
      </c>
      <c r="AL554" s="27">
        <f t="shared" si="164"/>
        <v>31047481</v>
      </c>
      <c r="AM554" s="27">
        <f t="shared" si="164"/>
        <v>31047481</v>
      </c>
      <c r="AN554" s="27">
        <f t="shared" si="166"/>
        <v>31047481</v>
      </c>
      <c r="AO554" s="27">
        <f t="shared" si="167"/>
        <v>31047481</v>
      </c>
      <c r="AP554" s="27">
        <f t="shared" si="167"/>
        <v>31047481</v>
      </c>
      <c r="AQ554" s="27">
        <f t="shared" si="168"/>
        <v>31047481</v>
      </c>
      <c r="AR554" s="27">
        <f t="shared" si="169"/>
        <v>31047481</v>
      </c>
      <c r="AS554" s="27"/>
      <c r="AT554" s="27"/>
      <c r="AU554" s="27"/>
      <c r="AV554" s="27"/>
      <c r="AW554" s="27">
        <f t="shared" si="172"/>
        <v>248379848</v>
      </c>
      <c r="AX554" s="79">
        <f t="shared" si="161"/>
        <v>3259985479</v>
      </c>
      <c r="AY554" s="79">
        <f t="shared" si="162"/>
        <v>465712215</v>
      </c>
      <c r="AZ554" s="25">
        <v>1</v>
      </c>
      <c r="BA554" s="62" t="s">
        <v>97</v>
      </c>
      <c r="BB554" s="66">
        <v>1</v>
      </c>
      <c r="BC554" s="25"/>
      <c r="BD554" s="66"/>
      <c r="BE554" s="67">
        <f t="shared" si="165"/>
        <v>31047481</v>
      </c>
      <c r="BF554" s="67">
        <f t="shared" si="170"/>
        <v>0</v>
      </c>
      <c r="BG554" s="67">
        <f t="shared" si="163"/>
        <v>0</v>
      </c>
      <c r="BH554" s="67"/>
      <c r="BI554" s="68" t="s">
        <v>57</v>
      </c>
      <c r="BJ554" s="68" t="s">
        <v>85</v>
      </c>
      <c r="BK554" s="68" t="s">
        <v>85</v>
      </c>
      <c r="BO554" s="35" t="s">
        <v>1805</v>
      </c>
    </row>
    <row r="555" spans="3:67" ht="15" customHeight="1">
      <c r="C555" s="1" t="str">
        <f t="shared" si="158"/>
        <v>2905</v>
      </c>
      <c r="D555" s="1" t="str">
        <f t="shared" si="159"/>
        <v>2306</v>
      </c>
      <c r="E555" s="19" t="s">
        <v>1741</v>
      </c>
      <c r="F555" s="68" t="s">
        <v>49</v>
      </c>
      <c r="G555" s="62">
        <v>2112</v>
      </c>
      <c r="H555" s="19" t="s">
        <v>1724</v>
      </c>
      <c r="I555" s="19" t="s">
        <v>1733</v>
      </c>
      <c r="J555" s="86">
        <v>1</v>
      </c>
      <c r="K555" s="19" t="s">
        <v>1737</v>
      </c>
      <c r="L555" s="19" t="s">
        <v>77</v>
      </c>
      <c r="M555" s="142" t="s">
        <v>1738</v>
      </c>
      <c r="N555" s="42">
        <v>45030</v>
      </c>
      <c r="O555" s="70">
        <v>16344.74</v>
      </c>
      <c r="P555" s="70">
        <v>23650</v>
      </c>
      <c r="Q555" s="73">
        <f t="shared" si="173"/>
        <v>386553101</v>
      </c>
      <c r="R555" s="144">
        <f t="shared" si="174"/>
        <v>9463694</v>
      </c>
      <c r="S555" s="19"/>
      <c r="T555" s="19"/>
      <c r="U555" s="19" t="s">
        <v>1742</v>
      </c>
      <c r="V555" s="74">
        <v>396016795</v>
      </c>
      <c r="W555" s="75"/>
      <c r="X555" s="64">
        <v>396016795</v>
      </c>
      <c r="Y555" s="19"/>
      <c r="Z555" s="19"/>
      <c r="AA555" s="128"/>
      <c r="AB555" s="19"/>
      <c r="AC555" s="64">
        <v>396016795</v>
      </c>
      <c r="AD555" s="63">
        <v>45078</v>
      </c>
      <c r="AE555" s="65">
        <v>47269</v>
      </c>
      <c r="AF555" s="19">
        <v>6</v>
      </c>
      <c r="AG555" s="19">
        <v>72</v>
      </c>
      <c r="AH555" s="25">
        <v>5500233</v>
      </c>
      <c r="AI555" s="92">
        <v>38501631</v>
      </c>
      <c r="AJ555" s="92">
        <v>357515164</v>
      </c>
      <c r="AK555" s="27">
        <f t="shared" si="160"/>
        <v>5500233</v>
      </c>
      <c r="AL555" s="27">
        <f t="shared" si="164"/>
        <v>5500233</v>
      </c>
      <c r="AM555" s="27">
        <f t="shared" si="164"/>
        <v>5500233</v>
      </c>
      <c r="AN555" s="27">
        <f t="shared" si="166"/>
        <v>5500233</v>
      </c>
      <c r="AO555" s="27">
        <f t="shared" si="167"/>
        <v>5500233</v>
      </c>
      <c r="AP555" s="27">
        <f t="shared" si="167"/>
        <v>5500233</v>
      </c>
      <c r="AQ555" s="27">
        <f t="shared" si="168"/>
        <v>5500233</v>
      </c>
      <c r="AR555" s="27">
        <f t="shared" si="169"/>
        <v>5500233</v>
      </c>
      <c r="AS555" s="27"/>
      <c r="AT555" s="27"/>
      <c r="AU555" s="27"/>
      <c r="AV555" s="27"/>
      <c r="AW555" s="27">
        <f t="shared" si="172"/>
        <v>44001864</v>
      </c>
      <c r="AX555" s="79">
        <f t="shared" si="161"/>
        <v>313513300</v>
      </c>
      <c r="AY555" s="79">
        <f t="shared" si="162"/>
        <v>82503495</v>
      </c>
      <c r="AZ555" s="25">
        <v>1</v>
      </c>
      <c r="BA555" s="62" t="s">
        <v>97</v>
      </c>
      <c r="BB555" s="66">
        <v>1</v>
      </c>
      <c r="BC555" s="25"/>
      <c r="BD555" s="66"/>
      <c r="BE555" s="67">
        <f t="shared" si="165"/>
        <v>5500233</v>
      </c>
      <c r="BF555" s="67">
        <f t="shared" si="170"/>
        <v>0</v>
      </c>
      <c r="BG555" s="67">
        <f t="shared" si="163"/>
        <v>0</v>
      </c>
      <c r="BH555" s="67"/>
      <c r="BI555" s="68" t="s">
        <v>57</v>
      </c>
      <c r="BJ555" s="68" t="s">
        <v>81</v>
      </c>
      <c r="BK555" s="68" t="s">
        <v>81</v>
      </c>
      <c r="BO555" s="35" t="s">
        <v>1805</v>
      </c>
    </row>
    <row r="556" spans="3:67" ht="15" customHeight="1">
      <c r="C556" s="1" t="str">
        <f t="shared" si="158"/>
        <v>2905</v>
      </c>
      <c r="D556" s="1" t="str">
        <f t="shared" si="159"/>
        <v>2306</v>
      </c>
      <c r="E556" s="19" t="s">
        <v>1741</v>
      </c>
      <c r="F556" s="68" t="s">
        <v>49</v>
      </c>
      <c r="G556" s="62">
        <v>2112</v>
      </c>
      <c r="H556" s="19" t="s">
        <v>1725</v>
      </c>
      <c r="I556" s="19" t="s">
        <v>1733</v>
      </c>
      <c r="J556" s="86">
        <v>1</v>
      </c>
      <c r="K556" s="19" t="s">
        <v>1737</v>
      </c>
      <c r="L556" s="19" t="s">
        <v>77</v>
      </c>
      <c r="M556" s="142" t="s">
        <v>1738</v>
      </c>
      <c r="N556" s="42">
        <v>45030</v>
      </c>
      <c r="O556" s="70">
        <v>16344.74</v>
      </c>
      <c r="P556" s="70">
        <v>23650</v>
      </c>
      <c r="Q556" s="73">
        <f t="shared" si="173"/>
        <v>386553101</v>
      </c>
      <c r="R556" s="144">
        <f t="shared" si="174"/>
        <v>9463694</v>
      </c>
      <c r="S556" s="19"/>
      <c r="T556" s="19"/>
      <c r="U556" s="19" t="s">
        <v>1742</v>
      </c>
      <c r="V556" s="74">
        <v>396016795</v>
      </c>
      <c r="W556" s="75"/>
      <c r="X556" s="64">
        <v>396016795</v>
      </c>
      <c r="Y556" s="19"/>
      <c r="Z556" s="19"/>
      <c r="AA556" s="128"/>
      <c r="AB556" s="19"/>
      <c r="AC556" s="64">
        <v>396016795</v>
      </c>
      <c r="AD556" s="63">
        <v>45078</v>
      </c>
      <c r="AE556" s="65">
        <v>47269</v>
      </c>
      <c r="AF556" s="19">
        <v>6</v>
      </c>
      <c r="AG556" s="19">
        <v>72</v>
      </c>
      <c r="AH556" s="25">
        <v>5500233</v>
      </c>
      <c r="AI556" s="92">
        <v>38501631</v>
      </c>
      <c r="AJ556" s="92">
        <v>357515164</v>
      </c>
      <c r="AK556" s="27">
        <f t="shared" si="160"/>
        <v>5500233</v>
      </c>
      <c r="AL556" s="27">
        <f t="shared" si="164"/>
        <v>5500233</v>
      </c>
      <c r="AM556" s="27">
        <f t="shared" si="164"/>
        <v>5500233</v>
      </c>
      <c r="AN556" s="27">
        <f t="shared" si="166"/>
        <v>5500233</v>
      </c>
      <c r="AO556" s="27">
        <f t="shared" si="167"/>
        <v>5500233</v>
      </c>
      <c r="AP556" s="27">
        <f t="shared" si="167"/>
        <v>5500233</v>
      </c>
      <c r="AQ556" s="27">
        <f t="shared" si="168"/>
        <v>5500233</v>
      </c>
      <c r="AR556" s="27">
        <f t="shared" si="169"/>
        <v>5500233</v>
      </c>
      <c r="AS556" s="27"/>
      <c r="AT556" s="27"/>
      <c r="AU556" s="27"/>
      <c r="AV556" s="27"/>
      <c r="AW556" s="27">
        <f t="shared" si="172"/>
        <v>44001864</v>
      </c>
      <c r="AX556" s="79">
        <f t="shared" si="161"/>
        <v>313513300</v>
      </c>
      <c r="AY556" s="79">
        <f t="shared" si="162"/>
        <v>82503495</v>
      </c>
      <c r="AZ556" s="25">
        <v>1</v>
      </c>
      <c r="BA556" s="62" t="s">
        <v>97</v>
      </c>
      <c r="BB556" s="66">
        <v>1</v>
      </c>
      <c r="BC556" s="25"/>
      <c r="BD556" s="66"/>
      <c r="BE556" s="67">
        <f t="shared" si="165"/>
        <v>5500233</v>
      </c>
      <c r="BF556" s="67">
        <f t="shared" si="170"/>
        <v>0</v>
      </c>
      <c r="BG556" s="67">
        <f t="shared" si="163"/>
        <v>0</v>
      </c>
      <c r="BH556" s="67"/>
      <c r="BI556" s="68" t="s">
        <v>57</v>
      </c>
      <c r="BJ556" s="68" t="s">
        <v>81</v>
      </c>
      <c r="BK556" s="68" t="s">
        <v>81</v>
      </c>
      <c r="BO556" s="35" t="s">
        <v>1805</v>
      </c>
    </row>
    <row r="557" spans="3:67" ht="15" customHeight="1">
      <c r="C557" s="1" t="str">
        <f t="shared" si="158"/>
        <v>3105</v>
      </c>
      <c r="D557" s="1" t="str">
        <f t="shared" si="159"/>
        <v>2306</v>
      </c>
      <c r="E557" s="19" t="s">
        <v>1741</v>
      </c>
      <c r="F557" s="62" t="s">
        <v>1896</v>
      </c>
      <c r="G557" s="62">
        <v>2112</v>
      </c>
      <c r="H557" s="19" t="s">
        <v>1726</v>
      </c>
      <c r="I557" s="19" t="s">
        <v>1734</v>
      </c>
      <c r="J557" s="86">
        <v>1</v>
      </c>
      <c r="K557" s="19" t="s">
        <v>1737</v>
      </c>
      <c r="L557" s="19" t="s">
        <v>77</v>
      </c>
      <c r="M557" s="142" t="s">
        <v>1738</v>
      </c>
      <c r="N557" s="42">
        <v>45030</v>
      </c>
      <c r="O557" s="70">
        <v>18999.650000000001</v>
      </c>
      <c r="P557" s="70">
        <v>23650</v>
      </c>
      <c r="Q557" s="73">
        <f t="shared" si="173"/>
        <v>449341723</v>
      </c>
      <c r="R557" s="144">
        <f t="shared" si="174"/>
        <v>9463694</v>
      </c>
      <c r="S557" s="19"/>
      <c r="T557" s="19"/>
      <c r="U557" s="19" t="s">
        <v>1742</v>
      </c>
      <c r="V557" s="74">
        <v>458805417</v>
      </c>
      <c r="W557" s="75"/>
      <c r="X557" s="64">
        <v>458805417</v>
      </c>
      <c r="Y557" s="19"/>
      <c r="Z557" s="19"/>
      <c r="AA557" s="128"/>
      <c r="AB557" s="19"/>
      <c r="AC557" s="64">
        <v>458805417</v>
      </c>
      <c r="AD557" s="63">
        <v>45078</v>
      </c>
      <c r="AE557" s="65">
        <v>47999</v>
      </c>
      <c r="AF557" s="19">
        <v>8</v>
      </c>
      <c r="AG557" s="19">
        <v>96</v>
      </c>
      <c r="AH557" s="25">
        <v>4779223</v>
      </c>
      <c r="AI557" s="92">
        <v>33454561</v>
      </c>
      <c r="AJ557" s="92">
        <v>425350856</v>
      </c>
      <c r="AK557" s="27">
        <f t="shared" si="160"/>
        <v>4779223</v>
      </c>
      <c r="AL557" s="27">
        <f t="shared" si="164"/>
        <v>4779223</v>
      </c>
      <c r="AM557" s="27">
        <f t="shared" si="164"/>
        <v>4779223</v>
      </c>
      <c r="AN557" s="27">
        <f t="shared" si="166"/>
        <v>4779223</v>
      </c>
      <c r="AO557" s="27">
        <f t="shared" si="167"/>
        <v>4779223</v>
      </c>
      <c r="AP557" s="27">
        <f t="shared" si="167"/>
        <v>4779223</v>
      </c>
      <c r="AQ557" s="27">
        <f t="shared" si="168"/>
        <v>4779223</v>
      </c>
      <c r="AR557" s="27">
        <f t="shared" si="169"/>
        <v>4779223</v>
      </c>
      <c r="AS557" s="27"/>
      <c r="AT557" s="27"/>
      <c r="AU557" s="27"/>
      <c r="AV557" s="27"/>
      <c r="AW557" s="27">
        <f t="shared" si="172"/>
        <v>38233784</v>
      </c>
      <c r="AX557" s="79">
        <f t="shared" si="161"/>
        <v>387117072</v>
      </c>
      <c r="AY557" s="79">
        <f t="shared" si="162"/>
        <v>71688345</v>
      </c>
      <c r="AZ557" s="25">
        <v>1</v>
      </c>
      <c r="BA557" s="62" t="s">
        <v>97</v>
      </c>
      <c r="BB557" s="66">
        <v>1</v>
      </c>
      <c r="BC557" s="25"/>
      <c r="BD557" s="66"/>
      <c r="BE557" s="67">
        <f t="shared" si="165"/>
        <v>4779223</v>
      </c>
      <c r="BF557" s="67">
        <f t="shared" si="170"/>
        <v>0</v>
      </c>
      <c r="BG557" s="67">
        <f t="shared" si="163"/>
        <v>0</v>
      </c>
      <c r="BH557" s="67"/>
      <c r="BI557" s="68" t="s">
        <v>57</v>
      </c>
      <c r="BJ557" s="68" t="s">
        <v>1930</v>
      </c>
      <c r="BK557" s="68" t="s">
        <v>1930</v>
      </c>
      <c r="BO557" s="35" t="s">
        <v>1805</v>
      </c>
    </row>
    <row r="558" spans="3:67" ht="15" customHeight="1">
      <c r="C558" s="1" t="str">
        <f t="shared" si="158"/>
        <v>3105</v>
      </c>
      <c r="D558" s="1" t="str">
        <f t="shared" si="159"/>
        <v>2306</v>
      </c>
      <c r="E558" s="19" t="s">
        <v>1741</v>
      </c>
      <c r="F558" s="68" t="s">
        <v>49</v>
      </c>
      <c r="G558" s="62">
        <v>2112</v>
      </c>
      <c r="H558" s="19" t="s">
        <v>1727</v>
      </c>
      <c r="I558" s="19" t="s">
        <v>1735</v>
      </c>
      <c r="J558" s="86">
        <v>1</v>
      </c>
      <c r="K558" s="19" t="s">
        <v>1737</v>
      </c>
      <c r="L558" s="19" t="s">
        <v>77</v>
      </c>
      <c r="M558" s="142" t="s">
        <v>1738</v>
      </c>
      <c r="N558" s="42">
        <v>45030</v>
      </c>
      <c r="O558" s="70">
        <v>55930.04</v>
      </c>
      <c r="P558" s="70">
        <v>23650</v>
      </c>
      <c r="Q558" s="73">
        <f t="shared" si="173"/>
        <v>1322745446</v>
      </c>
      <c r="R558" s="144">
        <f t="shared" si="174"/>
        <v>9463694</v>
      </c>
      <c r="S558" s="19"/>
      <c r="T558" s="19"/>
      <c r="U558" s="19" t="s">
        <v>1742</v>
      </c>
      <c r="V558" s="74">
        <v>1332209140</v>
      </c>
      <c r="W558" s="75"/>
      <c r="X558" s="64">
        <v>1332209140</v>
      </c>
      <c r="Y558" s="19"/>
      <c r="Z558" s="19"/>
      <c r="AA558" s="128"/>
      <c r="AB558" s="19"/>
      <c r="AC558" s="64">
        <v>1332209140</v>
      </c>
      <c r="AD558" s="63">
        <v>45078</v>
      </c>
      <c r="AE558" s="65">
        <v>47999</v>
      </c>
      <c r="AF558" s="19">
        <v>8</v>
      </c>
      <c r="AG558" s="19">
        <v>96</v>
      </c>
      <c r="AH558" s="25">
        <v>13877179</v>
      </c>
      <c r="AI558" s="92">
        <v>97140253</v>
      </c>
      <c r="AJ558" s="92">
        <v>1235068887</v>
      </c>
      <c r="AK558" s="27">
        <f t="shared" si="160"/>
        <v>13877179</v>
      </c>
      <c r="AL558" s="27">
        <f t="shared" si="164"/>
        <v>13877179</v>
      </c>
      <c r="AM558" s="27">
        <f t="shared" si="164"/>
        <v>13877179</v>
      </c>
      <c r="AN558" s="27">
        <f t="shared" si="166"/>
        <v>13877179</v>
      </c>
      <c r="AO558" s="27">
        <f t="shared" si="167"/>
        <v>13877179</v>
      </c>
      <c r="AP558" s="27">
        <f t="shared" si="167"/>
        <v>13877179</v>
      </c>
      <c r="AQ558" s="27">
        <f t="shared" si="168"/>
        <v>13877179</v>
      </c>
      <c r="AR558" s="27">
        <f t="shared" si="169"/>
        <v>13877179</v>
      </c>
      <c r="AS558" s="27"/>
      <c r="AT558" s="27"/>
      <c r="AU558" s="27"/>
      <c r="AV558" s="27"/>
      <c r="AW558" s="27">
        <f t="shared" si="172"/>
        <v>111017432</v>
      </c>
      <c r="AX558" s="79">
        <f t="shared" si="161"/>
        <v>1124051455</v>
      </c>
      <c r="AY558" s="79">
        <f t="shared" si="162"/>
        <v>208157685</v>
      </c>
      <c r="AZ558" s="25">
        <v>1</v>
      </c>
      <c r="BA558" s="62" t="s">
        <v>97</v>
      </c>
      <c r="BB558" s="66">
        <v>1</v>
      </c>
      <c r="BC558" s="25"/>
      <c r="BD558" s="66"/>
      <c r="BE558" s="67">
        <f t="shared" si="165"/>
        <v>13877179</v>
      </c>
      <c r="BF558" s="67">
        <f t="shared" si="170"/>
        <v>0</v>
      </c>
      <c r="BG558" s="67">
        <f t="shared" si="163"/>
        <v>0</v>
      </c>
      <c r="BH558" s="67"/>
      <c r="BI558" s="68" t="s">
        <v>57</v>
      </c>
      <c r="BJ558" s="68" t="s">
        <v>98</v>
      </c>
      <c r="BK558" s="68" t="s">
        <v>98</v>
      </c>
      <c r="BO558" s="35" t="s">
        <v>1801</v>
      </c>
    </row>
    <row r="559" spans="3:67" ht="15" customHeight="1">
      <c r="C559" s="1" t="str">
        <f t="shared" si="158"/>
        <v>3105</v>
      </c>
      <c r="D559" s="1" t="str">
        <f t="shared" si="159"/>
        <v>2306</v>
      </c>
      <c r="E559" s="19" t="s">
        <v>1741</v>
      </c>
      <c r="F559" s="68" t="s">
        <v>49</v>
      </c>
      <c r="G559" s="62">
        <v>2112</v>
      </c>
      <c r="H559" s="19" t="s">
        <v>1728</v>
      </c>
      <c r="I559" s="19" t="s">
        <v>1735</v>
      </c>
      <c r="J559" s="86">
        <v>1</v>
      </c>
      <c r="K559" s="19" t="s">
        <v>1737</v>
      </c>
      <c r="L559" s="19" t="s">
        <v>77</v>
      </c>
      <c r="M559" s="142" t="s">
        <v>1738</v>
      </c>
      <c r="N559" s="42">
        <v>45030</v>
      </c>
      <c r="O559" s="70">
        <v>56473.05</v>
      </c>
      <c r="P559" s="70">
        <v>23650</v>
      </c>
      <c r="Q559" s="73">
        <f t="shared" si="173"/>
        <v>1335587633</v>
      </c>
      <c r="R559" s="144">
        <f t="shared" si="174"/>
        <v>9463694</v>
      </c>
      <c r="S559" s="19"/>
      <c r="T559" s="19"/>
      <c r="U559" s="19" t="s">
        <v>1742</v>
      </c>
      <c r="V559" s="74">
        <v>1345051327</v>
      </c>
      <c r="W559" s="75"/>
      <c r="X559" s="64">
        <v>1345051327</v>
      </c>
      <c r="Y559" s="19"/>
      <c r="Z559" s="19"/>
      <c r="AA559" s="128"/>
      <c r="AB559" s="19"/>
      <c r="AC559" s="64">
        <v>1345051327</v>
      </c>
      <c r="AD559" s="63">
        <v>45078</v>
      </c>
      <c r="AE559" s="65">
        <v>47999</v>
      </c>
      <c r="AF559" s="19">
        <v>8</v>
      </c>
      <c r="AG559" s="19">
        <v>96</v>
      </c>
      <c r="AH559" s="25">
        <v>14010951</v>
      </c>
      <c r="AI559" s="92">
        <v>98076657</v>
      </c>
      <c r="AJ559" s="92">
        <v>1246974670</v>
      </c>
      <c r="AK559" s="27">
        <f t="shared" si="160"/>
        <v>14010951</v>
      </c>
      <c r="AL559" s="27">
        <f t="shared" si="164"/>
        <v>14010951</v>
      </c>
      <c r="AM559" s="27">
        <f t="shared" si="164"/>
        <v>14010951</v>
      </c>
      <c r="AN559" s="27">
        <f t="shared" si="166"/>
        <v>14010951</v>
      </c>
      <c r="AO559" s="27">
        <f t="shared" si="167"/>
        <v>14010951</v>
      </c>
      <c r="AP559" s="27">
        <f t="shared" si="167"/>
        <v>14010951</v>
      </c>
      <c r="AQ559" s="27">
        <f t="shared" si="168"/>
        <v>14010951</v>
      </c>
      <c r="AR559" s="27">
        <f t="shared" si="169"/>
        <v>14010951</v>
      </c>
      <c r="AS559" s="27"/>
      <c r="AT559" s="27"/>
      <c r="AU559" s="27"/>
      <c r="AV559" s="27"/>
      <c r="AW559" s="27">
        <f t="shared" si="172"/>
        <v>112087608</v>
      </c>
      <c r="AX559" s="79">
        <f t="shared" si="161"/>
        <v>1134887062</v>
      </c>
      <c r="AY559" s="79">
        <f t="shared" si="162"/>
        <v>210164265</v>
      </c>
      <c r="AZ559" s="25">
        <v>1</v>
      </c>
      <c r="BA559" s="62" t="s">
        <v>97</v>
      </c>
      <c r="BB559" s="66">
        <v>1</v>
      </c>
      <c r="BC559" s="25"/>
      <c r="BD559" s="66"/>
      <c r="BE559" s="67">
        <f t="shared" si="165"/>
        <v>14010951</v>
      </c>
      <c r="BF559" s="67">
        <f t="shared" si="170"/>
        <v>0</v>
      </c>
      <c r="BG559" s="67">
        <f t="shared" si="163"/>
        <v>0</v>
      </c>
      <c r="BH559" s="67"/>
      <c r="BI559" s="68" t="s">
        <v>57</v>
      </c>
      <c r="BJ559" s="68" t="s">
        <v>98</v>
      </c>
      <c r="BK559" s="68" t="s">
        <v>98</v>
      </c>
      <c r="BO559" s="35" t="s">
        <v>1801</v>
      </c>
    </row>
    <row r="560" spans="3:67" ht="15" customHeight="1">
      <c r="C560" s="1" t="str">
        <f t="shared" si="158"/>
        <v>3305</v>
      </c>
      <c r="D560" s="1" t="str">
        <f t="shared" si="159"/>
        <v>2306</v>
      </c>
      <c r="E560" s="19" t="s">
        <v>1741</v>
      </c>
      <c r="F560" s="68" t="s">
        <v>49</v>
      </c>
      <c r="G560" s="62">
        <v>2114</v>
      </c>
      <c r="H560" s="19" t="s">
        <v>1729</v>
      </c>
      <c r="I560" s="19" t="s">
        <v>1736</v>
      </c>
      <c r="J560" s="86">
        <v>1</v>
      </c>
      <c r="K560" s="19" t="s">
        <v>1737</v>
      </c>
      <c r="L560" s="19" t="s">
        <v>1717</v>
      </c>
      <c r="M560" s="142" t="s">
        <v>1739</v>
      </c>
      <c r="N560" s="42">
        <v>45055</v>
      </c>
      <c r="O560" s="70">
        <v>63000</v>
      </c>
      <c r="P560" s="70">
        <v>23725</v>
      </c>
      <c r="Q560" s="73">
        <f t="shared" si="173"/>
        <v>1494675000</v>
      </c>
      <c r="R560" s="144">
        <v>10835300</v>
      </c>
      <c r="S560" s="19"/>
      <c r="T560" s="19"/>
      <c r="U560" s="19" t="s">
        <v>1743</v>
      </c>
      <c r="V560" s="74">
        <v>1505510300</v>
      </c>
      <c r="W560" s="75"/>
      <c r="X560" s="64">
        <v>1505510300</v>
      </c>
      <c r="Y560" s="19"/>
      <c r="Z560" s="19"/>
      <c r="AA560" s="128"/>
      <c r="AB560" s="19"/>
      <c r="AC560" s="64">
        <v>1505510300</v>
      </c>
      <c r="AD560" s="63">
        <v>45078</v>
      </c>
      <c r="AE560" s="65">
        <v>48730</v>
      </c>
      <c r="AF560" s="19">
        <v>10</v>
      </c>
      <c r="AG560" s="19">
        <v>120</v>
      </c>
      <c r="AH560" s="25">
        <v>12545919</v>
      </c>
      <c r="AI560" s="92">
        <v>87821433</v>
      </c>
      <c r="AJ560" s="92">
        <v>1417688867</v>
      </c>
      <c r="AK560" s="27">
        <f t="shared" si="160"/>
        <v>12545919</v>
      </c>
      <c r="AL560" s="27">
        <f t="shared" si="164"/>
        <v>12545919</v>
      </c>
      <c r="AM560" s="27">
        <f t="shared" si="164"/>
        <v>12545919</v>
      </c>
      <c r="AN560" s="27">
        <f t="shared" si="166"/>
        <v>12545919</v>
      </c>
      <c r="AO560" s="27">
        <f t="shared" si="167"/>
        <v>12545919</v>
      </c>
      <c r="AP560" s="27">
        <f t="shared" si="167"/>
        <v>12545919</v>
      </c>
      <c r="AQ560" s="27">
        <f t="shared" si="168"/>
        <v>12545919</v>
      </c>
      <c r="AR560" s="27">
        <f t="shared" si="169"/>
        <v>12545919</v>
      </c>
      <c r="AS560" s="27"/>
      <c r="AT560" s="27"/>
      <c r="AU560" s="27"/>
      <c r="AV560" s="27"/>
      <c r="AW560" s="27">
        <f>+SUM(AK560:AV560)</f>
        <v>100367352</v>
      </c>
      <c r="AX560" s="79">
        <f>AC560-AI560-AW560</f>
        <v>1317321515</v>
      </c>
      <c r="AY560" s="79">
        <f t="shared" si="162"/>
        <v>188188785</v>
      </c>
      <c r="AZ560" s="25">
        <v>1</v>
      </c>
      <c r="BA560" s="62" t="s">
        <v>97</v>
      </c>
      <c r="BB560" s="66"/>
      <c r="BC560" s="25">
        <v>1</v>
      </c>
      <c r="BD560" s="66"/>
      <c r="BE560" s="67">
        <f t="shared" si="165"/>
        <v>0</v>
      </c>
      <c r="BF560" s="67">
        <f t="shared" si="170"/>
        <v>12545919</v>
      </c>
      <c r="BG560" s="67">
        <f t="shared" si="163"/>
        <v>0</v>
      </c>
      <c r="BH560" s="67"/>
      <c r="BI560" s="19" t="s">
        <v>1624</v>
      </c>
      <c r="BJ560" s="68" t="s">
        <v>1438</v>
      </c>
      <c r="BK560" s="68" t="s">
        <v>1438</v>
      </c>
      <c r="BO560" s="35" t="s">
        <v>1804</v>
      </c>
    </row>
    <row r="561" spans="3:67" ht="15" customHeight="1">
      <c r="C561" s="1" t="str">
        <f t="shared" si="158"/>
        <v>3305</v>
      </c>
      <c r="D561" s="1" t="str">
        <f t="shared" si="159"/>
        <v>2306</v>
      </c>
      <c r="E561" s="19" t="s">
        <v>1741</v>
      </c>
      <c r="F561" s="68" t="s">
        <v>49</v>
      </c>
      <c r="G561" s="62">
        <v>2112</v>
      </c>
      <c r="H561" s="19" t="s">
        <v>1730</v>
      </c>
      <c r="I561" s="19" t="s">
        <v>1719</v>
      </c>
      <c r="J561" s="86">
        <v>1</v>
      </c>
      <c r="K561" s="19" t="s">
        <v>1192</v>
      </c>
      <c r="L561" s="19" t="s">
        <v>1718</v>
      </c>
      <c r="M561" s="142" t="s">
        <v>1740</v>
      </c>
      <c r="N561" s="42">
        <v>45077</v>
      </c>
      <c r="O561" s="70"/>
      <c r="P561" s="70"/>
      <c r="Q561" s="73">
        <v>409500000</v>
      </c>
      <c r="R561" s="70"/>
      <c r="S561" s="19"/>
      <c r="T561" s="19"/>
      <c r="U561" s="19"/>
      <c r="V561" s="74">
        <v>409500000</v>
      </c>
      <c r="W561" s="75"/>
      <c r="X561" s="64">
        <v>409500000</v>
      </c>
      <c r="Y561" s="19"/>
      <c r="Z561" s="19"/>
      <c r="AA561" s="128"/>
      <c r="AB561" s="19"/>
      <c r="AC561" s="64">
        <v>409500000</v>
      </c>
      <c r="AD561" s="63">
        <v>45078</v>
      </c>
      <c r="AE561" s="65">
        <v>48730</v>
      </c>
      <c r="AF561" s="19">
        <v>10</v>
      </c>
      <c r="AG561" s="19">
        <v>120</v>
      </c>
      <c r="AH561" s="25">
        <v>3412500</v>
      </c>
      <c r="AI561" s="92">
        <v>23887500</v>
      </c>
      <c r="AJ561" s="92">
        <v>385612500</v>
      </c>
      <c r="AK561" s="27">
        <f t="shared" si="160"/>
        <v>3412500</v>
      </c>
      <c r="AL561" s="27">
        <f t="shared" si="164"/>
        <v>3412500</v>
      </c>
      <c r="AM561" s="27">
        <f t="shared" si="164"/>
        <v>3412500</v>
      </c>
      <c r="AN561" s="27">
        <f t="shared" si="166"/>
        <v>3412500</v>
      </c>
      <c r="AO561" s="27">
        <f t="shared" si="167"/>
        <v>3412500</v>
      </c>
      <c r="AP561" s="27">
        <f t="shared" si="167"/>
        <v>3412500</v>
      </c>
      <c r="AQ561" s="27">
        <f t="shared" si="168"/>
        <v>3412500</v>
      </c>
      <c r="AR561" s="27">
        <f t="shared" si="169"/>
        <v>3412500</v>
      </c>
      <c r="AS561" s="27"/>
      <c r="AT561" s="27"/>
      <c r="AU561" s="27"/>
      <c r="AV561" s="27"/>
      <c r="AW561" s="27">
        <f t="shared" si="172"/>
        <v>27300000</v>
      </c>
      <c r="AX561" s="79">
        <f t="shared" si="161"/>
        <v>358312500</v>
      </c>
      <c r="AY561" s="79">
        <f t="shared" si="162"/>
        <v>51187500</v>
      </c>
      <c r="AZ561" s="25">
        <v>1</v>
      </c>
      <c r="BA561" s="62" t="s">
        <v>97</v>
      </c>
      <c r="BB561" s="66">
        <v>1</v>
      </c>
      <c r="BC561" s="25"/>
      <c r="BD561" s="66"/>
      <c r="BE561" s="67">
        <f t="shared" si="165"/>
        <v>3412500</v>
      </c>
      <c r="BF561" s="67">
        <f t="shared" si="170"/>
        <v>0</v>
      </c>
      <c r="BG561" s="67">
        <f t="shared" si="163"/>
        <v>0</v>
      </c>
      <c r="BH561" s="67"/>
      <c r="BI561" s="68" t="s">
        <v>57</v>
      </c>
      <c r="BJ561" s="68" t="s">
        <v>58</v>
      </c>
      <c r="BK561" s="68" t="s">
        <v>58</v>
      </c>
      <c r="BO561" s="35" t="s">
        <v>1804</v>
      </c>
    </row>
    <row r="562" spans="3:67" ht="15" customHeight="1">
      <c r="C562" s="1" t="str">
        <f t="shared" si="158"/>
        <v>3306</v>
      </c>
      <c r="D562" s="1" t="str">
        <f t="shared" si="159"/>
        <v>2307</v>
      </c>
      <c r="E562" s="19" t="s">
        <v>1753</v>
      </c>
      <c r="F562" s="68" t="s">
        <v>515</v>
      </c>
      <c r="G562" s="62">
        <v>2112</v>
      </c>
      <c r="H562" s="19" t="s">
        <v>1749</v>
      </c>
      <c r="I562" s="19" t="s">
        <v>1750</v>
      </c>
      <c r="J562" s="86">
        <v>1</v>
      </c>
      <c r="K562" s="19" t="s">
        <v>1737</v>
      </c>
      <c r="L562" s="19" t="s">
        <v>1747</v>
      </c>
      <c r="M562" s="142" t="s">
        <v>1751</v>
      </c>
      <c r="N562" s="42">
        <v>45098</v>
      </c>
      <c r="O562" s="70">
        <v>110062.5</v>
      </c>
      <c r="P562" s="70">
        <v>23641</v>
      </c>
      <c r="Q562" s="73">
        <f t="shared" si="173"/>
        <v>2601987563</v>
      </c>
      <c r="R562" s="70"/>
      <c r="S562" s="19"/>
      <c r="T562" s="144">
        <v>17804574</v>
      </c>
      <c r="U562" s="19" t="s">
        <v>1752</v>
      </c>
      <c r="V562" s="74">
        <v>2619792137</v>
      </c>
      <c r="W562" s="75"/>
      <c r="X562" s="64">
        <v>2619792137</v>
      </c>
      <c r="Y562" s="19"/>
      <c r="Z562" s="19"/>
      <c r="AA562" s="128"/>
      <c r="AB562" s="19"/>
      <c r="AC562" s="64">
        <v>2619792137</v>
      </c>
      <c r="AD562" s="63">
        <v>45108</v>
      </c>
      <c r="AE562" s="65">
        <v>48760</v>
      </c>
      <c r="AF562" s="19">
        <v>10</v>
      </c>
      <c r="AG562" s="19">
        <v>120</v>
      </c>
      <c r="AH562" s="25">
        <v>21831601</v>
      </c>
      <c r="AI562" s="92">
        <v>130989606</v>
      </c>
      <c r="AJ562" s="92">
        <v>2488802531</v>
      </c>
      <c r="AK562" s="27">
        <f t="shared" si="160"/>
        <v>21831601</v>
      </c>
      <c r="AL562" s="27">
        <f t="shared" si="164"/>
        <v>21831601</v>
      </c>
      <c r="AM562" s="27">
        <f t="shared" si="164"/>
        <v>21831601</v>
      </c>
      <c r="AN562" s="27">
        <f t="shared" si="166"/>
        <v>21831601</v>
      </c>
      <c r="AO562" s="27">
        <f t="shared" si="167"/>
        <v>21831601</v>
      </c>
      <c r="AP562" s="27">
        <f t="shared" si="167"/>
        <v>21831601</v>
      </c>
      <c r="AQ562" s="27">
        <f t="shared" si="168"/>
        <v>21831601</v>
      </c>
      <c r="AR562" s="27">
        <f t="shared" si="169"/>
        <v>21831601</v>
      </c>
      <c r="AS562" s="27"/>
      <c r="AT562" s="27"/>
      <c r="AU562" s="27"/>
      <c r="AV562" s="27"/>
      <c r="AW562" s="27">
        <f t="shared" ref="AW562:AW570" si="175">+SUM(AK562:AV562)</f>
        <v>174652808</v>
      </c>
      <c r="AX562" s="79">
        <f t="shared" si="161"/>
        <v>2314149723</v>
      </c>
      <c r="AY562" s="79">
        <f t="shared" si="162"/>
        <v>305642414</v>
      </c>
      <c r="AZ562" s="25">
        <v>1</v>
      </c>
      <c r="BA562" s="62" t="s">
        <v>97</v>
      </c>
      <c r="BB562" s="66">
        <v>1</v>
      </c>
      <c r="BC562" s="25"/>
      <c r="BD562" s="66"/>
      <c r="BE562" s="67">
        <f t="shared" si="165"/>
        <v>21831601</v>
      </c>
      <c r="BF562" s="67">
        <f t="shared" si="170"/>
        <v>0</v>
      </c>
      <c r="BG562" s="67">
        <f t="shared" si="163"/>
        <v>0</v>
      </c>
      <c r="BH562" s="67"/>
      <c r="BI562" s="68" t="s">
        <v>871</v>
      </c>
      <c r="BJ562" s="68" t="s">
        <v>124</v>
      </c>
      <c r="BK562" s="68" t="s">
        <v>124</v>
      </c>
      <c r="BO562" s="35" t="s">
        <v>1805</v>
      </c>
    </row>
    <row r="563" spans="3:67" ht="15" customHeight="1">
      <c r="C563" s="1" t="str">
        <f t="shared" si="158"/>
        <v>3006</v>
      </c>
      <c r="D563" s="1" t="str">
        <f t="shared" si="159"/>
        <v>2307</v>
      </c>
      <c r="E563" s="19" t="s">
        <v>1753</v>
      </c>
      <c r="F563" s="68" t="s">
        <v>49</v>
      </c>
      <c r="G563" s="62">
        <v>2112</v>
      </c>
      <c r="H563" s="19" t="s">
        <v>1755</v>
      </c>
      <c r="I563" s="19" t="s">
        <v>1756</v>
      </c>
      <c r="J563" s="86">
        <v>1</v>
      </c>
      <c r="K563" s="19" t="s">
        <v>1737</v>
      </c>
      <c r="L563" s="19" t="s">
        <v>77</v>
      </c>
      <c r="M563" s="142" t="s">
        <v>1738</v>
      </c>
      <c r="N563" s="42">
        <v>45030</v>
      </c>
      <c r="O563" s="70">
        <v>62418.720000000001</v>
      </c>
      <c r="P563" s="70">
        <v>23650</v>
      </c>
      <c r="Q563" s="73">
        <v>1476202728</v>
      </c>
      <c r="R563" s="70"/>
      <c r="S563" s="19"/>
      <c r="T563" s="19">
        <v>9463698</v>
      </c>
      <c r="U563" s="19" t="s">
        <v>1772</v>
      </c>
      <c r="V563" s="74">
        <v>1485666426</v>
      </c>
      <c r="W563" s="75"/>
      <c r="X563" s="64">
        <v>1485666426</v>
      </c>
      <c r="Y563" s="19"/>
      <c r="Z563" s="19"/>
      <c r="AA563" s="128"/>
      <c r="AB563" s="19"/>
      <c r="AC563" s="64">
        <v>1485666426</v>
      </c>
      <c r="AD563" s="63">
        <v>45108</v>
      </c>
      <c r="AE563" s="65">
        <v>47664</v>
      </c>
      <c r="AF563" s="19">
        <v>7</v>
      </c>
      <c r="AG563" s="19">
        <v>84</v>
      </c>
      <c r="AH563" s="25">
        <v>17686505</v>
      </c>
      <c r="AI563" s="92">
        <v>106119030</v>
      </c>
      <c r="AJ563" s="92">
        <v>1379547396</v>
      </c>
      <c r="AK563" s="27">
        <f t="shared" si="160"/>
        <v>17686505</v>
      </c>
      <c r="AL563" s="27">
        <f t="shared" si="164"/>
        <v>17686505</v>
      </c>
      <c r="AM563" s="27">
        <f t="shared" si="164"/>
        <v>17686505</v>
      </c>
      <c r="AN563" s="27">
        <f t="shared" si="166"/>
        <v>17686505</v>
      </c>
      <c r="AO563" s="27">
        <f t="shared" si="167"/>
        <v>17686505</v>
      </c>
      <c r="AP563" s="27">
        <f t="shared" si="167"/>
        <v>17686505</v>
      </c>
      <c r="AQ563" s="27">
        <f t="shared" si="168"/>
        <v>17686505</v>
      </c>
      <c r="AR563" s="27">
        <f t="shared" si="169"/>
        <v>17686505</v>
      </c>
      <c r="AS563" s="27"/>
      <c r="AT563" s="27"/>
      <c r="AU563" s="27"/>
      <c r="AV563" s="27"/>
      <c r="AW563" s="27">
        <f t="shared" si="175"/>
        <v>141492040</v>
      </c>
      <c r="AX563" s="79">
        <f t="shared" si="161"/>
        <v>1238055356</v>
      </c>
      <c r="AY563" s="79">
        <f t="shared" si="162"/>
        <v>247611070</v>
      </c>
      <c r="AZ563" s="25">
        <v>1</v>
      </c>
      <c r="BA563" s="62" t="s">
        <v>97</v>
      </c>
      <c r="BB563" s="66">
        <v>1</v>
      </c>
      <c r="BC563" s="25"/>
      <c r="BD563" s="66"/>
      <c r="BE563" s="67">
        <f t="shared" si="165"/>
        <v>17686505</v>
      </c>
      <c r="BF563" s="67">
        <f t="shared" si="170"/>
        <v>0</v>
      </c>
      <c r="BG563" s="67">
        <f t="shared" si="163"/>
        <v>0</v>
      </c>
      <c r="BH563" s="67"/>
      <c r="BI563" s="19" t="s">
        <v>57</v>
      </c>
      <c r="BJ563" s="68" t="s">
        <v>98</v>
      </c>
      <c r="BK563" s="68" t="s">
        <v>98</v>
      </c>
      <c r="BO563" s="35" t="s">
        <v>1805</v>
      </c>
    </row>
    <row r="564" spans="3:67" ht="15" customHeight="1">
      <c r="C564" s="1" t="str">
        <f t="shared" si="158"/>
        <v>3306</v>
      </c>
      <c r="D564" s="1" t="str">
        <f t="shared" si="159"/>
        <v>2307</v>
      </c>
      <c r="E564" s="19" t="s">
        <v>1753</v>
      </c>
      <c r="F564" s="62" t="s">
        <v>1896</v>
      </c>
      <c r="G564" s="62">
        <v>2112</v>
      </c>
      <c r="H564" s="19" t="s">
        <v>1757</v>
      </c>
      <c r="I564" s="19" t="s">
        <v>1758</v>
      </c>
      <c r="J564" s="86">
        <v>1</v>
      </c>
      <c r="K564" s="19" t="s">
        <v>1737</v>
      </c>
      <c r="L564" s="19" t="s">
        <v>1716</v>
      </c>
      <c r="M564" s="142" t="s">
        <v>1768</v>
      </c>
      <c r="N564" s="42">
        <v>45064</v>
      </c>
      <c r="O564" s="70">
        <v>32254.29</v>
      </c>
      <c r="P564" s="70">
        <v>23640</v>
      </c>
      <c r="Q564" s="73">
        <v>762491416</v>
      </c>
      <c r="R564" s="70"/>
      <c r="S564" s="19"/>
      <c r="T564" s="19">
        <v>19012308</v>
      </c>
      <c r="U564" s="19" t="s">
        <v>1773</v>
      </c>
      <c r="V564" s="74">
        <v>781503724</v>
      </c>
      <c r="W564" s="75"/>
      <c r="X564" s="64">
        <v>781503724</v>
      </c>
      <c r="Y564" s="19"/>
      <c r="Z564" s="19"/>
      <c r="AA564" s="128"/>
      <c r="AB564" s="19"/>
      <c r="AC564" s="64">
        <v>781503724</v>
      </c>
      <c r="AD564" s="63">
        <v>45108</v>
      </c>
      <c r="AE564" s="65">
        <v>48760</v>
      </c>
      <c r="AF564" s="19">
        <v>10</v>
      </c>
      <c r="AG564" s="19">
        <v>120</v>
      </c>
      <c r="AH564" s="25">
        <v>6512531</v>
      </c>
      <c r="AI564" s="92">
        <v>39075186</v>
      </c>
      <c r="AJ564" s="92">
        <v>742428538</v>
      </c>
      <c r="AK564" s="27">
        <f t="shared" si="160"/>
        <v>6512531</v>
      </c>
      <c r="AL564" s="27">
        <f t="shared" si="164"/>
        <v>6512531</v>
      </c>
      <c r="AM564" s="27">
        <f t="shared" si="164"/>
        <v>6512531</v>
      </c>
      <c r="AN564" s="27">
        <f t="shared" si="166"/>
        <v>6512531</v>
      </c>
      <c r="AO564" s="27">
        <f t="shared" si="167"/>
        <v>6512531</v>
      </c>
      <c r="AP564" s="27">
        <f t="shared" si="167"/>
        <v>6512531</v>
      </c>
      <c r="AQ564" s="27">
        <f t="shared" si="168"/>
        <v>6512531</v>
      </c>
      <c r="AR564" s="27">
        <f t="shared" si="169"/>
        <v>6512531</v>
      </c>
      <c r="AS564" s="27"/>
      <c r="AT564" s="27"/>
      <c r="AU564" s="27"/>
      <c r="AV564" s="27"/>
      <c r="AW564" s="27">
        <f t="shared" si="175"/>
        <v>52100248</v>
      </c>
      <c r="AX564" s="79">
        <f t="shared" si="161"/>
        <v>690328290</v>
      </c>
      <c r="AY564" s="79">
        <f t="shared" si="162"/>
        <v>91175434</v>
      </c>
      <c r="AZ564" s="25">
        <v>1</v>
      </c>
      <c r="BA564" s="62" t="s">
        <v>97</v>
      </c>
      <c r="BB564" s="66">
        <v>1</v>
      </c>
      <c r="BC564" s="25"/>
      <c r="BD564" s="66"/>
      <c r="BE564" s="67">
        <f t="shared" si="165"/>
        <v>6512531</v>
      </c>
      <c r="BF564" s="67">
        <f t="shared" si="170"/>
        <v>0</v>
      </c>
      <c r="BG564" s="67">
        <f t="shared" si="163"/>
        <v>0</v>
      </c>
      <c r="BH564" s="67"/>
      <c r="BI564" s="19" t="s">
        <v>57</v>
      </c>
      <c r="BJ564" s="68" t="s">
        <v>1982</v>
      </c>
      <c r="BK564" s="68" t="s">
        <v>1982</v>
      </c>
      <c r="BO564" s="35" t="s">
        <v>1800</v>
      </c>
    </row>
    <row r="565" spans="3:67" ht="15" customHeight="1">
      <c r="C565" s="1" t="str">
        <f t="shared" si="158"/>
        <v>3306</v>
      </c>
      <c r="D565" s="1" t="str">
        <f t="shared" si="159"/>
        <v>2307</v>
      </c>
      <c r="E565" s="19" t="s">
        <v>1753</v>
      </c>
      <c r="F565" s="68" t="s">
        <v>49</v>
      </c>
      <c r="G565" s="62">
        <v>2112</v>
      </c>
      <c r="H565" s="19" t="s">
        <v>1759</v>
      </c>
      <c r="I565" s="19" t="s">
        <v>1760</v>
      </c>
      <c r="J565" s="86">
        <v>1</v>
      </c>
      <c r="K565" s="19" t="s">
        <v>1737</v>
      </c>
      <c r="L565" s="19" t="s">
        <v>1716</v>
      </c>
      <c r="M565" s="142" t="s">
        <v>1769</v>
      </c>
      <c r="N565" s="42">
        <v>45070</v>
      </c>
      <c r="O565" s="70">
        <v>24467.29</v>
      </c>
      <c r="P565" s="70">
        <v>23620</v>
      </c>
      <c r="Q565" s="73">
        <v>577917390</v>
      </c>
      <c r="R565" s="70"/>
      <c r="S565" s="19"/>
      <c r="T565" s="19">
        <v>5767082</v>
      </c>
      <c r="U565" s="19" t="s">
        <v>1774</v>
      </c>
      <c r="V565" s="74">
        <v>583684472</v>
      </c>
      <c r="W565" s="75"/>
      <c r="X565" s="64">
        <v>583684472</v>
      </c>
      <c r="Y565" s="19"/>
      <c r="Z565" s="19"/>
      <c r="AA565" s="128"/>
      <c r="AB565" s="19"/>
      <c r="AC565" s="64">
        <v>583684472</v>
      </c>
      <c r="AD565" s="63">
        <v>45108</v>
      </c>
      <c r="AE565" s="65">
        <v>48760</v>
      </c>
      <c r="AF565" s="19">
        <v>10</v>
      </c>
      <c r="AG565" s="19">
        <v>120</v>
      </c>
      <c r="AH565" s="25">
        <v>4864037</v>
      </c>
      <c r="AI565" s="92">
        <v>29184222</v>
      </c>
      <c r="AJ565" s="92">
        <v>554500250</v>
      </c>
      <c r="AK565" s="27">
        <f t="shared" si="160"/>
        <v>4864037</v>
      </c>
      <c r="AL565" s="27">
        <f t="shared" si="164"/>
        <v>4864037</v>
      </c>
      <c r="AM565" s="27">
        <f t="shared" si="164"/>
        <v>4864037</v>
      </c>
      <c r="AN565" s="27">
        <f t="shared" si="166"/>
        <v>4864037</v>
      </c>
      <c r="AO565" s="27">
        <f t="shared" si="167"/>
        <v>4864037</v>
      </c>
      <c r="AP565" s="27">
        <f t="shared" si="167"/>
        <v>4864037</v>
      </c>
      <c r="AQ565" s="27">
        <f t="shared" si="168"/>
        <v>4864037</v>
      </c>
      <c r="AR565" s="27">
        <f t="shared" si="169"/>
        <v>4864037</v>
      </c>
      <c r="AS565" s="27"/>
      <c r="AT565" s="27"/>
      <c r="AU565" s="27"/>
      <c r="AV565" s="27"/>
      <c r="AW565" s="27">
        <f t="shared" si="175"/>
        <v>38912296</v>
      </c>
      <c r="AX565" s="79">
        <f t="shared" si="161"/>
        <v>515587954</v>
      </c>
      <c r="AY565" s="79">
        <f t="shared" si="162"/>
        <v>68096518</v>
      </c>
      <c r="AZ565" s="25">
        <v>1</v>
      </c>
      <c r="BA565" s="62" t="s">
        <v>97</v>
      </c>
      <c r="BB565" s="66">
        <v>1</v>
      </c>
      <c r="BC565" s="25"/>
      <c r="BD565" s="66"/>
      <c r="BE565" s="67">
        <f t="shared" si="165"/>
        <v>4864037</v>
      </c>
      <c r="BF565" s="67">
        <f t="shared" si="170"/>
        <v>0</v>
      </c>
      <c r="BG565" s="67">
        <f t="shared" si="163"/>
        <v>0</v>
      </c>
      <c r="BH565" s="67"/>
      <c r="BI565" s="19" t="s">
        <v>57</v>
      </c>
      <c r="BJ565" s="68" t="s">
        <v>98</v>
      </c>
      <c r="BK565" s="68" t="s">
        <v>98</v>
      </c>
      <c r="BO565" s="35" t="s">
        <v>1800</v>
      </c>
    </row>
    <row r="566" spans="3:67" ht="15" customHeight="1">
      <c r="C566" s="1" t="str">
        <f t="shared" si="158"/>
        <v>3306</v>
      </c>
      <c r="D566" s="1" t="str">
        <f t="shared" si="159"/>
        <v>2307</v>
      </c>
      <c r="E566" s="19" t="s">
        <v>1753</v>
      </c>
      <c r="F566" s="68" t="s">
        <v>1438</v>
      </c>
      <c r="G566" s="62">
        <v>2112</v>
      </c>
      <c r="H566" s="19" t="s">
        <v>1761</v>
      </c>
      <c r="I566" s="19" t="s">
        <v>1744</v>
      </c>
      <c r="J566" s="86">
        <v>1</v>
      </c>
      <c r="K566" s="19" t="s">
        <v>1192</v>
      </c>
      <c r="L566" s="19" t="s">
        <v>186</v>
      </c>
      <c r="M566" s="142">
        <v>1473</v>
      </c>
      <c r="N566" s="42">
        <v>45091</v>
      </c>
      <c r="O566" s="70"/>
      <c r="P566" s="70"/>
      <c r="Q566" s="73">
        <v>114000000</v>
      </c>
      <c r="R566" s="70"/>
      <c r="S566" s="19"/>
      <c r="T566" s="19"/>
      <c r="U566" s="19"/>
      <c r="V566" s="74">
        <v>114000000</v>
      </c>
      <c r="W566" s="75"/>
      <c r="X566" s="64">
        <v>114000000</v>
      </c>
      <c r="Y566" s="19"/>
      <c r="Z566" s="19"/>
      <c r="AA566" s="128"/>
      <c r="AB566" s="19"/>
      <c r="AC566" s="64">
        <v>114000000</v>
      </c>
      <c r="AD566" s="63">
        <v>45108</v>
      </c>
      <c r="AE566" s="65">
        <v>48760</v>
      </c>
      <c r="AF566" s="19">
        <v>10</v>
      </c>
      <c r="AG566" s="19">
        <v>120</v>
      </c>
      <c r="AH566" s="25">
        <v>950000</v>
      </c>
      <c r="AI566" s="92">
        <v>5700000</v>
      </c>
      <c r="AJ566" s="92">
        <v>108300000</v>
      </c>
      <c r="AK566" s="27">
        <f t="shared" si="160"/>
        <v>950000</v>
      </c>
      <c r="AL566" s="27">
        <f t="shared" si="164"/>
        <v>950000</v>
      </c>
      <c r="AM566" s="27">
        <f t="shared" si="164"/>
        <v>950000</v>
      </c>
      <c r="AN566" s="27">
        <f t="shared" si="166"/>
        <v>950000</v>
      </c>
      <c r="AO566" s="27">
        <f t="shared" si="167"/>
        <v>950000</v>
      </c>
      <c r="AP566" s="27">
        <f t="shared" si="167"/>
        <v>950000</v>
      </c>
      <c r="AQ566" s="27">
        <f t="shared" si="168"/>
        <v>950000</v>
      </c>
      <c r="AR566" s="27">
        <f t="shared" si="169"/>
        <v>950000</v>
      </c>
      <c r="AS566" s="27"/>
      <c r="AT566" s="27"/>
      <c r="AU566" s="27"/>
      <c r="AV566" s="27"/>
      <c r="AW566" s="27">
        <f t="shared" si="175"/>
        <v>7600000</v>
      </c>
      <c r="AX566" s="79">
        <f t="shared" si="161"/>
        <v>100700000</v>
      </c>
      <c r="AY566" s="79">
        <f t="shared" si="162"/>
        <v>13300000</v>
      </c>
      <c r="AZ566" s="25">
        <v>1</v>
      </c>
      <c r="BA566" s="62" t="s">
        <v>97</v>
      </c>
      <c r="BB566" s="66"/>
      <c r="BC566" s="66">
        <v>1</v>
      </c>
      <c r="BD566" s="66"/>
      <c r="BE566" s="67">
        <f t="shared" si="165"/>
        <v>0</v>
      </c>
      <c r="BF566" s="67">
        <f t="shared" si="170"/>
        <v>950000</v>
      </c>
      <c r="BG566" s="67">
        <f t="shared" si="163"/>
        <v>0</v>
      </c>
      <c r="BH566" s="67"/>
      <c r="BI566" s="19" t="s">
        <v>1776</v>
      </c>
      <c r="BJ566" s="68" t="s">
        <v>1438</v>
      </c>
      <c r="BK566" s="68" t="s">
        <v>1438</v>
      </c>
      <c r="BO566" s="35" t="s">
        <v>1804</v>
      </c>
    </row>
    <row r="567" spans="3:67" ht="15" customHeight="1">
      <c r="C567" s="1" t="str">
        <f t="shared" si="158"/>
        <v>3306</v>
      </c>
      <c r="D567" s="1" t="str">
        <f t="shared" si="159"/>
        <v>2307</v>
      </c>
      <c r="E567" s="19" t="s">
        <v>1753</v>
      </c>
      <c r="F567" s="68" t="s">
        <v>1438</v>
      </c>
      <c r="G567" s="62">
        <v>2112</v>
      </c>
      <c r="H567" s="19" t="s">
        <v>1762</v>
      </c>
      <c r="I567" s="19" t="s">
        <v>1745</v>
      </c>
      <c r="J567" s="86">
        <v>1</v>
      </c>
      <c r="K567" s="19" t="s">
        <v>1233</v>
      </c>
      <c r="L567" s="19" t="s">
        <v>186</v>
      </c>
      <c r="M567" s="142">
        <v>1473</v>
      </c>
      <c r="N567" s="42">
        <v>45091</v>
      </c>
      <c r="O567" s="70"/>
      <c r="P567" s="70"/>
      <c r="Q567" s="73">
        <v>114000000</v>
      </c>
      <c r="R567" s="70"/>
      <c r="S567" s="19"/>
      <c r="T567" s="19"/>
      <c r="U567" s="19"/>
      <c r="V567" s="74">
        <v>114000000</v>
      </c>
      <c r="W567" s="75"/>
      <c r="X567" s="64">
        <v>114000000</v>
      </c>
      <c r="Y567" s="19"/>
      <c r="Z567" s="19"/>
      <c r="AA567" s="128"/>
      <c r="AB567" s="19"/>
      <c r="AC567" s="64">
        <v>114000000</v>
      </c>
      <c r="AD567" s="63">
        <v>45108</v>
      </c>
      <c r="AE567" s="65">
        <v>48760</v>
      </c>
      <c r="AF567" s="19">
        <v>10</v>
      </c>
      <c r="AG567" s="19">
        <v>120</v>
      </c>
      <c r="AH567" s="25">
        <v>950000</v>
      </c>
      <c r="AI567" s="92">
        <v>5700000</v>
      </c>
      <c r="AJ567" s="92">
        <v>108300000</v>
      </c>
      <c r="AK567" s="27">
        <f t="shared" si="160"/>
        <v>950000</v>
      </c>
      <c r="AL567" s="27">
        <f t="shared" si="164"/>
        <v>950000</v>
      </c>
      <c r="AM567" s="27">
        <f t="shared" si="164"/>
        <v>950000</v>
      </c>
      <c r="AN567" s="27">
        <f t="shared" si="166"/>
        <v>950000</v>
      </c>
      <c r="AO567" s="27">
        <f t="shared" si="167"/>
        <v>950000</v>
      </c>
      <c r="AP567" s="27">
        <f t="shared" si="167"/>
        <v>950000</v>
      </c>
      <c r="AQ567" s="27">
        <f t="shared" si="168"/>
        <v>950000</v>
      </c>
      <c r="AR567" s="27">
        <f t="shared" si="169"/>
        <v>950000</v>
      </c>
      <c r="AS567" s="27"/>
      <c r="AT567" s="27"/>
      <c r="AU567" s="27"/>
      <c r="AV567" s="27"/>
      <c r="AW567" s="27">
        <f t="shared" si="175"/>
        <v>7600000</v>
      </c>
      <c r="AX567" s="79">
        <f t="shared" si="161"/>
        <v>100700000</v>
      </c>
      <c r="AY567" s="79">
        <f t="shared" si="162"/>
        <v>13300000</v>
      </c>
      <c r="AZ567" s="25">
        <v>1</v>
      </c>
      <c r="BA567" s="62" t="s">
        <v>97</v>
      </c>
      <c r="BB567" s="66"/>
      <c r="BC567" s="66">
        <v>1</v>
      </c>
      <c r="BD567" s="66"/>
      <c r="BE567" s="67">
        <f t="shared" si="165"/>
        <v>0</v>
      </c>
      <c r="BF567" s="67">
        <f t="shared" si="170"/>
        <v>950000</v>
      </c>
      <c r="BG567" s="67">
        <f t="shared" si="163"/>
        <v>0</v>
      </c>
      <c r="BH567" s="67"/>
      <c r="BI567" s="19" t="s">
        <v>1776</v>
      </c>
      <c r="BJ567" s="68" t="s">
        <v>1438</v>
      </c>
      <c r="BK567" s="68" t="s">
        <v>1438</v>
      </c>
      <c r="BO567" s="35" t="s">
        <v>1804</v>
      </c>
    </row>
    <row r="568" spans="3:67" ht="15" customHeight="1">
      <c r="C568" s="1" t="str">
        <f t="shared" si="158"/>
        <v>3306</v>
      </c>
      <c r="D568" s="1" t="str">
        <f t="shared" si="159"/>
        <v>2307</v>
      </c>
      <c r="E568" s="19" t="s">
        <v>1753</v>
      </c>
      <c r="F568" s="68" t="s">
        <v>49</v>
      </c>
      <c r="G568" s="62">
        <v>2112</v>
      </c>
      <c r="H568" s="19" t="s">
        <v>1763</v>
      </c>
      <c r="I568" s="19" t="s">
        <v>1764</v>
      </c>
      <c r="J568" s="86">
        <v>1</v>
      </c>
      <c r="K568" s="19" t="s">
        <v>1737</v>
      </c>
      <c r="L568" s="19" t="s">
        <v>1746</v>
      </c>
      <c r="M568" s="142" t="s">
        <v>1770</v>
      </c>
      <c r="N568" s="42">
        <v>45098</v>
      </c>
      <c r="O568" s="70">
        <v>63500</v>
      </c>
      <c r="P568" s="70">
        <v>23664</v>
      </c>
      <c r="Q568" s="73">
        <v>1502664000</v>
      </c>
      <c r="R568" s="70"/>
      <c r="S568" s="19"/>
      <c r="T568" s="19">
        <v>10497975</v>
      </c>
      <c r="U568" s="19" t="s">
        <v>1775</v>
      </c>
      <c r="V568" s="74">
        <v>1513161975</v>
      </c>
      <c r="W568" s="75"/>
      <c r="X568" s="64">
        <v>1513161975</v>
      </c>
      <c r="Y568" s="19"/>
      <c r="Z568" s="19"/>
      <c r="AA568" s="128"/>
      <c r="AB568" s="19"/>
      <c r="AC568" s="64">
        <v>1513161975</v>
      </c>
      <c r="AD568" s="63">
        <v>45108</v>
      </c>
      <c r="AE568" s="65">
        <v>48760</v>
      </c>
      <c r="AF568" s="19">
        <v>10</v>
      </c>
      <c r="AG568" s="19">
        <v>120</v>
      </c>
      <c r="AH568" s="25">
        <v>12609683</v>
      </c>
      <c r="AI568" s="92">
        <v>75658098</v>
      </c>
      <c r="AJ568" s="92">
        <v>1437503877</v>
      </c>
      <c r="AK568" s="27">
        <f t="shared" si="160"/>
        <v>12609683</v>
      </c>
      <c r="AL568" s="27">
        <f t="shared" si="164"/>
        <v>12609683</v>
      </c>
      <c r="AM568" s="27">
        <f t="shared" si="164"/>
        <v>12609683</v>
      </c>
      <c r="AN568" s="27">
        <f t="shared" si="166"/>
        <v>12609683</v>
      </c>
      <c r="AO568" s="27">
        <f t="shared" si="167"/>
        <v>12609683</v>
      </c>
      <c r="AP568" s="27">
        <f t="shared" si="167"/>
        <v>12609683</v>
      </c>
      <c r="AQ568" s="27">
        <f t="shared" si="168"/>
        <v>12609683</v>
      </c>
      <c r="AR568" s="27">
        <f t="shared" si="169"/>
        <v>12609683</v>
      </c>
      <c r="AS568" s="27"/>
      <c r="AT568" s="27"/>
      <c r="AU568" s="27"/>
      <c r="AV568" s="27"/>
      <c r="AW568" s="27">
        <f t="shared" si="175"/>
        <v>100877464</v>
      </c>
      <c r="AX568" s="79">
        <f t="shared" si="161"/>
        <v>1336626413</v>
      </c>
      <c r="AY568" s="79">
        <f t="shared" si="162"/>
        <v>176535562</v>
      </c>
      <c r="AZ568" s="25">
        <v>1</v>
      </c>
      <c r="BA568" s="62" t="s">
        <v>97</v>
      </c>
      <c r="BB568" s="66">
        <v>1</v>
      </c>
      <c r="BC568" s="25"/>
      <c r="BD568" s="66"/>
      <c r="BE568" s="67">
        <f t="shared" si="165"/>
        <v>12609683</v>
      </c>
      <c r="BF568" s="67">
        <f t="shared" si="170"/>
        <v>0</v>
      </c>
      <c r="BG568" s="67">
        <f t="shared" si="163"/>
        <v>0</v>
      </c>
      <c r="BH568" s="67"/>
      <c r="BI568" s="19" t="s">
        <v>57</v>
      </c>
      <c r="BJ568" s="68" t="s">
        <v>98</v>
      </c>
      <c r="BK568" s="68" t="s">
        <v>98</v>
      </c>
      <c r="BO568" s="35" t="s">
        <v>1805</v>
      </c>
    </row>
    <row r="569" spans="3:67" ht="15" customHeight="1">
      <c r="C569" s="1" t="str">
        <f t="shared" si="158"/>
        <v>3306</v>
      </c>
      <c r="D569" s="1" t="str">
        <f t="shared" si="159"/>
        <v>2307</v>
      </c>
      <c r="E569" s="19" t="s">
        <v>1753</v>
      </c>
      <c r="F569" s="68" t="s">
        <v>49</v>
      </c>
      <c r="G569" s="62">
        <v>2112</v>
      </c>
      <c r="H569" s="19" t="s">
        <v>1765</v>
      </c>
      <c r="I569" s="19" t="s">
        <v>1766</v>
      </c>
      <c r="J569" s="86">
        <v>1</v>
      </c>
      <c r="K569" s="19" t="s">
        <v>1737</v>
      </c>
      <c r="L569" s="19" t="s">
        <v>1746</v>
      </c>
      <c r="M569" s="142" t="s">
        <v>1770</v>
      </c>
      <c r="N569" s="42">
        <v>45098</v>
      </c>
      <c r="O569" s="70">
        <v>65500</v>
      </c>
      <c r="P569" s="70">
        <v>23664</v>
      </c>
      <c r="Q569" s="73">
        <v>1549992000</v>
      </c>
      <c r="R569" s="70"/>
      <c r="S569" s="19"/>
      <c r="T569" s="19">
        <v>10828622</v>
      </c>
      <c r="U569" s="19" t="s">
        <v>1775</v>
      </c>
      <c r="V569" s="74">
        <v>1560820622</v>
      </c>
      <c r="W569" s="75"/>
      <c r="X569" s="64">
        <v>1560820622</v>
      </c>
      <c r="Y569" s="19"/>
      <c r="Z569" s="19"/>
      <c r="AA569" s="128"/>
      <c r="AB569" s="19"/>
      <c r="AC569" s="64">
        <v>1560820622</v>
      </c>
      <c r="AD569" s="63">
        <v>45108</v>
      </c>
      <c r="AE569" s="65">
        <v>48760</v>
      </c>
      <c r="AF569" s="19">
        <v>10</v>
      </c>
      <c r="AG569" s="19">
        <v>120</v>
      </c>
      <c r="AH569" s="25">
        <v>13006839</v>
      </c>
      <c r="AI569" s="92">
        <v>78041034</v>
      </c>
      <c r="AJ569" s="92">
        <v>1482779588</v>
      </c>
      <c r="AK569" s="27">
        <f t="shared" si="160"/>
        <v>13006839</v>
      </c>
      <c r="AL569" s="27">
        <f t="shared" si="164"/>
        <v>13006839</v>
      </c>
      <c r="AM569" s="27">
        <f t="shared" si="164"/>
        <v>13006839</v>
      </c>
      <c r="AN569" s="27">
        <f t="shared" si="166"/>
        <v>13006839</v>
      </c>
      <c r="AO569" s="27">
        <f t="shared" si="167"/>
        <v>13006839</v>
      </c>
      <c r="AP569" s="27">
        <f t="shared" si="167"/>
        <v>13006839</v>
      </c>
      <c r="AQ569" s="27">
        <f t="shared" si="168"/>
        <v>13006839</v>
      </c>
      <c r="AR569" s="27">
        <f t="shared" si="169"/>
        <v>13006839</v>
      </c>
      <c r="AS569" s="27"/>
      <c r="AT569" s="27"/>
      <c r="AU569" s="27"/>
      <c r="AV569" s="27"/>
      <c r="AW569" s="27">
        <f t="shared" si="175"/>
        <v>104054712</v>
      </c>
      <c r="AX569" s="79">
        <f t="shared" si="161"/>
        <v>1378724876</v>
      </c>
      <c r="AY569" s="79">
        <f t="shared" si="162"/>
        <v>182095746</v>
      </c>
      <c r="AZ569" s="25">
        <v>1</v>
      </c>
      <c r="BA569" s="62" t="s">
        <v>97</v>
      </c>
      <c r="BB569" s="66">
        <v>1</v>
      </c>
      <c r="BC569" s="25"/>
      <c r="BD569" s="66"/>
      <c r="BE569" s="67">
        <f t="shared" si="165"/>
        <v>13006839</v>
      </c>
      <c r="BF569" s="67">
        <f t="shared" si="170"/>
        <v>0</v>
      </c>
      <c r="BG569" s="67">
        <f t="shared" si="163"/>
        <v>0</v>
      </c>
      <c r="BH569" s="67"/>
      <c r="BI569" s="19" t="s">
        <v>57</v>
      </c>
      <c r="BJ569" s="68" t="s">
        <v>98</v>
      </c>
      <c r="BK569" s="68" t="s">
        <v>98</v>
      </c>
      <c r="BO569" s="35" t="s">
        <v>1805</v>
      </c>
    </row>
    <row r="570" spans="3:67" ht="15" customHeight="1">
      <c r="C570" s="1" t="str">
        <f t="shared" si="158"/>
        <v>3306</v>
      </c>
      <c r="D570" s="1" t="str">
        <f t="shared" si="159"/>
        <v>2307</v>
      </c>
      <c r="E570" s="19" t="s">
        <v>1753</v>
      </c>
      <c r="F570" s="68" t="s">
        <v>49</v>
      </c>
      <c r="G570" s="62">
        <v>2112</v>
      </c>
      <c r="H570" s="19" t="s">
        <v>1767</v>
      </c>
      <c r="I570" s="19" t="s">
        <v>1748</v>
      </c>
      <c r="J570" s="86">
        <v>1</v>
      </c>
      <c r="K570" s="19" t="s">
        <v>1233</v>
      </c>
      <c r="L570" s="19" t="s">
        <v>773</v>
      </c>
      <c r="M570" s="142" t="s">
        <v>1771</v>
      </c>
      <c r="N570" s="42">
        <v>45104</v>
      </c>
      <c r="O570" s="70"/>
      <c r="P570" s="70"/>
      <c r="Q570" s="73">
        <v>43200000</v>
      </c>
      <c r="R570" s="70"/>
      <c r="S570" s="19"/>
      <c r="T570" s="19"/>
      <c r="U570" s="19"/>
      <c r="V570" s="74">
        <v>43200000</v>
      </c>
      <c r="W570" s="75"/>
      <c r="X570" s="64">
        <v>43200000</v>
      </c>
      <c r="Y570" s="19"/>
      <c r="Z570" s="19"/>
      <c r="AA570" s="128"/>
      <c r="AB570" s="19"/>
      <c r="AC570" s="64">
        <v>43200000</v>
      </c>
      <c r="AD570" s="63">
        <v>45108</v>
      </c>
      <c r="AE570" s="65">
        <v>48760</v>
      </c>
      <c r="AF570" s="19">
        <v>10</v>
      </c>
      <c r="AG570" s="19">
        <v>120</v>
      </c>
      <c r="AH570" s="25">
        <v>360000</v>
      </c>
      <c r="AI570" s="92">
        <v>2160000</v>
      </c>
      <c r="AJ570" s="92">
        <v>41040000</v>
      </c>
      <c r="AK570" s="27">
        <f t="shared" si="160"/>
        <v>360000</v>
      </c>
      <c r="AL570" s="27">
        <f t="shared" si="164"/>
        <v>360000</v>
      </c>
      <c r="AM570" s="27">
        <f t="shared" si="164"/>
        <v>360000</v>
      </c>
      <c r="AN570" s="27">
        <f t="shared" si="166"/>
        <v>360000</v>
      </c>
      <c r="AO570" s="27">
        <f t="shared" si="167"/>
        <v>360000</v>
      </c>
      <c r="AP570" s="27">
        <f t="shared" si="167"/>
        <v>360000</v>
      </c>
      <c r="AQ570" s="27">
        <f t="shared" si="168"/>
        <v>360000</v>
      </c>
      <c r="AR570" s="27">
        <f t="shared" si="169"/>
        <v>360000</v>
      </c>
      <c r="AS570" s="27"/>
      <c r="AT570" s="27"/>
      <c r="AU570" s="27"/>
      <c r="AV570" s="27"/>
      <c r="AW570" s="27">
        <f t="shared" si="175"/>
        <v>2880000</v>
      </c>
      <c r="AX570" s="79">
        <f t="shared" si="161"/>
        <v>38160000</v>
      </c>
      <c r="AY570" s="79">
        <f t="shared" si="162"/>
        <v>5040000</v>
      </c>
      <c r="AZ570" s="25">
        <v>1</v>
      </c>
      <c r="BA570" s="62" t="s">
        <v>97</v>
      </c>
      <c r="BB570" s="66">
        <v>1</v>
      </c>
      <c r="BC570" s="25"/>
      <c r="BD570" s="66"/>
      <c r="BE570" s="67">
        <f t="shared" si="165"/>
        <v>360000</v>
      </c>
      <c r="BF570" s="67">
        <f t="shared" si="170"/>
        <v>0</v>
      </c>
      <c r="BG570" s="67">
        <f t="shared" si="163"/>
        <v>0</v>
      </c>
      <c r="BH570" s="67"/>
      <c r="BI570" s="19" t="s">
        <v>1777</v>
      </c>
      <c r="BJ570" s="68" t="s">
        <v>644</v>
      </c>
      <c r="BK570" s="68" t="s">
        <v>644</v>
      </c>
      <c r="BO570" s="35" t="s">
        <v>1805</v>
      </c>
    </row>
    <row r="571" spans="3:67" ht="15" customHeight="1">
      <c r="C571" s="1" t="str">
        <f t="shared" si="158"/>
        <v>2807</v>
      </c>
      <c r="D571" s="1" t="str">
        <f t="shared" si="159"/>
        <v>2308</v>
      </c>
      <c r="E571" s="19" t="s">
        <v>1778</v>
      </c>
      <c r="F571" s="68" t="s">
        <v>1438</v>
      </c>
      <c r="G571" s="62">
        <v>2114</v>
      </c>
      <c r="H571" s="19" t="s">
        <v>1779</v>
      </c>
      <c r="I571" s="19" t="s">
        <v>1780</v>
      </c>
      <c r="J571" s="86">
        <v>1</v>
      </c>
      <c r="K571" s="19" t="s">
        <v>1226</v>
      </c>
      <c r="L571" s="19" t="s">
        <v>1754</v>
      </c>
      <c r="M571" s="142" t="s">
        <v>1781</v>
      </c>
      <c r="N571" s="42">
        <v>45135</v>
      </c>
      <c r="O571" s="70"/>
      <c r="P571" s="70"/>
      <c r="Q571" s="73">
        <v>47500000</v>
      </c>
      <c r="R571" s="70"/>
      <c r="S571" s="19"/>
      <c r="T571" s="19"/>
      <c r="U571" s="19"/>
      <c r="V571" s="74">
        <v>47500000</v>
      </c>
      <c r="W571" s="75"/>
      <c r="X571" s="64">
        <v>47500000</v>
      </c>
      <c r="Y571" s="19"/>
      <c r="Z571" s="19"/>
      <c r="AA571" s="128"/>
      <c r="AB571" s="19"/>
      <c r="AC571" s="64">
        <v>47500000</v>
      </c>
      <c r="AD571" s="63">
        <v>45139</v>
      </c>
      <c r="AE571" s="65">
        <v>46965</v>
      </c>
      <c r="AF571" s="19">
        <v>5</v>
      </c>
      <c r="AG571" s="19">
        <v>60</v>
      </c>
      <c r="AH571" s="25">
        <v>791667</v>
      </c>
      <c r="AI571" s="92">
        <v>3958335</v>
      </c>
      <c r="AJ571" s="92">
        <v>43541665</v>
      </c>
      <c r="AK571" s="27">
        <f t="shared" si="160"/>
        <v>791667</v>
      </c>
      <c r="AL571" s="27">
        <f t="shared" si="164"/>
        <v>791667</v>
      </c>
      <c r="AM571" s="27">
        <f t="shared" si="164"/>
        <v>791667</v>
      </c>
      <c r="AN571" s="27">
        <f t="shared" si="166"/>
        <v>791667</v>
      </c>
      <c r="AO571" s="27">
        <f t="shared" si="167"/>
        <v>791667</v>
      </c>
      <c r="AP571" s="27">
        <f t="shared" si="167"/>
        <v>791667</v>
      </c>
      <c r="AQ571" s="27">
        <f t="shared" si="168"/>
        <v>791667</v>
      </c>
      <c r="AR571" s="27">
        <f t="shared" si="169"/>
        <v>791667</v>
      </c>
      <c r="AS571" s="27"/>
      <c r="AT571" s="27"/>
      <c r="AU571" s="27"/>
      <c r="AV571" s="27"/>
      <c r="AW571" s="27">
        <f>+SUM(AK571:AV571)</f>
        <v>6333336</v>
      </c>
      <c r="AX571" s="79">
        <f>AC571-AI571-AW571</f>
        <v>37208329</v>
      </c>
      <c r="AY571" s="79">
        <f t="shared" si="162"/>
        <v>10291671</v>
      </c>
      <c r="AZ571" s="25">
        <v>1</v>
      </c>
      <c r="BA571" s="62" t="s">
        <v>97</v>
      </c>
      <c r="BB571" s="25"/>
      <c r="BC571" s="25">
        <v>1</v>
      </c>
      <c r="BD571" s="66"/>
      <c r="BE571" s="67">
        <f t="shared" si="165"/>
        <v>0</v>
      </c>
      <c r="BF571" s="67">
        <f t="shared" si="170"/>
        <v>791667</v>
      </c>
      <c r="BG571" s="67">
        <f t="shared" si="163"/>
        <v>0</v>
      </c>
      <c r="BH571" s="67"/>
      <c r="BI571" s="19" t="s">
        <v>1624</v>
      </c>
      <c r="BJ571" s="68" t="s">
        <v>1438</v>
      </c>
      <c r="BK571" s="68" t="s">
        <v>1438</v>
      </c>
      <c r="BO571" s="35" t="s">
        <v>1804</v>
      </c>
    </row>
    <row r="572" spans="3:67" ht="15" customHeight="1">
      <c r="C572" s="1" t="str">
        <f t="shared" si="158"/>
        <v>3310</v>
      </c>
      <c r="D572" s="1" t="str">
        <f t="shared" si="159"/>
        <v>2311</v>
      </c>
      <c r="E572" s="19" t="s">
        <v>1845</v>
      </c>
      <c r="F572" s="68" t="s">
        <v>49</v>
      </c>
      <c r="G572" s="62">
        <v>2112</v>
      </c>
      <c r="H572" s="19" t="s">
        <v>1846</v>
      </c>
      <c r="I572" s="19" t="s">
        <v>1840</v>
      </c>
      <c r="J572" s="86">
        <v>1</v>
      </c>
      <c r="K572" s="19" t="s">
        <v>1737</v>
      </c>
      <c r="L572" s="19" t="s">
        <v>1716</v>
      </c>
      <c r="M572" s="142" t="s">
        <v>1858</v>
      </c>
      <c r="N572" s="42">
        <v>45210</v>
      </c>
      <c r="O572" s="70">
        <v>31162</v>
      </c>
      <c r="P572" s="70">
        <v>24460</v>
      </c>
      <c r="Q572" s="73">
        <v>762222520</v>
      </c>
      <c r="R572" s="70"/>
      <c r="S572" s="19"/>
      <c r="T572" s="19">
        <v>4070829</v>
      </c>
      <c r="U572" s="19" t="s">
        <v>1860</v>
      </c>
      <c r="V572" s="74">
        <v>766293349</v>
      </c>
      <c r="W572" s="75"/>
      <c r="X572" s="64">
        <v>766293349</v>
      </c>
      <c r="Y572" s="19"/>
      <c r="Z572" s="19"/>
      <c r="AA572" s="128"/>
      <c r="AB572" s="19"/>
      <c r="AC572" s="64">
        <v>766293349</v>
      </c>
      <c r="AD572" s="63">
        <v>45231</v>
      </c>
      <c r="AE572" s="65">
        <v>48883</v>
      </c>
      <c r="AF572" s="19">
        <v>10</v>
      </c>
      <c r="AG572" s="19">
        <v>120</v>
      </c>
      <c r="AH572" s="25">
        <v>6385778</v>
      </c>
      <c r="AI572" s="92">
        <v>12771556</v>
      </c>
      <c r="AJ572" s="92">
        <v>753521793</v>
      </c>
      <c r="AK572" s="27">
        <f t="shared" si="160"/>
        <v>6385778</v>
      </c>
      <c r="AL572" s="27">
        <f t="shared" si="164"/>
        <v>6385778</v>
      </c>
      <c r="AM572" s="27">
        <f t="shared" si="164"/>
        <v>6385778</v>
      </c>
      <c r="AN572" s="27">
        <f t="shared" si="166"/>
        <v>6385778</v>
      </c>
      <c r="AO572" s="27">
        <f t="shared" si="167"/>
        <v>6385778</v>
      </c>
      <c r="AP572" s="27">
        <f t="shared" si="167"/>
        <v>6385778</v>
      </c>
      <c r="AQ572" s="27">
        <f t="shared" si="168"/>
        <v>6385778</v>
      </c>
      <c r="AR572" s="27">
        <f t="shared" si="169"/>
        <v>6385778</v>
      </c>
      <c r="AS572" s="27"/>
      <c r="AT572" s="27"/>
      <c r="AU572" s="27"/>
      <c r="AV572" s="27"/>
      <c r="AW572" s="27">
        <f t="shared" ref="AW572:AW599" si="176">+SUM(AK572:AV572)</f>
        <v>51086224</v>
      </c>
      <c r="AX572" s="79">
        <f t="shared" ref="AX572:AX635" si="177">AC572-AI572-AW572</f>
        <v>702435569</v>
      </c>
      <c r="AY572" s="79">
        <f t="shared" si="162"/>
        <v>63857780</v>
      </c>
      <c r="AZ572" s="25">
        <v>1</v>
      </c>
      <c r="BA572" s="62" t="s">
        <v>97</v>
      </c>
      <c r="BB572" s="25">
        <v>1</v>
      </c>
      <c r="BC572" s="25"/>
      <c r="BD572" s="66"/>
      <c r="BE572" s="67">
        <f t="shared" si="165"/>
        <v>6385778</v>
      </c>
      <c r="BF572" s="67">
        <f t="shared" si="170"/>
        <v>0</v>
      </c>
      <c r="BG572" s="67">
        <f t="shared" si="163"/>
        <v>0</v>
      </c>
      <c r="BH572" s="67"/>
      <c r="BI572" s="19" t="s">
        <v>1777</v>
      </c>
      <c r="BJ572" s="68" t="s">
        <v>98</v>
      </c>
      <c r="BK572" s="68" t="s">
        <v>98</v>
      </c>
    </row>
    <row r="573" spans="3:67" ht="15" customHeight="1">
      <c r="C573" s="1" t="str">
        <f t="shared" si="158"/>
        <v>2810</v>
      </c>
      <c r="D573" s="1" t="str">
        <f t="shared" si="159"/>
        <v>2311</v>
      </c>
      <c r="E573" s="19" t="s">
        <v>1845</v>
      </c>
      <c r="F573" s="68" t="s">
        <v>49</v>
      </c>
      <c r="G573" s="62">
        <v>2114</v>
      </c>
      <c r="H573" s="19" t="s">
        <v>1847</v>
      </c>
      <c r="I573" s="19" t="s">
        <v>1829</v>
      </c>
      <c r="J573" s="86">
        <v>1</v>
      </c>
      <c r="K573" s="19" t="s">
        <v>1226</v>
      </c>
      <c r="L573" s="19" t="s">
        <v>1827</v>
      </c>
      <c r="M573" s="142" t="s">
        <v>1859</v>
      </c>
      <c r="N573" s="42">
        <v>45217</v>
      </c>
      <c r="O573" s="70"/>
      <c r="P573" s="70"/>
      <c r="Q573" s="73">
        <v>33000000</v>
      </c>
      <c r="R573" s="70"/>
      <c r="S573" s="19"/>
      <c r="T573" s="19"/>
      <c r="U573" s="19"/>
      <c r="V573" s="74">
        <v>33000000</v>
      </c>
      <c r="W573" s="75"/>
      <c r="X573" s="64">
        <v>33000000</v>
      </c>
      <c r="Y573" s="19"/>
      <c r="Z573" s="19"/>
      <c r="AA573" s="128"/>
      <c r="AB573" s="19"/>
      <c r="AC573" s="64">
        <v>33000000</v>
      </c>
      <c r="AD573" s="63">
        <v>45231</v>
      </c>
      <c r="AE573" s="65">
        <v>47057</v>
      </c>
      <c r="AF573" s="19">
        <v>5</v>
      </c>
      <c r="AG573" s="19">
        <v>60</v>
      </c>
      <c r="AH573" s="25">
        <v>550000</v>
      </c>
      <c r="AI573" s="92">
        <v>1100000</v>
      </c>
      <c r="AJ573" s="92">
        <v>31900000</v>
      </c>
      <c r="AK573" s="27">
        <f t="shared" si="160"/>
        <v>550000</v>
      </c>
      <c r="AL573" s="27">
        <f t="shared" si="164"/>
        <v>550000</v>
      </c>
      <c r="AM573" s="27">
        <f t="shared" si="164"/>
        <v>550000</v>
      </c>
      <c r="AN573" s="27">
        <f t="shared" si="166"/>
        <v>550000</v>
      </c>
      <c r="AO573" s="27">
        <f t="shared" si="167"/>
        <v>550000</v>
      </c>
      <c r="AP573" s="27">
        <f t="shared" si="167"/>
        <v>550000</v>
      </c>
      <c r="AQ573" s="27">
        <f t="shared" si="168"/>
        <v>550000</v>
      </c>
      <c r="AR573" s="27">
        <f t="shared" si="169"/>
        <v>550000</v>
      </c>
      <c r="AS573" s="27"/>
      <c r="AT573" s="27"/>
      <c r="AU573" s="27"/>
      <c r="AV573" s="27"/>
      <c r="AW573" s="27">
        <f t="shared" si="176"/>
        <v>4400000</v>
      </c>
      <c r="AX573" s="79">
        <f t="shared" si="177"/>
        <v>27500000</v>
      </c>
      <c r="AY573" s="79">
        <f t="shared" si="162"/>
        <v>5500000</v>
      </c>
      <c r="AZ573" s="25">
        <v>1</v>
      </c>
      <c r="BA573" s="62" t="s">
        <v>79</v>
      </c>
      <c r="BB573" s="25">
        <v>1</v>
      </c>
      <c r="BC573" s="25"/>
      <c r="BD573" s="66"/>
      <c r="BE573" s="67">
        <f t="shared" si="165"/>
        <v>550000</v>
      </c>
      <c r="BF573" s="67">
        <f t="shared" si="170"/>
        <v>0</v>
      </c>
      <c r="BG573" s="67">
        <f t="shared" si="163"/>
        <v>0</v>
      </c>
      <c r="BH573" s="67"/>
      <c r="BI573" s="19" t="s">
        <v>1777</v>
      </c>
      <c r="BJ573" s="68" t="s">
        <v>121</v>
      </c>
      <c r="BK573" s="68" t="s">
        <v>121</v>
      </c>
    </row>
    <row r="574" spans="3:67" ht="15" customHeight="1">
      <c r="C574" s="1" t="str">
        <f t="shared" ref="C574:C637" si="178">+RIGHT(YEAR(AE574),2)&amp;IF(LEN(MONTH(AE574))=2,MONTH(AE574),"0"&amp;MONTH(AE574))</f>
        <v>2810</v>
      </c>
      <c r="D574" s="1" t="str">
        <f t="shared" ref="D574:D637" si="179">+RIGHT(YEAR(AD574),2)&amp;IF(LEN(MONTH(AD574))=2,MONTH(AD574),"0"&amp;MONTH(AD574))</f>
        <v>2311</v>
      </c>
      <c r="E574" s="19" t="s">
        <v>1845</v>
      </c>
      <c r="F574" s="68" t="s">
        <v>49</v>
      </c>
      <c r="G574" s="62">
        <v>2114</v>
      </c>
      <c r="H574" s="19" t="s">
        <v>1848</v>
      </c>
      <c r="I574" s="19" t="s">
        <v>1829</v>
      </c>
      <c r="J574" s="86">
        <v>1</v>
      </c>
      <c r="K574" s="19" t="s">
        <v>1226</v>
      </c>
      <c r="L574" s="19" t="s">
        <v>1827</v>
      </c>
      <c r="M574" s="142" t="s">
        <v>1859</v>
      </c>
      <c r="N574" s="42">
        <v>45217</v>
      </c>
      <c r="O574" s="70"/>
      <c r="P574" s="70"/>
      <c r="Q574" s="73">
        <v>33000000</v>
      </c>
      <c r="R574" s="70"/>
      <c r="S574" s="19"/>
      <c r="T574" s="19"/>
      <c r="U574" s="19"/>
      <c r="V574" s="74">
        <v>33000000</v>
      </c>
      <c r="W574" s="75"/>
      <c r="X574" s="64">
        <v>33000000</v>
      </c>
      <c r="Y574" s="19"/>
      <c r="Z574" s="19"/>
      <c r="AA574" s="128"/>
      <c r="AB574" s="19"/>
      <c r="AC574" s="64">
        <v>33000000</v>
      </c>
      <c r="AD574" s="63">
        <v>45231</v>
      </c>
      <c r="AE574" s="65">
        <v>47057</v>
      </c>
      <c r="AF574" s="19">
        <v>5</v>
      </c>
      <c r="AG574" s="19">
        <v>60</v>
      </c>
      <c r="AH574" s="25">
        <v>550000</v>
      </c>
      <c r="AI574" s="92">
        <v>1100000</v>
      </c>
      <c r="AJ574" s="92">
        <v>31900000</v>
      </c>
      <c r="AK574" s="27">
        <f t="shared" ref="AK574:AK658" si="180">+IF(AND(AK$3&gt;=$D574,AK$3&lt;$C574),$AH574,$AJ574)</f>
        <v>550000</v>
      </c>
      <c r="AL574" s="27">
        <f t="shared" si="164"/>
        <v>550000</v>
      </c>
      <c r="AM574" s="27">
        <f t="shared" si="164"/>
        <v>550000</v>
      </c>
      <c r="AN574" s="27">
        <f t="shared" si="166"/>
        <v>550000</v>
      </c>
      <c r="AO574" s="27">
        <f t="shared" si="167"/>
        <v>550000</v>
      </c>
      <c r="AP574" s="27">
        <f t="shared" si="167"/>
        <v>550000</v>
      </c>
      <c r="AQ574" s="27">
        <f t="shared" si="168"/>
        <v>550000</v>
      </c>
      <c r="AR574" s="27">
        <f t="shared" si="169"/>
        <v>550000</v>
      </c>
      <c r="AS574" s="27"/>
      <c r="AT574" s="27"/>
      <c r="AU574" s="27"/>
      <c r="AV574" s="27"/>
      <c r="AW574" s="27">
        <f t="shared" si="176"/>
        <v>4400000</v>
      </c>
      <c r="AX574" s="79">
        <f t="shared" si="177"/>
        <v>27500000</v>
      </c>
      <c r="AY574" s="79">
        <f t="shared" ref="AY574:AY637" si="181">AW574+AI574</f>
        <v>5500000</v>
      </c>
      <c r="AZ574" s="25">
        <v>1</v>
      </c>
      <c r="BA574" s="62" t="s">
        <v>79</v>
      </c>
      <c r="BB574" s="25">
        <v>1</v>
      </c>
      <c r="BC574" s="25"/>
      <c r="BD574" s="66"/>
      <c r="BE574" s="67">
        <f t="shared" si="165"/>
        <v>550000</v>
      </c>
      <c r="BF574" s="67">
        <f t="shared" si="170"/>
        <v>0</v>
      </c>
      <c r="BG574" s="67">
        <f t="shared" si="163"/>
        <v>0</v>
      </c>
      <c r="BH574" s="67"/>
      <c r="BI574" s="19" t="s">
        <v>1777</v>
      </c>
      <c r="BJ574" s="68" t="s">
        <v>121</v>
      </c>
      <c r="BK574" s="68" t="s">
        <v>121</v>
      </c>
    </row>
    <row r="575" spans="3:67" ht="15" customHeight="1">
      <c r="C575" s="1" t="str">
        <f t="shared" si="178"/>
        <v>2810</v>
      </c>
      <c r="D575" s="1" t="str">
        <f t="shared" si="179"/>
        <v>2311</v>
      </c>
      <c r="E575" s="19" t="s">
        <v>1845</v>
      </c>
      <c r="F575" s="68" t="s">
        <v>49</v>
      </c>
      <c r="G575" s="62">
        <v>2114</v>
      </c>
      <c r="H575" s="19" t="s">
        <v>1849</v>
      </c>
      <c r="I575" s="19" t="s">
        <v>1829</v>
      </c>
      <c r="J575" s="86">
        <v>1</v>
      </c>
      <c r="K575" s="19" t="s">
        <v>1226</v>
      </c>
      <c r="L575" s="19" t="s">
        <v>1827</v>
      </c>
      <c r="M575" s="142" t="s">
        <v>1859</v>
      </c>
      <c r="N575" s="42">
        <v>45217</v>
      </c>
      <c r="O575" s="70"/>
      <c r="P575" s="70"/>
      <c r="Q575" s="73">
        <v>33000000</v>
      </c>
      <c r="R575" s="70"/>
      <c r="S575" s="19"/>
      <c r="T575" s="19"/>
      <c r="U575" s="19"/>
      <c r="V575" s="74">
        <v>33000000</v>
      </c>
      <c r="W575" s="75"/>
      <c r="X575" s="64">
        <v>33000000</v>
      </c>
      <c r="Y575" s="19"/>
      <c r="Z575" s="19"/>
      <c r="AA575" s="128"/>
      <c r="AB575" s="19"/>
      <c r="AC575" s="64">
        <v>33000000</v>
      </c>
      <c r="AD575" s="63">
        <v>45231</v>
      </c>
      <c r="AE575" s="65">
        <v>47057</v>
      </c>
      <c r="AF575" s="19">
        <v>5</v>
      </c>
      <c r="AG575" s="19">
        <v>60</v>
      </c>
      <c r="AH575" s="25">
        <v>550000</v>
      </c>
      <c r="AI575" s="92">
        <v>1100000</v>
      </c>
      <c r="AJ575" s="92">
        <v>31900000</v>
      </c>
      <c r="AK575" s="27">
        <f t="shared" si="180"/>
        <v>550000</v>
      </c>
      <c r="AL575" s="27">
        <f t="shared" si="164"/>
        <v>550000</v>
      </c>
      <c r="AM575" s="27">
        <f t="shared" si="164"/>
        <v>550000</v>
      </c>
      <c r="AN575" s="27">
        <f t="shared" si="166"/>
        <v>550000</v>
      </c>
      <c r="AO575" s="27">
        <f t="shared" si="167"/>
        <v>550000</v>
      </c>
      <c r="AP575" s="27">
        <f t="shared" si="167"/>
        <v>550000</v>
      </c>
      <c r="AQ575" s="27">
        <f t="shared" si="168"/>
        <v>550000</v>
      </c>
      <c r="AR575" s="27">
        <f t="shared" si="169"/>
        <v>550000</v>
      </c>
      <c r="AS575" s="27"/>
      <c r="AT575" s="27"/>
      <c r="AU575" s="27"/>
      <c r="AV575" s="27"/>
      <c r="AW575" s="27">
        <f t="shared" si="176"/>
        <v>4400000</v>
      </c>
      <c r="AX575" s="79">
        <f t="shared" si="177"/>
        <v>27500000</v>
      </c>
      <c r="AY575" s="79">
        <f t="shared" si="181"/>
        <v>5500000</v>
      </c>
      <c r="AZ575" s="25">
        <v>1</v>
      </c>
      <c r="BA575" s="62" t="s">
        <v>79</v>
      </c>
      <c r="BB575" s="25">
        <v>1</v>
      </c>
      <c r="BC575" s="25"/>
      <c r="BD575" s="66"/>
      <c r="BE575" s="67">
        <f t="shared" si="165"/>
        <v>550000</v>
      </c>
      <c r="BF575" s="67">
        <f t="shared" si="170"/>
        <v>0</v>
      </c>
      <c r="BG575" s="67">
        <f t="shared" si="163"/>
        <v>0</v>
      </c>
      <c r="BH575" s="67"/>
      <c r="BI575" s="19" t="s">
        <v>1777</v>
      </c>
      <c r="BJ575" s="68" t="s">
        <v>121</v>
      </c>
      <c r="BK575" s="68" t="s">
        <v>121</v>
      </c>
    </row>
    <row r="576" spans="3:67" ht="15" customHeight="1">
      <c r="C576" s="1" t="str">
        <f t="shared" si="178"/>
        <v>2810</v>
      </c>
      <c r="D576" s="1" t="str">
        <f t="shared" si="179"/>
        <v>2311</v>
      </c>
      <c r="E576" s="19" t="s">
        <v>1845</v>
      </c>
      <c r="F576" s="68" t="s">
        <v>49</v>
      </c>
      <c r="G576" s="62">
        <v>2114</v>
      </c>
      <c r="H576" s="19" t="s">
        <v>1850</v>
      </c>
      <c r="I576" s="19" t="s">
        <v>1829</v>
      </c>
      <c r="J576" s="86">
        <v>1</v>
      </c>
      <c r="K576" s="19" t="s">
        <v>1226</v>
      </c>
      <c r="L576" s="19" t="s">
        <v>1827</v>
      </c>
      <c r="M576" s="142" t="s">
        <v>1859</v>
      </c>
      <c r="N576" s="42">
        <v>45217</v>
      </c>
      <c r="O576" s="70"/>
      <c r="P576" s="70"/>
      <c r="Q576" s="73">
        <v>33000000</v>
      </c>
      <c r="R576" s="70"/>
      <c r="S576" s="19"/>
      <c r="T576" s="19"/>
      <c r="U576" s="19"/>
      <c r="V576" s="74">
        <v>33000000</v>
      </c>
      <c r="W576" s="75"/>
      <c r="X576" s="64">
        <v>33000000</v>
      </c>
      <c r="Y576" s="19"/>
      <c r="Z576" s="19"/>
      <c r="AA576" s="128"/>
      <c r="AB576" s="19"/>
      <c r="AC576" s="64">
        <v>33000000</v>
      </c>
      <c r="AD576" s="63">
        <v>45231</v>
      </c>
      <c r="AE576" s="65">
        <v>47057</v>
      </c>
      <c r="AF576" s="19">
        <v>5</v>
      </c>
      <c r="AG576" s="19">
        <v>60</v>
      </c>
      <c r="AH576" s="25">
        <v>550000</v>
      </c>
      <c r="AI576" s="92">
        <v>1100000</v>
      </c>
      <c r="AJ576" s="92">
        <v>31900000</v>
      </c>
      <c r="AK576" s="27">
        <f t="shared" si="180"/>
        <v>550000</v>
      </c>
      <c r="AL576" s="27">
        <f t="shared" si="164"/>
        <v>550000</v>
      </c>
      <c r="AM576" s="27">
        <f t="shared" si="164"/>
        <v>550000</v>
      </c>
      <c r="AN576" s="27">
        <f t="shared" si="166"/>
        <v>550000</v>
      </c>
      <c r="AO576" s="27">
        <f t="shared" si="167"/>
        <v>550000</v>
      </c>
      <c r="AP576" s="27">
        <f t="shared" si="167"/>
        <v>550000</v>
      </c>
      <c r="AQ576" s="27">
        <f t="shared" si="168"/>
        <v>550000</v>
      </c>
      <c r="AR576" s="27">
        <f t="shared" si="169"/>
        <v>550000</v>
      </c>
      <c r="AS576" s="27"/>
      <c r="AT576" s="27"/>
      <c r="AU576" s="27"/>
      <c r="AV576" s="27"/>
      <c r="AW576" s="27">
        <f t="shared" si="176"/>
        <v>4400000</v>
      </c>
      <c r="AX576" s="79">
        <f t="shared" si="177"/>
        <v>27500000</v>
      </c>
      <c r="AY576" s="79">
        <f t="shared" si="181"/>
        <v>5500000</v>
      </c>
      <c r="AZ576" s="25">
        <v>1</v>
      </c>
      <c r="BA576" s="62" t="s">
        <v>79</v>
      </c>
      <c r="BB576" s="25">
        <v>1</v>
      </c>
      <c r="BC576" s="25"/>
      <c r="BD576" s="66"/>
      <c r="BE576" s="67">
        <f t="shared" si="165"/>
        <v>550000</v>
      </c>
      <c r="BF576" s="67">
        <f t="shared" si="170"/>
        <v>0</v>
      </c>
      <c r="BG576" s="67">
        <f t="shared" si="163"/>
        <v>0</v>
      </c>
      <c r="BH576" s="67"/>
      <c r="BI576" s="19" t="s">
        <v>1777</v>
      </c>
      <c r="BJ576" s="68" t="s">
        <v>121</v>
      </c>
      <c r="BK576" s="68" t="s">
        <v>121</v>
      </c>
    </row>
    <row r="577" spans="3:63" ht="15" customHeight="1">
      <c r="C577" s="1" t="str">
        <f t="shared" si="178"/>
        <v>2810</v>
      </c>
      <c r="D577" s="1" t="str">
        <f t="shared" si="179"/>
        <v>2311</v>
      </c>
      <c r="E577" s="19" t="s">
        <v>1845</v>
      </c>
      <c r="F577" s="68" t="s">
        <v>49</v>
      </c>
      <c r="G577" s="62">
        <v>2114</v>
      </c>
      <c r="H577" s="19" t="s">
        <v>1851</v>
      </c>
      <c r="I577" s="19" t="s">
        <v>1829</v>
      </c>
      <c r="J577" s="86">
        <v>1</v>
      </c>
      <c r="K577" s="19" t="s">
        <v>1226</v>
      </c>
      <c r="L577" s="19" t="s">
        <v>1827</v>
      </c>
      <c r="M577" s="142" t="s">
        <v>1859</v>
      </c>
      <c r="N577" s="42">
        <v>45217</v>
      </c>
      <c r="O577" s="70"/>
      <c r="P577" s="70"/>
      <c r="Q577" s="73">
        <v>33000000</v>
      </c>
      <c r="R577" s="70"/>
      <c r="S577" s="19"/>
      <c r="T577" s="19"/>
      <c r="U577" s="19"/>
      <c r="V577" s="74">
        <v>33000000</v>
      </c>
      <c r="W577" s="75"/>
      <c r="X577" s="64">
        <v>33000000</v>
      </c>
      <c r="Y577" s="19"/>
      <c r="Z577" s="19"/>
      <c r="AA577" s="128"/>
      <c r="AB577" s="19"/>
      <c r="AC577" s="64">
        <v>33000000</v>
      </c>
      <c r="AD577" s="63">
        <v>45231</v>
      </c>
      <c r="AE577" s="65">
        <v>47057</v>
      </c>
      <c r="AF577" s="19">
        <v>5</v>
      </c>
      <c r="AG577" s="19">
        <v>60</v>
      </c>
      <c r="AH577" s="25">
        <v>550000</v>
      </c>
      <c r="AI577" s="92">
        <v>1100000</v>
      </c>
      <c r="AJ577" s="92">
        <v>31900000</v>
      </c>
      <c r="AK577" s="27">
        <f t="shared" si="180"/>
        <v>550000</v>
      </c>
      <c r="AL577" s="27">
        <f t="shared" si="164"/>
        <v>550000</v>
      </c>
      <c r="AM577" s="27">
        <f t="shared" si="164"/>
        <v>550000</v>
      </c>
      <c r="AN577" s="27">
        <f t="shared" si="166"/>
        <v>550000</v>
      </c>
      <c r="AO577" s="27">
        <f t="shared" si="167"/>
        <v>550000</v>
      </c>
      <c r="AP577" s="27">
        <f t="shared" si="167"/>
        <v>550000</v>
      </c>
      <c r="AQ577" s="27">
        <f t="shared" si="168"/>
        <v>550000</v>
      </c>
      <c r="AR577" s="27">
        <f t="shared" si="169"/>
        <v>550000</v>
      </c>
      <c r="AS577" s="27"/>
      <c r="AT577" s="27"/>
      <c r="AU577" s="27"/>
      <c r="AV577" s="27"/>
      <c r="AW577" s="27">
        <f t="shared" si="176"/>
        <v>4400000</v>
      </c>
      <c r="AX577" s="79">
        <f t="shared" si="177"/>
        <v>27500000</v>
      </c>
      <c r="AY577" s="79">
        <f t="shared" si="181"/>
        <v>5500000</v>
      </c>
      <c r="AZ577" s="25">
        <v>1</v>
      </c>
      <c r="BA577" s="62" t="s">
        <v>79</v>
      </c>
      <c r="BB577" s="25">
        <v>1</v>
      </c>
      <c r="BC577" s="25"/>
      <c r="BD577" s="66"/>
      <c r="BE577" s="67">
        <f t="shared" si="165"/>
        <v>550000</v>
      </c>
      <c r="BF577" s="67">
        <f t="shared" si="170"/>
        <v>0</v>
      </c>
      <c r="BG577" s="67">
        <f t="shared" ref="BG577:BG640" si="182">+$AL577*BD577</f>
        <v>0</v>
      </c>
      <c r="BH577" s="67"/>
      <c r="BI577" s="19" t="s">
        <v>1777</v>
      </c>
      <c r="BJ577" s="68" t="s">
        <v>121</v>
      </c>
      <c r="BK577" s="68" t="s">
        <v>121</v>
      </c>
    </row>
    <row r="578" spans="3:63" ht="15" customHeight="1">
      <c r="C578" s="1" t="str">
        <f t="shared" si="178"/>
        <v>2810</v>
      </c>
      <c r="D578" s="1" t="str">
        <f t="shared" si="179"/>
        <v>2311</v>
      </c>
      <c r="E578" s="19" t="s">
        <v>1845</v>
      </c>
      <c r="F578" s="68" t="s">
        <v>49</v>
      </c>
      <c r="G578" s="62">
        <v>2114</v>
      </c>
      <c r="H578" s="19" t="s">
        <v>1852</v>
      </c>
      <c r="I578" s="19" t="s">
        <v>1829</v>
      </c>
      <c r="J578" s="86">
        <v>1</v>
      </c>
      <c r="K578" s="19" t="s">
        <v>1226</v>
      </c>
      <c r="L578" s="19" t="s">
        <v>1827</v>
      </c>
      <c r="M578" s="142" t="s">
        <v>1859</v>
      </c>
      <c r="N578" s="42">
        <v>45217</v>
      </c>
      <c r="O578" s="70"/>
      <c r="P578" s="70"/>
      <c r="Q578" s="73">
        <v>33000000</v>
      </c>
      <c r="R578" s="70"/>
      <c r="S578" s="19"/>
      <c r="T578" s="19"/>
      <c r="U578" s="19"/>
      <c r="V578" s="74">
        <v>33000000</v>
      </c>
      <c r="W578" s="75"/>
      <c r="X578" s="64">
        <v>33000000</v>
      </c>
      <c r="Y578" s="19"/>
      <c r="Z578" s="19"/>
      <c r="AA578" s="128"/>
      <c r="AB578" s="19"/>
      <c r="AC578" s="64">
        <v>33000000</v>
      </c>
      <c r="AD578" s="63">
        <v>45231</v>
      </c>
      <c r="AE578" s="65">
        <v>47057</v>
      </c>
      <c r="AF578" s="19">
        <v>5</v>
      </c>
      <c r="AG578" s="19">
        <v>60</v>
      </c>
      <c r="AH578" s="25">
        <v>550000</v>
      </c>
      <c r="AI578" s="92">
        <v>1100000</v>
      </c>
      <c r="AJ578" s="92">
        <v>31900000</v>
      </c>
      <c r="AK578" s="27">
        <f t="shared" si="180"/>
        <v>550000</v>
      </c>
      <c r="AL578" s="27">
        <f t="shared" si="164"/>
        <v>550000</v>
      </c>
      <c r="AM578" s="27">
        <f t="shared" si="164"/>
        <v>550000</v>
      </c>
      <c r="AN578" s="27">
        <f t="shared" si="166"/>
        <v>550000</v>
      </c>
      <c r="AO578" s="27">
        <f t="shared" si="167"/>
        <v>550000</v>
      </c>
      <c r="AP578" s="27">
        <f t="shared" si="167"/>
        <v>550000</v>
      </c>
      <c r="AQ578" s="27">
        <f t="shared" si="168"/>
        <v>550000</v>
      </c>
      <c r="AR578" s="27">
        <f t="shared" si="169"/>
        <v>550000</v>
      </c>
      <c r="AS578" s="27"/>
      <c r="AT578" s="27"/>
      <c r="AU578" s="27"/>
      <c r="AV578" s="27"/>
      <c r="AW578" s="27">
        <f t="shared" si="176"/>
        <v>4400000</v>
      </c>
      <c r="AX578" s="79">
        <f t="shared" si="177"/>
        <v>27500000</v>
      </c>
      <c r="AY578" s="79">
        <f t="shared" si="181"/>
        <v>5500000</v>
      </c>
      <c r="AZ578" s="25">
        <v>1</v>
      </c>
      <c r="BA578" s="62" t="s">
        <v>79</v>
      </c>
      <c r="BB578" s="25">
        <v>1</v>
      </c>
      <c r="BC578" s="25"/>
      <c r="BD578" s="66"/>
      <c r="BE578" s="67">
        <f t="shared" si="165"/>
        <v>550000</v>
      </c>
      <c r="BF578" s="67">
        <f t="shared" si="170"/>
        <v>0</v>
      </c>
      <c r="BG578" s="67">
        <f t="shared" si="182"/>
        <v>0</v>
      </c>
      <c r="BH578" s="67"/>
      <c r="BI578" s="19" t="s">
        <v>1777</v>
      </c>
      <c r="BJ578" s="68" t="s">
        <v>121</v>
      </c>
      <c r="BK578" s="68" t="s">
        <v>121</v>
      </c>
    </row>
    <row r="579" spans="3:63" ht="15" customHeight="1">
      <c r="C579" s="1" t="str">
        <f t="shared" si="178"/>
        <v>2810</v>
      </c>
      <c r="D579" s="1" t="str">
        <f t="shared" si="179"/>
        <v>2311</v>
      </c>
      <c r="E579" s="19" t="s">
        <v>1845</v>
      </c>
      <c r="F579" s="62" t="s">
        <v>1896</v>
      </c>
      <c r="G579" s="62">
        <v>2114</v>
      </c>
      <c r="H579" s="19" t="s">
        <v>1853</v>
      </c>
      <c r="I579" s="19" t="s">
        <v>1829</v>
      </c>
      <c r="J579" s="86">
        <v>1</v>
      </c>
      <c r="K579" s="19" t="s">
        <v>1226</v>
      </c>
      <c r="L579" s="19" t="s">
        <v>1827</v>
      </c>
      <c r="M579" s="142" t="s">
        <v>1859</v>
      </c>
      <c r="N579" s="42">
        <v>45217</v>
      </c>
      <c r="O579" s="70"/>
      <c r="P579" s="70"/>
      <c r="Q579" s="73">
        <v>33000000</v>
      </c>
      <c r="R579" s="70"/>
      <c r="S579" s="19"/>
      <c r="T579" s="19"/>
      <c r="U579" s="19"/>
      <c r="V579" s="74">
        <v>33000000</v>
      </c>
      <c r="W579" s="75"/>
      <c r="X579" s="64">
        <v>33000000</v>
      </c>
      <c r="Y579" s="19"/>
      <c r="Z579" s="19"/>
      <c r="AA579" s="128"/>
      <c r="AB579" s="19"/>
      <c r="AC579" s="64">
        <v>33000000</v>
      </c>
      <c r="AD579" s="63">
        <v>45231</v>
      </c>
      <c r="AE579" s="65">
        <v>47057</v>
      </c>
      <c r="AF579" s="19">
        <v>5</v>
      </c>
      <c r="AG579" s="19">
        <v>60</v>
      </c>
      <c r="AH579" s="25">
        <v>550000</v>
      </c>
      <c r="AI579" s="92">
        <v>1100000</v>
      </c>
      <c r="AJ579" s="92">
        <v>31900000</v>
      </c>
      <c r="AK579" s="27">
        <f t="shared" si="180"/>
        <v>550000</v>
      </c>
      <c r="AL579" s="27">
        <f t="shared" si="164"/>
        <v>550000</v>
      </c>
      <c r="AM579" s="27">
        <f t="shared" si="164"/>
        <v>550000</v>
      </c>
      <c r="AN579" s="27">
        <f t="shared" si="166"/>
        <v>550000</v>
      </c>
      <c r="AO579" s="27">
        <f t="shared" si="167"/>
        <v>550000</v>
      </c>
      <c r="AP579" s="27">
        <f t="shared" si="167"/>
        <v>550000</v>
      </c>
      <c r="AQ579" s="27">
        <f t="shared" si="168"/>
        <v>550000</v>
      </c>
      <c r="AR579" s="27">
        <f t="shared" si="169"/>
        <v>550000</v>
      </c>
      <c r="AS579" s="27"/>
      <c r="AT579" s="27"/>
      <c r="AU579" s="27"/>
      <c r="AV579" s="27"/>
      <c r="AW579" s="27">
        <f t="shared" si="176"/>
        <v>4400000</v>
      </c>
      <c r="AX579" s="79">
        <f t="shared" si="177"/>
        <v>27500000</v>
      </c>
      <c r="AY579" s="79">
        <f t="shared" si="181"/>
        <v>5500000</v>
      </c>
      <c r="AZ579" s="25">
        <v>1</v>
      </c>
      <c r="BA579" s="62" t="s">
        <v>79</v>
      </c>
      <c r="BB579" s="25">
        <v>1</v>
      </c>
      <c r="BC579" s="25"/>
      <c r="BD579" s="66"/>
      <c r="BE579" s="67">
        <f t="shared" si="165"/>
        <v>550000</v>
      </c>
      <c r="BF579" s="67">
        <f t="shared" si="170"/>
        <v>0</v>
      </c>
      <c r="BG579" s="67">
        <f t="shared" si="182"/>
        <v>0</v>
      </c>
      <c r="BH579" s="67"/>
      <c r="BI579" s="19" t="s">
        <v>1777</v>
      </c>
      <c r="BJ579" s="68" t="s">
        <v>1979</v>
      </c>
      <c r="BK579" s="68" t="s">
        <v>1979</v>
      </c>
    </row>
    <row r="580" spans="3:63" ht="15" customHeight="1">
      <c r="C580" s="1" t="str">
        <f t="shared" si="178"/>
        <v>2810</v>
      </c>
      <c r="D580" s="1" t="str">
        <f t="shared" si="179"/>
        <v>2311</v>
      </c>
      <c r="E580" s="19" t="s">
        <v>1845</v>
      </c>
      <c r="F580" s="68" t="s">
        <v>49</v>
      </c>
      <c r="G580" s="62">
        <v>2114</v>
      </c>
      <c r="H580" s="19" t="s">
        <v>1854</v>
      </c>
      <c r="I580" s="19" t="s">
        <v>1829</v>
      </c>
      <c r="J580" s="86">
        <v>1</v>
      </c>
      <c r="K580" s="19" t="s">
        <v>1226</v>
      </c>
      <c r="L580" s="19" t="s">
        <v>1827</v>
      </c>
      <c r="M580" s="142" t="s">
        <v>1859</v>
      </c>
      <c r="N580" s="42">
        <v>45217</v>
      </c>
      <c r="O580" s="70"/>
      <c r="P580" s="70"/>
      <c r="Q580" s="73">
        <v>33000000</v>
      </c>
      <c r="R580" s="70"/>
      <c r="S580" s="19"/>
      <c r="T580" s="19"/>
      <c r="U580" s="19"/>
      <c r="V580" s="74">
        <v>33000000</v>
      </c>
      <c r="W580" s="75"/>
      <c r="X580" s="64">
        <v>33000000</v>
      </c>
      <c r="Y580" s="19"/>
      <c r="Z580" s="19"/>
      <c r="AA580" s="128"/>
      <c r="AB580" s="19"/>
      <c r="AC580" s="64">
        <v>33000000</v>
      </c>
      <c r="AD580" s="63">
        <v>45231</v>
      </c>
      <c r="AE580" s="65">
        <v>47057</v>
      </c>
      <c r="AF580" s="19">
        <v>5</v>
      </c>
      <c r="AG580" s="19">
        <v>60</v>
      </c>
      <c r="AH580" s="25">
        <v>550000</v>
      </c>
      <c r="AI580" s="92">
        <v>1100000</v>
      </c>
      <c r="AJ580" s="92">
        <v>31900000</v>
      </c>
      <c r="AK580" s="27">
        <f t="shared" si="180"/>
        <v>550000</v>
      </c>
      <c r="AL580" s="27">
        <f t="shared" ref="AL580:AM643" si="183">+IF(AND(AL$3&gt;=$D580,AL$3&lt;$C580),$AH580,$AJ580-SUM(AJ580:AK580))</f>
        <v>550000</v>
      </c>
      <c r="AM580" s="27">
        <f t="shared" si="183"/>
        <v>550000</v>
      </c>
      <c r="AN580" s="27">
        <f t="shared" si="166"/>
        <v>550000</v>
      </c>
      <c r="AO580" s="27">
        <f t="shared" si="167"/>
        <v>550000</v>
      </c>
      <c r="AP580" s="27">
        <f t="shared" si="167"/>
        <v>550000</v>
      </c>
      <c r="AQ580" s="27">
        <f t="shared" si="168"/>
        <v>550000</v>
      </c>
      <c r="AR580" s="27">
        <f t="shared" si="169"/>
        <v>550000</v>
      </c>
      <c r="AS580" s="27"/>
      <c r="AT580" s="27"/>
      <c r="AU580" s="27"/>
      <c r="AV580" s="27"/>
      <c r="AW580" s="27">
        <f t="shared" si="176"/>
        <v>4400000</v>
      </c>
      <c r="AX580" s="79">
        <f t="shared" si="177"/>
        <v>27500000</v>
      </c>
      <c r="AY580" s="79">
        <f t="shared" si="181"/>
        <v>5500000</v>
      </c>
      <c r="AZ580" s="25">
        <v>1</v>
      </c>
      <c r="BA580" s="62" t="s">
        <v>79</v>
      </c>
      <c r="BB580" s="25">
        <v>1</v>
      </c>
      <c r="BC580" s="25"/>
      <c r="BD580" s="66"/>
      <c r="BE580" s="67">
        <f t="shared" si="165"/>
        <v>550000</v>
      </c>
      <c r="BF580" s="67">
        <f t="shared" si="170"/>
        <v>0</v>
      </c>
      <c r="BG580" s="67">
        <f t="shared" si="182"/>
        <v>0</v>
      </c>
      <c r="BH580" s="67"/>
      <c r="BI580" s="19" t="s">
        <v>1777</v>
      </c>
      <c r="BJ580" s="68" t="s">
        <v>121</v>
      </c>
      <c r="BK580" s="68" t="s">
        <v>121</v>
      </c>
    </row>
    <row r="581" spans="3:63" ht="15" customHeight="1">
      <c r="C581" s="1" t="str">
        <f t="shared" si="178"/>
        <v>2810</v>
      </c>
      <c r="D581" s="1" t="str">
        <f t="shared" si="179"/>
        <v>2311</v>
      </c>
      <c r="E581" s="19" t="s">
        <v>1845</v>
      </c>
      <c r="F581" s="68" t="s">
        <v>49</v>
      </c>
      <c r="G581" s="62">
        <v>2114</v>
      </c>
      <c r="H581" s="19" t="s">
        <v>1855</v>
      </c>
      <c r="I581" s="19" t="s">
        <v>1829</v>
      </c>
      <c r="J581" s="86">
        <v>1</v>
      </c>
      <c r="K581" s="19" t="s">
        <v>1226</v>
      </c>
      <c r="L581" s="19" t="s">
        <v>1827</v>
      </c>
      <c r="M581" s="142" t="s">
        <v>1859</v>
      </c>
      <c r="N581" s="42">
        <v>45217</v>
      </c>
      <c r="O581" s="70"/>
      <c r="P581" s="70"/>
      <c r="Q581" s="73">
        <v>33000000</v>
      </c>
      <c r="R581" s="70"/>
      <c r="S581" s="19"/>
      <c r="T581" s="19"/>
      <c r="U581" s="19"/>
      <c r="V581" s="74">
        <v>33000000</v>
      </c>
      <c r="W581" s="75"/>
      <c r="X581" s="64">
        <v>33000000</v>
      </c>
      <c r="Y581" s="19"/>
      <c r="Z581" s="19"/>
      <c r="AA581" s="128"/>
      <c r="AB581" s="19"/>
      <c r="AC581" s="64">
        <v>33000000</v>
      </c>
      <c r="AD581" s="63">
        <v>45231</v>
      </c>
      <c r="AE581" s="65">
        <v>47057</v>
      </c>
      <c r="AF581" s="19">
        <v>5</v>
      </c>
      <c r="AG581" s="19">
        <v>60</v>
      </c>
      <c r="AH581" s="25">
        <v>550000</v>
      </c>
      <c r="AI581" s="92">
        <v>1100000</v>
      </c>
      <c r="AJ581" s="92">
        <v>31900000</v>
      </c>
      <c r="AK581" s="27">
        <f t="shared" si="180"/>
        <v>550000</v>
      </c>
      <c r="AL581" s="27">
        <f t="shared" si="183"/>
        <v>550000</v>
      </c>
      <c r="AM581" s="27">
        <f t="shared" si="183"/>
        <v>550000</v>
      </c>
      <c r="AN581" s="27">
        <f t="shared" si="166"/>
        <v>550000</v>
      </c>
      <c r="AO581" s="27">
        <f t="shared" si="167"/>
        <v>550000</v>
      </c>
      <c r="AP581" s="27">
        <f t="shared" si="167"/>
        <v>550000</v>
      </c>
      <c r="AQ581" s="27">
        <f t="shared" si="168"/>
        <v>550000</v>
      </c>
      <c r="AR581" s="27">
        <f t="shared" si="169"/>
        <v>550000</v>
      </c>
      <c r="AS581" s="27"/>
      <c r="AT581" s="27"/>
      <c r="AU581" s="27"/>
      <c r="AV581" s="27"/>
      <c r="AW581" s="27">
        <f t="shared" si="176"/>
        <v>4400000</v>
      </c>
      <c r="AX581" s="79">
        <f t="shared" si="177"/>
        <v>27500000</v>
      </c>
      <c r="AY581" s="79">
        <f t="shared" si="181"/>
        <v>5500000</v>
      </c>
      <c r="AZ581" s="25">
        <v>1</v>
      </c>
      <c r="BA581" s="62" t="s">
        <v>79</v>
      </c>
      <c r="BB581" s="25">
        <v>1</v>
      </c>
      <c r="BC581" s="25"/>
      <c r="BD581" s="66"/>
      <c r="BE581" s="67">
        <f t="shared" si="165"/>
        <v>550000</v>
      </c>
      <c r="BF581" s="67">
        <f t="shared" si="170"/>
        <v>0</v>
      </c>
      <c r="BG581" s="67">
        <f t="shared" si="182"/>
        <v>0</v>
      </c>
      <c r="BH581" s="67"/>
      <c r="BI581" s="19" t="s">
        <v>1777</v>
      </c>
      <c r="BJ581" s="68" t="s">
        <v>121</v>
      </c>
      <c r="BK581" s="68" t="s">
        <v>121</v>
      </c>
    </row>
    <row r="582" spans="3:63" ht="15" customHeight="1">
      <c r="C582" s="1" t="str">
        <f t="shared" si="178"/>
        <v>2810</v>
      </c>
      <c r="D582" s="1" t="str">
        <f t="shared" si="179"/>
        <v>2311</v>
      </c>
      <c r="E582" s="19" t="s">
        <v>1845</v>
      </c>
      <c r="F582" s="62" t="s">
        <v>1896</v>
      </c>
      <c r="G582" s="62">
        <v>2114</v>
      </c>
      <c r="H582" s="19" t="s">
        <v>1856</v>
      </c>
      <c r="I582" s="19" t="s">
        <v>1830</v>
      </c>
      <c r="J582" s="86">
        <v>1</v>
      </c>
      <c r="K582" s="19" t="s">
        <v>1226</v>
      </c>
      <c r="L582" s="19" t="s">
        <v>1827</v>
      </c>
      <c r="M582" s="142" t="s">
        <v>1859</v>
      </c>
      <c r="N582" s="42">
        <v>45217</v>
      </c>
      <c r="O582" s="70"/>
      <c r="P582" s="70"/>
      <c r="Q582" s="73">
        <v>33000000</v>
      </c>
      <c r="R582" s="70"/>
      <c r="S582" s="19"/>
      <c r="T582" s="19"/>
      <c r="U582" s="19"/>
      <c r="V582" s="74">
        <v>33000000</v>
      </c>
      <c r="W582" s="75"/>
      <c r="X582" s="64">
        <v>33000000</v>
      </c>
      <c r="Y582" s="19"/>
      <c r="Z582" s="19"/>
      <c r="AA582" s="128"/>
      <c r="AB582" s="19"/>
      <c r="AC582" s="64">
        <v>33000000</v>
      </c>
      <c r="AD582" s="63">
        <v>45231</v>
      </c>
      <c r="AE582" s="65">
        <v>47057</v>
      </c>
      <c r="AF582" s="19">
        <v>5</v>
      </c>
      <c r="AG582" s="19">
        <v>60</v>
      </c>
      <c r="AH582" s="25">
        <v>550000</v>
      </c>
      <c r="AI582" s="92">
        <v>1100000</v>
      </c>
      <c r="AJ582" s="92">
        <v>31900000</v>
      </c>
      <c r="AK582" s="27">
        <f t="shared" si="180"/>
        <v>550000</v>
      </c>
      <c r="AL582" s="27">
        <f t="shared" si="183"/>
        <v>550000</v>
      </c>
      <c r="AM582" s="27">
        <f t="shared" si="183"/>
        <v>550000</v>
      </c>
      <c r="AN582" s="27">
        <f t="shared" si="166"/>
        <v>550000</v>
      </c>
      <c r="AO582" s="27">
        <f t="shared" si="167"/>
        <v>550000</v>
      </c>
      <c r="AP582" s="27">
        <f t="shared" si="167"/>
        <v>550000</v>
      </c>
      <c r="AQ582" s="27">
        <f t="shared" si="168"/>
        <v>550000</v>
      </c>
      <c r="AR582" s="27">
        <f t="shared" si="169"/>
        <v>550000</v>
      </c>
      <c r="AS582" s="27"/>
      <c r="AT582" s="27"/>
      <c r="AU582" s="27"/>
      <c r="AV582" s="27"/>
      <c r="AW582" s="27">
        <f t="shared" si="176"/>
        <v>4400000</v>
      </c>
      <c r="AX582" s="79">
        <f t="shared" si="177"/>
        <v>27500000</v>
      </c>
      <c r="AY582" s="79">
        <f t="shared" si="181"/>
        <v>5500000</v>
      </c>
      <c r="AZ582" s="25">
        <v>1</v>
      </c>
      <c r="BA582" s="62" t="s">
        <v>79</v>
      </c>
      <c r="BB582" s="25">
        <v>1</v>
      </c>
      <c r="BC582" s="25"/>
      <c r="BD582" s="66"/>
      <c r="BE582" s="67">
        <f t="shared" si="165"/>
        <v>550000</v>
      </c>
      <c r="BF582" s="67">
        <f t="shared" si="170"/>
        <v>0</v>
      </c>
      <c r="BG582" s="67">
        <f t="shared" si="182"/>
        <v>0</v>
      </c>
      <c r="BH582" s="67"/>
      <c r="BI582" s="19" t="s">
        <v>1777</v>
      </c>
      <c r="BJ582" s="68" t="s">
        <v>1979</v>
      </c>
      <c r="BK582" s="68" t="s">
        <v>1979</v>
      </c>
    </row>
    <row r="583" spans="3:63" ht="15" customHeight="1">
      <c r="C583" s="1" t="str">
        <f t="shared" si="178"/>
        <v>2810</v>
      </c>
      <c r="D583" s="1" t="str">
        <f t="shared" si="179"/>
        <v>2311</v>
      </c>
      <c r="E583" s="19" t="s">
        <v>1845</v>
      </c>
      <c r="F583" s="68" t="s">
        <v>49</v>
      </c>
      <c r="G583" s="62">
        <v>2114</v>
      </c>
      <c r="H583" s="19" t="s">
        <v>1857</v>
      </c>
      <c r="I583" s="19" t="s">
        <v>1830</v>
      </c>
      <c r="J583" s="86">
        <v>1</v>
      </c>
      <c r="K583" s="19" t="s">
        <v>1226</v>
      </c>
      <c r="L583" s="19" t="s">
        <v>1827</v>
      </c>
      <c r="M583" s="142" t="s">
        <v>1859</v>
      </c>
      <c r="N583" s="42">
        <v>45217</v>
      </c>
      <c r="O583" s="70"/>
      <c r="P583" s="70"/>
      <c r="Q583" s="73">
        <v>33000000</v>
      </c>
      <c r="R583" s="70"/>
      <c r="S583" s="19"/>
      <c r="T583" s="19"/>
      <c r="U583" s="19"/>
      <c r="V583" s="74">
        <v>33000000</v>
      </c>
      <c r="W583" s="75"/>
      <c r="X583" s="64">
        <v>33000000</v>
      </c>
      <c r="Y583" s="19"/>
      <c r="Z583" s="19"/>
      <c r="AA583" s="128"/>
      <c r="AB583" s="19"/>
      <c r="AC583" s="64">
        <v>33000000</v>
      </c>
      <c r="AD583" s="63">
        <v>45231</v>
      </c>
      <c r="AE583" s="65">
        <v>47057</v>
      </c>
      <c r="AF583" s="19">
        <v>5</v>
      </c>
      <c r="AG583" s="19">
        <v>60</v>
      </c>
      <c r="AH583" s="25">
        <v>550000</v>
      </c>
      <c r="AI583" s="92">
        <v>1100000</v>
      </c>
      <c r="AJ583" s="92">
        <v>31900000</v>
      </c>
      <c r="AK583" s="27">
        <f t="shared" si="180"/>
        <v>550000</v>
      </c>
      <c r="AL583" s="27">
        <f t="shared" si="183"/>
        <v>550000</v>
      </c>
      <c r="AM583" s="27">
        <f t="shared" si="183"/>
        <v>550000</v>
      </c>
      <c r="AN583" s="27">
        <f t="shared" si="166"/>
        <v>550000</v>
      </c>
      <c r="AO583" s="27">
        <f t="shared" si="167"/>
        <v>550000</v>
      </c>
      <c r="AP583" s="27">
        <f t="shared" si="167"/>
        <v>550000</v>
      </c>
      <c r="AQ583" s="27">
        <f t="shared" si="168"/>
        <v>550000</v>
      </c>
      <c r="AR583" s="27">
        <f t="shared" si="169"/>
        <v>550000</v>
      </c>
      <c r="AS583" s="27"/>
      <c r="AT583" s="27"/>
      <c r="AU583" s="27"/>
      <c r="AV583" s="27"/>
      <c r="AW583" s="27">
        <f t="shared" si="176"/>
        <v>4400000</v>
      </c>
      <c r="AX583" s="79">
        <f t="shared" si="177"/>
        <v>27500000</v>
      </c>
      <c r="AY583" s="79">
        <f t="shared" si="181"/>
        <v>5500000</v>
      </c>
      <c r="AZ583" s="25">
        <v>1</v>
      </c>
      <c r="BA583" s="62" t="s">
        <v>79</v>
      </c>
      <c r="BB583" s="25">
        <v>1</v>
      </c>
      <c r="BC583" s="25"/>
      <c r="BD583" s="66"/>
      <c r="BE583" s="67">
        <f t="shared" si="165"/>
        <v>550000</v>
      </c>
      <c r="BF583" s="67">
        <f t="shared" si="170"/>
        <v>0</v>
      </c>
      <c r="BG583" s="67">
        <f t="shared" si="182"/>
        <v>0</v>
      </c>
      <c r="BH583" s="67"/>
      <c r="BI583" s="19" t="s">
        <v>1777</v>
      </c>
      <c r="BJ583" s="68" t="s">
        <v>121</v>
      </c>
      <c r="BK583" s="68" t="s">
        <v>121</v>
      </c>
    </row>
    <row r="584" spans="3:63" ht="15" customHeight="1">
      <c r="C584" s="1" t="str">
        <f t="shared" si="178"/>
        <v>3311</v>
      </c>
      <c r="D584" s="1" t="str">
        <f t="shared" si="179"/>
        <v>2312</v>
      </c>
      <c r="E584" s="19" t="s">
        <v>1872</v>
      </c>
      <c r="F584" s="68" t="s">
        <v>49</v>
      </c>
      <c r="G584" s="62">
        <v>2112</v>
      </c>
      <c r="H584" s="19" t="s">
        <v>1863</v>
      </c>
      <c r="I584" s="19" t="s">
        <v>1861</v>
      </c>
      <c r="J584" s="273">
        <v>1</v>
      </c>
      <c r="K584" s="19" t="s">
        <v>1226</v>
      </c>
      <c r="L584" s="19" t="s">
        <v>1716</v>
      </c>
      <c r="M584" s="142" t="s">
        <v>1862</v>
      </c>
      <c r="N584" s="42">
        <v>45197</v>
      </c>
      <c r="O584" s="70">
        <v>14648.576000000001</v>
      </c>
      <c r="P584" s="70">
        <v>24555</v>
      </c>
      <c r="Q584" s="73">
        <f>ROUND(O584*P584,0)</f>
        <v>359695784</v>
      </c>
      <c r="R584" s="70">
        <f>26874540/5</f>
        <v>5374908</v>
      </c>
      <c r="S584" s="19"/>
      <c r="T584" s="19">
        <f>14963038/5</f>
        <v>2992607.6</v>
      </c>
      <c r="U584" s="19" t="s">
        <v>1867</v>
      </c>
      <c r="V584" s="74">
        <v>368063299.60000002</v>
      </c>
      <c r="W584" s="75"/>
      <c r="X584" s="64">
        <v>368063299.60000002</v>
      </c>
      <c r="Y584" s="19"/>
      <c r="Z584" s="19"/>
      <c r="AA584" s="128"/>
      <c r="AB584" s="19"/>
      <c r="AC584" s="64">
        <v>368063299.60000002</v>
      </c>
      <c r="AD584" s="63">
        <v>45261</v>
      </c>
      <c r="AE584" s="65">
        <v>48913</v>
      </c>
      <c r="AF584" s="19">
        <v>10</v>
      </c>
      <c r="AG584" s="19">
        <v>120</v>
      </c>
      <c r="AH584" s="25">
        <v>3067194</v>
      </c>
      <c r="AI584" s="92">
        <v>3067194</v>
      </c>
      <c r="AJ584" s="92">
        <v>364996105.60000002</v>
      </c>
      <c r="AK584" s="27">
        <f t="shared" si="180"/>
        <v>3067194</v>
      </c>
      <c r="AL584" s="27">
        <f t="shared" si="183"/>
        <v>3067194</v>
      </c>
      <c r="AM584" s="27">
        <f t="shared" si="183"/>
        <v>3067194</v>
      </c>
      <c r="AN584" s="27">
        <f t="shared" si="166"/>
        <v>3067194</v>
      </c>
      <c r="AO584" s="27">
        <f t="shared" si="167"/>
        <v>3067194</v>
      </c>
      <c r="AP584" s="27">
        <f t="shared" si="167"/>
        <v>3067194</v>
      </c>
      <c r="AQ584" s="27">
        <f t="shared" si="168"/>
        <v>3067194</v>
      </c>
      <c r="AR584" s="27">
        <f t="shared" si="169"/>
        <v>3067194</v>
      </c>
      <c r="AS584" s="27"/>
      <c r="AT584" s="27"/>
      <c r="AU584" s="27"/>
      <c r="AV584" s="27"/>
      <c r="AW584" s="27">
        <f t="shared" si="176"/>
        <v>24537552</v>
      </c>
      <c r="AX584" s="79">
        <f t="shared" si="177"/>
        <v>340458553.60000002</v>
      </c>
      <c r="AY584" s="79">
        <f t="shared" si="181"/>
        <v>27604746</v>
      </c>
      <c r="AZ584" s="25">
        <v>1</v>
      </c>
      <c r="BA584" s="62" t="s">
        <v>97</v>
      </c>
      <c r="BB584" s="25">
        <v>1</v>
      </c>
      <c r="BC584" s="25"/>
      <c r="BD584" s="66"/>
      <c r="BE584" s="67">
        <f t="shared" si="165"/>
        <v>3067194</v>
      </c>
      <c r="BF584" s="67">
        <f t="shared" si="170"/>
        <v>0</v>
      </c>
      <c r="BG584" s="67">
        <f t="shared" si="182"/>
        <v>0</v>
      </c>
      <c r="BH584" s="67"/>
      <c r="BI584" s="19" t="s">
        <v>1777</v>
      </c>
      <c r="BJ584" s="68" t="s">
        <v>98</v>
      </c>
      <c r="BK584" s="68" t="s">
        <v>98</v>
      </c>
    </row>
    <row r="585" spans="3:63" ht="15" customHeight="1">
      <c r="C585" s="1" t="str">
        <f t="shared" si="178"/>
        <v>3311</v>
      </c>
      <c r="D585" s="1" t="str">
        <f t="shared" si="179"/>
        <v>2312</v>
      </c>
      <c r="E585" s="19" t="s">
        <v>1872</v>
      </c>
      <c r="F585" s="68" t="s">
        <v>49</v>
      </c>
      <c r="G585" s="62">
        <v>2112</v>
      </c>
      <c r="H585" s="19" t="s">
        <v>1863</v>
      </c>
      <c r="I585" s="19" t="s">
        <v>1861</v>
      </c>
      <c r="J585" s="274"/>
      <c r="K585" s="19" t="s">
        <v>1226</v>
      </c>
      <c r="L585" s="19" t="s">
        <v>967</v>
      </c>
      <c r="M585" s="142" t="s">
        <v>1864</v>
      </c>
      <c r="N585" s="42">
        <v>45210</v>
      </c>
      <c r="O585" s="70"/>
      <c r="P585" s="70"/>
      <c r="Q585" s="73">
        <v>43660000</v>
      </c>
      <c r="R585" s="70"/>
      <c r="S585" s="19"/>
      <c r="T585" s="19"/>
      <c r="U585" s="19"/>
      <c r="V585" s="74">
        <v>43660000</v>
      </c>
      <c r="W585" s="75"/>
      <c r="X585" s="64">
        <v>43660000</v>
      </c>
      <c r="Y585" s="19"/>
      <c r="Z585" s="19"/>
      <c r="AA585" s="128"/>
      <c r="AB585" s="19"/>
      <c r="AC585" s="64">
        <v>43660000</v>
      </c>
      <c r="AD585" s="63">
        <v>45261</v>
      </c>
      <c r="AE585" s="65">
        <v>48913</v>
      </c>
      <c r="AF585" s="19">
        <v>10</v>
      </c>
      <c r="AG585" s="19">
        <v>120</v>
      </c>
      <c r="AH585" s="25">
        <v>363833</v>
      </c>
      <c r="AI585" s="92">
        <v>363833</v>
      </c>
      <c r="AJ585" s="92">
        <v>43296167</v>
      </c>
      <c r="AK585" s="27">
        <f t="shared" si="180"/>
        <v>363833</v>
      </c>
      <c r="AL585" s="27">
        <f t="shared" si="183"/>
        <v>363833</v>
      </c>
      <c r="AM585" s="27">
        <f t="shared" si="183"/>
        <v>363833</v>
      </c>
      <c r="AN585" s="27">
        <f t="shared" si="166"/>
        <v>363833</v>
      </c>
      <c r="AO585" s="27">
        <f t="shared" si="167"/>
        <v>363833</v>
      </c>
      <c r="AP585" s="27">
        <f t="shared" si="167"/>
        <v>363833</v>
      </c>
      <c r="AQ585" s="27">
        <f t="shared" si="168"/>
        <v>363833</v>
      </c>
      <c r="AR585" s="27">
        <f t="shared" si="169"/>
        <v>363833</v>
      </c>
      <c r="AS585" s="27"/>
      <c r="AT585" s="27"/>
      <c r="AU585" s="27"/>
      <c r="AV585" s="27"/>
      <c r="AW585" s="27">
        <f t="shared" si="176"/>
        <v>2910664</v>
      </c>
      <c r="AX585" s="79">
        <f t="shared" si="177"/>
        <v>40385503</v>
      </c>
      <c r="AY585" s="79">
        <f t="shared" si="181"/>
        <v>3274497</v>
      </c>
      <c r="AZ585" s="25">
        <v>1</v>
      </c>
      <c r="BA585" s="62" t="s">
        <v>97</v>
      </c>
      <c r="BB585" s="25">
        <v>1</v>
      </c>
      <c r="BC585" s="25"/>
      <c r="BD585" s="66"/>
      <c r="BE585" s="67">
        <f t="shared" si="165"/>
        <v>363833</v>
      </c>
      <c r="BF585" s="67">
        <f t="shared" si="170"/>
        <v>0</v>
      </c>
      <c r="BG585" s="67">
        <f t="shared" si="182"/>
        <v>0</v>
      </c>
      <c r="BH585" s="67"/>
      <c r="BI585" s="19" t="s">
        <v>1777</v>
      </c>
      <c r="BJ585" s="68" t="s">
        <v>98</v>
      </c>
      <c r="BK585" s="68" t="s">
        <v>98</v>
      </c>
    </row>
    <row r="586" spans="3:63" ht="15" customHeight="1">
      <c r="C586" s="1" t="str">
        <f t="shared" si="178"/>
        <v>3311</v>
      </c>
      <c r="D586" s="1" t="str">
        <f t="shared" si="179"/>
        <v>2312</v>
      </c>
      <c r="E586" s="19" t="s">
        <v>1872</v>
      </c>
      <c r="F586" s="68" t="s">
        <v>49</v>
      </c>
      <c r="G586" s="62">
        <v>2112</v>
      </c>
      <c r="H586" s="19" t="s">
        <v>1863</v>
      </c>
      <c r="I586" s="19" t="s">
        <v>1861</v>
      </c>
      <c r="J586" s="275"/>
      <c r="K586" s="19" t="s">
        <v>1226</v>
      </c>
      <c r="L586" s="19" t="s">
        <v>1865</v>
      </c>
      <c r="M586" s="142" t="s">
        <v>1866</v>
      </c>
      <c r="N586" s="42">
        <v>45259</v>
      </c>
      <c r="O586" s="70"/>
      <c r="P586" s="70"/>
      <c r="Q586" s="73">
        <f>1766000000/5</f>
        <v>353200000</v>
      </c>
      <c r="R586" s="70"/>
      <c r="S586" s="19"/>
      <c r="T586" s="19"/>
      <c r="U586" s="19"/>
      <c r="V586" s="74">
        <v>353200000</v>
      </c>
      <c r="W586" s="75"/>
      <c r="X586" s="64">
        <v>353200000</v>
      </c>
      <c r="Y586" s="19"/>
      <c r="Z586" s="19"/>
      <c r="AA586" s="128"/>
      <c r="AB586" s="19"/>
      <c r="AC586" s="64">
        <v>353200000</v>
      </c>
      <c r="AD586" s="63">
        <v>45261</v>
      </c>
      <c r="AE586" s="65">
        <v>48913</v>
      </c>
      <c r="AF586" s="19">
        <v>10</v>
      </c>
      <c r="AG586" s="19">
        <v>120</v>
      </c>
      <c r="AH586" s="25">
        <v>2943333</v>
      </c>
      <c r="AI586" s="92">
        <v>2943333</v>
      </c>
      <c r="AJ586" s="92">
        <v>350256667</v>
      </c>
      <c r="AK586" s="27">
        <f t="shared" si="180"/>
        <v>2943333</v>
      </c>
      <c r="AL586" s="27">
        <f t="shared" si="183"/>
        <v>2943333</v>
      </c>
      <c r="AM586" s="27">
        <f t="shared" si="183"/>
        <v>2943333</v>
      </c>
      <c r="AN586" s="27">
        <f t="shared" si="166"/>
        <v>2943333</v>
      </c>
      <c r="AO586" s="27">
        <f t="shared" si="167"/>
        <v>2943333</v>
      </c>
      <c r="AP586" s="27">
        <f t="shared" si="167"/>
        <v>2943333</v>
      </c>
      <c r="AQ586" s="27">
        <f t="shared" si="168"/>
        <v>2943333</v>
      </c>
      <c r="AR586" s="27">
        <f t="shared" si="169"/>
        <v>2943333</v>
      </c>
      <c r="AS586" s="27"/>
      <c r="AT586" s="27"/>
      <c r="AU586" s="27"/>
      <c r="AV586" s="27"/>
      <c r="AW586" s="27">
        <f t="shared" si="176"/>
        <v>23546664</v>
      </c>
      <c r="AX586" s="79">
        <f t="shared" si="177"/>
        <v>326710003</v>
      </c>
      <c r="AY586" s="79">
        <f t="shared" si="181"/>
        <v>26489997</v>
      </c>
      <c r="AZ586" s="25">
        <v>1</v>
      </c>
      <c r="BA586" s="62" t="s">
        <v>97</v>
      </c>
      <c r="BB586" s="25">
        <v>1</v>
      </c>
      <c r="BC586" s="25"/>
      <c r="BD586" s="66"/>
      <c r="BE586" s="67">
        <f t="shared" si="165"/>
        <v>2943333</v>
      </c>
      <c r="BF586" s="67">
        <f t="shared" si="170"/>
        <v>0</v>
      </c>
      <c r="BG586" s="67">
        <f t="shared" si="182"/>
        <v>0</v>
      </c>
      <c r="BH586" s="67"/>
      <c r="BI586" s="19" t="s">
        <v>1777</v>
      </c>
      <c r="BJ586" s="68" t="s">
        <v>98</v>
      </c>
      <c r="BK586" s="68" t="s">
        <v>98</v>
      </c>
    </row>
    <row r="587" spans="3:63" ht="15" customHeight="1">
      <c r="C587" s="1" t="str">
        <f t="shared" si="178"/>
        <v>3311</v>
      </c>
      <c r="D587" s="1" t="str">
        <f t="shared" si="179"/>
        <v>2312</v>
      </c>
      <c r="E587" s="19" t="s">
        <v>1872</v>
      </c>
      <c r="F587" s="68" t="s">
        <v>49</v>
      </c>
      <c r="G587" s="62">
        <v>2112</v>
      </c>
      <c r="H587" s="19" t="s">
        <v>1868</v>
      </c>
      <c r="I587" s="19" t="s">
        <v>1861</v>
      </c>
      <c r="J587" s="273">
        <v>1</v>
      </c>
      <c r="K587" s="19" t="s">
        <v>1226</v>
      </c>
      <c r="L587" s="19" t="s">
        <v>1716</v>
      </c>
      <c r="M587" s="142" t="s">
        <v>1862</v>
      </c>
      <c r="N587" s="42">
        <v>45197</v>
      </c>
      <c r="O587" s="70">
        <v>14648.576000000001</v>
      </c>
      <c r="P587" s="70">
        <v>24555</v>
      </c>
      <c r="Q587" s="73">
        <f>ROUND(O587*P587,0)</f>
        <v>359695784</v>
      </c>
      <c r="R587" s="70">
        <f>26874540/5</f>
        <v>5374908</v>
      </c>
      <c r="S587" s="19"/>
      <c r="T587" s="19">
        <f>14963038/5</f>
        <v>2992607.6</v>
      </c>
      <c r="U587" s="19" t="s">
        <v>1867</v>
      </c>
      <c r="V587" s="74">
        <v>368063299.60000002</v>
      </c>
      <c r="W587" s="75"/>
      <c r="X587" s="64">
        <v>368063299.60000002</v>
      </c>
      <c r="Y587" s="19"/>
      <c r="Z587" s="19"/>
      <c r="AA587" s="128"/>
      <c r="AB587" s="19"/>
      <c r="AC587" s="64">
        <v>368063299.60000002</v>
      </c>
      <c r="AD587" s="63">
        <v>45261</v>
      </c>
      <c r="AE587" s="65">
        <v>48913</v>
      </c>
      <c r="AF587" s="19">
        <v>10</v>
      </c>
      <c r="AG587" s="19">
        <v>120</v>
      </c>
      <c r="AH587" s="25">
        <v>3067194</v>
      </c>
      <c r="AI587" s="92">
        <v>3067194</v>
      </c>
      <c r="AJ587" s="92">
        <v>364996105.60000002</v>
      </c>
      <c r="AK587" s="27">
        <f t="shared" si="180"/>
        <v>3067194</v>
      </c>
      <c r="AL587" s="27">
        <f t="shared" si="183"/>
        <v>3067194</v>
      </c>
      <c r="AM587" s="27">
        <f t="shared" si="183"/>
        <v>3067194</v>
      </c>
      <c r="AN587" s="27">
        <f t="shared" si="166"/>
        <v>3067194</v>
      </c>
      <c r="AO587" s="27">
        <f t="shared" si="167"/>
        <v>3067194</v>
      </c>
      <c r="AP587" s="27">
        <f t="shared" si="167"/>
        <v>3067194</v>
      </c>
      <c r="AQ587" s="27">
        <f t="shared" si="168"/>
        <v>3067194</v>
      </c>
      <c r="AR587" s="27">
        <f t="shared" si="169"/>
        <v>3067194</v>
      </c>
      <c r="AS587" s="27"/>
      <c r="AT587" s="27"/>
      <c r="AU587" s="27"/>
      <c r="AV587" s="27"/>
      <c r="AW587" s="27">
        <f t="shared" si="176"/>
        <v>24537552</v>
      </c>
      <c r="AX587" s="79">
        <f t="shared" si="177"/>
        <v>340458553.60000002</v>
      </c>
      <c r="AY587" s="79">
        <f t="shared" si="181"/>
        <v>27604746</v>
      </c>
      <c r="AZ587" s="25">
        <v>1</v>
      </c>
      <c r="BA587" s="62" t="s">
        <v>97</v>
      </c>
      <c r="BB587" s="25">
        <v>1</v>
      </c>
      <c r="BC587" s="25"/>
      <c r="BD587" s="66"/>
      <c r="BE587" s="67">
        <f t="shared" si="165"/>
        <v>3067194</v>
      </c>
      <c r="BF587" s="67">
        <f t="shared" si="170"/>
        <v>0</v>
      </c>
      <c r="BG587" s="67">
        <f t="shared" si="182"/>
        <v>0</v>
      </c>
      <c r="BH587" s="67"/>
      <c r="BI587" s="19" t="s">
        <v>1777</v>
      </c>
      <c r="BJ587" s="68" t="s">
        <v>98</v>
      </c>
      <c r="BK587" s="68" t="s">
        <v>98</v>
      </c>
    </row>
    <row r="588" spans="3:63" ht="15" customHeight="1">
      <c r="C588" s="1" t="str">
        <f t="shared" si="178"/>
        <v>3311</v>
      </c>
      <c r="D588" s="1" t="str">
        <f t="shared" si="179"/>
        <v>2312</v>
      </c>
      <c r="E588" s="19" t="s">
        <v>1872</v>
      </c>
      <c r="F588" s="68" t="s">
        <v>49</v>
      </c>
      <c r="G588" s="62">
        <v>2112</v>
      </c>
      <c r="H588" s="19" t="s">
        <v>1868</v>
      </c>
      <c r="I588" s="19" t="s">
        <v>1861</v>
      </c>
      <c r="J588" s="274"/>
      <c r="K588" s="19" t="s">
        <v>1226</v>
      </c>
      <c r="L588" s="19" t="s">
        <v>967</v>
      </c>
      <c r="M588" s="142" t="s">
        <v>1864</v>
      </c>
      <c r="N588" s="42">
        <v>45210</v>
      </c>
      <c r="O588" s="70"/>
      <c r="P588" s="70"/>
      <c r="Q588" s="73">
        <v>43660000</v>
      </c>
      <c r="R588" s="70"/>
      <c r="S588" s="19"/>
      <c r="T588" s="19"/>
      <c r="U588" s="19"/>
      <c r="V588" s="74">
        <v>43660000</v>
      </c>
      <c r="W588" s="75"/>
      <c r="X588" s="64">
        <v>43660000</v>
      </c>
      <c r="Y588" s="19"/>
      <c r="Z588" s="19"/>
      <c r="AA588" s="128"/>
      <c r="AB588" s="19"/>
      <c r="AC588" s="64">
        <v>43660000</v>
      </c>
      <c r="AD588" s="63">
        <v>45261</v>
      </c>
      <c r="AE588" s="65">
        <v>48913</v>
      </c>
      <c r="AF588" s="19">
        <v>10</v>
      </c>
      <c r="AG588" s="19">
        <v>120</v>
      </c>
      <c r="AH588" s="25">
        <v>363833</v>
      </c>
      <c r="AI588" s="92">
        <v>363833</v>
      </c>
      <c r="AJ588" s="92">
        <v>43296167</v>
      </c>
      <c r="AK588" s="27">
        <f t="shared" si="180"/>
        <v>363833</v>
      </c>
      <c r="AL588" s="27">
        <f t="shared" si="183"/>
        <v>363833</v>
      </c>
      <c r="AM588" s="27">
        <f t="shared" si="183"/>
        <v>363833</v>
      </c>
      <c r="AN588" s="27">
        <f t="shared" si="166"/>
        <v>363833</v>
      </c>
      <c r="AO588" s="27">
        <f t="shared" si="167"/>
        <v>363833</v>
      </c>
      <c r="AP588" s="27">
        <f t="shared" si="167"/>
        <v>363833</v>
      </c>
      <c r="AQ588" s="27">
        <f t="shared" si="168"/>
        <v>363833</v>
      </c>
      <c r="AR588" s="27">
        <f t="shared" si="169"/>
        <v>363833</v>
      </c>
      <c r="AS588" s="27"/>
      <c r="AT588" s="27"/>
      <c r="AU588" s="27"/>
      <c r="AV588" s="27"/>
      <c r="AW588" s="27">
        <f t="shared" si="176"/>
        <v>2910664</v>
      </c>
      <c r="AX588" s="79">
        <f t="shared" si="177"/>
        <v>40385503</v>
      </c>
      <c r="AY588" s="79">
        <f t="shared" si="181"/>
        <v>3274497</v>
      </c>
      <c r="AZ588" s="25">
        <v>1</v>
      </c>
      <c r="BA588" s="62" t="s">
        <v>97</v>
      </c>
      <c r="BB588" s="25">
        <v>1</v>
      </c>
      <c r="BC588" s="25"/>
      <c r="BD588" s="66"/>
      <c r="BE588" s="67">
        <f t="shared" si="165"/>
        <v>363833</v>
      </c>
      <c r="BF588" s="67">
        <f t="shared" si="170"/>
        <v>0</v>
      </c>
      <c r="BG588" s="67">
        <f t="shared" si="182"/>
        <v>0</v>
      </c>
      <c r="BH588" s="67"/>
      <c r="BI588" s="19" t="s">
        <v>1777</v>
      </c>
      <c r="BJ588" s="68" t="s">
        <v>98</v>
      </c>
      <c r="BK588" s="68" t="s">
        <v>98</v>
      </c>
    </row>
    <row r="589" spans="3:63" ht="15" customHeight="1">
      <c r="C589" s="1" t="str">
        <f t="shared" si="178"/>
        <v>3311</v>
      </c>
      <c r="D589" s="1" t="str">
        <f t="shared" si="179"/>
        <v>2312</v>
      </c>
      <c r="E589" s="19" t="s">
        <v>1872</v>
      </c>
      <c r="F589" s="68" t="s">
        <v>49</v>
      </c>
      <c r="G589" s="62">
        <v>2112</v>
      </c>
      <c r="H589" s="19" t="s">
        <v>1868</v>
      </c>
      <c r="I589" s="19" t="s">
        <v>1861</v>
      </c>
      <c r="J589" s="275"/>
      <c r="K589" s="19" t="s">
        <v>1226</v>
      </c>
      <c r="L589" s="19" t="s">
        <v>1865</v>
      </c>
      <c r="M589" s="142" t="s">
        <v>1866</v>
      </c>
      <c r="N589" s="42">
        <v>45259</v>
      </c>
      <c r="O589" s="70"/>
      <c r="P589" s="70"/>
      <c r="Q589" s="73">
        <f>1766000000/5</f>
        <v>353200000</v>
      </c>
      <c r="R589" s="70"/>
      <c r="S589" s="19"/>
      <c r="T589" s="19"/>
      <c r="U589" s="19"/>
      <c r="V589" s="74">
        <v>353200000</v>
      </c>
      <c r="W589" s="75"/>
      <c r="X589" s="64">
        <v>353200000</v>
      </c>
      <c r="Y589" s="19"/>
      <c r="Z589" s="19"/>
      <c r="AA589" s="128"/>
      <c r="AB589" s="19"/>
      <c r="AC589" s="64">
        <v>353200000</v>
      </c>
      <c r="AD589" s="63">
        <v>45261</v>
      </c>
      <c r="AE589" s="65">
        <v>48913</v>
      </c>
      <c r="AF589" s="19">
        <v>10</v>
      </c>
      <c r="AG589" s="19">
        <v>120</v>
      </c>
      <c r="AH589" s="25">
        <v>2943333</v>
      </c>
      <c r="AI589" s="92">
        <v>2943333</v>
      </c>
      <c r="AJ589" s="92">
        <v>350256667</v>
      </c>
      <c r="AK589" s="27">
        <f t="shared" si="180"/>
        <v>2943333</v>
      </c>
      <c r="AL589" s="27">
        <f t="shared" si="183"/>
        <v>2943333</v>
      </c>
      <c r="AM589" s="27">
        <f t="shared" si="183"/>
        <v>2943333</v>
      </c>
      <c r="AN589" s="27">
        <f t="shared" si="166"/>
        <v>2943333</v>
      </c>
      <c r="AO589" s="27">
        <f t="shared" si="167"/>
        <v>2943333</v>
      </c>
      <c r="AP589" s="27">
        <f t="shared" si="167"/>
        <v>2943333</v>
      </c>
      <c r="AQ589" s="27">
        <f t="shared" si="168"/>
        <v>2943333</v>
      </c>
      <c r="AR589" s="27">
        <f t="shared" si="169"/>
        <v>2943333</v>
      </c>
      <c r="AS589" s="27"/>
      <c r="AT589" s="27"/>
      <c r="AU589" s="27"/>
      <c r="AV589" s="27"/>
      <c r="AW589" s="27">
        <f t="shared" si="176"/>
        <v>23546664</v>
      </c>
      <c r="AX589" s="79">
        <f t="shared" si="177"/>
        <v>326710003</v>
      </c>
      <c r="AY589" s="79">
        <f t="shared" si="181"/>
        <v>26489997</v>
      </c>
      <c r="AZ589" s="25">
        <v>1</v>
      </c>
      <c r="BA589" s="62" t="s">
        <v>97</v>
      </c>
      <c r="BB589" s="25">
        <v>1</v>
      </c>
      <c r="BC589" s="25"/>
      <c r="BD589" s="66"/>
      <c r="BE589" s="67">
        <f t="shared" si="165"/>
        <v>2943333</v>
      </c>
      <c r="BF589" s="67">
        <f t="shared" si="170"/>
        <v>0</v>
      </c>
      <c r="BG589" s="67">
        <f t="shared" si="182"/>
        <v>0</v>
      </c>
      <c r="BH589" s="67"/>
      <c r="BI589" s="19" t="s">
        <v>1777</v>
      </c>
      <c r="BJ589" s="68" t="s">
        <v>98</v>
      </c>
      <c r="BK589" s="68" t="s">
        <v>98</v>
      </c>
    </row>
    <row r="590" spans="3:63" ht="15" customHeight="1">
      <c r="C590" s="1" t="str">
        <f t="shared" si="178"/>
        <v>3311</v>
      </c>
      <c r="D590" s="1" t="str">
        <f t="shared" si="179"/>
        <v>2312</v>
      </c>
      <c r="E590" s="19" t="s">
        <v>1872</v>
      </c>
      <c r="F590" s="68" t="s">
        <v>49</v>
      </c>
      <c r="G590" s="62">
        <v>2112</v>
      </c>
      <c r="H590" s="19" t="s">
        <v>1869</v>
      </c>
      <c r="I590" s="19" t="s">
        <v>1861</v>
      </c>
      <c r="J590" s="273">
        <v>1</v>
      </c>
      <c r="K590" s="19" t="s">
        <v>1226</v>
      </c>
      <c r="L590" s="19" t="s">
        <v>1716</v>
      </c>
      <c r="M590" s="142" t="s">
        <v>1862</v>
      </c>
      <c r="N590" s="42">
        <v>45197</v>
      </c>
      <c r="O590" s="70">
        <v>14648.576000000001</v>
      </c>
      <c r="P590" s="70">
        <v>24555</v>
      </c>
      <c r="Q590" s="73">
        <f>ROUND(O590*P590,0)</f>
        <v>359695784</v>
      </c>
      <c r="R590" s="70">
        <f>26874540/5</f>
        <v>5374908</v>
      </c>
      <c r="S590" s="19"/>
      <c r="T590" s="19">
        <f>14963038/5</f>
        <v>2992607.6</v>
      </c>
      <c r="U590" s="19" t="s">
        <v>1867</v>
      </c>
      <c r="V590" s="74">
        <v>368063299.60000002</v>
      </c>
      <c r="W590" s="75"/>
      <c r="X590" s="64">
        <v>368063299.60000002</v>
      </c>
      <c r="Y590" s="19"/>
      <c r="Z590" s="19"/>
      <c r="AA590" s="128"/>
      <c r="AB590" s="19"/>
      <c r="AC590" s="64">
        <v>368063299.60000002</v>
      </c>
      <c r="AD590" s="63">
        <v>45261</v>
      </c>
      <c r="AE590" s="65">
        <v>48913</v>
      </c>
      <c r="AF590" s="19">
        <v>10</v>
      </c>
      <c r="AG590" s="19">
        <v>120</v>
      </c>
      <c r="AH590" s="25">
        <v>3067194</v>
      </c>
      <c r="AI590" s="92">
        <v>3067194</v>
      </c>
      <c r="AJ590" s="92">
        <v>364996105.60000002</v>
      </c>
      <c r="AK590" s="27">
        <f t="shared" si="180"/>
        <v>3067194</v>
      </c>
      <c r="AL590" s="27">
        <f t="shared" si="183"/>
        <v>3067194</v>
      </c>
      <c r="AM590" s="27">
        <f t="shared" si="183"/>
        <v>3067194</v>
      </c>
      <c r="AN590" s="27">
        <f t="shared" si="166"/>
        <v>3067194</v>
      </c>
      <c r="AO590" s="27">
        <f t="shared" si="167"/>
        <v>3067194</v>
      </c>
      <c r="AP590" s="27">
        <f t="shared" si="167"/>
        <v>3067194</v>
      </c>
      <c r="AQ590" s="27">
        <f t="shared" si="168"/>
        <v>3067194</v>
      </c>
      <c r="AR590" s="27">
        <f t="shared" si="169"/>
        <v>3067194</v>
      </c>
      <c r="AS590" s="27"/>
      <c r="AT590" s="27"/>
      <c r="AU590" s="27"/>
      <c r="AV590" s="27"/>
      <c r="AW590" s="27">
        <f t="shared" si="176"/>
        <v>24537552</v>
      </c>
      <c r="AX590" s="79">
        <f t="shared" si="177"/>
        <v>340458553.60000002</v>
      </c>
      <c r="AY590" s="79">
        <f t="shared" si="181"/>
        <v>27604746</v>
      </c>
      <c r="AZ590" s="25">
        <v>1</v>
      </c>
      <c r="BA590" s="62" t="s">
        <v>97</v>
      </c>
      <c r="BB590" s="25">
        <v>1</v>
      </c>
      <c r="BC590" s="25"/>
      <c r="BD590" s="66"/>
      <c r="BE590" s="67">
        <f t="shared" si="165"/>
        <v>3067194</v>
      </c>
      <c r="BF590" s="67">
        <f t="shared" si="170"/>
        <v>0</v>
      </c>
      <c r="BG590" s="67">
        <f t="shared" si="182"/>
        <v>0</v>
      </c>
      <c r="BH590" s="67"/>
      <c r="BI590" s="19" t="s">
        <v>1777</v>
      </c>
      <c r="BJ590" s="68" t="s">
        <v>98</v>
      </c>
      <c r="BK590" s="68" t="s">
        <v>98</v>
      </c>
    </row>
    <row r="591" spans="3:63" ht="15" customHeight="1">
      <c r="C591" s="1" t="str">
        <f t="shared" si="178"/>
        <v>3311</v>
      </c>
      <c r="D591" s="1" t="str">
        <f t="shared" si="179"/>
        <v>2312</v>
      </c>
      <c r="E591" s="19" t="s">
        <v>1872</v>
      </c>
      <c r="F591" s="68" t="s">
        <v>49</v>
      </c>
      <c r="G591" s="62">
        <v>2112</v>
      </c>
      <c r="H591" s="19" t="s">
        <v>1869</v>
      </c>
      <c r="I591" s="19" t="s">
        <v>1861</v>
      </c>
      <c r="J591" s="274"/>
      <c r="K591" s="19" t="s">
        <v>1226</v>
      </c>
      <c r="L591" s="19" t="s">
        <v>967</v>
      </c>
      <c r="M591" s="142" t="s">
        <v>1864</v>
      </c>
      <c r="N591" s="42">
        <v>45210</v>
      </c>
      <c r="O591" s="70"/>
      <c r="P591" s="70"/>
      <c r="Q591" s="73">
        <v>43660000</v>
      </c>
      <c r="R591" s="70"/>
      <c r="S591" s="19"/>
      <c r="T591" s="19"/>
      <c r="U591" s="19"/>
      <c r="V591" s="74">
        <v>43660000</v>
      </c>
      <c r="W591" s="75"/>
      <c r="X591" s="64">
        <v>43660000</v>
      </c>
      <c r="Y591" s="19"/>
      <c r="Z591" s="19"/>
      <c r="AA591" s="128"/>
      <c r="AB591" s="19"/>
      <c r="AC591" s="64">
        <v>43660000</v>
      </c>
      <c r="AD591" s="63">
        <v>45261</v>
      </c>
      <c r="AE591" s="65">
        <v>48913</v>
      </c>
      <c r="AF591" s="19">
        <v>10</v>
      </c>
      <c r="AG591" s="19">
        <v>120</v>
      </c>
      <c r="AH591" s="25">
        <v>363833</v>
      </c>
      <c r="AI591" s="92">
        <v>363833</v>
      </c>
      <c r="AJ591" s="92">
        <v>43296167</v>
      </c>
      <c r="AK591" s="27">
        <f t="shared" si="180"/>
        <v>363833</v>
      </c>
      <c r="AL591" s="27">
        <f t="shared" si="183"/>
        <v>363833</v>
      </c>
      <c r="AM591" s="27">
        <f t="shared" si="183"/>
        <v>363833</v>
      </c>
      <c r="AN591" s="27">
        <f t="shared" si="166"/>
        <v>363833</v>
      </c>
      <c r="AO591" s="27">
        <f t="shared" si="167"/>
        <v>363833</v>
      </c>
      <c r="AP591" s="27">
        <f t="shared" si="167"/>
        <v>363833</v>
      </c>
      <c r="AQ591" s="27">
        <f t="shared" si="168"/>
        <v>363833</v>
      </c>
      <c r="AR591" s="27">
        <f t="shared" si="169"/>
        <v>363833</v>
      </c>
      <c r="AS591" s="27"/>
      <c r="AT591" s="27"/>
      <c r="AU591" s="27"/>
      <c r="AV591" s="27"/>
      <c r="AW591" s="27">
        <f t="shared" si="176"/>
        <v>2910664</v>
      </c>
      <c r="AX591" s="79">
        <f t="shared" si="177"/>
        <v>40385503</v>
      </c>
      <c r="AY591" s="79">
        <f t="shared" si="181"/>
        <v>3274497</v>
      </c>
      <c r="AZ591" s="25">
        <v>1</v>
      </c>
      <c r="BA591" s="62" t="s">
        <v>97</v>
      </c>
      <c r="BB591" s="25">
        <v>1</v>
      </c>
      <c r="BC591" s="25"/>
      <c r="BD591" s="66"/>
      <c r="BE591" s="67">
        <f t="shared" si="165"/>
        <v>363833</v>
      </c>
      <c r="BF591" s="67">
        <f t="shared" si="170"/>
        <v>0</v>
      </c>
      <c r="BG591" s="67">
        <f t="shared" si="182"/>
        <v>0</v>
      </c>
      <c r="BH591" s="67"/>
      <c r="BI591" s="19" t="s">
        <v>1777</v>
      </c>
      <c r="BJ591" s="68" t="s">
        <v>98</v>
      </c>
      <c r="BK591" s="68" t="s">
        <v>98</v>
      </c>
    </row>
    <row r="592" spans="3:63" ht="15" customHeight="1">
      <c r="C592" s="1" t="str">
        <f t="shared" si="178"/>
        <v>3311</v>
      </c>
      <c r="D592" s="1" t="str">
        <f t="shared" si="179"/>
        <v>2312</v>
      </c>
      <c r="E592" s="19" t="s">
        <v>1872</v>
      </c>
      <c r="F592" s="68" t="s">
        <v>49</v>
      </c>
      <c r="G592" s="62">
        <v>2112</v>
      </c>
      <c r="H592" s="19" t="s">
        <v>1869</v>
      </c>
      <c r="I592" s="19" t="s">
        <v>1861</v>
      </c>
      <c r="J592" s="275"/>
      <c r="K592" s="19" t="s">
        <v>1226</v>
      </c>
      <c r="L592" s="19" t="s">
        <v>1865</v>
      </c>
      <c r="M592" s="142" t="s">
        <v>1866</v>
      </c>
      <c r="N592" s="42">
        <v>45259</v>
      </c>
      <c r="O592" s="70"/>
      <c r="P592" s="70"/>
      <c r="Q592" s="73">
        <f>1766000000/5</f>
        <v>353200000</v>
      </c>
      <c r="R592" s="70"/>
      <c r="S592" s="19"/>
      <c r="T592" s="19"/>
      <c r="U592" s="19"/>
      <c r="V592" s="74">
        <v>353200000</v>
      </c>
      <c r="W592" s="75"/>
      <c r="X592" s="64">
        <v>353200000</v>
      </c>
      <c r="Y592" s="19"/>
      <c r="Z592" s="19"/>
      <c r="AA592" s="128"/>
      <c r="AB592" s="19"/>
      <c r="AC592" s="64">
        <v>353200000</v>
      </c>
      <c r="AD592" s="63">
        <v>45261</v>
      </c>
      <c r="AE592" s="65">
        <v>48913</v>
      </c>
      <c r="AF592" s="19">
        <v>10</v>
      </c>
      <c r="AG592" s="19">
        <v>120</v>
      </c>
      <c r="AH592" s="25">
        <v>2943333</v>
      </c>
      <c r="AI592" s="92">
        <v>2943333</v>
      </c>
      <c r="AJ592" s="92">
        <v>350256667</v>
      </c>
      <c r="AK592" s="27">
        <f t="shared" si="180"/>
        <v>2943333</v>
      </c>
      <c r="AL592" s="27">
        <f t="shared" si="183"/>
        <v>2943333</v>
      </c>
      <c r="AM592" s="27">
        <f t="shared" si="183"/>
        <v>2943333</v>
      </c>
      <c r="AN592" s="27">
        <f t="shared" si="166"/>
        <v>2943333</v>
      </c>
      <c r="AO592" s="27">
        <f t="shared" si="167"/>
        <v>2943333</v>
      </c>
      <c r="AP592" s="27">
        <f t="shared" si="167"/>
        <v>2943333</v>
      </c>
      <c r="AQ592" s="27">
        <f t="shared" si="168"/>
        <v>2943333</v>
      </c>
      <c r="AR592" s="27">
        <f t="shared" si="169"/>
        <v>2943333</v>
      </c>
      <c r="AS592" s="27"/>
      <c r="AT592" s="27"/>
      <c r="AU592" s="27"/>
      <c r="AV592" s="27"/>
      <c r="AW592" s="27">
        <f t="shared" si="176"/>
        <v>23546664</v>
      </c>
      <c r="AX592" s="79">
        <f t="shared" si="177"/>
        <v>326710003</v>
      </c>
      <c r="AY592" s="79">
        <f t="shared" si="181"/>
        <v>26489997</v>
      </c>
      <c r="AZ592" s="25">
        <v>1</v>
      </c>
      <c r="BA592" s="62" t="s">
        <v>97</v>
      </c>
      <c r="BB592" s="25">
        <v>1</v>
      </c>
      <c r="BC592" s="25"/>
      <c r="BD592" s="66"/>
      <c r="BE592" s="67">
        <f t="shared" si="165"/>
        <v>2943333</v>
      </c>
      <c r="BF592" s="67">
        <f t="shared" si="170"/>
        <v>0</v>
      </c>
      <c r="BG592" s="67">
        <f t="shared" si="182"/>
        <v>0</v>
      </c>
      <c r="BH592" s="67"/>
      <c r="BI592" s="19" t="s">
        <v>1777</v>
      </c>
      <c r="BJ592" s="68" t="s">
        <v>98</v>
      </c>
      <c r="BK592" s="68" t="s">
        <v>98</v>
      </c>
    </row>
    <row r="593" spans="3:63" ht="15" customHeight="1">
      <c r="C593" s="1" t="str">
        <f t="shared" si="178"/>
        <v>3311</v>
      </c>
      <c r="D593" s="1" t="str">
        <f t="shared" si="179"/>
        <v>2312</v>
      </c>
      <c r="E593" s="19" t="s">
        <v>1872</v>
      </c>
      <c r="F593" s="68" t="s">
        <v>49</v>
      </c>
      <c r="G593" s="62">
        <v>2112</v>
      </c>
      <c r="H593" s="19" t="s">
        <v>1870</v>
      </c>
      <c r="I593" s="19" t="s">
        <v>1861</v>
      </c>
      <c r="J593" s="273">
        <v>1</v>
      </c>
      <c r="K593" s="19" t="s">
        <v>1226</v>
      </c>
      <c r="L593" s="19" t="s">
        <v>1716</v>
      </c>
      <c r="M593" s="142" t="s">
        <v>1862</v>
      </c>
      <c r="N593" s="42">
        <v>45197</v>
      </c>
      <c r="O593" s="70">
        <v>14648.576000000001</v>
      </c>
      <c r="P593" s="70">
        <v>24555</v>
      </c>
      <c r="Q593" s="73">
        <f>ROUND(O593*P593,0)</f>
        <v>359695784</v>
      </c>
      <c r="R593" s="70">
        <f>26874540/5</f>
        <v>5374908</v>
      </c>
      <c r="S593" s="19"/>
      <c r="T593" s="19">
        <f>14963038/5</f>
        <v>2992607.6</v>
      </c>
      <c r="U593" s="19" t="s">
        <v>1867</v>
      </c>
      <c r="V593" s="74">
        <v>368063299.60000002</v>
      </c>
      <c r="W593" s="75"/>
      <c r="X593" s="64">
        <v>368063299.60000002</v>
      </c>
      <c r="Y593" s="19"/>
      <c r="Z593" s="19"/>
      <c r="AA593" s="128"/>
      <c r="AB593" s="19"/>
      <c r="AC593" s="64">
        <v>368063299.60000002</v>
      </c>
      <c r="AD593" s="63">
        <v>45261</v>
      </c>
      <c r="AE593" s="65">
        <v>48913</v>
      </c>
      <c r="AF593" s="19">
        <v>10</v>
      </c>
      <c r="AG593" s="19">
        <v>120</v>
      </c>
      <c r="AH593" s="25">
        <v>3067194</v>
      </c>
      <c r="AI593" s="92">
        <v>3067194</v>
      </c>
      <c r="AJ593" s="92">
        <v>364996105.60000002</v>
      </c>
      <c r="AK593" s="27">
        <f t="shared" si="180"/>
        <v>3067194</v>
      </c>
      <c r="AL593" s="27">
        <f t="shared" si="183"/>
        <v>3067194</v>
      </c>
      <c r="AM593" s="27">
        <f t="shared" si="183"/>
        <v>3067194</v>
      </c>
      <c r="AN593" s="27">
        <f t="shared" si="166"/>
        <v>3067194</v>
      </c>
      <c r="AO593" s="27">
        <f t="shared" si="167"/>
        <v>3067194</v>
      </c>
      <c r="AP593" s="27">
        <f t="shared" si="167"/>
        <v>3067194</v>
      </c>
      <c r="AQ593" s="27">
        <f t="shared" si="168"/>
        <v>3067194</v>
      </c>
      <c r="AR593" s="27">
        <f t="shared" si="169"/>
        <v>3067194</v>
      </c>
      <c r="AS593" s="27"/>
      <c r="AT593" s="27"/>
      <c r="AU593" s="27"/>
      <c r="AV593" s="27"/>
      <c r="AW593" s="27">
        <f t="shared" si="176"/>
        <v>24537552</v>
      </c>
      <c r="AX593" s="79">
        <f t="shared" si="177"/>
        <v>340458553.60000002</v>
      </c>
      <c r="AY593" s="79">
        <f t="shared" si="181"/>
        <v>27604746</v>
      </c>
      <c r="AZ593" s="25">
        <v>1</v>
      </c>
      <c r="BA593" s="62" t="s">
        <v>97</v>
      </c>
      <c r="BB593" s="25">
        <v>1</v>
      </c>
      <c r="BC593" s="25"/>
      <c r="BD593" s="66"/>
      <c r="BE593" s="67">
        <f t="shared" si="165"/>
        <v>3067194</v>
      </c>
      <c r="BF593" s="67">
        <f t="shared" si="170"/>
        <v>0</v>
      </c>
      <c r="BG593" s="67">
        <f t="shared" si="182"/>
        <v>0</v>
      </c>
      <c r="BH593" s="67"/>
      <c r="BI593" s="19" t="s">
        <v>1777</v>
      </c>
      <c r="BJ593" s="68" t="s">
        <v>98</v>
      </c>
      <c r="BK593" s="68" t="s">
        <v>98</v>
      </c>
    </row>
    <row r="594" spans="3:63" ht="15" customHeight="1">
      <c r="C594" s="1" t="str">
        <f t="shared" si="178"/>
        <v>3311</v>
      </c>
      <c r="D594" s="1" t="str">
        <f t="shared" si="179"/>
        <v>2312</v>
      </c>
      <c r="E594" s="19" t="s">
        <v>1872</v>
      </c>
      <c r="F594" s="68" t="s">
        <v>49</v>
      </c>
      <c r="G594" s="62">
        <v>2112</v>
      </c>
      <c r="H594" s="19" t="s">
        <v>1870</v>
      </c>
      <c r="I594" s="19" t="s">
        <v>1861</v>
      </c>
      <c r="J594" s="274"/>
      <c r="K594" s="19" t="s">
        <v>1226</v>
      </c>
      <c r="L594" s="19" t="s">
        <v>967</v>
      </c>
      <c r="M594" s="142" t="s">
        <v>1864</v>
      </c>
      <c r="N594" s="42">
        <v>45210</v>
      </c>
      <c r="O594" s="70"/>
      <c r="P594" s="70"/>
      <c r="Q594" s="73">
        <v>43660000</v>
      </c>
      <c r="R594" s="70"/>
      <c r="S594" s="19"/>
      <c r="T594" s="19"/>
      <c r="U594" s="19"/>
      <c r="V594" s="74">
        <v>43660000</v>
      </c>
      <c r="W594" s="75"/>
      <c r="X594" s="64">
        <v>43660000</v>
      </c>
      <c r="Y594" s="19"/>
      <c r="Z594" s="19"/>
      <c r="AA594" s="128"/>
      <c r="AB594" s="19"/>
      <c r="AC594" s="64">
        <v>43660000</v>
      </c>
      <c r="AD594" s="63">
        <v>45261</v>
      </c>
      <c r="AE594" s="65">
        <v>48913</v>
      </c>
      <c r="AF594" s="19">
        <v>10</v>
      </c>
      <c r="AG594" s="19">
        <v>120</v>
      </c>
      <c r="AH594" s="25">
        <v>363833</v>
      </c>
      <c r="AI594" s="92">
        <v>363833</v>
      </c>
      <c r="AJ594" s="92">
        <v>43296167</v>
      </c>
      <c r="AK594" s="27">
        <f t="shared" si="180"/>
        <v>363833</v>
      </c>
      <c r="AL594" s="27">
        <f t="shared" si="183"/>
        <v>363833</v>
      </c>
      <c r="AM594" s="27">
        <f t="shared" si="183"/>
        <v>363833</v>
      </c>
      <c r="AN594" s="27">
        <f t="shared" si="166"/>
        <v>363833</v>
      </c>
      <c r="AO594" s="27">
        <f t="shared" si="167"/>
        <v>363833</v>
      </c>
      <c r="AP594" s="27">
        <f t="shared" si="167"/>
        <v>363833</v>
      </c>
      <c r="AQ594" s="27">
        <f t="shared" si="168"/>
        <v>363833</v>
      </c>
      <c r="AR594" s="27">
        <f t="shared" si="169"/>
        <v>363833</v>
      </c>
      <c r="AS594" s="27"/>
      <c r="AT594" s="27"/>
      <c r="AU594" s="27"/>
      <c r="AV594" s="27"/>
      <c r="AW594" s="27">
        <f t="shared" si="176"/>
        <v>2910664</v>
      </c>
      <c r="AX594" s="79">
        <f t="shared" si="177"/>
        <v>40385503</v>
      </c>
      <c r="AY594" s="79">
        <f t="shared" si="181"/>
        <v>3274497</v>
      </c>
      <c r="AZ594" s="25">
        <v>1</v>
      </c>
      <c r="BA594" s="62" t="s">
        <v>97</v>
      </c>
      <c r="BB594" s="25">
        <v>1</v>
      </c>
      <c r="BC594" s="25"/>
      <c r="BD594" s="66"/>
      <c r="BE594" s="67">
        <f t="shared" si="165"/>
        <v>363833</v>
      </c>
      <c r="BF594" s="67">
        <f t="shared" si="170"/>
        <v>0</v>
      </c>
      <c r="BG594" s="67">
        <f t="shared" si="182"/>
        <v>0</v>
      </c>
      <c r="BH594" s="67"/>
      <c r="BI594" s="19" t="s">
        <v>1777</v>
      </c>
      <c r="BJ594" s="68" t="s">
        <v>98</v>
      </c>
      <c r="BK594" s="68" t="s">
        <v>98</v>
      </c>
    </row>
    <row r="595" spans="3:63" ht="15" customHeight="1">
      <c r="C595" s="1" t="str">
        <f t="shared" si="178"/>
        <v>3311</v>
      </c>
      <c r="D595" s="1" t="str">
        <f t="shared" si="179"/>
        <v>2312</v>
      </c>
      <c r="E595" s="19" t="s">
        <v>1872</v>
      </c>
      <c r="F595" s="68" t="s">
        <v>49</v>
      </c>
      <c r="G595" s="62">
        <v>2112</v>
      </c>
      <c r="H595" s="19" t="s">
        <v>1870</v>
      </c>
      <c r="I595" s="19" t="s">
        <v>1861</v>
      </c>
      <c r="J595" s="275"/>
      <c r="K595" s="19" t="s">
        <v>1226</v>
      </c>
      <c r="L595" s="19" t="s">
        <v>1865</v>
      </c>
      <c r="M595" s="142" t="s">
        <v>1866</v>
      </c>
      <c r="N595" s="42">
        <v>45259</v>
      </c>
      <c r="O595" s="70"/>
      <c r="P595" s="70"/>
      <c r="Q595" s="73">
        <f>1766000000/5</f>
        <v>353200000</v>
      </c>
      <c r="R595" s="70"/>
      <c r="S595" s="19"/>
      <c r="T595" s="19"/>
      <c r="U595" s="19"/>
      <c r="V595" s="74">
        <v>353200000</v>
      </c>
      <c r="W595" s="75"/>
      <c r="X595" s="64">
        <v>353200000</v>
      </c>
      <c r="Y595" s="19"/>
      <c r="Z595" s="19"/>
      <c r="AA595" s="128"/>
      <c r="AB595" s="19"/>
      <c r="AC595" s="64">
        <v>353200000</v>
      </c>
      <c r="AD595" s="63">
        <v>45261</v>
      </c>
      <c r="AE595" s="65">
        <v>48913</v>
      </c>
      <c r="AF595" s="19">
        <v>10</v>
      </c>
      <c r="AG595" s="19">
        <v>120</v>
      </c>
      <c r="AH595" s="25">
        <v>2943333</v>
      </c>
      <c r="AI595" s="92">
        <v>2943333</v>
      </c>
      <c r="AJ595" s="92">
        <v>350256667</v>
      </c>
      <c r="AK595" s="27">
        <f t="shared" si="180"/>
        <v>2943333</v>
      </c>
      <c r="AL595" s="27">
        <f t="shared" si="183"/>
        <v>2943333</v>
      </c>
      <c r="AM595" s="27">
        <f t="shared" si="183"/>
        <v>2943333</v>
      </c>
      <c r="AN595" s="27">
        <f t="shared" si="166"/>
        <v>2943333</v>
      </c>
      <c r="AO595" s="27">
        <f t="shared" si="167"/>
        <v>2943333</v>
      </c>
      <c r="AP595" s="27">
        <f t="shared" si="167"/>
        <v>2943333</v>
      </c>
      <c r="AQ595" s="27">
        <f t="shared" si="168"/>
        <v>2943333</v>
      </c>
      <c r="AR595" s="27">
        <f t="shared" si="169"/>
        <v>2943333</v>
      </c>
      <c r="AS595" s="27"/>
      <c r="AT595" s="27"/>
      <c r="AU595" s="27"/>
      <c r="AV595" s="27"/>
      <c r="AW595" s="27">
        <f t="shared" si="176"/>
        <v>23546664</v>
      </c>
      <c r="AX595" s="79">
        <f t="shared" si="177"/>
        <v>326710003</v>
      </c>
      <c r="AY595" s="79">
        <f t="shared" si="181"/>
        <v>26489997</v>
      </c>
      <c r="AZ595" s="25">
        <v>1</v>
      </c>
      <c r="BA595" s="62" t="s">
        <v>97</v>
      </c>
      <c r="BB595" s="25">
        <v>1</v>
      </c>
      <c r="BC595" s="25"/>
      <c r="BD595" s="66"/>
      <c r="BE595" s="67">
        <f t="shared" si="165"/>
        <v>2943333</v>
      </c>
      <c r="BF595" s="67">
        <f t="shared" si="170"/>
        <v>0</v>
      </c>
      <c r="BG595" s="67">
        <f t="shared" si="182"/>
        <v>0</v>
      </c>
      <c r="BH595" s="67"/>
      <c r="BI595" s="19" t="s">
        <v>1777</v>
      </c>
      <c r="BJ595" s="68" t="s">
        <v>98</v>
      </c>
      <c r="BK595" s="68" t="s">
        <v>98</v>
      </c>
    </row>
    <row r="596" spans="3:63" ht="15" customHeight="1">
      <c r="C596" s="1" t="str">
        <f t="shared" si="178"/>
        <v>3311</v>
      </c>
      <c r="D596" s="1" t="str">
        <f t="shared" si="179"/>
        <v>2312</v>
      </c>
      <c r="E596" s="19" t="s">
        <v>1872</v>
      </c>
      <c r="F596" s="68" t="s">
        <v>49</v>
      </c>
      <c r="G596" s="62">
        <v>2112</v>
      </c>
      <c r="H596" s="19" t="s">
        <v>1871</v>
      </c>
      <c r="I596" s="19" t="s">
        <v>1861</v>
      </c>
      <c r="J596" s="273">
        <v>1</v>
      </c>
      <c r="K596" s="19" t="s">
        <v>1226</v>
      </c>
      <c r="L596" s="19" t="s">
        <v>1716</v>
      </c>
      <c r="M596" s="142" t="s">
        <v>1862</v>
      </c>
      <c r="N596" s="42">
        <v>45197</v>
      </c>
      <c r="O596" s="70">
        <v>14648.576000000001</v>
      </c>
      <c r="P596" s="70">
        <v>24555</v>
      </c>
      <c r="Q596" s="73">
        <f>ROUND(O596*P596,0)</f>
        <v>359695784</v>
      </c>
      <c r="R596" s="70">
        <f>26874540/5</f>
        <v>5374908</v>
      </c>
      <c r="S596" s="19"/>
      <c r="T596" s="19">
        <f>14963038/5</f>
        <v>2992607.6</v>
      </c>
      <c r="U596" s="19" t="s">
        <v>1867</v>
      </c>
      <c r="V596" s="74">
        <v>368063299.60000002</v>
      </c>
      <c r="W596" s="75"/>
      <c r="X596" s="64">
        <v>368063299.60000002</v>
      </c>
      <c r="Y596" s="19"/>
      <c r="Z596" s="19"/>
      <c r="AA596" s="128"/>
      <c r="AB596" s="19"/>
      <c r="AC596" s="64">
        <v>368063299.60000002</v>
      </c>
      <c r="AD596" s="63">
        <v>45261</v>
      </c>
      <c r="AE596" s="65">
        <v>48913</v>
      </c>
      <c r="AF596" s="19">
        <v>10</v>
      </c>
      <c r="AG596" s="19">
        <v>120</v>
      </c>
      <c r="AH596" s="25">
        <v>3067194</v>
      </c>
      <c r="AI596" s="92">
        <v>3067194</v>
      </c>
      <c r="AJ596" s="92">
        <v>364996105.60000002</v>
      </c>
      <c r="AK596" s="27">
        <f t="shared" si="180"/>
        <v>3067194</v>
      </c>
      <c r="AL596" s="27">
        <f t="shared" si="183"/>
        <v>3067194</v>
      </c>
      <c r="AM596" s="27">
        <f t="shared" si="183"/>
        <v>3067194</v>
      </c>
      <c r="AN596" s="27">
        <f t="shared" si="166"/>
        <v>3067194</v>
      </c>
      <c r="AO596" s="27">
        <f t="shared" si="167"/>
        <v>3067194</v>
      </c>
      <c r="AP596" s="27">
        <f t="shared" si="167"/>
        <v>3067194</v>
      </c>
      <c r="AQ596" s="27">
        <f t="shared" si="168"/>
        <v>3067194</v>
      </c>
      <c r="AR596" s="27">
        <f t="shared" si="169"/>
        <v>3067194</v>
      </c>
      <c r="AS596" s="27"/>
      <c r="AT596" s="27"/>
      <c r="AU596" s="27"/>
      <c r="AV596" s="27"/>
      <c r="AW596" s="27">
        <f t="shared" si="176"/>
        <v>24537552</v>
      </c>
      <c r="AX596" s="79">
        <f t="shared" si="177"/>
        <v>340458553.60000002</v>
      </c>
      <c r="AY596" s="79">
        <f t="shared" si="181"/>
        <v>27604746</v>
      </c>
      <c r="AZ596" s="25">
        <v>1</v>
      </c>
      <c r="BA596" s="62" t="s">
        <v>97</v>
      </c>
      <c r="BB596" s="25">
        <v>1</v>
      </c>
      <c r="BC596" s="25"/>
      <c r="BD596" s="66"/>
      <c r="BE596" s="67">
        <f t="shared" si="165"/>
        <v>3067194</v>
      </c>
      <c r="BF596" s="67">
        <f t="shared" si="170"/>
        <v>0</v>
      </c>
      <c r="BG596" s="67">
        <f t="shared" si="182"/>
        <v>0</v>
      </c>
      <c r="BH596" s="67"/>
      <c r="BI596" s="19" t="s">
        <v>1777</v>
      </c>
      <c r="BJ596" s="68" t="s">
        <v>98</v>
      </c>
      <c r="BK596" s="68" t="s">
        <v>98</v>
      </c>
    </row>
    <row r="597" spans="3:63" ht="15" customHeight="1">
      <c r="C597" s="1" t="str">
        <f t="shared" si="178"/>
        <v>3311</v>
      </c>
      <c r="D597" s="1" t="str">
        <f t="shared" si="179"/>
        <v>2312</v>
      </c>
      <c r="E597" s="19" t="s">
        <v>1872</v>
      </c>
      <c r="F597" s="68" t="s">
        <v>49</v>
      </c>
      <c r="G597" s="62">
        <v>2112</v>
      </c>
      <c r="H597" s="19" t="s">
        <v>1871</v>
      </c>
      <c r="I597" s="19" t="s">
        <v>1861</v>
      </c>
      <c r="J597" s="274"/>
      <c r="K597" s="19" t="s">
        <v>1226</v>
      </c>
      <c r="L597" s="19" t="s">
        <v>967</v>
      </c>
      <c r="M597" s="142" t="s">
        <v>1864</v>
      </c>
      <c r="N597" s="42">
        <v>45210</v>
      </c>
      <c r="O597" s="70"/>
      <c r="P597" s="70"/>
      <c r="Q597" s="73">
        <v>43660000</v>
      </c>
      <c r="R597" s="70"/>
      <c r="S597" s="19"/>
      <c r="T597" s="19"/>
      <c r="U597" s="19"/>
      <c r="V597" s="74">
        <v>43660000</v>
      </c>
      <c r="W597" s="75"/>
      <c r="X597" s="64">
        <v>43660000</v>
      </c>
      <c r="Y597" s="19"/>
      <c r="Z597" s="19"/>
      <c r="AA597" s="128"/>
      <c r="AB597" s="19"/>
      <c r="AC597" s="64">
        <v>43660000</v>
      </c>
      <c r="AD597" s="63">
        <v>45261</v>
      </c>
      <c r="AE597" s="65">
        <v>48913</v>
      </c>
      <c r="AF597" s="19">
        <v>10</v>
      </c>
      <c r="AG597" s="19">
        <v>120</v>
      </c>
      <c r="AH597" s="25">
        <v>363833</v>
      </c>
      <c r="AI597" s="92">
        <v>363833</v>
      </c>
      <c r="AJ597" s="92">
        <v>43296167</v>
      </c>
      <c r="AK597" s="27">
        <f t="shared" si="180"/>
        <v>363833</v>
      </c>
      <c r="AL597" s="27">
        <f t="shared" si="183"/>
        <v>363833</v>
      </c>
      <c r="AM597" s="27">
        <f t="shared" si="183"/>
        <v>363833</v>
      </c>
      <c r="AN597" s="27">
        <f t="shared" si="166"/>
        <v>363833</v>
      </c>
      <c r="AO597" s="27">
        <f t="shared" si="167"/>
        <v>363833</v>
      </c>
      <c r="AP597" s="27">
        <f t="shared" si="167"/>
        <v>363833</v>
      </c>
      <c r="AQ597" s="27">
        <f t="shared" si="168"/>
        <v>363833</v>
      </c>
      <c r="AR597" s="27">
        <f t="shared" si="169"/>
        <v>363833</v>
      </c>
      <c r="AS597" s="27"/>
      <c r="AT597" s="27"/>
      <c r="AU597" s="27"/>
      <c r="AV597" s="27"/>
      <c r="AW597" s="27">
        <f t="shared" si="176"/>
        <v>2910664</v>
      </c>
      <c r="AX597" s="79">
        <f t="shared" si="177"/>
        <v>40385503</v>
      </c>
      <c r="AY597" s="79">
        <f t="shared" si="181"/>
        <v>3274497</v>
      </c>
      <c r="AZ597" s="25">
        <v>1</v>
      </c>
      <c r="BA597" s="62" t="s">
        <v>97</v>
      </c>
      <c r="BB597" s="25">
        <v>1</v>
      </c>
      <c r="BC597" s="25"/>
      <c r="BD597" s="66"/>
      <c r="BE597" s="67">
        <f t="shared" si="165"/>
        <v>363833</v>
      </c>
      <c r="BF597" s="67">
        <f t="shared" si="170"/>
        <v>0</v>
      </c>
      <c r="BG597" s="67">
        <f t="shared" si="182"/>
        <v>0</v>
      </c>
      <c r="BH597" s="67"/>
      <c r="BI597" s="19" t="s">
        <v>1777</v>
      </c>
      <c r="BJ597" s="68" t="s">
        <v>98</v>
      </c>
      <c r="BK597" s="68" t="s">
        <v>98</v>
      </c>
    </row>
    <row r="598" spans="3:63" ht="15" customHeight="1">
      <c r="C598" s="1" t="str">
        <f t="shared" si="178"/>
        <v>3311</v>
      </c>
      <c r="D598" s="1" t="str">
        <f t="shared" si="179"/>
        <v>2312</v>
      </c>
      <c r="E598" s="19" t="s">
        <v>1872</v>
      </c>
      <c r="F598" s="68" t="s">
        <v>49</v>
      </c>
      <c r="G598" s="62">
        <v>2112</v>
      </c>
      <c r="H598" s="19" t="s">
        <v>1871</v>
      </c>
      <c r="I598" s="19" t="s">
        <v>1861</v>
      </c>
      <c r="J598" s="275"/>
      <c r="K598" s="19" t="s">
        <v>1226</v>
      </c>
      <c r="L598" s="19" t="s">
        <v>1865</v>
      </c>
      <c r="M598" s="142" t="s">
        <v>1866</v>
      </c>
      <c r="N598" s="42">
        <v>45259</v>
      </c>
      <c r="O598" s="70"/>
      <c r="P598" s="70"/>
      <c r="Q598" s="73">
        <f>1766000000/5</f>
        <v>353200000</v>
      </c>
      <c r="R598" s="70"/>
      <c r="S598" s="19"/>
      <c r="T598" s="19"/>
      <c r="U598" s="19"/>
      <c r="V598" s="74">
        <v>353200000</v>
      </c>
      <c r="W598" s="75"/>
      <c r="X598" s="64">
        <v>353200000</v>
      </c>
      <c r="Y598" s="19"/>
      <c r="Z598" s="19"/>
      <c r="AA598" s="128"/>
      <c r="AB598" s="19"/>
      <c r="AC598" s="64">
        <v>353200000</v>
      </c>
      <c r="AD598" s="63">
        <v>45261</v>
      </c>
      <c r="AE598" s="65">
        <v>48913</v>
      </c>
      <c r="AF598" s="19">
        <v>10</v>
      </c>
      <c r="AG598" s="19">
        <v>120</v>
      </c>
      <c r="AH598" s="25">
        <v>2943333</v>
      </c>
      <c r="AI598" s="92">
        <v>2943333</v>
      </c>
      <c r="AJ598" s="92">
        <v>350256667</v>
      </c>
      <c r="AK598" s="27">
        <f t="shared" si="180"/>
        <v>2943333</v>
      </c>
      <c r="AL598" s="27">
        <f t="shared" si="183"/>
        <v>2943333</v>
      </c>
      <c r="AM598" s="27">
        <f t="shared" si="183"/>
        <v>2943333</v>
      </c>
      <c r="AN598" s="27">
        <f t="shared" si="166"/>
        <v>2943333</v>
      </c>
      <c r="AO598" s="27">
        <f t="shared" si="167"/>
        <v>2943333</v>
      </c>
      <c r="AP598" s="27">
        <f t="shared" si="167"/>
        <v>2943333</v>
      </c>
      <c r="AQ598" s="27">
        <f t="shared" si="168"/>
        <v>2943333</v>
      </c>
      <c r="AR598" s="27">
        <f t="shared" si="169"/>
        <v>2943333</v>
      </c>
      <c r="AS598" s="27"/>
      <c r="AT598" s="27"/>
      <c r="AU598" s="27"/>
      <c r="AV598" s="27"/>
      <c r="AW598" s="27">
        <f t="shared" si="176"/>
        <v>23546664</v>
      </c>
      <c r="AX598" s="79">
        <f t="shared" si="177"/>
        <v>326710003</v>
      </c>
      <c r="AY598" s="79">
        <f t="shared" si="181"/>
        <v>26489997</v>
      </c>
      <c r="AZ598" s="25">
        <v>1</v>
      </c>
      <c r="BA598" s="62" t="s">
        <v>97</v>
      </c>
      <c r="BB598" s="25">
        <v>1</v>
      </c>
      <c r="BC598" s="25"/>
      <c r="BD598" s="66"/>
      <c r="BE598" s="67">
        <f t="shared" si="165"/>
        <v>2943333</v>
      </c>
      <c r="BF598" s="67">
        <f t="shared" si="170"/>
        <v>0</v>
      </c>
      <c r="BG598" s="67">
        <f t="shared" si="182"/>
        <v>0</v>
      </c>
      <c r="BH598" s="67"/>
      <c r="BI598" s="19" t="s">
        <v>1777</v>
      </c>
      <c r="BJ598" s="68" t="s">
        <v>98</v>
      </c>
      <c r="BK598" s="68" t="s">
        <v>98</v>
      </c>
    </row>
    <row r="599" spans="3:63" ht="15" customHeight="1">
      <c r="C599" s="1" t="str">
        <f t="shared" si="178"/>
        <v>2911</v>
      </c>
      <c r="D599" s="1" t="str">
        <f t="shared" si="179"/>
        <v>2312</v>
      </c>
      <c r="E599" s="19" t="s">
        <v>1872</v>
      </c>
      <c r="F599" s="68" t="s">
        <v>49</v>
      </c>
      <c r="G599" s="62">
        <v>2114</v>
      </c>
      <c r="H599" s="19" t="s">
        <v>1876</v>
      </c>
      <c r="I599" s="19" t="s">
        <v>1789</v>
      </c>
      <c r="J599" s="86">
        <v>1</v>
      </c>
      <c r="K599" s="19" t="s">
        <v>1233</v>
      </c>
      <c r="L599" s="19" t="s">
        <v>1782</v>
      </c>
      <c r="M599" s="142" t="s">
        <v>1877</v>
      </c>
      <c r="N599" s="42">
        <v>45181</v>
      </c>
      <c r="O599" s="70">
        <v>2050</v>
      </c>
      <c r="P599" s="70">
        <v>24220</v>
      </c>
      <c r="Q599" s="73">
        <f>ROUND(O599*P599,0)</f>
        <v>49651000</v>
      </c>
      <c r="R599" s="70"/>
      <c r="S599" s="19"/>
      <c r="T599" s="73">
        <v>3036232</v>
      </c>
      <c r="U599" s="19" t="s">
        <v>1878</v>
      </c>
      <c r="V599" s="74">
        <v>52687232</v>
      </c>
      <c r="W599" s="75"/>
      <c r="X599" s="64">
        <v>52687232</v>
      </c>
      <c r="Y599" s="19"/>
      <c r="Z599" s="19"/>
      <c r="AA599" s="128"/>
      <c r="AB599" s="19"/>
      <c r="AC599" s="64">
        <v>52687232</v>
      </c>
      <c r="AD599" s="63">
        <v>45261</v>
      </c>
      <c r="AE599" s="65">
        <v>47452</v>
      </c>
      <c r="AF599" s="19">
        <v>6</v>
      </c>
      <c r="AG599" s="19">
        <v>72</v>
      </c>
      <c r="AH599" s="25">
        <v>731767</v>
      </c>
      <c r="AI599" s="92">
        <v>731767</v>
      </c>
      <c r="AJ599" s="92">
        <v>51955465</v>
      </c>
      <c r="AK599" s="27">
        <f t="shared" si="180"/>
        <v>731767</v>
      </c>
      <c r="AL599" s="27">
        <f t="shared" si="183"/>
        <v>731767</v>
      </c>
      <c r="AM599" s="27">
        <f t="shared" si="183"/>
        <v>731767</v>
      </c>
      <c r="AN599" s="27">
        <f t="shared" si="166"/>
        <v>731767</v>
      </c>
      <c r="AO599" s="27">
        <f t="shared" si="167"/>
        <v>731767</v>
      </c>
      <c r="AP599" s="27">
        <f t="shared" si="167"/>
        <v>731767</v>
      </c>
      <c r="AQ599" s="27">
        <f t="shared" si="168"/>
        <v>731767</v>
      </c>
      <c r="AR599" s="27">
        <f t="shared" si="169"/>
        <v>731767</v>
      </c>
      <c r="AS599" s="27"/>
      <c r="AT599" s="27"/>
      <c r="AU599" s="27"/>
      <c r="AV599" s="27"/>
      <c r="AW599" s="27">
        <f t="shared" si="176"/>
        <v>5854136</v>
      </c>
      <c r="AX599" s="79">
        <f t="shared" si="177"/>
        <v>46101329</v>
      </c>
      <c r="AY599" s="79">
        <f t="shared" si="181"/>
        <v>6585903</v>
      </c>
      <c r="AZ599" s="25">
        <v>1</v>
      </c>
      <c r="BA599" s="62" t="s">
        <v>79</v>
      </c>
      <c r="BB599" s="25">
        <v>1</v>
      </c>
      <c r="BC599" s="25"/>
      <c r="BD599" s="66"/>
      <c r="BE599" s="67">
        <f t="shared" si="165"/>
        <v>731767</v>
      </c>
      <c r="BF599" s="67">
        <f t="shared" si="170"/>
        <v>0</v>
      </c>
      <c r="BG599" s="67">
        <f t="shared" si="182"/>
        <v>0</v>
      </c>
      <c r="BH599" s="67"/>
      <c r="BI599" s="19" t="s">
        <v>1879</v>
      </c>
      <c r="BJ599" s="68" t="s">
        <v>624</v>
      </c>
      <c r="BK599" s="68" t="s">
        <v>624</v>
      </c>
    </row>
    <row r="600" spans="3:63" ht="15" customHeight="1">
      <c r="C600" s="1" t="str">
        <f t="shared" si="178"/>
        <v>2812</v>
      </c>
      <c r="D600" s="1" t="str">
        <f t="shared" si="179"/>
        <v>2401</v>
      </c>
      <c r="E600" s="19" t="s">
        <v>1895</v>
      </c>
      <c r="F600" s="19" t="s">
        <v>1896</v>
      </c>
      <c r="G600" s="62">
        <v>2114</v>
      </c>
      <c r="H600" s="19" t="s">
        <v>1897</v>
      </c>
      <c r="I600" s="261" t="s">
        <v>1898</v>
      </c>
      <c r="J600" s="86">
        <v>1</v>
      </c>
      <c r="K600" s="19" t="s">
        <v>1737</v>
      </c>
      <c r="L600" s="19" t="s">
        <v>1899</v>
      </c>
      <c r="M600" s="142" t="s">
        <v>1900</v>
      </c>
      <c r="N600" s="97">
        <v>45166</v>
      </c>
      <c r="O600" s="70"/>
      <c r="P600" s="70"/>
      <c r="Q600" s="73">
        <v>110000000</v>
      </c>
      <c r="R600" s="70"/>
      <c r="S600" s="19"/>
      <c r="T600" s="70">
        <v>241555</v>
      </c>
      <c r="U600" s="19"/>
      <c r="V600" s="74">
        <v>110241555</v>
      </c>
      <c r="W600" s="75"/>
      <c r="X600" s="64">
        <v>110241555</v>
      </c>
      <c r="Y600" s="19"/>
      <c r="Z600" s="19"/>
      <c r="AA600" s="128"/>
      <c r="AB600" s="19"/>
      <c r="AC600" s="64">
        <v>110241555</v>
      </c>
      <c r="AD600" s="63">
        <v>45292</v>
      </c>
      <c r="AE600" s="65">
        <v>47118</v>
      </c>
      <c r="AF600" s="155">
        <v>5</v>
      </c>
      <c r="AG600" s="19">
        <v>60</v>
      </c>
      <c r="AH600" s="25">
        <v>1837359</v>
      </c>
      <c r="AI600" s="92"/>
      <c r="AJ600" s="92"/>
      <c r="AK600" s="27">
        <f t="shared" si="180"/>
        <v>1837359</v>
      </c>
      <c r="AL600" s="27">
        <f t="shared" si="183"/>
        <v>1837359</v>
      </c>
      <c r="AM600" s="27">
        <f t="shared" si="183"/>
        <v>1837359</v>
      </c>
      <c r="AN600" s="27">
        <f t="shared" si="166"/>
        <v>1837359</v>
      </c>
      <c r="AO600" s="27">
        <f t="shared" si="167"/>
        <v>1837359</v>
      </c>
      <c r="AP600" s="27">
        <f t="shared" si="167"/>
        <v>1837359</v>
      </c>
      <c r="AQ600" s="27">
        <f t="shared" si="168"/>
        <v>1837359</v>
      </c>
      <c r="AR600" s="27">
        <f t="shared" si="169"/>
        <v>1837359</v>
      </c>
      <c r="AS600" s="27"/>
      <c r="AT600" s="27"/>
      <c r="AU600" s="27"/>
      <c r="AV600" s="27"/>
      <c r="AW600" s="27">
        <f t="shared" ref="AW600:AW659" si="184">+SUM(AK600:AV600)</f>
        <v>14698872</v>
      </c>
      <c r="AX600" s="79">
        <f t="shared" si="177"/>
        <v>95542683</v>
      </c>
      <c r="AY600" s="79">
        <f t="shared" si="181"/>
        <v>14698872</v>
      </c>
      <c r="AZ600" s="25">
        <f>+J600-Z600</f>
        <v>1</v>
      </c>
      <c r="BA600" s="62"/>
      <c r="BB600" s="25">
        <v>1</v>
      </c>
      <c r="BC600" s="25"/>
      <c r="BD600" s="66"/>
      <c r="BE600" s="67">
        <f t="shared" ref="BE600:BE663" si="185">+$AP600*BB600</f>
        <v>1837359</v>
      </c>
      <c r="BF600" s="67">
        <f t="shared" si="170"/>
        <v>0</v>
      </c>
      <c r="BG600" s="67">
        <f t="shared" si="182"/>
        <v>0</v>
      </c>
      <c r="BH600" s="67"/>
      <c r="BI600" s="19" t="str">
        <f>+F600</f>
        <v>BG</v>
      </c>
      <c r="BJ600" s="68" t="s">
        <v>1929</v>
      </c>
      <c r="BK600" s="68" t="s">
        <v>1989</v>
      </c>
    </row>
    <row r="601" spans="3:63" ht="15" customHeight="1">
      <c r="C601" s="1" t="str">
        <f t="shared" si="178"/>
        <v>2812</v>
      </c>
      <c r="D601" s="1" t="str">
        <f t="shared" si="179"/>
        <v>2401</v>
      </c>
      <c r="E601" s="19" t="s">
        <v>1895</v>
      </c>
      <c r="F601" s="19" t="s">
        <v>1896</v>
      </c>
      <c r="G601" s="62">
        <v>2114</v>
      </c>
      <c r="H601" s="19" t="s">
        <v>1901</v>
      </c>
      <c r="I601" s="261" t="s">
        <v>1898</v>
      </c>
      <c r="J601" s="86">
        <v>1</v>
      </c>
      <c r="K601" s="19" t="s">
        <v>1737</v>
      </c>
      <c r="L601" s="19" t="s">
        <v>1899</v>
      </c>
      <c r="M601" s="142" t="s">
        <v>1900</v>
      </c>
      <c r="N601" s="97">
        <v>45166</v>
      </c>
      <c r="O601" s="70"/>
      <c r="P601" s="70"/>
      <c r="Q601" s="102">
        <v>116666667</v>
      </c>
      <c r="R601" s="70"/>
      <c r="S601" s="19"/>
      <c r="T601" s="70">
        <v>241555</v>
      </c>
      <c r="U601" s="19"/>
      <c r="V601" s="74">
        <v>116908222</v>
      </c>
      <c r="W601" s="75"/>
      <c r="X601" s="64">
        <v>116908222</v>
      </c>
      <c r="Y601" s="19"/>
      <c r="Z601" s="19"/>
      <c r="AA601" s="128"/>
      <c r="AB601" s="19"/>
      <c r="AC601" s="64">
        <v>116908222</v>
      </c>
      <c r="AD601" s="63">
        <v>45292</v>
      </c>
      <c r="AE601" s="65">
        <v>47118</v>
      </c>
      <c r="AF601" s="142">
        <v>5</v>
      </c>
      <c r="AG601" s="19">
        <v>60</v>
      </c>
      <c r="AH601" s="25">
        <v>1948470</v>
      </c>
      <c r="AI601" s="92"/>
      <c r="AJ601" s="92"/>
      <c r="AK601" s="27">
        <f t="shared" si="180"/>
        <v>1948470</v>
      </c>
      <c r="AL601" s="27">
        <f t="shared" si="183"/>
        <v>1948470</v>
      </c>
      <c r="AM601" s="27">
        <f t="shared" si="183"/>
        <v>1948470</v>
      </c>
      <c r="AN601" s="27">
        <f t="shared" si="166"/>
        <v>1948470</v>
      </c>
      <c r="AO601" s="27">
        <f t="shared" si="167"/>
        <v>1948470</v>
      </c>
      <c r="AP601" s="27">
        <f t="shared" si="167"/>
        <v>1948470</v>
      </c>
      <c r="AQ601" s="27">
        <f t="shared" si="168"/>
        <v>1948470</v>
      </c>
      <c r="AR601" s="27">
        <f t="shared" si="169"/>
        <v>1948470</v>
      </c>
      <c r="AS601" s="27"/>
      <c r="AT601" s="27"/>
      <c r="AU601" s="27"/>
      <c r="AV601" s="27"/>
      <c r="AW601" s="27">
        <f t="shared" si="184"/>
        <v>15587760</v>
      </c>
      <c r="AX601" s="79">
        <f t="shared" si="177"/>
        <v>101320462</v>
      </c>
      <c r="AY601" s="79">
        <f t="shared" si="181"/>
        <v>15587760</v>
      </c>
      <c r="AZ601" s="25">
        <f t="shared" ref="AZ601:AZ664" si="186">+J601-Z601</f>
        <v>1</v>
      </c>
      <c r="BA601" s="62"/>
      <c r="BB601" s="25">
        <v>1</v>
      </c>
      <c r="BC601" s="25"/>
      <c r="BD601" s="66"/>
      <c r="BE601" s="67">
        <f t="shared" si="185"/>
        <v>1948470</v>
      </c>
      <c r="BF601" s="67">
        <f t="shared" si="170"/>
        <v>0</v>
      </c>
      <c r="BG601" s="67">
        <f t="shared" si="182"/>
        <v>0</v>
      </c>
      <c r="BH601" s="67"/>
      <c r="BI601" s="19" t="str">
        <f t="shared" ref="BI601:BI623" si="187">+F601</f>
        <v>BG</v>
      </c>
      <c r="BJ601" s="68" t="s">
        <v>1929</v>
      </c>
      <c r="BK601" s="68" t="s">
        <v>1989</v>
      </c>
    </row>
    <row r="602" spans="3:63" ht="15" customHeight="1">
      <c r="C602" s="1" t="str">
        <f t="shared" si="178"/>
        <v>2912</v>
      </c>
      <c r="D602" s="1" t="str">
        <f t="shared" si="179"/>
        <v>2401</v>
      </c>
      <c r="E602" s="19" t="s">
        <v>1895</v>
      </c>
      <c r="F602" s="19" t="s">
        <v>1896</v>
      </c>
      <c r="G602" s="62">
        <v>2112</v>
      </c>
      <c r="H602" s="19" t="s">
        <v>1902</v>
      </c>
      <c r="I602" s="156" t="s">
        <v>1790</v>
      </c>
      <c r="J602" s="86">
        <v>1</v>
      </c>
      <c r="K602" s="19" t="s">
        <v>1737</v>
      </c>
      <c r="L602" s="157" t="s">
        <v>1716</v>
      </c>
      <c r="M602" s="98" t="s">
        <v>1903</v>
      </c>
      <c r="N602" s="101">
        <v>45188</v>
      </c>
      <c r="O602" s="158">
        <v>18448.04</v>
      </c>
      <c r="P602" s="158">
        <v>24240</v>
      </c>
      <c r="Q602" s="73">
        <f>ROUND(P602*O602,0)</f>
        <v>447180490</v>
      </c>
      <c r="R602" s="70"/>
      <c r="S602" s="19"/>
      <c r="T602" s="159">
        <v>3412897</v>
      </c>
      <c r="U602" s="19"/>
      <c r="V602" s="74">
        <v>450593387</v>
      </c>
      <c r="W602" s="75"/>
      <c r="X602" s="64">
        <v>450593387</v>
      </c>
      <c r="Y602" s="19"/>
      <c r="Z602" s="19"/>
      <c r="AA602" s="128"/>
      <c r="AB602" s="19"/>
      <c r="AC602" s="64">
        <v>450593387</v>
      </c>
      <c r="AD602" s="63">
        <v>45292</v>
      </c>
      <c r="AE602" s="65">
        <v>47483</v>
      </c>
      <c r="AF602" s="19">
        <v>6</v>
      </c>
      <c r="AG602" s="19">
        <v>72</v>
      </c>
      <c r="AH602" s="25">
        <v>6258241</v>
      </c>
      <c r="AI602" s="92"/>
      <c r="AJ602" s="92"/>
      <c r="AK602" s="27">
        <f t="shared" si="180"/>
        <v>6258241</v>
      </c>
      <c r="AL602" s="27">
        <f t="shared" si="183"/>
        <v>6258241</v>
      </c>
      <c r="AM602" s="27">
        <f t="shared" si="183"/>
        <v>6258241</v>
      </c>
      <c r="AN602" s="27">
        <f t="shared" si="166"/>
        <v>6258241</v>
      </c>
      <c r="AO602" s="27">
        <f t="shared" si="167"/>
        <v>6258241</v>
      </c>
      <c r="AP602" s="27">
        <f t="shared" si="167"/>
        <v>6258241</v>
      </c>
      <c r="AQ602" s="27">
        <f t="shared" si="168"/>
        <v>6258241</v>
      </c>
      <c r="AR602" s="27">
        <f t="shared" si="169"/>
        <v>6258241</v>
      </c>
      <c r="AS602" s="27"/>
      <c r="AT602" s="27"/>
      <c r="AU602" s="27"/>
      <c r="AV602" s="27"/>
      <c r="AW602" s="27">
        <f t="shared" si="184"/>
        <v>50065928</v>
      </c>
      <c r="AX602" s="79">
        <f t="shared" si="177"/>
        <v>400527459</v>
      </c>
      <c r="AY602" s="79">
        <f t="shared" si="181"/>
        <v>50065928</v>
      </c>
      <c r="AZ602" s="25">
        <f t="shared" si="186"/>
        <v>1</v>
      </c>
      <c r="BA602" s="62"/>
      <c r="BB602" s="25">
        <v>1</v>
      </c>
      <c r="BC602" s="25"/>
      <c r="BD602" s="66"/>
      <c r="BE602" s="67">
        <f t="shared" si="185"/>
        <v>6258241</v>
      </c>
      <c r="BF602" s="67">
        <f t="shared" si="170"/>
        <v>0</v>
      </c>
      <c r="BG602" s="67">
        <f t="shared" si="182"/>
        <v>0</v>
      </c>
      <c r="BH602" s="67"/>
      <c r="BI602" s="19" t="str">
        <f t="shared" si="187"/>
        <v>BG</v>
      </c>
      <c r="BJ602" s="68" t="s">
        <v>1930</v>
      </c>
      <c r="BK602" s="68" t="s">
        <v>1930</v>
      </c>
    </row>
    <row r="603" spans="3:63" ht="15" customHeight="1">
      <c r="C603" s="1" t="str">
        <f t="shared" si="178"/>
        <v>2912</v>
      </c>
      <c r="D603" s="1" t="str">
        <f t="shared" si="179"/>
        <v>2401</v>
      </c>
      <c r="E603" s="19" t="s">
        <v>1895</v>
      </c>
      <c r="F603" s="19" t="s">
        <v>1896</v>
      </c>
      <c r="G603" s="62">
        <v>2112</v>
      </c>
      <c r="H603" s="19" t="s">
        <v>1904</v>
      </c>
      <c r="I603" s="19" t="s">
        <v>1791</v>
      </c>
      <c r="J603" s="86">
        <v>1</v>
      </c>
      <c r="K603" s="19" t="s">
        <v>1737</v>
      </c>
      <c r="L603" s="157" t="s">
        <v>1716</v>
      </c>
      <c r="M603" s="98" t="s">
        <v>1903</v>
      </c>
      <c r="N603" s="101">
        <v>45188</v>
      </c>
      <c r="O603" s="158">
        <v>18448.04</v>
      </c>
      <c r="P603" s="158">
        <v>24240</v>
      </c>
      <c r="Q603" s="73">
        <f>ROUND(P603*O603,0)</f>
        <v>447180490</v>
      </c>
      <c r="R603" s="70"/>
      <c r="S603" s="19"/>
      <c r="T603" s="159">
        <v>3412897</v>
      </c>
      <c r="U603" s="19"/>
      <c r="V603" s="74">
        <v>450593387</v>
      </c>
      <c r="W603" s="75"/>
      <c r="X603" s="64">
        <v>450593387</v>
      </c>
      <c r="Y603" s="19"/>
      <c r="Z603" s="19"/>
      <c r="AA603" s="128"/>
      <c r="AB603" s="19"/>
      <c r="AC603" s="64">
        <v>450593387</v>
      </c>
      <c r="AD603" s="63">
        <v>45292</v>
      </c>
      <c r="AE603" s="65">
        <v>47483</v>
      </c>
      <c r="AF603" s="19">
        <v>6</v>
      </c>
      <c r="AG603" s="19">
        <v>72</v>
      </c>
      <c r="AH603" s="25">
        <v>6258241</v>
      </c>
      <c r="AI603" s="92"/>
      <c r="AJ603" s="92"/>
      <c r="AK603" s="27">
        <f t="shared" si="180"/>
        <v>6258241</v>
      </c>
      <c r="AL603" s="27">
        <f t="shared" si="183"/>
        <v>6258241</v>
      </c>
      <c r="AM603" s="27">
        <f t="shared" si="183"/>
        <v>6258241</v>
      </c>
      <c r="AN603" s="27">
        <f t="shared" si="166"/>
        <v>6258241</v>
      </c>
      <c r="AO603" s="27">
        <f t="shared" si="167"/>
        <v>6258241</v>
      </c>
      <c r="AP603" s="27">
        <f t="shared" si="167"/>
        <v>6258241</v>
      </c>
      <c r="AQ603" s="27">
        <f t="shared" si="168"/>
        <v>6258241</v>
      </c>
      <c r="AR603" s="27">
        <f t="shared" si="169"/>
        <v>6258241</v>
      </c>
      <c r="AS603" s="27"/>
      <c r="AT603" s="27"/>
      <c r="AU603" s="27"/>
      <c r="AV603" s="27"/>
      <c r="AW603" s="27">
        <f t="shared" si="184"/>
        <v>50065928</v>
      </c>
      <c r="AX603" s="79">
        <f t="shared" si="177"/>
        <v>400527459</v>
      </c>
      <c r="AY603" s="79">
        <f t="shared" si="181"/>
        <v>50065928</v>
      </c>
      <c r="AZ603" s="25">
        <f t="shared" si="186"/>
        <v>1</v>
      </c>
      <c r="BA603" s="62"/>
      <c r="BB603" s="25">
        <v>1</v>
      </c>
      <c r="BC603" s="25"/>
      <c r="BD603" s="66"/>
      <c r="BE603" s="67">
        <f t="shared" si="185"/>
        <v>6258241</v>
      </c>
      <c r="BF603" s="67">
        <f t="shared" si="170"/>
        <v>0</v>
      </c>
      <c r="BG603" s="67">
        <f t="shared" si="182"/>
        <v>0</v>
      </c>
      <c r="BH603" s="67"/>
      <c r="BI603" s="19" t="str">
        <f t="shared" si="187"/>
        <v>BG</v>
      </c>
      <c r="BJ603" s="68" t="s">
        <v>1930</v>
      </c>
      <c r="BK603" s="68" t="s">
        <v>1930</v>
      </c>
    </row>
    <row r="604" spans="3:63" ht="15" customHeight="1">
      <c r="C604" s="1" t="str">
        <f t="shared" si="178"/>
        <v>2912</v>
      </c>
      <c r="D604" s="1" t="str">
        <f t="shared" si="179"/>
        <v>2401</v>
      </c>
      <c r="E604" s="19" t="s">
        <v>1895</v>
      </c>
      <c r="F604" s="19" t="s">
        <v>1896</v>
      </c>
      <c r="G604" s="62">
        <v>2112</v>
      </c>
      <c r="H604" s="19" t="s">
        <v>1905</v>
      </c>
      <c r="I604" s="19" t="s">
        <v>1792</v>
      </c>
      <c r="J604" s="86">
        <v>1</v>
      </c>
      <c r="K604" s="19" t="s">
        <v>1737</v>
      </c>
      <c r="L604" s="157" t="s">
        <v>1716</v>
      </c>
      <c r="M604" s="98" t="s">
        <v>1903</v>
      </c>
      <c r="N604" s="101">
        <v>45188</v>
      </c>
      <c r="O604" s="103">
        <v>16143.99</v>
      </c>
      <c r="P604" s="103">
        <v>24240</v>
      </c>
      <c r="Q604" s="73">
        <f t="shared" ref="Q604:Q620" si="188">ROUND(P604*O604,0)</f>
        <v>391330318</v>
      </c>
      <c r="R604" s="70"/>
      <c r="S604" s="19"/>
      <c r="T604" s="159">
        <v>2986647</v>
      </c>
      <c r="U604" s="19"/>
      <c r="V604" s="74">
        <v>394316965</v>
      </c>
      <c r="W604" s="75"/>
      <c r="X604" s="64">
        <v>394316965</v>
      </c>
      <c r="Y604" s="19"/>
      <c r="Z604" s="19"/>
      <c r="AA604" s="128"/>
      <c r="AB604" s="19"/>
      <c r="AC604" s="64">
        <v>394316965</v>
      </c>
      <c r="AD604" s="63">
        <v>45292</v>
      </c>
      <c r="AE604" s="65">
        <v>47483</v>
      </c>
      <c r="AF604" s="19">
        <v>6</v>
      </c>
      <c r="AG604" s="19">
        <v>72</v>
      </c>
      <c r="AH604" s="25">
        <v>5476625</v>
      </c>
      <c r="AI604" s="92"/>
      <c r="AJ604" s="92"/>
      <c r="AK604" s="27">
        <f t="shared" si="180"/>
        <v>5476625</v>
      </c>
      <c r="AL604" s="27">
        <f t="shared" si="183"/>
        <v>5476625</v>
      </c>
      <c r="AM604" s="27">
        <f t="shared" si="183"/>
        <v>5476625</v>
      </c>
      <c r="AN604" s="27">
        <f t="shared" si="166"/>
        <v>5476625</v>
      </c>
      <c r="AO604" s="27">
        <f t="shared" si="167"/>
        <v>5476625</v>
      </c>
      <c r="AP604" s="27">
        <f t="shared" si="167"/>
        <v>5476625</v>
      </c>
      <c r="AQ604" s="27">
        <f t="shared" si="168"/>
        <v>5476625</v>
      </c>
      <c r="AR604" s="27">
        <f t="shared" si="169"/>
        <v>5476625</v>
      </c>
      <c r="AS604" s="27"/>
      <c r="AT604" s="27"/>
      <c r="AU604" s="27"/>
      <c r="AV604" s="27"/>
      <c r="AW604" s="27">
        <f t="shared" si="184"/>
        <v>43813000</v>
      </c>
      <c r="AX604" s="79">
        <f t="shared" si="177"/>
        <v>350503965</v>
      </c>
      <c r="AY604" s="79">
        <f t="shared" si="181"/>
        <v>43813000</v>
      </c>
      <c r="AZ604" s="25">
        <f t="shared" si="186"/>
        <v>1</v>
      </c>
      <c r="BA604" s="62"/>
      <c r="BB604" s="25">
        <v>1</v>
      </c>
      <c r="BC604" s="25"/>
      <c r="BD604" s="66"/>
      <c r="BE604" s="67">
        <f t="shared" si="185"/>
        <v>5476625</v>
      </c>
      <c r="BF604" s="67">
        <f t="shared" si="170"/>
        <v>0</v>
      </c>
      <c r="BG604" s="67">
        <f t="shared" si="182"/>
        <v>0</v>
      </c>
      <c r="BH604" s="67"/>
      <c r="BI604" s="19" t="str">
        <f t="shared" si="187"/>
        <v>BG</v>
      </c>
      <c r="BJ604" s="68" t="s">
        <v>1930</v>
      </c>
      <c r="BK604" s="68" t="s">
        <v>1930</v>
      </c>
    </row>
    <row r="605" spans="3:63" ht="15" customHeight="1">
      <c r="C605" s="1" t="str">
        <f t="shared" si="178"/>
        <v>2912</v>
      </c>
      <c r="D605" s="1" t="str">
        <f t="shared" si="179"/>
        <v>2401</v>
      </c>
      <c r="E605" s="19" t="s">
        <v>1895</v>
      </c>
      <c r="F605" s="19" t="s">
        <v>1896</v>
      </c>
      <c r="G605" s="62">
        <v>2112</v>
      </c>
      <c r="H605" s="19" t="s">
        <v>1906</v>
      </c>
      <c r="I605" s="19" t="s">
        <v>1792</v>
      </c>
      <c r="J605" s="86">
        <v>1</v>
      </c>
      <c r="K605" s="19" t="s">
        <v>1737</v>
      </c>
      <c r="L605" s="157" t="s">
        <v>1716</v>
      </c>
      <c r="M605" s="98" t="s">
        <v>1903</v>
      </c>
      <c r="N605" s="101">
        <v>45188</v>
      </c>
      <c r="O605" s="103">
        <v>18620.45</v>
      </c>
      <c r="P605" s="103">
        <v>24240</v>
      </c>
      <c r="Q605" s="73">
        <f t="shared" si="188"/>
        <v>451359708</v>
      </c>
      <c r="R605" s="70"/>
      <c r="S605" s="19"/>
      <c r="T605" s="159">
        <v>3444794</v>
      </c>
      <c r="U605" s="19"/>
      <c r="V605" s="74">
        <v>454804502</v>
      </c>
      <c r="W605" s="75"/>
      <c r="X605" s="64">
        <v>454804502</v>
      </c>
      <c r="Y605" s="19"/>
      <c r="Z605" s="19"/>
      <c r="AA605" s="128"/>
      <c r="AB605" s="19"/>
      <c r="AC605" s="64">
        <v>454804502</v>
      </c>
      <c r="AD605" s="63">
        <v>45292</v>
      </c>
      <c r="AE605" s="65">
        <v>47483</v>
      </c>
      <c r="AF605" s="19">
        <v>6</v>
      </c>
      <c r="AG605" s="19">
        <v>72</v>
      </c>
      <c r="AH605" s="25">
        <v>6316729</v>
      </c>
      <c r="AI605" s="92"/>
      <c r="AJ605" s="92"/>
      <c r="AK605" s="27">
        <f t="shared" si="180"/>
        <v>6316729</v>
      </c>
      <c r="AL605" s="27">
        <f t="shared" si="183"/>
        <v>6316729</v>
      </c>
      <c r="AM605" s="27">
        <f t="shared" si="183"/>
        <v>6316729</v>
      </c>
      <c r="AN605" s="27">
        <f t="shared" si="166"/>
        <v>6316729</v>
      </c>
      <c r="AO605" s="27">
        <f t="shared" si="167"/>
        <v>6316729</v>
      </c>
      <c r="AP605" s="27">
        <f t="shared" si="167"/>
        <v>6316729</v>
      </c>
      <c r="AQ605" s="27">
        <f t="shared" si="168"/>
        <v>6316729</v>
      </c>
      <c r="AR605" s="27">
        <f t="shared" si="169"/>
        <v>6316729</v>
      </c>
      <c r="AS605" s="27"/>
      <c r="AT605" s="27"/>
      <c r="AU605" s="27"/>
      <c r="AV605" s="27"/>
      <c r="AW605" s="27">
        <f t="shared" si="184"/>
        <v>50533832</v>
      </c>
      <c r="AX605" s="79">
        <f t="shared" si="177"/>
        <v>404270670</v>
      </c>
      <c r="AY605" s="79">
        <f t="shared" si="181"/>
        <v>50533832</v>
      </c>
      <c r="AZ605" s="25">
        <f t="shared" si="186"/>
        <v>1</v>
      </c>
      <c r="BA605" s="62"/>
      <c r="BB605" s="25">
        <v>1</v>
      </c>
      <c r="BC605" s="25"/>
      <c r="BD605" s="66"/>
      <c r="BE605" s="67">
        <f t="shared" si="185"/>
        <v>6316729</v>
      </c>
      <c r="BF605" s="67">
        <f t="shared" si="170"/>
        <v>0</v>
      </c>
      <c r="BG605" s="67">
        <f t="shared" si="182"/>
        <v>0</v>
      </c>
      <c r="BH605" s="67"/>
      <c r="BI605" s="19" t="str">
        <f t="shared" si="187"/>
        <v>BG</v>
      </c>
      <c r="BJ605" s="68" t="s">
        <v>1930</v>
      </c>
      <c r="BK605" s="68" t="s">
        <v>1930</v>
      </c>
    </row>
    <row r="606" spans="3:63" ht="15" customHeight="1">
      <c r="C606" s="1" t="str">
        <f t="shared" si="178"/>
        <v>2912</v>
      </c>
      <c r="D606" s="1" t="str">
        <f t="shared" si="179"/>
        <v>2401</v>
      </c>
      <c r="E606" s="19" t="s">
        <v>1895</v>
      </c>
      <c r="F606" s="19" t="s">
        <v>1896</v>
      </c>
      <c r="G606" s="62">
        <v>2112</v>
      </c>
      <c r="H606" s="19" t="s">
        <v>1907</v>
      </c>
      <c r="I606" s="19" t="s">
        <v>1792</v>
      </c>
      <c r="J606" s="86">
        <v>1</v>
      </c>
      <c r="K606" s="19" t="s">
        <v>1737</v>
      </c>
      <c r="L606" s="157" t="s">
        <v>1716</v>
      </c>
      <c r="M606" s="98" t="s">
        <v>1903</v>
      </c>
      <c r="N606" s="101">
        <v>45188</v>
      </c>
      <c r="O606" s="103">
        <v>16845.900000000001</v>
      </c>
      <c r="P606" s="103">
        <v>24240</v>
      </c>
      <c r="Q606" s="73">
        <f t="shared" si="188"/>
        <v>408344616</v>
      </c>
      <c r="R606" s="70"/>
      <c r="S606" s="19"/>
      <c r="T606" s="159">
        <v>3116503</v>
      </c>
      <c r="U606" s="19"/>
      <c r="V606" s="74">
        <v>411461119</v>
      </c>
      <c r="W606" s="75"/>
      <c r="X606" s="64">
        <v>411461119</v>
      </c>
      <c r="Y606" s="19"/>
      <c r="Z606" s="19"/>
      <c r="AA606" s="128"/>
      <c r="AB606" s="19"/>
      <c r="AC606" s="64">
        <v>411461119</v>
      </c>
      <c r="AD606" s="63">
        <v>45292</v>
      </c>
      <c r="AE606" s="65">
        <v>47483</v>
      </c>
      <c r="AF606" s="19">
        <v>6</v>
      </c>
      <c r="AG606" s="19">
        <v>72</v>
      </c>
      <c r="AH606" s="25">
        <v>5714738</v>
      </c>
      <c r="AI606" s="92"/>
      <c r="AJ606" s="92"/>
      <c r="AK606" s="27">
        <f t="shared" si="180"/>
        <v>5714738</v>
      </c>
      <c r="AL606" s="27">
        <f t="shared" si="183"/>
        <v>5714738</v>
      </c>
      <c r="AM606" s="27">
        <f t="shared" si="183"/>
        <v>5714738</v>
      </c>
      <c r="AN606" s="27">
        <f t="shared" si="166"/>
        <v>5714738</v>
      </c>
      <c r="AO606" s="27">
        <f t="shared" si="167"/>
        <v>5714738</v>
      </c>
      <c r="AP606" s="27">
        <f t="shared" si="167"/>
        <v>5714738</v>
      </c>
      <c r="AQ606" s="27">
        <f t="shared" si="168"/>
        <v>5714738</v>
      </c>
      <c r="AR606" s="27">
        <f t="shared" si="169"/>
        <v>5714738</v>
      </c>
      <c r="AS606" s="27"/>
      <c r="AT606" s="27"/>
      <c r="AU606" s="27"/>
      <c r="AV606" s="27"/>
      <c r="AW606" s="27">
        <f t="shared" si="184"/>
        <v>45717904</v>
      </c>
      <c r="AX606" s="79">
        <f t="shared" si="177"/>
        <v>365743215</v>
      </c>
      <c r="AY606" s="79">
        <f t="shared" si="181"/>
        <v>45717904</v>
      </c>
      <c r="AZ606" s="25">
        <f t="shared" si="186"/>
        <v>1</v>
      </c>
      <c r="BA606" s="62"/>
      <c r="BB606" s="25">
        <v>1</v>
      </c>
      <c r="BC606" s="25"/>
      <c r="BD606" s="66"/>
      <c r="BE606" s="67">
        <f t="shared" si="185"/>
        <v>5714738</v>
      </c>
      <c r="BF606" s="67">
        <f t="shared" si="170"/>
        <v>0</v>
      </c>
      <c r="BG606" s="67">
        <f t="shared" si="182"/>
        <v>0</v>
      </c>
      <c r="BH606" s="67"/>
      <c r="BI606" s="19" t="str">
        <f t="shared" si="187"/>
        <v>BG</v>
      </c>
      <c r="BJ606" s="68" t="s">
        <v>1930</v>
      </c>
      <c r="BK606" s="68" t="s">
        <v>1930</v>
      </c>
    </row>
    <row r="607" spans="3:63" ht="15" customHeight="1">
      <c r="C607" s="1" t="str">
        <f t="shared" si="178"/>
        <v>3312</v>
      </c>
      <c r="D607" s="1" t="str">
        <f t="shared" si="179"/>
        <v>2401</v>
      </c>
      <c r="E607" s="19" t="s">
        <v>1895</v>
      </c>
      <c r="F607" s="19" t="s">
        <v>1896</v>
      </c>
      <c r="G607" s="62">
        <v>2112</v>
      </c>
      <c r="H607" s="19" t="s">
        <v>1908</v>
      </c>
      <c r="I607" s="19" t="s">
        <v>1793</v>
      </c>
      <c r="J607" s="86">
        <v>1</v>
      </c>
      <c r="K607" s="19" t="s">
        <v>1737</v>
      </c>
      <c r="L607" s="157" t="s">
        <v>1716</v>
      </c>
      <c r="M607" s="98" t="s">
        <v>1903</v>
      </c>
      <c r="N607" s="101">
        <v>45188</v>
      </c>
      <c r="O607" s="103">
        <v>53083.68</v>
      </c>
      <c r="P607" s="103">
        <v>24240</v>
      </c>
      <c r="Q607" s="73">
        <f t="shared" si="188"/>
        <v>1286748403</v>
      </c>
      <c r="R607" s="70"/>
      <c r="S607" s="19"/>
      <c r="T607" s="159">
        <v>9820514</v>
      </c>
      <c r="U607" s="19"/>
      <c r="V607" s="74">
        <v>1296568917</v>
      </c>
      <c r="W607" s="75"/>
      <c r="X607" s="64">
        <v>1296568917</v>
      </c>
      <c r="Y607" s="19"/>
      <c r="Z607" s="19"/>
      <c r="AA607" s="128"/>
      <c r="AB607" s="19"/>
      <c r="AC607" s="64">
        <v>1296568917</v>
      </c>
      <c r="AD607" s="63">
        <v>45292</v>
      </c>
      <c r="AE607" s="65">
        <v>48944</v>
      </c>
      <c r="AF607" s="19">
        <v>10</v>
      </c>
      <c r="AG607" s="19">
        <v>120</v>
      </c>
      <c r="AH607" s="25">
        <v>10804741</v>
      </c>
      <c r="AI607" s="92"/>
      <c r="AJ607" s="92"/>
      <c r="AK607" s="27">
        <f t="shared" si="180"/>
        <v>10804741</v>
      </c>
      <c r="AL607" s="27">
        <f t="shared" si="183"/>
        <v>10804741</v>
      </c>
      <c r="AM607" s="27">
        <f t="shared" si="183"/>
        <v>10804741</v>
      </c>
      <c r="AN607" s="27">
        <f t="shared" ref="AN607:AN670" si="189">+IF(AND(AN$3&gt;=$D607,AN$3&lt;$C607),$AH607,$AJ607-SUM(AL607:AM607))</f>
        <v>10804741</v>
      </c>
      <c r="AO607" s="27">
        <f t="shared" ref="AO607:AP670" si="190">+IF(AND(AO$3&gt;=$D607,AO$3&lt;$C607),$AH607,$AJ607-SUM(AM607:AN607))</f>
        <v>10804741</v>
      </c>
      <c r="AP607" s="27">
        <f t="shared" si="190"/>
        <v>10804741</v>
      </c>
      <c r="AQ607" s="27">
        <f t="shared" ref="AQ607:AQ670" si="191">+IF(AND(AQ$3&gt;=$D607,AQ$3&lt;$C607),$AH607,$AJ607-SUM(AK607:AP607))</f>
        <v>10804741</v>
      </c>
      <c r="AR607" s="27">
        <f t="shared" ref="AR607:AR670" si="192">+IF(AND(AR$3&gt;=$D607,AR$3&lt;$C607),$AH607,$AJ607-SUM(AL607:AQ607))</f>
        <v>10804741</v>
      </c>
      <c r="AS607" s="27"/>
      <c r="AT607" s="27"/>
      <c r="AU607" s="27"/>
      <c r="AV607" s="27"/>
      <c r="AW607" s="27">
        <f t="shared" si="184"/>
        <v>86437928</v>
      </c>
      <c r="AX607" s="79">
        <f t="shared" si="177"/>
        <v>1210130989</v>
      </c>
      <c r="AY607" s="79">
        <f t="shared" si="181"/>
        <v>86437928</v>
      </c>
      <c r="AZ607" s="25">
        <f t="shared" si="186"/>
        <v>1</v>
      </c>
      <c r="BA607" s="62"/>
      <c r="BB607" s="25">
        <v>1</v>
      </c>
      <c r="BC607" s="25"/>
      <c r="BD607" s="66"/>
      <c r="BE607" s="67">
        <f t="shared" si="185"/>
        <v>10804741</v>
      </c>
      <c r="BF607" s="67">
        <f t="shared" ref="BF607:BF666" si="193">+$AM607*BC607</f>
        <v>0</v>
      </c>
      <c r="BG607" s="67">
        <f t="shared" si="182"/>
        <v>0</v>
      </c>
      <c r="BH607" s="67"/>
      <c r="BI607" s="19" t="str">
        <f t="shared" si="187"/>
        <v>BG</v>
      </c>
      <c r="BJ607" s="68" t="s">
        <v>1930</v>
      </c>
      <c r="BK607" s="68" t="s">
        <v>1930</v>
      </c>
    </row>
    <row r="608" spans="3:63" ht="15" customHeight="1">
      <c r="C608" s="1" t="str">
        <f t="shared" si="178"/>
        <v>3312</v>
      </c>
      <c r="D608" s="1" t="str">
        <f t="shared" si="179"/>
        <v>2401</v>
      </c>
      <c r="E608" s="19" t="s">
        <v>1895</v>
      </c>
      <c r="F608" s="19" t="s">
        <v>1896</v>
      </c>
      <c r="G608" s="62">
        <v>2112</v>
      </c>
      <c r="H608" s="19" t="s">
        <v>1909</v>
      </c>
      <c r="I608" s="19" t="s">
        <v>1793</v>
      </c>
      <c r="J608" s="86">
        <v>1</v>
      </c>
      <c r="K608" s="19" t="s">
        <v>1737</v>
      </c>
      <c r="L608" s="157" t="s">
        <v>1716</v>
      </c>
      <c r="M608" s="98" t="s">
        <v>1903</v>
      </c>
      <c r="N608" s="101">
        <v>45188</v>
      </c>
      <c r="O608" s="103">
        <v>53083.68</v>
      </c>
      <c r="P608" s="103">
        <v>24240</v>
      </c>
      <c r="Q608" s="73">
        <f t="shared" si="188"/>
        <v>1286748403</v>
      </c>
      <c r="R608" s="70"/>
      <c r="S608" s="19"/>
      <c r="T608" s="159">
        <v>9820514</v>
      </c>
      <c r="U608" s="19"/>
      <c r="V608" s="74">
        <v>1296568917</v>
      </c>
      <c r="W608" s="75"/>
      <c r="X608" s="64">
        <v>1296568917</v>
      </c>
      <c r="Y608" s="19"/>
      <c r="Z608" s="19"/>
      <c r="AA608" s="128"/>
      <c r="AB608" s="19"/>
      <c r="AC608" s="64">
        <v>1296568917</v>
      </c>
      <c r="AD608" s="63">
        <v>45292</v>
      </c>
      <c r="AE608" s="65">
        <v>48944</v>
      </c>
      <c r="AF608" s="19">
        <v>10</v>
      </c>
      <c r="AG608" s="19">
        <v>120</v>
      </c>
      <c r="AH608" s="25">
        <v>10804741</v>
      </c>
      <c r="AI608" s="92"/>
      <c r="AJ608" s="92"/>
      <c r="AK608" s="27">
        <f t="shared" si="180"/>
        <v>10804741</v>
      </c>
      <c r="AL608" s="27">
        <f t="shared" si="183"/>
        <v>10804741</v>
      </c>
      <c r="AM608" s="27">
        <f t="shared" si="183"/>
        <v>10804741</v>
      </c>
      <c r="AN608" s="27">
        <f t="shared" si="189"/>
        <v>10804741</v>
      </c>
      <c r="AO608" s="27">
        <f t="shared" si="190"/>
        <v>10804741</v>
      </c>
      <c r="AP608" s="27">
        <f t="shared" si="190"/>
        <v>10804741</v>
      </c>
      <c r="AQ608" s="27">
        <f t="shared" si="191"/>
        <v>10804741</v>
      </c>
      <c r="AR608" s="27">
        <f t="shared" si="192"/>
        <v>10804741</v>
      </c>
      <c r="AS608" s="27"/>
      <c r="AT608" s="27"/>
      <c r="AU608" s="27"/>
      <c r="AV608" s="27"/>
      <c r="AW608" s="27">
        <f t="shared" si="184"/>
        <v>86437928</v>
      </c>
      <c r="AX608" s="79">
        <f t="shared" si="177"/>
        <v>1210130989</v>
      </c>
      <c r="AY608" s="79">
        <f t="shared" si="181"/>
        <v>86437928</v>
      </c>
      <c r="AZ608" s="25">
        <f t="shared" si="186"/>
        <v>1</v>
      </c>
      <c r="BA608" s="62"/>
      <c r="BB608" s="25">
        <v>1</v>
      </c>
      <c r="BC608" s="25"/>
      <c r="BD608" s="66"/>
      <c r="BE608" s="67">
        <f t="shared" si="185"/>
        <v>10804741</v>
      </c>
      <c r="BF608" s="67">
        <f t="shared" si="193"/>
        <v>0</v>
      </c>
      <c r="BG608" s="67">
        <f t="shared" si="182"/>
        <v>0</v>
      </c>
      <c r="BH608" s="67"/>
      <c r="BI608" s="19" t="str">
        <f t="shared" si="187"/>
        <v>BG</v>
      </c>
      <c r="BJ608" s="68" t="s">
        <v>1930</v>
      </c>
      <c r="BK608" s="68" t="s">
        <v>1930</v>
      </c>
    </row>
    <row r="609" spans="1:63" ht="15" customHeight="1">
      <c r="C609" s="1" t="str">
        <f t="shared" si="178"/>
        <v>3312</v>
      </c>
      <c r="D609" s="1" t="str">
        <f t="shared" si="179"/>
        <v>2401</v>
      </c>
      <c r="E609" s="19" t="s">
        <v>1895</v>
      </c>
      <c r="F609" s="19" t="s">
        <v>1896</v>
      </c>
      <c r="G609" s="62">
        <v>2112</v>
      </c>
      <c r="H609" s="19" t="s">
        <v>1910</v>
      </c>
      <c r="I609" s="19" t="s">
        <v>1793</v>
      </c>
      <c r="J609" s="86">
        <v>1</v>
      </c>
      <c r="K609" s="19" t="s">
        <v>1737</v>
      </c>
      <c r="L609" s="157" t="s">
        <v>1716</v>
      </c>
      <c r="M609" s="98" t="s">
        <v>1903</v>
      </c>
      <c r="N609" s="101">
        <v>45188</v>
      </c>
      <c r="O609" s="103">
        <v>52234.57</v>
      </c>
      <c r="P609" s="103">
        <v>24240</v>
      </c>
      <c r="Q609" s="73">
        <f t="shared" si="188"/>
        <v>1266165977</v>
      </c>
      <c r="R609" s="70"/>
      <c r="S609" s="19"/>
      <c r="T609" s="159">
        <v>9663427</v>
      </c>
      <c r="U609" s="19"/>
      <c r="V609" s="74">
        <v>1275829404</v>
      </c>
      <c r="W609" s="75"/>
      <c r="X609" s="64">
        <v>1275829404</v>
      </c>
      <c r="Y609" s="19"/>
      <c r="Z609" s="19"/>
      <c r="AA609" s="128"/>
      <c r="AB609" s="19"/>
      <c r="AC609" s="64">
        <v>1275829404</v>
      </c>
      <c r="AD609" s="63">
        <v>45292</v>
      </c>
      <c r="AE609" s="65">
        <v>48944</v>
      </c>
      <c r="AF609" s="19">
        <v>10</v>
      </c>
      <c r="AG609" s="19">
        <v>120</v>
      </c>
      <c r="AH609" s="25">
        <v>10631912</v>
      </c>
      <c r="AI609" s="92"/>
      <c r="AJ609" s="92"/>
      <c r="AK609" s="27">
        <f t="shared" si="180"/>
        <v>10631912</v>
      </c>
      <c r="AL609" s="27">
        <f t="shared" si="183"/>
        <v>10631912</v>
      </c>
      <c r="AM609" s="27">
        <f t="shared" si="183"/>
        <v>10631912</v>
      </c>
      <c r="AN609" s="27">
        <f t="shared" si="189"/>
        <v>10631912</v>
      </c>
      <c r="AO609" s="27">
        <f t="shared" si="190"/>
        <v>10631912</v>
      </c>
      <c r="AP609" s="27">
        <f t="shared" si="190"/>
        <v>10631912</v>
      </c>
      <c r="AQ609" s="27">
        <f t="shared" si="191"/>
        <v>10631912</v>
      </c>
      <c r="AR609" s="27">
        <f t="shared" si="192"/>
        <v>10631912</v>
      </c>
      <c r="AS609" s="27"/>
      <c r="AT609" s="27"/>
      <c r="AU609" s="27"/>
      <c r="AV609" s="27"/>
      <c r="AW609" s="27">
        <f t="shared" si="184"/>
        <v>85055296</v>
      </c>
      <c r="AX609" s="79">
        <f t="shared" si="177"/>
        <v>1190774108</v>
      </c>
      <c r="AY609" s="79">
        <f t="shared" si="181"/>
        <v>85055296</v>
      </c>
      <c r="AZ609" s="25">
        <f t="shared" si="186"/>
        <v>1</v>
      </c>
      <c r="BA609" s="62"/>
      <c r="BB609" s="25">
        <v>1</v>
      </c>
      <c r="BC609" s="25"/>
      <c r="BD609" s="66"/>
      <c r="BE609" s="67">
        <f t="shared" si="185"/>
        <v>10631912</v>
      </c>
      <c r="BF609" s="67">
        <f t="shared" si="193"/>
        <v>0</v>
      </c>
      <c r="BG609" s="67">
        <f t="shared" si="182"/>
        <v>0</v>
      </c>
      <c r="BH609" s="67"/>
      <c r="BI609" s="19" t="str">
        <f t="shared" si="187"/>
        <v>BG</v>
      </c>
      <c r="BJ609" s="68" t="s">
        <v>1930</v>
      </c>
      <c r="BK609" s="68" t="s">
        <v>1930</v>
      </c>
    </row>
    <row r="610" spans="1:63" ht="15" customHeight="1">
      <c r="C610" s="1" t="str">
        <f t="shared" si="178"/>
        <v>3312</v>
      </c>
      <c r="D610" s="1" t="str">
        <f t="shared" si="179"/>
        <v>2401</v>
      </c>
      <c r="E610" s="19" t="s">
        <v>1895</v>
      </c>
      <c r="F610" s="19" t="s">
        <v>1896</v>
      </c>
      <c r="G610" s="62">
        <v>2112</v>
      </c>
      <c r="H610" s="19" t="s">
        <v>1911</v>
      </c>
      <c r="I610" s="19" t="s">
        <v>1793</v>
      </c>
      <c r="J610" s="86">
        <v>1</v>
      </c>
      <c r="K610" s="19" t="s">
        <v>1737</v>
      </c>
      <c r="L610" s="157" t="s">
        <v>1716</v>
      </c>
      <c r="M610" s="98" t="s">
        <v>1903</v>
      </c>
      <c r="N610" s="101">
        <v>45188</v>
      </c>
      <c r="O610" s="103">
        <v>52234.57</v>
      </c>
      <c r="P610" s="103">
        <v>24240</v>
      </c>
      <c r="Q610" s="73">
        <f t="shared" si="188"/>
        <v>1266165977</v>
      </c>
      <c r="R610" s="70"/>
      <c r="S610" s="19"/>
      <c r="T610" s="159">
        <v>9663427</v>
      </c>
      <c r="U610" s="19"/>
      <c r="V610" s="74">
        <v>1275829404</v>
      </c>
      <c r="W610" s="75"/>
      <c r="X610" s="64">
        <v>1275829404</v>
      </c>
      <c r="Y610" s="19"/>
      <c r="Z610" s="19"/>
      <c r="AA610" s="128"/>
      <c r="AB610" s="19"/>
      <c r="AC610" s="64">
        <v>1275829404</v>
      </c>
      <c r="AD610" s="63">
        <v>45292</v>
      </c>
      <c r="AE610" s="65">
        <v>48944</v>
      </c>
      <c r="AF610" s="19">
        <v>10</v>
      </c>
      <c r="AG610" s="19">
        <v>120</v>
      </c>
      <c r="AH610" s="25">
        <v>10631912</v>
      </c>
      <c r="AI610" s="92"/>
      <c r="AJ610" s="92"/>
      <c r="AK610" s="27">
        <f t="shared" si="180"/>
        <v>10631912</v>
      </c>
      <c r="AL610" s="27">
        <f t="shared" si="183"/>
        <v>10631912</v>
      </c>
      <c r="AM610" s="27">
        <f t="shared" si="183"/>
        <v>10631912</v>
      </c>
      <c r="AN610" s="27">
        <f t="shared" si="189"/>
        <v>10631912</v>
      </c>
      <c r="AO610" s="27">
        <f t="shared" si="190"/>
        <v>10631912</v>
      </c>
      <c r="AP610" s="27">
        <f t="shared" si="190"/>
        <v>10631912</v>
      </c>
      <c r="AQ610" s="27">
        <f t="shared" si="191"/>
        <v>10631912</v>
      </c>
      <c r="AR610" s="27">
        <f t="shared" si="192"/>
        <v>10631912</v>
      </c>
      <c r="AS610" s="27"/>
      <c r="AT610" s="27"/>
      <c r="AU610" s="27"/>
      <c r="AV610" s="27"/>
      <c r="AW610" s="27">
        <f t="shared" si="184"/>
        <v>85055296</v>
      </c>
      <c r="AX610" s="79">
        <f t="shared" si="177"/>
        <v>1190774108</v>
      </c>
      <c r="AY610" s="79">
        <f t="shared" si="181"/>
        <v>85055296</v>
      </c>
      <c r="AZ610" s="25">
        <f t="shared" si="186"/>
        <v>1</v>
      </c>
      <c r="BA610" s="62"/>
      <c r="BB610" s="25">
        <v>1</v>
      </c>
      <c r="BC610" s="25"/>
      <c r="BD610" s="66"/>
      <c r="BE610" s="67">
        <f t="shared" si="185"/>
        <v>10631912</v>
      </c>
      <c r="BF610" s="67">
        <f t="shared" si="193"/>
        <v>0</v>
      </c>
      <c r="BG610" s="67">
        <f t="shared" si="182"/>
        <v>0</v>
      </c>
      <c r="BH610" s="67"/>
      <c r="BI610" s="19" t="str">
        <f t="shared" si="187"/>
        <v>BG</v>
      </c>
      <c r="BJ610" s="68" t="s">
        <v>1930</v>
      </c>
      <c r="BK610" s="68" t="s">
        <v>1930</v>
      </c>
    </row>
    <row r="611" spans="1:63" ht="15" customHeight="1">
      <c r="C611" s="1" t="str">
        <f t="shared" si="178"/>
        <v>3312</v>
      </c>
      <c r="D611" s="1" t="str">
        <f t="shared" si="179"/>
        <v>2401</v>
      </c>
      <c r="E611" s="19" t="s">
        <v>1895</v>
      </c>
      <c r="F611" s="19" t="s">
        <v>1896</v>
      </c>
      <c r="G611" s="62">
        <v>2112</v>
      </c>
      <c r="H611" s="19" t="s">
        <v>1912</v>
      </c>
      <c r="I611" s="19" t="s">
        <v>2052</v>
      </c>
      <c r="J611" s="86">
        <v>1</v>
      </c>
      <c r="K611" s="19" t="s">
        <v>1737</v>
      </c>
      <c r="L611" s="157" t="s">
        <v>1716</v>
      </c>
      <c r="M611" s="98" t="s">
        <v>1903</v>
      </c>
      <c r="N611" s="101">
        <v>45188</v>
      </c>
      <c r="O611" s="103">
        <v>56739.09</v>
      </c>
      <c r="P611" s="103">
        <v>24240</v>
      </c>
      <c r="Q611" s="73">
        <f t="shared" si="188"/>
        <v>1375355542</v>
      </c>
      <c r="R611" s="70"/>
      <c r="S611" s="19"/>
      <c r="T611" s="159">
        <v>10496767</v>
      </c>
      <c r="U611" s="19"/>
      <c r="V611" s="74">
        <v>1385852309</v>
      </c>
      <c r="W611" s="75"/>
      <c r="X611" s="64">
        <v>1385852309</v>
      </c>
      <c r="Y611" s="19"/>
      <c r="Z611" s="19"/>
      <c r="AA611" s="128"/>
      <c r="AB611" s="19"/>
      <c r="AC611" s="64">
        <v>1385852309</v>
      </c>
      <c r="AD611" s="63">
        <v>45292</v>
      </c>
      <c r="AE611" s="65">
        <v>48944</v>
      </c>
      <c r="AF611" s="19">
        <v>10</v>
      </c>
      <c r="AG611" s="19">
        <v>120</v>
      </c>
      <c r="AH611" s="25">
        <v>11548769</v>
      </c>
      <c r="AI611" s="92"/>
      <c r="AJ611" s="92"/>
      <c r="AK611" s="27">
        <f t="shared" si="180"/>
        <v>11548769</v>
      </c>
      <c r="AL611" s="27">
        <f t="shared" si="183"/>
        <v>11548769</v>
      </c>
      <c r="AM611" s="27">
        <f t="shared" si="183"/>
        <v>11548769</v>
      </c>
      <c r="AN611" s="27">
        <f t="shared" si="189"/>
        <v>11548769</v>
      </c>
      <c r="AO611" s="27">
        <f t="shared" si="190"/>
        <v>11548769</v>
      </c>
      <c r="AP611" s="27">
        <f t="shared" si="190"/>
        <v>11548769</v>
      </c>
      <c r="AQ611" s="27">
        <f t="shared" si="191"/>
        <v>11548769</v>
      </c>
      <c r="AR611" s="27">
        <f t="shared" si="192"/>
        <v>11548769</v>
      </c>
      <c r="AS611" s="27"/>
      <c r="AT611" s="27"/>
      <c r="AU611" s="27"/>
      <c r="AV611" s="27"/>
      <c r="AW611" s="27">
        <f t="shared" si="184"/>
        <v>92390152</v>
      </c>
      <c r="AX611" s="79">
        <f t="shared" si="177"/>
        <v>1293462157</v>
      </c>
      <c r="AY611" s="79">
        <f t="shared" si="181"/>
        <v>92390152</v>
      </c>
      <c r="AZ611" s="25">
        <f t="shared" si="186"/>
        <v>1</v>
      </c>
      <c r="BA611" s="62"/>
      <c r="BB611" s="25">
        <v>1</v>
      </c>
      <c r="BC611" s="25"/>
      <c r="BD611" s="66"/>
      <c r="BE611" s="67">
        <f t="shared" si="185"/>
        <v>11548769</v>
      </c>
      <c r="BF611" s="67">
        <f t="shared" si="193"/>
        <v>0</v>
      </c>
      <c r="BG611" s="67">
        <f t="shared" si="182"/>
        <v>0</v>
      </c>
      <c r="BH611" s="67"/>
      <c r="BI611" s="19" t="str">
        <f t="shared" si="187"/>
        <v>BG</v>
      </c>
      <c r="BJ611" s="68" t="s">
        <v>1930</v>
      </c>
      <c r="BK611" s="68" t="s">
        <v>1930</v>
      </c>
    </row>
    <row r="612" spans="1:63" ht="15" customHeight="1">
      <c r="C612" s="1" t="str">
        <f t="shared" si="178"/>
        <v>3312</v>
      </c>
      <c r="D612" s="1" t="str">
        <f t="shared" si="179"/>
        <v>2401</v>
      </c>
      <c r="E612" s="19" t="s">
        <v>1895</v>
      </c>
      <c r="F612" s="19" t="s">
        <v>1896</v>
      </c>
      <c r="G612" s="62">
        <v>2112</v>
      </c>
      <c r="H612" s="19" t="s">
        <v>1913</v>
      </c>
      <c r="I612" s="19" t="s">
        <v>1793</v>
      </c>
      <c r="J612" s="86">
        <v>1</v>
      </c>
      <c r="K612" s="19" t="s">
        <v>1737</v>
      </c>
      <c r="L612" s="157" t="s">
        <v>1716</v>
      </c>
      <c r="M612" s="98" t="s">
        <v>1903</v>
      </c>
      <c r="N612" s="101">
        <v>45188</v>
      </c>
      <c r="O612" s="103">
        <v>71963.09</v>
      </c>
      <c r="P612" s="103">
        <v>24240</v>
      </c>
      <c r="Q612" s="73">
        <f t="shared" si="188"/>
        <v>1744385302</v>
      </c>
      <c r="R612" s="70"/>
      <c r="S612" s="19"/>
      <c r="T612" s="159">
        <v>13313218</v>
      </c>
      <c r="U612" s="19"/>
      <c r="V612" s="74">
        <v>1757698520</v>
      </c>
      <c r="W612" s="75"/>
      <c r="X612" s="64">
        <v>1757698520</v>
      </c>
      <c r="Y612" s="19"/>
      <c r="Z612" s="19"/>
      <c r="AA612" s="128"/>
      <c r="AB612" s="19"/>
      <c r="AC612" s="64">
        <v>1757698520</v>
      </c>
      <c r="AD612" s="63">
        <v>45292</v>
      </c>
      <c r="AE612" s="65">
        <v>48944</v>
      </c>
      <c r="AF612" s="19">
        <v>10</v>
      </c>
      <c r="AG612" s="19">
        <v>120</v>
      </c>
      <c r="AH612" s="25">
        <v>14647488</v>
      </c>
      <c r="AI612" s="92"/>
      <c r="AJ612" s="92"/>
      <c r="AK612" s="27">
        <f t="shared" si="180"/>
        <v>14647488</v>
      </c>
      <c r="AL612" s="27">
        <f t="shared" si="183"/>
        <v>14647488</v>
      </c>
      <c r="AM612" s="27">
        <f t="shared" si="183"/>
        <v>14647488</v>
      </c>
      <c r="AN612" s="27">
        <f t="shared" si="189"/>
        <v>14647488</v>
      </c>
      <c r="AO612" s="27">
        <f t="shared" si="190"/>
        <v>14647488</v>
      </c>
      <c r="AP612" s="27">
        <f t="shared" si="190"/>
        <v>14647488</v>
      </c>
      <c r="AQ612" s="27">
        <f t="shared" si="191"/>
        <v>14647488</v>
      </c>
      <c r="AR612" s="27">
        <f t="shared" si="192"/>
        <v>14647488</v>
      </c>
      <c r="AS612" s="27"/>
      <c r="AT612" s="27"/>
      <c r="AU612" s="27"/>
      <c r="AV612" s="27"/>
      <c r="AW612" s="27">
        <f t="shared" si="184"/>
        <v>117179904</v>
      </c>
      <c r="AX612" s="79">
        <f t="shared" si="177"/>
        <v>1640518616</v>
      </c>
      <c r="AY612" s="79">
        <f t="shared" si="181"/>
        <v>117179904</v>
      </c>
      <c r="AZ612" s="25">
        <f t="shared" si="186"/>
        <v>1</v>
      </c>
      <c r="BA612" s="62"/>
      <c r="BB612" s="25">
        <v>1</v>
      </c>
      <c r="BC612" s="25"/>
      <c r="BD612" s="66"/>
      <c r="BE612" s="67">
        <f t="shared" si="185"/>
        <v>14647488</v>
      </c>
      <c r="BF612" s="67">
        <f t="shared" si="193"/>
        <v>0</v>
      </c>
      <c r="BG612" s="67">
        <f t="shared" si="182"/>
        <v>0</v>
      </c>
      <c r="BH612" s="67"/>
      <c r="BI612" s="19" t="str">
        <f t="shared" si="187"/>
        <v>BG</v>
      </c>
      <c r="BJ612" s="68" t="s">
        <v>1930</v>
      </c>
      <c r="BK612" s="68" t="s">
        <v>1930</v>
      </c>
    </row>
    <row r="613" spans="1:63" ht="15" customHeight="1">
      <c r="C613" s="1" t="str">
        <f t="shared" si="178"/>
        <v>3312</v>
      </c>
      <c r="D613" s="1" t="str">
        <f t="shared" si="179"/>
        <v>2401</v>
      </c>
      <c r="E613" s="19" t="s">
        <v>1895</v>
      </c>
      <c r="F613" s="19" t="s">
        <v>1896</v>
      </c>
      <c r="G613" s="62">
        <v>2112</v>
      </c>
      <c r="H613" s="19" t="s">
        <v>1914</v>
      </c>
      <c r="I613" s="156" t="s">
        <v>1794</v>
      </c>
      <c r="J613" s="86">
        <v>1</v>
      </c>
      <c r="K613" s="19" t="s">
        <v>1737</v>
      </c>
      <c r="L613" s="160" t="s">
        <v>1784</v>
      </c>
      <c r="M613" s="98" t="s">
        <v>1915</v>
      </c>
      <c r="N613" s="101">
        <v>45188</v>
      </c>
      <c r="O613" s="103">
        <v>265000</v>
      </c>
      <c r="P613" s="103">
        <v>24122</v>
      </c>
      <c r="Q613" s="73">
        <f t="shared" si="188"/>
        <v>6392330000</v>
      </c>
      <c r="R613" s="70"/>
      <c r="S613" s="19"/>
      <c r="T613" s="159">
        <v>90522650</v>
      </c>
      <c r="U613" s="19"/>
      <c r="V613" s="74">
        <v>6482852650</v>
      </c>
      <c r="W613" s="75"/>
      <c r="X613" s="64">
        <v>6482852650</v>
      </c>
      <c r="Y613" s="19"/>
      <c r="Z613" s="19"/>
      <c r="AA613" s="128"/>
      <c r="AB613" s="19"/>
      <c r="AC613" s="64">
        <v>6482852650</v>
      </c>
      <c r="AD613" s="63">
        <v>45292</v>
      </c>
      <c r="AE613" s="65">
        <v>48944</v>
      </c>
      <c r="AF613" s="19">
        <v>10</v>
      </c>
      <c r="AG613" s="19">
        <v>120</v>
      </c>
      <c r="AH613" s="25">
        <v>54023772</v>
      </c>
      <c r="AI613" s="92"/>
      <c r="AJ613" s="92"/>
      <c r="AK613" s="27">
        <f t="shared" si="180"/>
        <v>54023772</v>
      </c>
      <c r="AL613" s="27">
        <f t="shared" si="183"/>
        <v>54023772</v>
      </c>
      <c r="AM613" s="27">
        <f t="shared" si="183"/>
        <v>54023772</v>
      </c>
      <c r="AN613" s="27">
        <f t="shared" si="189"/>
        <v>54023772</v>
      </c>
      <c r="AO613" s="27">
        <f t="shared" si="190"/>
        <v>54023772</v>
      </c>
      <c r="AP613" s="27">
        <f t="shared" si="190"/>
        <v>54023772</v>
      </c>
      <c r="AQ613" s="27">
        <f t="shared" si="191"/>
        <v>54023772</v>
      </c>
      <c r="AR613" s="27">
        <f t="shared" si="192"/>
        <v>54023772</v>
      </c>
      <c r="AS613" s="27"/>
      <c r="AT613" s="27"/>
      <c r="AU613" s="27"/>
      <c r="AV613" s="27"/>
      <c r="AW613" s="27">
        <f t="shared" si="184"/>
        <v>432190176</v>
      </c>
      <c r="AX613" s="79">
        <f t="shared" si="177"/>
        <v>6050662474</v>
      </c>
      <c r="AY613" s="79">
        <f t="shared" si="181"/>
        <v>432190176</v>
      </c>
      <c r="AZ613" s="25">
        <f t="shared" si="186"/>
        <v>1</v>
      </c>
      <c r="BA613" s="62"/>
      <c r="BB613" s="25">
        <v>1</v>
      </c>
      <c r="BC613" s="25"/>
      <c r="BD613" s="66"/>
      <c r="BE613" s="67">
        <f t="shared" si="185"/>
        <v>54023772</v>
      </c>
      <c r="BF613" s="67">
        <f t="shared" si="193"/>
        <v>0</v>
      </c>
      <c r="BG613" s="67">
        <f t="shared" si="182"/>
        <v>0</v>
      </c>
      <c r="BH613" s="67"/>
      <c r="BI613" s="19" t="str">
        <f t="shared" si="187"/>
        <v>BG</v>
      </c>
      <c r="BJ613" s="68" t="s">
        <v>1929</v>
      </c>
      <c r="BK613" s="68" t="s">
        <v>1989</v>
      </c>
    </row>
    <row r="614" spans="1:63" ht="15" customHeight="1">
      <c r="C614" s="1" t="str">
        <f t="shared" si="178"/>
        <v>3312</v>
      </c>
      <c r="D614" s="1" t="str">
        <f t="shared" si="179"/>
        <v>2401</v>
      </c>
      <c r="E614" s="19" t="s">
        <v>1895</v>
      </c>
      <c r="F614" s="19" t="s">
        <v>1896</v>
      </c>
      <c r="G614" s="62">
        <v>2112</v>
      </c>
      <c r="H614" s="19" t="s">
        <v>1916</v>
      </c>
      <c r="I614" s="156" t="s">
        <v>1795</v>
      </c>
      <c r="J614" s="86">
        <v>1</v>
      </c>
      <c r="K614" s="19" t="s">
        <v>1737</v>
      </c>
      <c r="L614" s="157" t="s">
        <v>1716</v>
      </c>
      <c r="M614" s="98" t="s">
        <v>1921</v>
      </c>
      <c r="N614" s="101">
        <v>45189</v>
      </c>
      <c r="O614" s="103">
        <v>124848.35</v>
      </c>
      <c r="P614" s="103">
        <v>24225</v>
      </c>
      <c r="Q614" s="73">
        <f t="shared" si="188"/>
        <v>3024451279</v>
      </c>
      <c r="R614" s="70"/>
      <c r="S614" s="19"/>
      <c r="T614" s="159">
        <v>11832464</v>
      </c>
      <c r="U614" s="19"/>
      <c r="V614" s="74">
        <v>3036283743</v>
      </c>
      <c r="W614" s="75"/>
      <c r="X614" s="64">
        <v>3036283743</v>
      </c>
      <c r="Y614" s="19"/>
      <c r="Z614" s="19"/>
      <c r="AA614" s="128"/>
      <c r="AB614" s="19"/>
      <c r="AC614" s="64">
        <v>3036283743</v>
      </c>
      <c r="AD614" s="63">
        <v>45292</v>
      </c>
      <c r="AE614" s="65">
        <v>48944</v>
      </c>
      <c r="AF614" s="19">
        <v>10</v>
      </c>
      <c r="AG614" s="19">
        <v>120</v>
      </c>
      <c r="AH614" s="25">
        <v>25302365</v>
      </c>
      <c r="AI614" s="92"/>
      <c r="AJ614" s="92"/>
      <c r="AK614" s="27">
        <f t="shared" si="180"/>
        <v>25302365</v>
      </c>
      <c r="AL614" s="27">
        <f t="shared" si="183"/>
        <v>25302365</v>
      </c>
      <c r="AM614" s="27">
        <f t="shared" si="183"/>
        <v>25302365</v>
      </c>
      <c r="AN614" s="27">
        <f t="shared" si="189"/>
        <v>25302365</v>
      </c>
      <c r="AO614" s="27">
        <f t="shared" si="190"/>
        <v>25302365</v>
      </c>
      <c r="AP614" s="27">
        <f t="shared" si="190"/>
        <v>25302365</v>
      </c>
      <c r="AQ614" s="27">
        <f t="shared" si="191"/>
        <v>25302365</v>
      </c>
      <c r="AR614" s="27">
        <f t="shared" si="192"/>
        <v>25302365</v>
      </c>
      <c r="AS614" s="27"/>
      <c r="AT614" s="27"/>
      <c r="AU614" s="27"/>
      <c r="AV614" s="27"/>
      <c r="AW614" s="27">
        <f t="shared" si="184"/>
        <v>202418920</v>
      </c>
      <c r="AX614" s="79">
        <f t="shared" si="177"/>
        <v>2833864823</v>
      </c>
      <c r="AY614" s="79">
        <f t="shared" si="181"/>
        <v>202418920</v>
      </c>
      <c r="AZ614" s="25">
        <f t="shared" si="186"/>
        <v>1</v>
      </c>
      <c r="BA614" s="62"/>
      <c r="BB614" s="25">
        <v>1</v>
      </c>
      <c r="BC614" s="25"/>
      <c r="BD614" s="66"/>
      <c r="BE614" s="67">
        <f t="shared" si="185"/>
        <v>25302365</v>
      </c>
      <c r="BF614" s="67">
        <f t="shared" si="193"/>
        <v>0</v>
      </c>
      <c r="BG614" s="67">
        <f t="shared" si="182"/>
        <v>0</v>
      </c>
      <c r="BH614" s="67"/>
      <c r="BI614" s="19" t="str">
        <f t="shared" si="187"/>
        <v>BG</v>
      </c>
      <c r="BJ614" s="68" t="s">
        <v>1980</v>
      </c>
      <c r="BK614" s="68" t="s">
        <v>1980</v>
      </c>
    </row>
    <row r="615" spans="1:63" ht="15" customHeight="1">
      <c r="C615" s="1" t="str">
        <f t="shared" si="178"/>
        <v>3312</v>
      </c>
      <c r="D615" s="1" t="str">
        <f t="shared" si="179"/>
        <v>2401</v>
      </c>
      <c r="E615" s="19" t="s">
        <v>1895</v>
      </c>
      <c r="F615" s="19" t="s">
        <v>1896</v>
      </c>
      <c r="G615" s="62">
        <v>2112</v>
      </c>
      <c r="H615" s="19" t="s">
        <v>1917</v>
      </c>
      <c r="I615" s="156" t="s">
        <v>1795</v>
      </c>
      <c r="J615" s="86">
        <v>1</v>
      </c>
      <c r="K615" s="19" t="s">
        <v>1737</v>
      </c>
      <c r="L615" s="157" t="s">
        <v>1716</v>
      </c>
      <c r="M615" s="98" t="s">
        <v>1921</v>
      </c>
      <c r="N615" s="101">
        <v>45189</v>
      </c>
      <c r="O615" s="103">
        <v>155313.51999999999</v>
      </c>
      <c r="P615" s="103">
        <v>24225</v>
      </c>
      <c r="Q615" s="73">
        <f t="shared" si="188"/>
        <v>3762470022</v>
      </c>
      <c r="R615" s="70"/>
      <c r="S615" s="19"/>
      <c r="T615" s="159">
        <v>14719791</v>
      </c>
      <c r="U615" s="19"/>
      <c r="V615" s="74">
        <v>3777189813</v>
      </c>
      <c r="W615" s="75"/>
      <c r="X615" s="64">
        <v>3777189813</v>
      </c>
      <c r="Y615" s="19"/>
      <c r="Z615" s="19"/>
      <c r="AA615" s="128"/>
      <c r="AB615" s="19"/>
      <c r="AC615" s="64">
        <v>3777189813</v>
      </c>
      <c r="AD615" s="63">
        <v>45292</v>
      </c>
      <c r="AE615" s="65">
        <v>48944</v>
      </c>
      <c r="AF615" s="19">
        <v>10</v>
      </c>
      <c r="AG615" s="19">
        <v>120</v>
      </c>
      <c r="AH615" s="25">
        <v>31476582</v>
      </c>
      <c r="AI615" s="92"/>
      <c r="AJ615" s="92"/>
      <c r="AK615" s="27">
        <f t="shared" si="180"/>
        <v>31476582</v>
      </c>
      <c r="AL615" s="27">
        <f t="shared" si="183"/>
        <v>31476582</v>
      </c>
      <c r="AM615" s="27">
        <f t="shared" si="183"/>
        <v>31476582</v>
      </c>
      <c r="AN615" s="27">
        <f t="shared" si="189"/>
        <v>31476582</v>
      </c>
      <c r="AO615" s="27">
        <f t="shared" si="190"/>
        <v>31476582</v>
      </c>
      <c r="AP615" s="27">
        <f t="shared" si="190"/>
        <v>31476582</v>
      </c>
      <c r="AQ615" s="27">
        <f t="shared" si="191"/>
        <v>31476582</v>
      </c>
      <c r="AR615" s="27">
        <f t="shared" si="192"/>
        <v>31476582</v>
      </c>
      <c r="AS615" s="27"/>
      <c r="AT615" s="27"/>
      <c r="AU615" s="27"/>
      <c r="AV615" s="27"/>
      <c r="AW615" s="27">
        <f t="shared" si="184"/>
        <v>251812656</v>
      </c>
      <c r="AX615" s="79">
        <f t="shared" si="177"/>
        <v>3525377157</v>
      </c>
      <c r="AY615" s="79">
        <f t="shared" si="181"/>
        <v>251812656</v>
      </c>
      <c r="AZ615" s="25">
        <f t="shared" si="186"/>
        <v>1</v>
      </c>
      <c r="BA615" s="62"/>
      <c r="BB615" s="25">
        <v>1</v>
      </c>
      <c r="BC615" s="25"/>
      <c r="BD615" s="66"/>
      <c r="BE615" s="67">
        <f t="shared" si="185"/>
        <v>31476582</v>
      </c>
      <c r="BF615" s="67">
        <f t="shared" si="193"/>
        <v>0</v>
      </c>
      <c r="BG615" s="67">
        <f t="shared" si="182"/>
        <v>0</v>
      </c>
      <c r="BH615" s="67"/>
      <c r="BI615" s="19" t="str">
        <f t="shared" si="187"/>
        <v>BG</v>
      </c>
      <c r="BJ615" s="68" t="s">
        <v>1980</v>
      </c>
      <c r="BK615" s="68" t="s">
        <v>1980</v>
      </c>
    </row>
    <row r="616" spans="1:63" ht="15" customHeight="1">
      <c r="C616" s="1" t="str">
        <f t="shared" si="178"/>
        <v>3312</v>
      </c>
      <c r="D616" s="1" t="str">
        <f t="shared" si="179"/>
        <v>2401</v>
      </c>
      <c r="E616" s="19" t="s">
        <v>1895</v>
      </c>
      <c r="F616" s="19" t="s">
        <v>1896</v>
      </c>
      <c r="G616" s="62">
        <v>2112</v>
      </c>
      <c r="H616" s="19" t="s">
        <v>1918</v>
      </c>
      <c r="I616" s="156" t="s">
        <v>2051</v>
      </c>
      <c r="J616" s="86">
        <v>1</v>
      </c>
      <c r="K616" s="19" t="s">
        <v>1737</v>
      </c>
      <c r="L616" s="157" t="s">
        <v>1716</v>
      </c>
      <c r="M616" s="98" t="s">
        <v>1921</v>
      </c>
      <c r="N616" s="101">
        <v>45189</v>
      </c>
      <c r="O616" s="103">
        <v>168580.56</v>
      </c>
      <c r="P616" s="103">
        <v>24225</v>
      </c>
      <c r="Q616" s="73">
        <f t="shared" si="188"/>
        <v>4083864066</v>
      </c>
      <c r="R616" s="70"/>
      <c r="S616" s="19"/>
      <c r="T616" s="159">
        <v>15977172</v>
      </c>
      <c r="U616" s="19"/>
      <c r="V616" s="74">
        <v>4099841238</v>
      </c>
      <c r="W616" s="75"/>
      <c r="X616" s="64">
        <v>4099841238</v>
      </c>
      <c r="Y616" s="19"/>
      <c r="Z616" s="19"/>
      <c r="AA616" s="128"/>
      <c r="AB616" s="19"/>
      <c r="AC616" s="64">
        <v>4099841238</v>
      </c>
      <c r="AD616" s="63">
        <v>45292</v>
      </c>
      <c r="AE616" s="65">
        <v>48944</v>
      </c>
      <c r="AF616" s="19">
        <v>10</v>
      </c>
      <c r="AG616" s="19">
        <v>120</v>
      </c>
      <c r="AH616" s="25">
        <v>34165344</v>
      </c>
      <c r="AI616" s="92"/>
      <c r="AJ616" s="92"/>
      <c r="AK616" s="27">
        <f t="shared" si="180"/>
        <v>34165344</v>
      </c>
      <c r="AL616" s="27">
        <f t="shared" si="183"/>
        <v>34165344</v>
      </c>
      <c r="AM616" s="27">
        <f t="shared" si="183"/>
        <v>34165344</v>
      </c>
      <c r="AN616" s="27">
        <f t="shared" si="189"/>
        <v>34165344</v>
      </c>
      <c r="AO616" s="27">
        <f t="shared" si="190"/>
        <v>34165344</v>
      </c>
      <c r="AP616" s="27">
        <f t="shared" si="190"/>
        <v>34165344</v>
      </c>
      <c r="AQ616" s="27">
        <f t="shared" si="191"/>
        <v>34165344</v>
      </c>
      <c r="AR616" s="27">
        <f t="shared" si="192"/>
        <v>34165344</v>
      </c>
      <c r="AS616" s="27"/>
      <c r="AT616" s="27"/>
      <c r="AU616" s="27"/>
      <c r="AV616" s="27"/>
      <c r="AW616" s="27">
        <f t="shared" si="184"/>
        <v>273322752</v>
      </c>
      <c r="AX616" s="79">
        <f t="shared" si="177"/>
        <v>3826518486</v>
      </c>
      <c r="AY616" s="79">
        <f t="shared" si="181"/>
        <v>273322752</v>
      </c>
      <c r="AZ616" s="25">
        <f t="shared" si="186"/>
        <v>1</v>
      </c>
      <c r="BA616" s="62"/>
      <c r="BB616" s="25">
        <v>1</v>
      </c>
      <c r="BC616" s="25"/>
      <c r="BD616" s="66"/>
      <c r="BE616" s="67">
        <f t="shared" si="185"/>
        <v>34165344</v>
      </c>
      <c r="BF616" s="67">
        <f t="shared" si="193"/>
        <v>0</v>
      </c>
      <c r="BG616" s="67">
        <f t="shared" si="182"/>
        <v>0</v>
      </c>
      <c r="BH616" s="67"/>
      <c r="BI616" s="19" t="str">
        <f t="shared" si="187"/>
        <v>BG</v>
      </c>
      <c r="BJ616" s="68" t="s">
        <v>1980</v>
      </c>
      <c r="BK616" s="68" t="s">
        <v>1980</v>
      </c>
    </row>
    <row r="617" spans="1:63" ht="15" customHeight="1">
      <c r="C617" s="1" t="str">
        <f t="shared" si="178"/>
        <v>3312</v>
      </c>
      <c r="D617" s="1" t="str">
        <f t="shared" si="179"/>
        <v>2401</v>
      </c>
      <c r="E617" s="19" t="s">
        <v>1895</v>
      </c>
      <c r="F617" s="19" t="s">
        <v>1896</v>
      </c>
      <c r="G617" s="62">
        <v>2112</v>
      </c>
      <c r="H617" s="19" t="s">
        <v>1919</v>
      </c>
      <c r="I617" s="156" t="s">
        <v>2051</v>
      </c>
      <c r="J617" s="86">
        <v>1</v>
      </c>
      <c r="K617" s="19" t="s">
        <v>1737</v>
      </c>
      <c r="L617" s="157" t="s">
        <v>1716</v>
      </c>
      <c r="M617" s="98" t="s">
        <v>1921</v>
      </c>
      <c r="N617" s="101">
        <v>45189</v>
      </c>
      <c r="O617" s="103">
        <v>174183.39</v>
      </c>
      <c r="P617" s="103">
        <v>24225</v>
      </c>
      <c r="Q617" s="73">
        <f t="shared" si="188"/>
        <v>4219592623</v>
      </c>
      <c r="R617" s="70"/>
      <c r="S617" s="19"/>
      <c r="T617" s="159">
        <v>16508177</v>
      </c>
      <c r="U617" s="19"/>
      <c r="V617" s="74">
        <v>4236100800</v>
      </c>
      <c r="W617" s="75"/>
      <c r="X617" s="64">
        <v>4236100800</v>
      </c>
      <c r="Y617" s="19"/>
      <c r="Z617" s="19"/>
      <c r="AA617" s="128"/>
      <c r="AB617" s="19"/>
      <c r="AC617" s="64">
        <v>4236100800</v>
      </c>
      <c r="AD617" s="63">
        <v>45292</v>
      </c>
      <c r="AE617" s="65">
        <v>48944</v>
      </c>
      <c r="AF617" s="19">
        <v>10</v>
      </c>
      <c r="AG617" s="19">
        <v>120</v>
      </c>
      <c r="AH617" s="25">
        <v>35300840</v>
      </c>
      <c r="AI617" s="92"/>
      <c r="AJ617" s="92"/>
      <c r="AK617" s="27">
        <f t="shared" si="180"/>
        <v>35300840</v>
      </c>
      <c r="AL617" s="27">
        <f t="shared" si="183"/>
        <v>35300840</v>
      </c>
      <c r="AM617" s="27">
        <f t="shared" si="183"/>
        <v>35300840</v>
      </c>
      <c r="AN617" s="27">
        <f t="shared" si="189"/>
        <v>35300840</v>
      </c>
      <c r="AO617" s="27">
        <f t="shared" si="190"/>
        <v>35300840</v>
      </c>
      <c r="AP617" s="27">
        <f t="shared" si="190"/>
        <v>35300840</v>
      </c>
      <c r="AQ617" s="27">
        <f t="shared" si="191"/>
        <v>35300840</v>
      </c>
      <c r="AR617" s="27">
        <f t="shared" si="192"/>
        <v>35300840</v>
      </c>
      <c r="AS617" s="27"/>
      <c r="AT617" s="27"/>
      <c r="AU617" s="27"/>
      <c r="AV617" s="27"/>
      <c r="AW617" s="27">
        <f t="shared" si="184"/>
        <v>282406720</v>
      </c>
      <c r="AX617" s="79">
        <f t="shared" si="177"/>
        <v>3953694080</v>
      </c>
      <c r="AY617" s="79">
        <f t="shared" si="181"/>
        <v>282406720</v>
      </c>
      <c r="AZ617" s="25">
        <f t="shared" si="186"/>
        <v>1</v>
      </c>
      <c r="BA617" s="62"/>
      <c r="BB617" s="25">
        <v>1</v>
      </c>
      <c r="BC617" s="25"/>
      <c r="BD617" s="66"/>
      <c r="BE617" s="67">
        <f t="shared" si="185"/>
        <v>35300840</v>
      </c>
      <c r="BF617" s="67">
        <f t="shared" si="193"/>
        <v>0</v>
      </c>
      <c r="BG617" s="67">
        <f t="shared" si="182"/>
        <v>0</v>
      </c>
      <c r="BH617" s="67"/>
      <c r="BI617" s="19" t="str">
        <f t="shared" si="187"/>
        <v>BG</v>
      </c>
      <c r="BJ617" s="68" t="s">
        <v>1980</v>
      </c>
      <c r="BK617" s="68" t="s">
        <v>1980</v>
      </c>
    </row>
    <row r="618" spans="1:63" ht="15" customHeight="1">
      <c r="C618" s="1" t="str">
        <f t="shared" si="178"/>
        <v>3312</v>
      </c>
      <c r="D618" s="1" t="str">
        <f t="shared" si="179"/>
        <v>2401</v>
      </c>
      <c r="E618" s="19" t="s">
        <v>1895</v>
      </c>
      <c r="F618" s="19" t="s">
        <v>1896</v>
      </c>
      <c r="G618" s="62">
        <v>2112</v>
      </c>
      <c r="H618" s="19" t="s">
        <v>1920</v>
      </c>
      <c r="I618" s="156" t="s">
        <v>1796</v>
      </c>
      <c r="J618" s="86">
        <v>1</v>
      </c>
      <c r="K618" s="19" t="s">
        <v>1737</v>
      </c>
      <c r="L618" s="157" t="s">
        <v>1716</v>
      </c>
      <c r="M618" s="98" t="s">
        <v>1921</v>
      </c>
      <c r="N618" s="101">
        <v>45189</v>
      </c>
      <c r="O618" s="103">
        <v>96806.38</v>
      </c>
      <c r="P618" s="103">
        <v>24225</v>
      </c>
      <c r="Q618" s="73">
        <f t="shared" si="188"/>
        <v>2345134556</v>
      </c>
      <c r="R618" s="70"/>
      <c r="S618" s="19"/>
      <c r="T618" s="159">
        <v>9174796</v>
      </c>
      <c r="U618" s="19"/>
      <c r="V618" s="74">
        <v>2354309352</v>
      </c>
      <c r="W618" s="75"/>
      <c r="X618" s="64">
        <v>2354309352</v>
      </c>
      <c r="Y618" s="19"/>
      <c r="Z618" s="19"/>
      <c r="AA618" s="128"/>
      <c r="AB618" s="19"/>
      <c r="AC618" s="64">
        <v>2354309352</v>
      </c>
      <c r="AD618" s="63">
        <v>45292</v>
      </c>
      <c r="AE618" s="65">
        <v>48944</v>
      </c>
      <c r="AF618" s="19">
        <v>10</v>
      </c>
      <c r="AG618" s="19">
        <v>120</v>
      </c>
      <c r="AH618" s="25">
        <v>19619245</v>
      </c>
      <c r="AI618" s="92"/>
      <c r="AJ618" s="92"/>
      <c r="AK618" s="27">
        <f t="shared" si="180"/>
        <v>19619245</v>
      </c>
      <c r="AL618" s="27">
        <f t="shared" si="183"/>
        <v>19619245</v>
      </c>
      <c r="AM618" s="27">
        <f t="shared" si="183"/>
        <v>19619245</v>
      </c>
      <c r="AN618" s="27">
        <f t="shared" si="189"/>
        <v>19619245</v>
      </c>
      <c r="AO618" s="27">
        <f t="shared" si="190"/>
        <v>19619245</v>
      </c>
      <c r="AP618" s="27">
        <f t="shared" si="190"/>
        <v>19619245</v>
      </c>
      <c r="AQ618" s="27">
        <f t="shared" si="191"/>
        <v>19619245</v>
      </c>
      <c r="AR618" s="27">
        <f t="shared" si="192"/>
        <v>19619245</v>
      </c>
      <c r="AS618" s="27"/>
      <c r="AT618" s="27"/>
      <c r="AU618" s="27"/>
      <c r="AV618" s="27"/>
      <c r="AW618" s="27">
        <f t="shared" si="184"/>
        <v>156953960</v>
      </c>
      <c r="AX618" s="79">
        <f t="shared" si="177"/>
        <v>2197355392</v>
      </c>
      <c r="AY618" s="79">
        <f t="shared" si="181"/>
        <v>156953960</v>
      </c>
      <c r="AZ618" s="25">
        <f t="shared" si="186"/>
        <v>1</v>
      </c>
      <c r="BA618" s="62"/>
      <c r="BB618" s="25">
        <v>1</v>
      </c>
      <c r="BC618" s="25"/>
      <c r="BD618" s="66"/>
      <c r="BE618" s="67">
        <f t="shared" si="185"/>
        <v>19619245</v>
      </c>
      <c r="BF618" s="67">
        <f t="shared" si="193"/>
        <v>0</v>
      </c>
      <c r="BG618" s="67">
        <f t="shared" si="182"/>
        <v>0</v>
      </c>
      <c r="BH618" s="67"/>
      <c r="BI618" s="19" t="str">
        <f t="shared" si="187"/>
        <v>BG</v>
      </c>
      <c r="BJ618" s="68" t="s">
        <v>1980</v>
      </c>
      <c r="BK618" s="68" t="s">
        <v>1980</v>
      </c>
    </row>
    <row r="619" spans="1:63" ht="15" customHeight="1">
      <c r="A619" s="5">
        <v>141967593</v>
      </c>
      <c r="C619" s="1" t="str">
        <f t="shared" si="178"/>
        <v>3312</v>
      </c>
      <c r="D619" s="1" t="str">
        <f t="shared" si="179"/>
        <v>2401</v>
      </c>
      <c r="E619" s="19" t="s">
        <v>1895</v>
      </c>
      <c r="F619" s="19" t="s">
        <v>1923</v>
      </c>
      <c r="G619" s="62">
        <v>2112</v>
      </c>
      <c r="H619" s="19" t="s">
        <v>1922</v>
      </c>
      <c r="I619" s="19" t="s">
        <v>1797</v>
      </c>
      <c r="J619" s="86">
        <v>1</v>
      </c>
      <c r="K619" s="19" t="s">
        <v>1737</v>
      </c>
      <c r="L619" s="157" t="s">
        <v>1788</v>
      </c>
      <c r="M619" s="98" t="s">
        <v>1985</v>
      </c>
      <c r="N619" s="101">
        <v>45189</v>
      </c>
      <c r="O619" s="161">
        <v>506124</v>
      </c>
      <c r="P619" s="161">
        <v>24384.800000000003</v>
      </c>
      <c r="Q619" s="73">
        <f t="shared" si="188"/>
        <v>12341732515</v>
      </c>
      <c r="R619" s="70"/>
      <c r="S619" s="19"/>
      <c r="T619" s="162">
        <v>141967593</v>
      </c>
      <c r="U619" s="19"/>
      <c r="V619" s="74">
        <v>12483700108</v>
      </c>
      <c r="W619" s="75"/>
      <c r="X619" s="64">
        <v>12483700108</v>
      </c>
      <c r="Y619" s="19"/>
      <c r="Z619" s="19"/>
      <c r="AA619" s="128"/>
      <c r="AB619" s="19"/>
      <c r="AC619" s="64">
        <v>12483700108</v>
      </c>
      <c r="AD619" s="63">
        <v>45292</v>
      </c>
      <c r="AE619" s="65">
        <v>48944</v>
      </c>
      <c r="AF619" s="19">
        <v>10</v>
      </c>
      <c r="AG619" s="19">
        <v>120</v>
      </c>
      <c r="AH619" s="25">
        <v>104030834</v>
      </c>
      <c r="AI619" s="92"/>
      <c r="AJ619" s="92"/>
      <c r="AK619" s="27">
        <f t="shared" si="180"/>
        <v>104030834</v>
      </c>
      <c r="AL619" s="27">
        <f t="shared" si="183"/>
        <v>104030834</v>
      </c>
      <c r="AM619" s="27">
        <f t="shared" si="183"/>
        <v>104030834</v>
      </c>
      <c r="AN619" s="27">
        <f t="shared" si="189"/>
        <v>104030834</v>
      </c>
      <c r="AO619" s="27">
        <f t="shared" si="190"/>
        <v>104030834</v>
      </c>
      <c r="AP619" s="27">
        <f t="shared" si="190"/>
        <v>104030834</v>
      </c>
      <c r="AQ619" s="27">
        <f t="shared" si="191"/>
        <v>104030834</v>
      </c>
      <c r="AR619" s="27">
        <f t="shared" si="192"/>
        <v>104030834</v>
      </c>
      <c r="AS619" s="27"/>
      <c r="AT619" s="27"/>
      <c r="AU619" s="27"/>
      <c r="AV619" s="27"/>
      <c r="AW619" s="27">
        <f t="shared" si="184"/>
        <v>832246672</v>
      </c>
      <c r="AX619" s="79">
        <f t="shared" si="177"/>
        <v>11651453436</v>
      </c>
      <c r="AY619" s="79">
        <f t="shared" si="181"/>
        <v>832246672</v>
      </c>
      <c r="AZ619" s="25">
        <f t="shared" si="186"/>
        <v>1</v>
      </c>
      <c r="BA619" s="62"/>
      <c r="BB619" s="25">
        <v>1</v>
      </c>
      <c r="BC619" s="25"/>
      <c r="BD619" s="66"/>
      <c r="BE619" s="67">
        <f t="shared" si="185"/>
        <v>104030834</v>
      </c>
      <c r="BF619" s="67">
        <f t="shared" si="193"/>
        <v>0</v>
      </c>
      <c r="BG619" s="67">
        <f t="shared" si="182"/>
        <v>0</v>
      </c>
      <c r="BH619" s="67"/>
      <c r="BI619" s="19" t="str">
        <f t="shared" si="187"/>
        <v>BN</v>
      </c>
      <c r="BJ619" s="68" t="s">
        <v>644</v>
      </c>
      <c r="BK619" s="68" t="s">
        <v>644</v>
      </c>
    </row>
    <row r="620" spans="1:63" ht="15" customHeight="1">
      <c r="C620" s="1" t="str">
        <f t="shared" si="178"/>
        <v>2812</v>
      </c>
      <c r="D620" s="1" t="str">
        <f t="shared" si="179"/>
        <v>2401</v>
      </c>
      <c r="E620" s="19" t="s">
        <v>1895</v>
      </c>
      <c r="F620" s="19" t="s">
        <v>1896</v>
      </c>
      <c r="G620" s="62">
        <v>2114</v>
      </c>
      <c r="H620" s="19" t="s">
        <v>1924</v>
      </c>
      <c r="I620" s="156" t="s">
        <v>1789</v>
      </c>
      <c r="J620" s="86">
        <v>1</v>
      </c>
      <c r="K620" s="19" t="s">
        <v>1737</v>
      </c>
      <c r="L620" s="19" t="s">
        <v>1782</v>
      </c>
      <c r="M620" s="138" t="s">
        <v>1877</v>
      </c>
      <c r="N620" s="100">
        <v>45181</v>
      </c>
      <c r="O620" s="103">
        <v>2050</v>
      </c>
      <c r="P620" s="103">
        <v>24220</v>
      </c>
      <c r="Q620" s="73">
        <f t="shared" si="188"/>
        <v>49651000</v>
      </c>
      <c r="R620" s="70"/>
      <c r="S620" s="19"/>
      <c r="T620" s="159">
        <f>6072464/2</f>
        <v>3036232</v>
      </c>
      <c r="U620" s="19"/>
      <c r="V620" s="74">
        <v>52687232</v>
      </c>
      <c r="W620" s="75"/>
      <c r="X620" s="64">
        <v>52687232</v>
      </c>
      <c r="Y620" s="19"/>
      <c r="Z620" s="19"/>
      <c r="AA620" s="128"/>
      <c r="AB620" s="19"/>
      <c r="AC620" s="64">
        <v>52687232</v>
      </c>
      <c r="AD620" s="63">
        <v>45292</v>
      </c>
      <c r="AE620" s="65">
        <v>47118</v>
      </c>
      <c r="AF620" s="19">
        <v>5</v>
      </c>
      <c r="AG620" s="19">
        <v>60</v>
      </c>
      <c r="AH620" s="25">
        <v>878121</v>
      </c>
      <c r="AI620" s="92"/>
      <c r="AJ620" s="92"/>
      <c r="AK620" s="27">
        <f t="shared" si="180"/>
        <v>878121</v>
      </c>
      <c r="AL620" s="27">
        <f t="shared" si="183"/>
        <v>878121</v>
      </c>
      <c r="AM620" s="27">
        <f t="shared" si="183"/>
        <v>878121</v>
      </c>
      <c r="AN620" s="27">
        <f t="shared" si="189"/>
        <v>878121</v>
      </c>
      <c r="AO620" s="27">
        <f t="shared" si="190"/>
        <v>878121</v>
      </c>
      <c r="AP620" s="27">
        <f t="shared" si="190"/>
        <v>878121</v>
      </c>
      <c r="AQ620" s="27">
        <f t="shared" si="191"/>
        <v>878121</v>
      </c>
      <c r="AR620" s="27">
        <f t="shared" si="192"/>
        <v>878121</v>
      </c>
      <c r="AS620" s="27"/>
      <c r="AT620" s="27"/>
      <c r="AU620" s="27"/>
      <c r="AV620" s="27"/>
      <c r="AW620" s="27">
        <f t="shared" si="184"/>
        <v>7024968</v>
      </c>
      <c r="AX620" s="79">
        <f t="shared" si="177"/>
        <v>45662264</v>
      </c>
      <c r="AY620" s="79">
        <f t="shared" si="181"/>
        <v>7024968</v>
      </c>
      <c r="AZ620" s="25">
        <f t="shared" si="186"/>
        <v>1</v>
      </c>
      <c r="BA620" s="62"/>
      <c r="BB620" s="25">
        <v>1</v>
      </c>
      <c r="BC620" s="25"/>
      <c r="BD620" s="66"/>
      <c r="BE620" s="67">
        <f t="shared" si="185"/>
        <v>878121</v>
      </c>
      <c r="BF620" s="67">
        <f t="shared" si="193"/>
        <v>0</v>
      </c>
      <c r="BG620" s="67">
        <f t="shared" si="182"/>
        <v>0</v>
      </c>
      <c r="BH620" s="67"/>
      <c r="BI620" s="19" t="str">
        <f t="shared" si="187"/>
        <v>BG</v>
      </c>
      <c r="BJ620" s="68" t="s">
        <v>1929</v>
      </c>
      <c r="BK620" s="68" t="s">
        <v>1989</v>
      </c>
    </row>
    <row r="621" spans="1:63" ht="15" customHeight="1">
      <c r="C621" s="1" t="str">
        <f t="shared" si="178"/>
        <v>2812</v>
      </c>
      <c r="D621" s="1" t="str">
        <f t="shared" si="179"/>
        <v>2401</v>
      </c>
      <c r="E621" s="19" t="s">
        <v>1895</v>
      </c>
      <c r="F621" s="19" t="s">
        <v>1896</v>
      </c>
      <c r="G621" s="62">
        <v>2114</v>
      </c>
      <c r="H621" s="19" t="s">
        <v>1925</v>
      </c>
      <c r="I621" s="105" t="s">
        <v>1785</v>
      </c>
      <c r="J621" s="86">
        <v>1</v>
      </c>
      <c r="K621" s="19" t="s">
        <v>1737</v>
      </c>
      <c r="L621" s="157" t="s">
        <v>1145</v>
      </c>
      <c r="M621" s="98" t="s">
        <v>1928</v>
      </c>
      <c r="N621" s="101">
        <v>45195</v>
      </c>
      <c r="O621" s="103"/>
      <c r="P621" s="103"/>
      <c r="Q621" s="163">
        <v>37450000</v>
      </c>
      <c r="R621" s="70"/>
      <c r="S621" s="19"/>
      <c r="T621" s="103"/>
      <c r="U621" s="19"/>
      <c r="V621" s="74">
        <v>37450000</v>
      </c>
      <c r="W621" s="75"/>
      <c r="X621" s="64">
        <v>37450000</v>
      </c>
      <c r="Y621" s="19"/>
      <c r="Z621" s="19"/>
      <c r="AA621" s="19"/>
      <c r="AB621" s="19"/>
      <c r="AC621" s="64">
        <v>37450000</v>
      </c>
      <c r="AD621" s="63">
        <v>45292</v>
      </c>
      <c r="AE621" s="65">
        <v>47118</v>
      </c>
      <c r="AF621" s="19">
        <v>5</v>
      </c>
      <c r="AG621" s="19">
        <v>60</v>
      </c>
      <c r="AH621" s="25">
        <v>624167</v>
      </c>
      <c r="AI621" s="92"/>
      <c r="AJ621" s="92"/>
      <c r="AK621" s="27">
        <f t="shared" si="180"/>
        <v>624167</v>
      </c>
      <c r="AL621" s="27">
        <f t="shared" si="183"/>
        <v>624167</v>
      </c>
      <c r="AM621" s="27">
        <f t="shared" si="183"/>
        <v>624167</v>
      </c>
      <c r="AN621" s="27">
        <f t="shared" si="189"/>
        <v>624167</v>
      </c>
      <c r="AO621" s="27">
        <f t="shared" si="190"/>
        <v>624167</v>
      </c>
      <c r="AP621" s="27">
        <f t="shared" si="190"/>
        <v>624167</v>
      </c>
      <c r="AQ621" s="27">
        <f t="shared" si="191"/>
        <v>624167</v>
      </c>
      <c r="AR621" s="27">
        <f t="shared" si="192"/>
        <v>624167</v>
      </c>
      <c r="AS621" s="27"/>
      <c r="AT621" s="27"/>
      <c r="AU621" s="27"/>
      <c r="AV621" s="27"/>
      <c r="AW621" s="27">
        <f t="shared" si="184"/>
        <v>4993336</v>
      </c>
      <c r="AX621" s="79">
        <f t="shared" si="177"/>
        <v>32456664</v>
      </c>
      <c r="AY621" s="79">
        <f t="shared" si="181"/>
        <v>4993336</v>
      </c>
      <c r="AZ621" s="25">
        <f t="shared" si="186"/>
        <v>1</v>
      </c>
      <c r="BA621" s="62"/>
      <c r="BB621" s="25">
        <v>1</v>
      </c>
      <c r="BC621" s="19"/>
      <c r="BD621" s="19"/>
      <c r="BE621" s="67">
        <f t="shared" si="185"/>
        <v>624167</v>
      </c>
      <c r="BF621" s="67">
        <f t="shared" si="193"/>
        <v>0</v>
      </c>
      <c r="BG621" s="67">
        <f t="shared" si="182"/>
        <v>0</v>
      </c>
      <c r="BH621" s="19"/>
      <c r="BI621" s="19" t="str">
        <f t="shared" si="187"/>
        <v>BG</v>
      </c>
      <c r="BJ621" s="19" t="s">
        <v>1929</v>
      </c>
      <c r="BK621" s="19" t="s">
        <v>1989</v>
      </c>
    </row>
    <row r="622" spans="1:63" ht="15" customHeight="1">
      <c r="C622" s="1" t="str">
        <f t="shared" si="178"/>
        <v>2812</v>
      </c>
      <c r="D622" s="1" t="str">
        <f t="shared" si="179"/>
        <v>2401</v>
      </c>
      <c r="E622" s="19" t="s">
        <v>1895</v>
      </c>
      <c r="F622" s="19" t="s">
        <v>1896</v>
      </c>
      <c r="G622" s="62">
        <v>2114</v>
      </c>
      <c r="H622" s="19" t="s">
        <v>1926</v>
      </c>
      <c r="I622" s="105" t="s">
        <v>1786</v>
      </c>
      <c r="J622" s="86">
        <v>1</v>
      </c>
      <c r="K622" s="19" t="s">
        <v>1737</v>
      </c>
      <c r="L622" s="157" t="s">
        <v>1145</v>
      </c>
      <c r="M622" s="98" t="s">
        <v>1928</v>
      </c>
      <c r="N622" s="101">
        <v>45195</v>
      </c>
      <c r="O622" s="103"/>
      <c r="P622" s="19"/>
      <c r="Q622" s="163">
        <v>32325000</v>
      </c>
      <c r="R622" s="70"/>
      <c r="S622" s="19"/>
      <c r="T622" s="19"/>
      <c r="U622" s="19"/>
      <c r="V622" s="74">
        <v>32325000</v>
      </c>
      <c r="W622" s="75"/>
      <c r="X622" s="64">
        <v>32325000</v>
      </c>
      <c r="Y622" s="19"/>
      <c r="Z622" s="19"/>
      <c r="AA622" s="19"/>
      <c r="AB622" s="19"/>
      <c r="AC622" s="64">
        <v>32325000</v>
      </c>
      <c r="AD622" s="63">
        <v>45292</v>
      </c>
      <c r="AE622" s="65">
        <v>47118</v>
      </c>
      <c r="AF622" s="19">
        <v>5</v>
      </c>
      <c r="AG622" s="19">
        <v>60</v>
      </c>
      <c r="AH622" s="25">
        <v>538750</v>
      </c>
      <c r="AI622" s="92"/>
      <c r="AJ622" s="92"/>
      <c r="AK622" s="27">
        <f t="shared" si="180"/>
        <v>538750</v>
      </c>
      <c r="AL622" s="27">
        <f t="shared" si="183"/>
        <v>538750</v>
      </c>
      <c r="AM622" s="27">
        <f t="shared" si="183"/>
        <v>538750</v>
      </c>
      <c r="AN622" s="27">
        <f t="shared" si="189"/>
        <v>538750</v>
      </c>
      <c r="AO622" s="27">
        <f t="shared" si="190"/>
        <v>538750</v>
      </c>
      <c r="AP622" s="27">
        <f t="shared" si="190"/>
        <v>538750</v>
      </c>
      <c r="AQ622" s="27">
        <f t="shared" si="191"/>
        <v>538750</v>
      </c>
      <c r="AR622" s="27">
        <f t="shared" si="192"/>
        <v>538750</v>
      </c>
      <c r="AS622" s="27"/>
      <c r="AT622" s="27"/>
      <c r="AU622" s="27"/>
      <c r="AV622" s="27"/>
      <c r="AW622" s="27">
        <f t="shared" si="184"/>
        <v>4310000</v>
      </c>
      <c r="AX622" s="79">
        <f t="shared" si="177"/>
        <v>28015000</v>
      </c>
      <c r="AY622" s="79">
        <f t="shared" si="181"/>
        <v>4310000</v>
      </c>
      <c r="AZ622" s="25">
        <f t="shared" si="186"/>
        <v>1</v>
      </c>
      <c r="BA622" s="62"/>
      <c r="BB622" s="25">
        <v>1</v>
      </c>
      <c r="BC622" s="19"/>
      <c r="BD622" s="19"/>
      <c r="BE622" s="67">
        <f t="shared" si="185"/>
        <v>538750</v>
      </c>
      <c r="BF622" s="67">
        <f t="shared" si="193"/>
        <v>0</v>
      </c>
      <c r="BG622" s="67">
        <f t="shared" si="182"/>
        <v>0</v>
      </c>
      <c r="BH622" s="19"/>
      <c r="BI622" s="19" t="str">
        <f t="shared" si="187"/>
        <v>BG</v>
      </c>
      <c r="BJ622" s="19" t="s">
        <v>1929</v>
      </c>
      <c r="BK622" s="19" t="s">
        <v>1989</v>
      </c>
    </row>
    <row r="623" spans="1:63" ht="15" customHeight="1">
      <c r="C623" s="1" t="str">
        <f t="shared" si="178"/>
        <v>2812</v>
      </c>
      <c r="D623" s="1" t="str">
        <f t="shared" si="179"/>
        <v>2401</v>
      </c>
      <c r="E623" s="19" t="s">
        <v>1895</v>
      </c>
      <c r="F623" s="19" t="s">
        <v>1896</v>
      </c>
      <c r="G623" s="62">
        <v>2114</v>
      </c>
      <c r="H623" s="19" t="s">
        <v>1927</v>
      </c>
      <c r="I623" s="105" t="s">
        <v>1787</v>
      </c>
      <c r="J623" s="86">
        <v>1</v>
      </c>
      <c r="K623" s="19" t="s">
        <v>1737</v>
      </c>
      <c r="L623" s="157" t="s">
        <v>1145</v>
      </c>
      <c r="M623" s="98" t="s">
        <v>1928</v>
      </c>
      <c r="N623" s="101">
        <v>45195</v>
      </c>
      <c r="O623" s="19"/>
      <c r="P623" s="19"/>
      <c r="Q623" s="163">
        <v>32455000</v>
      </c>
      <c r="R623" s="70"/>
      <c r="S623" s="19"/>
      <c r="T623" s="19"/>
      <c r="U623" s="19"/>
      <c r="V623" s="74">
        <v>32455000</v>
      </c>
      <c r="W623" s="75"/>
      <c r="X623" s="64">
        <v>32455000</v>
      </c>
      <c r="Y623" s="19"/>
      <c r="Z623" s="19"/>
      <c r="AA623" s="19"/>
      <c r="AB623" s="19"/>
      <c r="AC623" s="64">
        <v>32455000</v>
      </c>
      <c r="AD623" s="63">
        <v>45292</v>
      </c>
      <c r="AE623" s="65">
        <v>47118</v>
      </c>
      <c r="AF623" s="19">
        <v>5</v>
      </c>
      <c r="AG623" s="19">
        <v>60</v>
      </c>
      <c r="AH623" s="25">
        <v>540917</v>
      </c>
      <c r="AI623" s="92"/>
      <c r="AJ623" s="92"/>
      <c r="AK623" s="27">
        <f t="shared" si="180"/>
        <v>540917</v>
      </c>
      <c r="AL623" s="27">
        <f t="shared" si="183"/>
        <v>540917</v>
      </c>
      <c r="AM623" s="27">
        <f t="shared" si="183"/>
        <v>540917</v>
      </c>
      <c r="AN623" s="27">
        <f t="shared" si="189"/>
        <v>540917</v>
      </c>
      <c r="AO623" s="27">
        <f t="shared" si="190"/>
        <v>540917</v>
      </c>
      <c r="AP623" s="27">
        <f t="shared" si="190"/>
        <v>540917</v>
      </c>
      <c r="AQ623" s="27">
        <f t="shared" si="191"/>
        <v>540917</v>
      </c>
      <c r="AR623" s="27">
        <f t="shared" si="192"/>
        <v>540917</v>
      </c>
      <c r="AS623" s="27"/>
      <c r="AT623" s="27"/>
      <c r="AU623" s="27"/>
      <c r="AV623" s="27"/>
      <c r="AW623" s="27">
        <f t="shared" si="184"/>
        <v>4327336</v>
      </c>
      <c r="AX623" s="79">
        <f t="shared" si="177"/>
        <v>28127664</v>
      </c>
      <c r="AY623" s="79">
        <f t="shared" si="181"/>
        <v>4327336</v>
      </c>
      <c r="AZ623" s="25">
        <f t="shared" si="186"/>
        <v>1</v>
      </c>
      <c r="BA623" s="62"/>
      <c r="BB623" s="25">
        <v>1</v>
      </c>
      <c r="BC623" s="19"/>
      <c r="BD623" s="19"/>
      <c r="BE623" s="67">
        <f t="shared" si="185"/>
        <v>540917</v>
      </c>
      <c r="BF623" s="67">
        <f t="shared" si="193"/>
        <v>0</v>
      </c>
      <c r="BG623" s="67">
        <f t="shared" si="182"/>
        <v>0</v>
      </c>
      <c r="BH623" s="19"/>
      <c r="BI623" s="19" t="str">
        <f t="shared" si="187"/>
        <v>BG</v>
      </c>
      <c r="BJ623" s="19" t="s">
        <v>1929</v>
      </c>
      <c r="BK623" s="19" t="s">
        <v>1989</v>
      </c>
    </row>
    <row r="624" spans="1:63" ht="15" customHeight="1">
      <c r="C624" s="1" t="str">
        <f t="shared" si="178"/>
        <v>3312</v>
      </c>
      <c r="D624" s="1" t="str">
        <f t="shared" si="179"/>
        <v>2401</v>
      </c>
      <c r="E624" s="19" t="s">
        <v>1895</v>
      </c>
      <c r="F624" s="19" t="s">
        <v>1896</v>
      </c>
      <c r="G624" s="62">
        <v>2112</v>
      </c>
      <c r="H624" s="19" t="s">
        <v>1931</v>
      </c>
      <c r="I624" s="105" t="s">
        <v>1832</v>
      </c>
      <c r="J624" s="86">
        <v>1</v>
      </c>
      <c r="K624" s="19" t="s">
        <v>619</v>
      </c>
      <c r="L624" s="157" t="s">
        <v>1716</v>
      </c>
      <c r="M624" s="98" t="s">
        <v>1932</v>
      </c>
      <c r="N624" s="101">
        <v>45202</v>
      </c>
      <c r="O624" s="19">
        <v>52827.45</v>
      </c>
      <c r="P624" s="19">
        <v>24425</v>
      </c>
      <c r="Q624" s="163">
        <f t="shared" ref="Q624:Q651" si="194">ROUND(O624*P624,0)</f>
        <v>1290310466</v>
      </c>
      <c r="R624" s="70"/>
      <c r="S624" s="19"/>
      <c r="T624" s="164">
        <v>8666081</v>
      </c>
      <c r="U624" s="19" t="s">
        <v>1933</v>
      </c>
      <c r="V624" s="74">
        <v>1298976547</v>
      </c>
      <c r="W624" s="75"/>
      <c r="X624" s="64">
        <v>1298976547</v>
      </c>
      <c r="Y624" s="19"/>
      <c r="Z624" s="19"/>
      <c r="AA624" s="19"/>
      <c r="AB624" s="19"/>
      <c r="AC624" s="64">
        <v>1298976547</v>
      </c>
      <c r="AD624" s="63">
        <v>45292</v>
      </c>
      <c r="AE624" s="65">
        <v>48944</v>
      </c>
      <c r="AF624" s="19">
        <v>10</v>
      </c>
      <c r="AG624" s="19">
        <v>120</v>
      </c>
      <c r="AH624" s="25">
        <v>10824805</v>
      </c>
      <c r="AI624" s="92"/>
      <c r="AJ624" s="92"/>
      <c r="AK624" s="27">
        <f t="shared" si="180"/>
        <v>10824805</v>
      </c>
      <c r="AL624" s="27">
        <f t="shared" si="183"/>
        <v>10824805</v>
      </c>
      <c r="AM624" s="27">
        <f t="shared" si="183"/>
        <v>10824805</v>
      </c>
      <c r="AN624" s="27">
        <f t="shared" si="189"/>
        <v>10824805</v>
      </c>
      <c r="AO624" s="27">
        <f t="shared" si="190"/>
        <v>10824805</v>
      </c>
      <c r="AP624" s="27">
        <f t="shared" si="190"/>
        <v>10824805</v>
      </c>
      <c r="AQ624" s="27">
        <f t="shared" si="191"/>
        <v>10824805</v>
      </c>
      <c r="AR624" s="27">
        <f t="shared" si="192"/>
        <v>10824805</v>
      </c>
      <c r="AS624" s="27"/>
      <c r="AT624" s="27"/>
      <c r="AU624" s="27"/>
      <c r="AV624" s="27"/>
      <c r="AW624" s="27">
        <f t="shared" si="184"/>
        <v>86598440</v>
      </c>
      <c r="AX624" s="79">
        <f t="shared" si="177"/>
        <v>1212378107</v>
      </c>
      <c r="AY624" s="79">
        <f t="shared" si="181"/>
        <v>86598440</v>
      </c>
      <c r="AZ624" s="25">
        <f t="shared" si="186"/>
        <v>1</v>
      </c>
      <c r="BA624" s="62"/>
      <c r="BB624" s="25">
        <v>1</v>
      </c>
      <c r="BC624" s="19"/>
      <c r="BD624" s="19"/>
      <c r="BE624" s="67">
        <f t="shared" si="185"/>
        <v>10824805</v>
      </c>
      <c r="BF624" s="67">
        <f t="shared" si="193"/>
        <v>0</v>
      </c>
      <c r="BG624" s="67">
        <f t="shared" si="182"/>
        <v>0</v>
      </c>
      <c r="BH624" s="19"/>
      <c r="BI624" s="19" t="s">
        <v>1896</v>
      </c>
      <c r="BJ624" s="19" t="s">
        <v>1979</v>
      </c>
      <c r="BK624" s="19" t="s">
        <v>1979</v>
      </c>
    </row>
    <row r="625" spans="3:63" ht="15" customHeight="1">
      <c r="C625" s="1" t="str">
        <f t="shared" si="178"/>
        <v>3312</v>
      </c>
      <c r="D625" s="1" t="str">
        <f t="shared" si="179"/>
        <v>2401</v>
      </c>
      <c r="E625" s="19" t="s">
        <v>1895</v>
      </c>
      <c r="F625" s="19" t="s">
        <v>1896</v>
      </c>
      <c r="G625" s="62">
        <v>2112</v>
      </c>
      <c r="H625" s="19" t="s">
        <v>1934</v>
      </c>
      <c r="I625" s="105" t="s">
        <v>1833</v>
      </c>
      <c r="J625" s="86">
        <v>1</v>
      </c>
      <c r="K625" s="19" t="s">
        <v>619</v>
      </c>
      <c r="L625" s="157" t="s">
        <v>1716</v>
      </c>
      <c r="M625" s="98" t="s">
        <v>1932</v>
      </c>
      <c r="N625" s="101">
        <v>45202</v>
      </c>
      <c r="O625" s="19">
        <v>32765.81</v>
      </c>
      <c r="P625" s="19">
        <v>24425</v>
      </c>
      <c r="Q625" s="163">
        <f t="shared" si="194"/>
        <v>800304909</v>
      </c>
      <c r="R625" s="70"/>
      <c r="S625" s="19"/>
      <c r="T625" s="164">
        <v>5375068</v>
      </c>
      <c r="U625" s="19" t="s">
        <v>1933</v>
      </c>
      <c r="V625" s="74">
        <v>805679977</v>
      </c>
      <c r="W625" s="75"/>
      <c r="X625" s="64">
        <v>805679977</v>
      </c>
      <c r="Y625" s="19"/>
      <c r="Z625" s="19"/>
      <c r="AA625" s="19"/>
      <c r="AB625" s="19"/>
      <c r="AC625" s="64">
        <v>805679977</v>
      </c>
      <c r="AD625" s="63">
        <v>45292</v>
      </c>
      <c r="AE625" s="65">
        <v>48944</v>
      </c>
      <c r="AF625" s="19">
        <v>10</v>
      </c>
      <c r="AG625" s="19">
        <v>120</v>
      </c>
      <c r="AH625" s="25">
        <v>6714000</v>
      </c>
      <c r="AI625" s="92"/>
      <c r="AJ625" s="92"/>
      <c r="AK625" s="27">
        <f t="shared" si="180"/>
        <v>6714000</v>
      </c>
      <c r="AL625" s="27">
        <f t="shared" si="183"/>
        <v>6714000</v>
      </c>
      <c r="AM625" s="27">
        <f t="shared" si="183"/>
        <v>6714000</v>
      </c>
      <c r="AN625" s="27">
        <f t="shared" si="189"/>
        <v>6714000</v>
      </c>
      <c r="AO625" s="27">
        <f t="shared" si="190"/>
        <v>6714000</v>
      </c>
      <c r="AP625" s="27">
        <f t="shared" si="190"/>
        <v>6714000</v>
      </c>
      <c r="AQ625" s="27">
        <f t="shared" si="191"/>
        <v>6714000</v>
      </c>
      <c r="AR625" s="27">
        <f t="shared" si="192"/>
        <v>6714000</v>
      </c>
      <c r="AS625" s="27"/>
      <c r="AT625" s="27"/>
      <c r="AU625" s="27"/>
      <c r="AV625" s="27"/>
      <c r="AW625" s="27">
        <f t="shared" si="184"/>
        <v>53712000</v>
      </c>
      <c r="AX625" s="79">
        <f t="shared" si="177"/>
        <v>751967977</v>
      </c>
      <c r="AY625" s="79">
        <f t="shared" si="181"/>
        <v>53712000</v>
      </c>
      <c r="AZ625" s="25">
        <f t="shared" si="186"/>
        <v>1</v>
      </c>
      <c r="BA625" s="62"/>
      <c r="BB625" s="25">
        <v>1</v>
      </c>
      <c r="BC625" s="19"/>
      <c r="BD625" s="19"/>
      <c r="BE625" s="67">
        <f t="shared" si="185"/>
        <v>6714000</v>
      </c>
      <c r="BF625" s="67">
        <f t="shared" si="193"/>
        <v>0</v>
      </c>
      <c r="BG625" s="67">
        <f t="shared" si="182"/>
        <v>0</v>
      </c>
      <c r="BH625" s="19"/>
      <c r="BI625" s="19" t="s">
        <v>1896</v>
      </c>
      <c r="BJ625" s="19" t="s">
        <v>1979</v>
      </c>
      <c r="BK625" s="19" t="s">
        <v>1979</v>
      </c>
    </row>
    <row r="626" spans="3:63" ht="15" customHeight="1">
      <c r="C626" s="1" t="str">
        <f t="shared" si="178"/>
        <v>3312</v>
      </c>
      <c r="D626" s="1" t="str">
        <f t="shared" si="179"/>
        <v>2401</v>
      </c>
      <c r="E626" s="19" t="s">
        <v>1895</v>
      </c>
      <c r="F626" s="19" t="s">
        <v>1896</v>
      </c>
      <c r="G626" s="62">
        <v>2112</v>
      </c>
      <c r="H626" s="19" t="s">
        <v>1935</v>
      </c>
      <c r="I626" s="105" t="s">
        <v>1834</v>
      </c>
      <c r="J626" s="86">
        <v>1</v>
      </c>
      <c r="K626" s="19" t="s">
        <v>619</v>
      </c>
      <c r="L626" s="157" t="s">
        <v>1716</v>
      </c>
      <c r="M626" s="98" t="s">
        <v>1932</v>
      </c>
      <c r="N626" s="101">
        <v>45202</v>
      </c>
      <c r="O626" s="19">
        <v>61216.33</v>
      </c>
      <c r="P626" s="19">
        <v>24425</v>
      </c>
      <c r="Q626" s="163">
        <f t="shared" si="194"/>
        <v>1495208860</v>
      </c>
      <c r="R626" s="70"/>
      <c r="S626" s="19"/>
      <c r="T626" s="164">
        <v>10042233</v>
      </c>
      <c r="U626" s="19" t="s">
        <v>1933</v>
      </c>
      <c r="V626" s="74">
        <v>1505251093</v>
      </c>
      <c r="W626" s="75"/>
      <c r="X626" s="64">
        <v>1505251093</v>
      </c>
      <c r="Y626" s="19"/>
      <c r="Z626" s="19"/>
      <c r="AA626" s="19"/>
      <c r="AB626" s="19"/>
      <c r="AC626" s="64">
        <v>1505251093</v>
      </c>
      <c r="AD626" s="63">
        <v>45292</v>
      </c>
      <c r="AE626" s="65">
        <v>48944</v>
      </c>
      <c r="AF626" s="19">
        <v>10</v>
      </c>
      <c r="AG626" s="19">
        <v>120</v>
      </c>
      <c r="AH626" s="25">
        <v>12543759</v>
      </c>
      <c r="AI626" s="92"/>
      <c r="AJ626" s="92"/>
      <c r="AK626" s="27">
        <f t="shared" si="180"/>
        <v>12543759</v>
      </c>
      <c r="AL626" s="27">
        <f t="shared" si="183"/>
        <v>12543759</v>
      </c>
      <c r="AM626" s="27">
        <f t="shared" si="183"/>
        <v>12543759</v>
      </c>
      <c r="AN626" s="27">
        <f t="shared" si="189"/>
        <v>12543759</v>
      </c>
      <c r="AO626" s="27">
        <f t="shared" si="190"/>
        <v>12543759</v>
      </c>
      <c r="AP626" s="27">
        <f t="shared" si="190"/>
        <v>12543759</v>
      </c>
      <c r="AQ626" s="27">
        <f t="shared" si="191"/>
        <v>12543759</v>
      </c>
      <c r="AR626" s="27">
        <f t="shared" si="192"/>
        <v>12543759</v>
      </c>
      <c r="AS626" s="27"/>
      <c r="AT626" s="27"/>
      <c r="AU626" s="27"/>
      <c r="AV626" s="27"/>
      <c r="AW626" s="27">
        <f t="shared" si="184"/>
        <v>100350072</v>
      </c>
      <c r="AX626" s="79">
        <f t="shared" si="177"/>
        <v>1404901021</v>
      </c>
      <c r="AY626" s="79">
        <f t="shared" si="181"/>
        <v>100350072</v>
      </c>
      <c r="AZ626" s="25">
        <f t="shared" si="186"/>
        <v>1</v>
      </c>
      <c r="BA626" s="62"/>
      <c r="BB626" s="25">
        <v>1</v>
      </c>
      <c r="BC626" s="19"/>
      <c r="BD626" s="19"/>
      <c r="BE626" s="67">
        <f t="shared" si="185"/>
        <v>12543759</v>
      </c>
      <c r="BF626" s="67">
        <f t="shared" si="193"/>
        <v>0</v>
      </c>
      <c r="BG626" s="67">
        <f t="shared" si="182"/>
        <v>0</v>
      </c>
      <c r="BH626" s="19"/>
      <c r="BI626" s="19" t="s">
        <v>1896</v>
      </c>
      <c r="BJ626" s="19" t="s">
        <v>1979</v>
      </c>
      <c r="BK626" s="19" t="s">
        <v>1979</v>
      </c>
    </row>
    <row r="627" spans="3:63" ht="15" customHeight="1">
      <c r="C627" s="1" t="str">
        <f t="shared" si="178"/>
        <v>3312</v>
      </c>
      <c r="D627" s="1" t="str">
        <f t="shared" si="179"/>
        <v>2401</v>
      </c>
      <c r="E627" s="19" t="s">
        <v>1895</v>
      </c>
      <c r="F627" s="19" t="s">
        <v>1896</v>
      </c>
      <c r="G627" s="62">
        <v>2112</v>
      </c>
      <c r="H627" s="19" t="s">
        <v>1936</v>
      </c>
      <c r="I627" s="105" t="s">
        <v>1835</v>
      </c>
      <c r="J627" s="86">
        <v>1</v>
      </c>
      <c r="K627" s="19" t="s">
        <v>619</v>
      </c>
      <c r="L627" s="157" t="s">
        <v>1716</v>
      </c>
      <c r="M627" s="98" t="s">
        <v>1932</v>
      </c>
      <c r="N627" s="101">
        <v>45202</v>
      </c>
      <c r="O627" s="19">
        <v>61216.33</v>
      </c>
      <c r="P627" s="19">
        <v>24425</v>
      </c>
      <c r="Q627" s="163">
        <f t="shared" si="194"/>
        <v>1495208860</v>
      </c>
      <c r="R627" s="70"/>
      <c r="S627" s="19"/>
      <c r="T627" s="164">
        <v>10042233</v>
      </c>
      <c r="U627" s="19" t="s">
        <v>1933</v>
      </c>
      <c r="V627" s="74">
        <v>1505251093</v>
      </c>
      <c r="W627" s="75"/>
      <c r="X627" s="64">
        <v>1505251093</v>
      </c>
      <c r="Y627" s="19"/>
      <c r="Z627" s="19"/>
      <c r="AA627" s="19"/>
      <c r="AB627" s="19"/>
      <c r="AC627" s="64">
        <v>1505251093</v>
      </c>
      <c r="AD627" s="63">
        <v>45292</v>
      </c>
      <c r="AE627" s="65">
        <v>48944</v>
      </c>
      <c r="AF627" s="19">
        <v>10</v>
      </c>
      <c r="AG627" s="19">
        <v>120</v>
      </c>
      <c r="AH627" s="25">
        <v>12543759</v>
      </c>
      <c r="AI627" s="92"/>
      <c r="AJ627" s="92"/>
      <c r="AK627" s="27">
        <f t="shared" si="180"/>
        <v>12543759</v>
      </c>
      <c r="AL627" s="27">
        <f t="shared" si="183"/>
        <v>12543759</v>
      </c>
      <c r="AM627" s="27">
        <f t="shared" si="183"/>
        <v>12543759</v>
      </c>
      <c r="AN627" s="27">
        <f t="shared" si="189"/>
        <v>12543759</v>
      </c>
      <c r="AO627" s="27">
        <f t="shared" si="190"/>
        <v>12543759</v>
      </c>
      <c r="AP627" s="27">
        <f t="shared" si="190"/>
        <v>12543759</v>
      </c>
      <c r="AQ627" s="27">
        <f t="shared" si="191"/>
        <v>12543759</v>
      </c>
      <c r="AR627" s="27">
        <f t="shared" si="192"/>
        <v>12543759</v>
      </c>
      <c r="AS627" s="27"/>
      <c r="AT627" s="27"/>
      <c r="AU627" s="27"/>
      <c r="AV627" s="27"/>
      <c r="AW627" s="27">
        <f t="shared" si="184"/>
        <v>100350072</v>
      </c>
      <c r="AX627" s="79">
        <f t="shared" si="177"/>
        <v>1404901021</v>
      </c>
      <c r="AY627" s="79">
        <f t="shared" si="181"/>
        <v>100350072</v>
      </c>
      <c r="AZ627" s="25">
        <f t="shared" si="186"/>
        <v>1</v>
      </c>
      <c r="BA627" s="62"/>
      <c r="BB627" s="25">
        <v>1</v>
      </c>
      <c r="BC627" s="19"/>
      <c r="BD627" s="19"/>
      <c r="BE627" s="67">
        <f t="shared" si="185"/>
        <v>12543759</v>
      </c>
      <c r="BF627" s="67">
        <f t="shared" si="193"/>
        <v>0</v>
      </c>
      <c r="BG627" s="67">
        <f t="shared" si="182"/>
        <v>0</v>
      </c>
      <c r="BH627" s="19"/>
      <c r="BI627" s="19" t="s">
        <v>1896</v>
      </c>
      <c r="BJ627" s="19" t="s">
        <v>1979</v>
      </c>
      <c r="BK627" s="19" t="s">
        <v>1979</v>
      </c>
    </row>
    <row r="628" spans="3:63" ht="15" customHeight="1">
      <c r="C628" s="1" t="str">
        <f t="shared" si="178"/>
        <v>3312</v>
      </c>
      <c r="D628" s="1" t="str">
        <f t="shared" si="179"/>
        <v>2401</v>
      </c>
      <c r="E628" s="19" t="s">
        <v>1895</v>
      </c>
      <c r="F628" s="19" t="s">
        <v>1896</v>
      </c>
      <c r="G628" s="62">
        <v>2112</v>
      </c>
      <c r="H628" s="19" t="s">
        <v>1937</v>
      </c>
      <c r="I628" s="105" t="s">
        <v>1833</v>
      </c>
      <c r="J628" s="86">
        <v>1</v>
      </c>
      <c r="K628" s="19" t="s">
        <v>619</v>
      </c>
      <c r="L628" s="157" t="s">
        <v>1716</v>
      </c>
      <c r="M628" s="98" t="s">
        <v>1932</v>
      </c>
      <c r="N628" s="101">
        <v>45202</v>
      </c>
      <c r="O628" s="19">
        <v>34582.36</v>
      </c>
      <c r="P628" s="19">
        <v>24425</v>
      </c>
      <c r="Q628" s="163">
        <f t="shared" si="194"/>
        <v>844674143</v>
      </c>
      <c r="R628" s="70"/>
      <c r="S628" s="19"/>
      <c r="T628" s="164">
        <v>5673065</v>
      </c>
      <c r="U628" s="19" t="s">
        <v>1933</v>
      </c>
      <c r="V628" s="74">
        <v>850347208</v>
      </c>
      <c r="W628" s="75"/>
      <c r="X628" s="64">
        <v>850347208</v>
      </c>
      <c r="Y628" s="19"/>
      <c r="Z628" s="19"/>
      <c r="AA628" s="19"/>
      <c r="AB628" s="19"/>
      <c r="AC628" s="64">
        <v>850347208</v>
      </c>
      <c r="AD628" s="63">
        <v>45292</v>
      </c>
      <c r="AE628" s="65">
        <v>48944</v>
      </c>
      <c r="AF628" s="19">
        <v>10</v>
      </c>
      <c r="AG628" s="19">
        <v>120</v>
      </c>
      <c r="AH628" s="25">
        <v>7086227</v>
      </c>
      <c r="AI628" s="92"/>
      <c r="AJ628" s="92"/>
      <c r="AK628" s="27">
        <f t="shared" si="180"/>
        <v>7086227</v>
      </c>
      <c r="AL628" s="27">
        <f t="shared" si="183"/>
        <v>7086227</v>
      </c>
      <c r="AM628" s="27">
        <f t="shared" si="183"/>
        <v>7086227</v>
      </c>
      <c r="AN628" s="27">
        <f t="shared" si="189"/>
        <v>7086227</v>
      </c>
      <c r="AO628" s="27">
        <f t="shared" si="190"/>
        <v>7086227</v>
      </c>
      <c r="AP628" s="27">
        <f t="shared" si="190"/>
        <v>7086227</v>
      </c>
      <c r="AQ628" s="27">
        <f t="shared" si="191"/>
        <v>7086227</v>
      </c>
      <c r="AR628" s="27">
        <f t="shared" si="192"/>
        <v>7086227</v>
      </c>
      <c r="AS628" s="27"/>
      <c r="AT628" s="27"/>
      <c r="AU628" s="27"/>
      <c r="AV628" s="27"/>
      <c r="AW628" s="27">
        <f t="shared" si="184"/>
        <v>56689816</v>
      </c>
      <c r="AX628" s="79">
        <f t="shared" si="177"/>
        <v>793657392</v>
      </c>
      <c r="AY628" s="79">
        <f t="shared" si="181"/>
        <v>56689816</v>
      </c>
      <c r="AZ628" s="25">
        <f t="shared" si="186"/>
        <v>1</v>
      </c>
      <c r="BA628" s="62"/>
      <c r="BB628" s="25">
        <v>1</v>
      </c>
      <c r="BC628" s="19"/>
      <c r="BD628" s="19"/>
      <c r="BE628" s="67">
        <f t="shared" si="185"/>
        <v>7086227</v>
      </c>
      <c r="BF628" s="67">
        <f t="shared" si="193"/>
        <v>0</v>
      </c>
      <c r="BG628" s="67">
        <f t="shared" si="182"/>
        <v>0</v>
      </c>
      <c r="BH628" s="19"/>
      <c r="BI628" s="19" t="s">
        <v>1896</v>
      </c>
      <c r="BJ628" s="19" t="s">
        <v>1979</v>
      </c>
      <c r="BK628" s="19" t="s">
        <v>1979</v>
      </c>
    </row>
    <row r="629" spans="3:63" ht="15" customHeight="1">
      <c r="C629" s="1" t="str">
        <f t="shared" si="178"/>
        <v>2912</v>
      </c>
      <c r="D629" s="1" t="str">
        <f t="shared" si="179"/>
        <v>2401</v>
      </c>
      <c r="E629" s="19" t="s">
        <v>1895</v>
      </c>
      <c r="F629" s="19" t="s">
        <v>1896</v>
      </c>
      <c r="G629" s="62">
        <v>2112</v>
      </c>
      <c r="H629" s="19" t="s">
        <v>1938</v>
      </c>
      <c r="I629" s="105" t="s">
        <v>1836</v>
      </c>
      <c r="J629" s="86">
        <v>1</v>
      </c>
      <c r="K629" s="19" t="s">
        <v>619</v>
      </c>
      <c r="L629" s="157" t="s">
        <v>1716</v>
      </c>
      <c r="M629" s="98" t="s">
        <v>1932</v>
      </c>
      <c r="N629" s="101">
        <v>45202</v>
      </c>
      <c r="O629" s="19">
        <v>17922.060000000001</v>
      </c>
      <c r="P629" s="19">
        <v>24425</v>
      </c>
      <c r="Q629" s="163">
        <f t="shared" si="194"/>
        <v>437746316</v>
      </c>
      <c r="R629" s="70"/>
      <c r="S629" s="19"/>
      <c r="T629" s="164">
        <v>2940025</v>
      </c>
      <c r="U629" s="19" t="s">
        <v>1933</v>
      </c>
      <c r="V629" s="74">
        <v>440686341</v>
      </c>
      <c r="W629" s="75"/>
      <c r="X629" s="64">
        <v>440686341</v>
      </c>
      <c r="Y629" s="19"/>
      <c r="Z629" s="19"/>
      <c r="AA629" s="19"/>
      <c r="AB629" s="19"/>
      <c r="AC629" s="64">
        <v>440686341</v>
      </c>
      <c r="AD629" s="63">
        <v>45292</v>
      </c>
      <c r="AE629" s="65">
        <v>47483</v>
      </c>
      <c r="AF629" s="19">
        <v>6</v>
      </c>
      <c r="AG629" s="19">
        <v>72</v>
      </c>
      <c r="AH629" s="25">
        <v>6120644</v>
      </c>
      <c r="AI629" s="92"/>
      <c r="AJ629" s="92"/>
      <c r="AK629" s="27">
        <f t="shared" si="180"/>
        <v>6120644</v>
      </c>
      <c r="AL629" s="27">
        <f t="shared" si="183"/>
        <v>6120644</v>
      </c>
      <c r="AM629" s="27">
        <f t="shared" si="183"/>
        <v>6120644</v>
      </c>
      <c r="AN629" s="27">
        <f t="shared" si="189"/>
        <v>6120644</v>
      </c>
      <c r="AO629" s="27">
        <f t="shared" si="190"/>
        <v>6120644</v>
      </c>
      <c r="AP629" s="27">
        <f t="shared" si="190"/>
        <v>6120644</v>
      </c>
      <c r="AQ629" s="27">
        <f t="shared" si="191"/>
        <v>6120644</v>
      </c>
      <c r="AR629" s="27">
        <f t="shared" si="192"/>
        <v>6120644</v>
      </c>
      <c r="AS629" s="27"/>
      <c r="AT629" s="27"/>
      <c r="AU629" s="27"/>
      <c r="AV629" s="27"/>
      <c r="AW629" s="27">
        <f t="shared" si="184"/>
        <v>48965152</v>
      </c>
      <c r="AX629" s="79">
        <f t="shared" si="177"/>
        <v>391721189</v>
      </c>
      <c r="AY629" s="79">
        <f t="shared" si="181"/>
        <v>48965152</v>
      </c>
      <c r="AZ629" s="25">
        <f t="shared" si="186"/>
        <v>1</v>
      </c>
      <c r="BA629" s="62"/>
      <c r="BB629" s="25">
        <v>1</v>
      </c>
      <c r="BC629" s="19"/>
      <c r="BD629" s="19"/>
      <c r="BE629" s="67">
        <f t="shared" si="185"/>
        <v>6120644</v>
      </c>
      <c r="BF629" s="67">
        <f t="shared" si="193"/>
        <v>0</v>
      </c>
      <c r="BG629" s="67">
        <f t="shared" si="182"/>
        <v>0</v>
      </c>
      <c r="BH629" s="19"/>
      <c r="BI629" s="19" t="s">
        <v>1896</v>
      </c>
      <c r="BJ629" s="19" t="s">
        <v>1979</v>
      </c>
      <c r="BK629" s="19" t="s">
        <v>1979</v>
      </c>
    </row>
    <row r="630" spans="3:63" ht="15" customHeight="1">
      <c r="C630" s="1" t="str">
        <f t="shared" si="178"/>
        <v>3112</v>
      </c>
      <c r="D630" s="1" t="str">
        <f t="shared" si="179"/>
        <v>2401</v>
      </c>
      <c r="E630" s="19" t="s">
        <v>1895</v>
      </c>
      <c r="F630" s="19" t="s">
        <v>1896</v>
      </c>
      <c r="G630" s="62">
        <v>2112</v>
      </c>
      <c r="H630" s="19" t="s">
        <v>1939</v>
      </c>
      <c r="I630" s="105" t="s">
        <v>1837</v>
      </c>
      <c r="J630" s="86">
        <v>1</v>
      </c>
      <c r="K630" s="19" t="s">
        <v>1293</v>
      </c>
      <c r="L630" s="157" t="s">
        <v>1716</v>
      </c>
      <c r="M630" s="98" t="s">
        <v>1932</v>
      </c>
      <c r="N630" s="101">
        <v>45202</v>
      </c>
      <c r="O630" s="19">
        <v>5527.9340000000002</v>
      </c>
      <c r="P630" s="19">
        <v>24425</v>
      </c>
      <c r="Q630" s="163">
        <f t="shared" si="194"/>
        <v>135019788</v>
      </c>
      <c r="R630" s="70"/>
      <c r="S630" s="19"/>
      <c r="T630" s="164">
        <v>906829</v>
      </c>
      <c r="U630" s="19" t="s">
        <v>1933</v>
      </c>
      <c r="V630" s="74">
        <v>135926617</v>
      </c>
      <c r="W630" s="75"/>
      <c r="X630" s="64">
        <v>135926617</v>
      </c>
      <c r="Y630" s="19"/>
      <c r="Z630" s="19"/>
      <c r="AA630" s="19"/>
      <c r="AB630" s="19"/>
      <c r="AC630" s="64">
        <v>135926617</v>
      </c>
      <c r="AD630" s="63">
        <v>45292</v>
      </c>
      <c r="AE630" s="65">
        <v>48213</v>
      </c>
      <c r="AF630" s="19">
        <v>8</v>
      </c>
      <c r="AG630" s="19">
        <v>96</v>
      </c>
      <c r="AH630" s="25">
        <v>1415902</v>
      </c>
      <c r="AI630" s="92"/>
      <c r="AJ630" s="92"/>
      <c r="AK630" s="27">
        <f t="shared" si="180"/>
        <v>1415902</v>
      </c>
      <c r="AL630" s="27">
        <f t="shared" si="183"/>
        <v>1415902</v>
      </c>
      <c r="AM630" s="27">
        <f t="shared" si="183"/>
        <v>1415902</v>
      </c>
      <c r="AN630" s="27">
        <f t="shared" si="189"/>
        <v>1415902</v>
      </c>
      <c r="AO630" s="27">
        <f t="shared" si="190"/>
        <v>1415902</v>
      </c>
      <c r="AP630" s="27">
        <f t="shared" si="190"/>
        <v>1415902</v>
      </c>
      <c r="AQ630" s="27">
        <f t="shared" si="191"/>
        <v>1415902</v>
      </c>
      <c r="AR630" s="27">
        <f t="shared" si="192"/>
        <v>1415902</v>
      </c>
      <c r="AS630" s="27"/>
      <c r="AT630" s="27"/>
      <c r="AU630" s="27"/>
      <c r="AV630" s="27"/>
      <c r="AW630" s="27">
        <f t="shared" si="184"/>
        <v>11327216</v>
      </c>
      <c r="AX630" s="79">
        <f t="shared" si="177"/>
        <v>124599401</v>
      </c>
      <c r="AY630" s="79">
        <f t="shared" si="181"/>
        <v>11327216</v>
      </c>
      <c r="AZ630" s="25">
        <f t="shared" si="186"/>
        <v>1</v>
      </c>
      <c r="BA630" s="62"/>
      <c r="BB630" s="25">
        <v>1</v>
      </c>
      <c r="BC630" s="19"/>
      <c r="BD630" s="19"/>
      <c r="BE630" s="67">
        <f t="shared" si="185"/>
        <v>1415902</v>
      </c>
      <c r="BF630" s="67">
        <f t="shared" si="193"/>
        <v>0</v>
      </c>
      <c r="BG630" s="67">
        <f t="shared" si="182"/>
        <v>0</v>
      </c>
      <c r="BH630" s="19"/>
      <c r="BI630" s="19" t="s">
        <v>1896</v>
      </c>
      <c r="BJ630" s="19" t="s">
        <v>1980</v>
      </c>
      <c r="BK630" s="68" t="s">
        <v>1980</v>
      </c>
    </row>
    <row r="631" spans="3:63" ht="15" customHeight="1">
      <c r="C631" s="1" t="str">
        <f t="shared" si="178"/>
        <v>3112</v>
      </c>
      <c r="D631" s="1" t="str">
        <f t="shared" si="179"/>
        <v>2401</v>
      </c>
      <c r="E631" s="19" t="s">
        <v>1895</v>
      </c>
      <c r="F631" s="19" t="s">
        <v>1896</v>
      </c>
      <c r="G631" s="62">
        <v>2112</v>
      </c>
      <c r="H631" s="19" t="s">
        <v>1940</v>
      </c>
      <c r="I631" s="105" t="s">
        <v>1837</v>
      </c>
      <c r="J631" s="86">
        <v>1</v>
      </c>
      <c r="K631" s="19" t="s">
        <v>1293</v>
      </c>
      <c r="L631" s="157" t="s">
        <v>1716</v>
      </c>
      <c r="M631" s="98" t="s">
        <v>1932</v>
      </c>
      <c r="N631" s="101">
        <v>45202</v>
      </c>
      <c r="O631" s="19">
        <v>5527.9340000000002</v>
      </c>
      <c r="P631" s="19">
        <v>24425</v>
      </c>
      <c r="Q631" s="163">
        <f t="shared" si="194"/>
        <v>135019788</v>
      </c>
      <c r="R631" s="70"/>
      <c r="S631" s="19"/>
      <c r="T631" s="164">
        <v>906829</v>
      </c>
      <c r="U631" s="19" t="s">
        <v>1933</v>
      </c>
      <c r="V631" s="74">
        <v>135926617</v>
      </c>
      <c r="W631" s="75"/>
      <c r="X631" s="64">
        <v>135926617</v>
      </c>
      <c r="Y631" s="19"/>
      <c r="Z631" s="19"/>
      <c r="AA631" s="19"/>
      <c r="AB631" s="19"/>
      <c r="AC631" s="64">
        <v>135926617</v>
      </c>
      <c r="AD631" s="63">
        <v>45292</v>
      </c>
      <c r="AE631" s="65">
        <v>48213</v>
      </c>
      <c r="AF631" s="19">
        <v>8</v>
      </c>
      <c r="AG631" s="19">
        <v>96</v>
      </c>
      <c r="AH631" s="25">
        <v>1415902</v>
      </c>
      <c r="AI631" s="92"/>
      <c r="AJ631" s="92"/>
      <c r="AK631" s="27">
        <f t="shared" si="180"/>
        <v>1415902</v>
      </c>
      <c r="AL631" s="27">
        <f t="shared" si="183"/>
        <v>1415902</v>
      </c>
      <c r="AM631" s="27">
        <f t="shared" si="183"/>
        <v>1415902</v>
      </c>
      <c r="AN631" s="27">
        <f t="shared" si="189"/>
        <v>1415902</v>
      </c>
      <c r="AO631" s="27">
        <f t="shared" si="190"/>
        <v>1415902</v>
      </c>
      <c r="AP631" s="27">
        <f t="shared" si="190"/>
        <v>1415902</v>
      </c>
      <c r="AQ631" s="27">
        <f t="shared" si="191"/>
        <v>1415902</v>
      </c>
      <c r="AR631" s="27">
        <f t="shared" si="192"/>
        <v>1415902</v>
      </c>
      <c r="AS631" s="27"/>
      <c r="AT631" s="27"/>
      <c r="AU631" s="27"/>
      <c r="AV631" s="27"/>
      <c r="AW631" s="27">
        <f t="shared" si="184"/>
        <v>11327216</v>
      </c>
      <c r="AX631" s="79">
        <f t="shared" si="177"/>
        <v>124599401</v>
      </c>
      <c r="AY631" s="79">
        <f t="shared" si="181"/>
        <v>11327216</v>
      </c>
      <c r="AZ631" s="25">
        <f t="shared" si="186"/>
        <v>1</v>
      </c>
      <c r="BA631" s="62"/>
      <c r="BB631" s="25">
        <v>1</v>
      </c>
      <c r="BC631" s="19"/>
      <c r="BD631" s="19"/>
      <c r="BE631" s="67">
        <f t="shared" si="185"/>
        <v>1415902</v>
      </c>
      <c r="BF631" s="67">
        <f t="shared" si="193"/>
        <v>0</v>
      </c>
      <c r="BG631" s="67">
        <f t="shared" si="182"/>
        <v>0</v>
      </c>
      <c r="BH631" s="19"/>
      <c r="BI631" s="19" t="s">
        <v>1896</v>
      </c>
      <c r="BJ631" s="19" t="s">
        <v>1980</v>
      </c>
      <c r="BK631" s="68" t="s">
        <v>1980</v>
      </c>
    </row>
    <row r="632" spans="3:63" ht="15" customHeight="1">
      <c r="C632" s="1" t="str">
        <f t="shared" si="178"/>
        <v>3112</v>
      </c>
      <c r="D632" s="1" t="str">
        <f t="shared" si="179"/>
        <v>2401</v>
      </c>
      <c r="E632" s="19" t="s">
        <v>1895</v>
      </c>
      <c r="F632" s="19" t="s">
        <v>1896</v>
      </c>
      <c r="G632" s="62">
        <v>2112</v>
      </c>
      <c r="H632" s="19" t="s">
        <v>1941</v>
      </c>
      <c r="I632" s="105" t="s">
        <v>1837</v>
      </c>
      <c r="J632" s="86">
        <v>1</v>
      </c>
      <c r="K632" s="19" t="s">
        <v>1293</v>
      </c>
      <c r="L632" s="157" t="s">
        <v>1716</v>
      </c>
      <c r="M632" s="98" t="s">
        <v>1932</v>
      </c>
      <c r="N632" s="101">
        <v>45202</v>
      </c>
      <c r="O632" s="19">
        <v>5527.9340000000002</v>
      </c>
      <c r="P632" s="19">
        <v>24425</v>
      </c>
      <c r="Q632" s="163">
        <f t="shared" si="194"/>
        <v>135019788</v>
      </c>
      <c r="R632" s="70"/>
      <c r="S632" s="19"/>
      <c r="T632" s="164">
        <v>906829</v>
      </c>
      <c r="U632" s="19" t="s">
        <v>1933</v>
      </c>
      <c r="V632" s="74">
        <v>135926617</v>
      </c>
      <c r="W632" s="75"/>
      <c r="X632" s="64">
        <v>135926617</v>
      </c>
      <c r="Y632" s="19"/>
      <c r="Z632" s="19"/>
      <c r="AA632" s="19"/>
      <c r="AB632" s="19"/>
      <c r="AC632" s="64">
        <v>135926617</v>
      </c>
      <c r="AD632" s="63">
        <v>45292</v>
      </c>
      <c r="AE632" s="65">
        <v>48213</v>
      </c>
      <c r="AF632" s="19">
        <v>8</v>
      </c>
      <c r="AG632" s="19">
        <v>96</v>
      </c>
      <c r="AH632" s="25">
        <v>1415902</v>
      </c>
      <c r="AI632" s="92"/>
      <c r="AJ632" s="92"/>
      <c r="AK632" s="27">
        <f t="shared" si="180"/>
        <v>1415902</v>
      </c>
      <c r="AL632" s="27">
        <f t="shared" si="183"/>
        <v>1415902</v>
      </c>
      <c r="AM632" s="27">
        <f t="shared" si="183"/>
        <v>1415902</v>
      </c>
      <c r="AN632" s="27">
        <f t="shared" si="189"/>
        <v>1415902</v>
      </c>
      <c r="AO632" s="27">
        <f t="shared" si="190"/>
        <v>1415902</v>
      </c>
      <c r="AP632" s="27">
        <f t="shared" si="190"/>
        <v>1415902</v>
      </c>
      <c r="AQ632" s="27">
        <f t="shared" si="191"/>
        <v>1415902</v>
      </c>
      <c r="AR632" s="27">
        <f t="shared" si="192"/>
        <v>1415902</v>
      </c>
      <c r="AS632" s="27"/>
      <c r="AT632" s="27"/>
      <c r="AU632" s="27"/>
      <c r="AV632" s="27"/>
      <c r="AW632" s="27">
        <f t="shared" si="184"/>
        <v>11327216</v>
      </c>
      <c r="AX632" s="79">
        <f t="shared" si="177"/>
        <v>124599401</v>
      </c>
      <c r="AY632" s="79">
        <f t="shared" si="181"/>
        <v>11327216</v>
      </c>
      <c r="AZ632" s="25">
        <f t="shared" si="186"/>
        <v>1</v>
      </c>
      <c r="BA632" s="62"/>
      <c r="BB632" s="25">
        <v>1</v>
      </c>
      <c r="BC632" s="19"/>
      <c r="BD632" s="19"/>
      <c r="BE632" s="67">
        <f t="shared" si="185"/>
        <v>1415902</v>
      </c>
      <c r="BF632" s="67">
        <f t="shared" si="193"/>
        <v>0</v>
      </c>
      <c r="BG632" s="67">
        <f t="shared" si="182"/>
        <v>0</v>
      </c>
      <c r="BH632" s="19"/>
      <c r="BI632" s="19" t="s">
        <v>1896</v>
      </c>
      <c r="BJ632" s="19" t="s">
        <v>1980</v>
      </c>
      <c r="BK632" s="68" t="s">
        <v>1980</v>
      </c>
    </row>
    <row r="633" spans="3:63" ht="15" customHeight="1">
      <c r="C633" s="1" t="str">
        <f t="shared" si="178"/>
        <v>3112</v>
      </c>
      <c r="D633" s="1" t="str">
        <f t="shared" si="179"/>
        <v>2401</v>
      </c>
      <c r="E633" s="19" t="s">
        <v>1895</v>
      </c>
      <c r="F633" s="19" t="s">
        <v>1896</v>
      </c>
      <c r="G633" s="62">
        <v>2112</v>
      </c>
      <c r="H633" s="19" t="s">
        <v>1942</v>
      </c>
      <c r="I633" s="105" t="s">
        <v>1837</v>
      </c>
      <c r="J633" s="86">
        <v>1</v>
      </c>
      <c r="K633" s="19" t="s">
        <v>1293</v>
      </c>
      <c r="L633" s="157" t="s">
        <v>1716</v>
      </c>
      <c r="M633" s="98" t="s">
        <v>1932</v>
      </c>
      <c r="N633" s="101">
        <v>45202</v>
      </c>
      <c r="O633" s="19">
        <v>5527.9341000000004</v>
      </c>
      <c r="P633" s="19">
        <v>24425</v>
      </c>
      <c r="Q633" s="163">
        <f t="shared" si="194"/>
        <v>135019790</v>
      </c>
      <c r="R633" s="70"/>
      <c r="S633" s="19"/>
      <c r="T633" s="164">
        <v>906829</v>
      </c>
      <c r="U633" s="19" t="s">
        <v>1933</v>
      </c>
      <c r="V633" s="74">
        <v>135926619</v>
      </c>
      <c r="W633" s="75"/>
      <c r="X633" s="64">
        <v>135926619</v>
      </c>
      <c r="Y633" s="19"/>
      <c r="Z633" s="19"/>
      <c r="AA633" s="19"/>
      <c r="AB633" s="19"/>
      <c r="AC633" s="64">
        <v>135926619</v>
      </c>
      <c r="AD633" s="63">
        <v>45292</v>
      </c>
      <c r="AE633" s="65">
        <v>48213</v>
      </c>
      <c r="AF633" s="19">
        <v>8</v>
      </c>
      <c r="AG633" s="19">
        <v>96</v>
      </c>
      <c r="AH633" s="25">
        <v>1415902</v>
      </c>
      <c r="AI633" s="92"/>
      <c r="AJ633" s="92"/>
      <c r="AK633" s="27">
        <f t="shared" si="180"/>
        <v>1415902</v>
      </c>
      <c r="AL633" s="27">
        <f t="shared" si="183"/>
        <v>1415902</v>
      </c>
      <c r="AM633" s="27">
        <f t="shared" si="183"/>
        <v>1415902</v>
      </c>
      <c r="AN633" s="27">
        <f t="shared" si="189"/>
        <v>1415902</v>
      </c>
      <c r="AO633" s="27">
        <f t="shared" si="190"/>
        <v>1415902</v>
      </c>
      <c r="AP633" s="27">
        <f t="shared" si="190"/>
        <v>1415902</v>
      </c>
      <c r="AQ633" s="27">
        <f t="shared" si="191"/>
        <v>1415902</v>
      </c>
      <c r="AR633" s="27">
        <f t="shared" si="192"/>
        <v>1415902</v>
      </c>
      <c r="AS633" s="27"/>
      <c r="AT633" s="27"/>
      <c r="AU633" s="27"/>
      <c r="AV633" s="27"/>
      <c r="AW633" s="27">
        <f t="shared" si="184"/>
        <v>11327216</v>
      </c>
      <c r="AX633" s="79">
        <f t="shared" si="177"/>
        <v>124599403</v>
      </c>
      <c r="AY633" s="79">
        <f t="shared" si="181"/>
        <v>11327216</v>
      </c>
      <c r="AZ633" s="25">
        <f t="shared" si="186"/>
        <v>1</v>
      </c>
      <c r="BA633" s="62"/>
      <c r="BB633" s="25">
        <v>1</v>
      </c>
      <c r="BC633" s="19"/>
      <c r="BD633" s="19"/>
      <c r="BE633" s="67">
        <f t="shared" si="185"/>
        <v>1415902</v>
      </c>
      <c r="BF633" s="67">
        <f t="shared" si="193"/>
        <v>0</v>
      </c>
      <c r="BG633" s="67">
        <f t="shared" si="182"/>
        <v>0</v>
      </c>
      <c r="BH633" s="19"/>
      <c r="BI633" s="19" t="s">
        <v>1896</v>
      </c>
      <c r="BJ633" s="19" t="s">
        <v>1980</v>
      </c>
      <c r="BK633" s="68" t="s">
        <v>1980</v>
      </c>
    </row>
    <row r="634" spans="3:63" ht="15" customHeight="1">
      <c r="C634" s="1" t="str">
        <f t="shared" si="178"/>
        <v>3112</v>
      </c>
      <c r="D634" s="1" t="str">
        <f t="shared" si="179"/>
        <v>2401</v>
      </c>
      <c r="E634" s="19" t="s">
        <v>1895</v>
      </c>
      <c r="F634" s="19" t="s">
        <v>1896</v>
      </c>
      <c r="G634" s="62">
        <v>2112</v>
      </c>
      <c r="H634" s="19" t="s">
        <v>1943</v>
      </c>
      <c r="I634" s="105" t="s">
        <v>1837</v>
      </c>
      <c r="J634" s="86">
        <v>1</v>
      </c>
      <c r="K634" s="19" t="s">
        <v>1293</v>
      </c>
      <c r="L634" s="157" t="s">
        <v>1716</v>
      </c>
      <c r="M634" s="98" t="s">
        <v>1932</v>
      </c>
      <c r="N634" s="101">
        <v>45202</v>
      </c>
      <c r="O634" s="19">
        <v>5527.9341000000004</v>
      </c>
      <c r="P634" s="19">
        <v>24425</v>
      </c>
      <c r="Q634" s="163">
        <f t="shared" si="194"/>
        <v>135019790</v>
      </c>
      <c r="R634" s="70"/>
      <c r="S634" s="19"/>
      <c r="T634" s="164">
        <v>906829</v>
      </c>
      <c r="U634" s="19" t="s">
        <v>1933</v>
      </c>
      <c r="V634" s="74">
        <v>135926619</v>
      </c>
      <c r="W634" s="75"/>
      <c r="X634" s="64">
        <v>135926619</v>
      </c>
      <c r="Y634" s="19"/>
      <c r="Z634" s="19"/>
      <c r="AA634" s="19"/>
      <c r="AB634" s="19"/>
      <c r="AC634" s="64">
        <v>135926619</v>
      </c>
      <c r="AD634" s="63">
        <v>45292</v>
      </c>
      <c r="AE634" s="65">
        <v>48213</v>
      </c>
      <c r="AF634" s="19">
        <v>8</v>
      </c>
      <c r="AG634" s="19">
        <v>96</v>
      </c>
      <c r="AH634" s="25">
        <v>1415902</v>
      </c>
      <c r="AI634" s="92"/>
      <c r="AJ634" s="92"/>
      <c r="AK634" s="27">
        <f t="shared" si="180"/>
        <v>1415902</v>
      </c>
      <c r="AL634" s="27">
        <f t="shared" si="183"/>
        <v>1415902</v>
      </c>
      <c r="AM634" s="27">
        <f t="shared" si="183"/>
        <v>1415902</v>
      </c>
      <c r="AN634" s="27">
        <f t="shared" si="189"/>
        <v>1415902</v>
      </c>
      <c r="AO634" s="27">
        <f t="shared" si="190"/>
        <v>1415902</v>
      </c>
      <c r="AP634" s="27">
        <f t="shared" si="190"/>
        <v>1415902</v>
      </c>
      <c r="AQ634" s="27">
        <f t="shared" si="191"/>
        <v>1415902</v>
      </c>
      <c r="AR634" s="27">
        <f t="shared" si="192"/>
        <v>1415902</v>
      </c>
      <c r="AS634" s="27"/>
      <c r="AT634" s="27"/>
      <c r="AU634" s="27"/>
      <c r="AV634" s="27"/>
      <c r="AW634" s="27">
        <f t="shared" si="184"/>
        <v>11327216</v>
      </c>
      <c r="AX634" s="79">
        <f t="shared" si="177"/>
        <v>124599403</v>
      </c>
      <c r="AY634" s="79">
        <f t="shared" si="181"/>
        <v>11327216</v>
      </c>
      <c r="AZ634" s="25">
        <f t="shared" si="186"/>
        <v>1</v>
      </c>
      <c r="BA634" s="62"/>
      <c r="BB634" s="25">
        <v>1</v>
      </c>
      <c r="BC634" s="19"/>
      <c r="BD634" s="19"/>
      <c r="BE634" s="67">
        <f t="shared" si="185"/>
        <v>1415902</v>
      </c>
      <c r="BF634" s="67">
        <f t="shared" si="193"/>
        <v>0</v>
      </c>
      <c r="BG634" s="67">
        <f t="shared" si="182"/>
        <v>0</v>
      </c>
      <c r="BH634" s="19"/>
      <c r="BI634" s="19" t="s">
        <v>1896</v>
      </c>
      <c r="BJ634" s="19" t="s">
        <v>1980</v>
      </c>
      <c r="BK634" s="68" t="s">
        <v>1980</v>
      </c>
    </row>
    <row r="635" spans="3:63" ht="15" customHeight="1">
      <c r="C635" s="1" t="str">
        <f t="shared" si="178"/>
        <v>3112</v>
      </c>
      <c r="D635" s="1" t="str">
        <f t="shared" si="179"/>
        <v>2401</v>
      </c>
      <c r="E635" s="19" t="s">
        <v>1895</v>
      </c>
      <c r="F635" s="19" t="s">
        <v>1896</v>
      </c>
      <c r="G635" s="62">
        <v>2112</v>
      </c>
      <c r="H635" s="19" t="s">
        <v>1944</v>
      </c>
      <c r="I635" s="105" t="s">
        <v>1837</v>
      </c>
      <c r="J635" s="86">
        <v>1</v>
      </c>
      <c r="K635" s="19" t="s">
        <v>1293</v>
      </c>
      <c r="L635" s="157" t="s">
        <v>1716</v>
      </c>
      <c r="M635" s="98" t="s">
        <v>1932</v>
      </c>
      <c r="N635" s="101">
        <v>45202</v>
      </c>
      <c r="O635" s="19">
        <v>5527.9341000000004</v>
      </c>
      <c r="P635" s="19">
        <v>24425</v>
      </c>
      <c r="Q635" s="163">
        <f t="shared" si="194"/>
        <v>135019790</v>
      </c>
      <c r="R635" s="70"/>
      <c r="S635" s="19"/>
      <c r="T635" s="164">
        <v>906829</v>
      </c>
      <c r="U635" s="19" t="s">
        <v>1933</v>
      </c>
      <c r="V635" s="74">
        <v>135926619</v>
      </c>
      <c r="W635" s="75"/>
      <c r="X635" s="64">
        <v>135926619</v>
      </c>
      <c r="Y635" s="19"/>
      <c r="Z635" s="19"/>
      <c r="AA635" s="19"/>
      <c r="AB635" s="19"/>
      <c r="AC635" s="64">
        <v>135926619</v>
      </c>
      <c r="AD635" s="63">
        <v>45292</v>
      </c>
      <c r="AE635" s="65">
        <v>48213</v>
      </c>
      <c r="AF635" s="19">
        <v>8</v>
      </c>
      <c r="AG635" s="19">
        <v>96</v>
      </c>
      <c r="AH635" s="25">
        <v>1415902</v>
      </c>
      <c r="AI635" s="92"/>
      <c r="AJ635" s="92"/>
      <c r="AK635" s="27">
        <f t="shared" si="180"/>
        <v>1415902</v>
      </c>
      <c r="AL635" s="27">
        <f t="shared" si="183"/>
        <v>1415902</v>
      </c>
      <c r="AM635" s="27">
        <f t="shared" si="183"/>
        <v>1415902</v>
      </c>
      <c r="AN635" s="27">
        <f t="shared" si="189"/>
        <v>1415902</v>
      </c>
      <c r="AO635" s="27">
        <f t="shared" si="190"/>
        <v>1415902</v>
      </c>
      <c r="AP635" s="27">
        <f t="shared" si="190"/>
        <v>1415902</v>
      </c>
      <c r="AQ635" s="27">
        <f t="shared" si="191"/>
        <v>1415902</v>
      </c>
      <c r="AR635" s="27">
        <f t="shared" si="192"/>
        <v>1415902</v>
      </c>
      <c r="AS635" s="27"/>
      <c r="AT635" s="27"/>
      <c r="AU635" s="27"/>
      <c r="AV635" s="27"/>
      <c r="AW635" s="27">
        <f t="shared" si="184"/>
        <v>11327216</v>
      </c>
      <c r="AX635" s="79">
        <f t="shared" si="177"/>
        <v>124599403</v>
      </c>
      <c r="AY635" s="79">
        <f t="shared" si="181"/>
        <v>11327216</v>
      </c>
      <c r="AZ635" s="25">
        <f t="shared" si="186"/>
        <v>1</v>
      </c>
      <c r="BA635" s="62"/>
      <c r="BB635" s="25">
        <v>1</v>
      </c>
      <c r="BC635" s="19"/>
      <c r="BD635" s="19"/>
      <c r="BE635" s="67">
        <f t="shared" si="185"/>
        <v>1415902</v>
      </c>
      <c r="BF635" s="67">
        <f t="shared" si="193"/>
        <v>0</v>
      </c>
      <c r="BG635" s="67">
        <f t="shared" si="182"/>
        <v>0</v>
      </c>
      <c r="BH635" s="19"/>
      <c r="BI635" s="19" t="s">
        <v>1896</v>
      </c>
      <c r="BJ635" s="19" t="s">
        <v>1980</v>
      </c>
      <c r="BK635" s="68" t="s">
        <v>1980</v>
      </c>
    </row>
    <row r="636" spans="3:63" ht="15" customHeight="1">
      <c r="C636" s="1" t="str">
        <f t="shared" si="178"/>
        <v>3112</v>
      </c>
      <c r="D636" s="1" t="str">
        <f t="shared" si="179"/>
        <v>2401</v>
      </c>
      <c r="E636" s="19" t="s">
        <v>1895</v>
      </c>
      <c r="F636" s="19" t="s">
        <v>1896</v>
      </c>
      <c r="G636" s="62">
        <v>2112</v>
      </c>
      <c r="H636" s="19" t="s">
        <v>1945</v>
      </c>
      <c r="I636" s="105" t="s">
        <v>1837</v>
      </c>
      <c r="J636" s="86">
        <v>1</v>
      </c>
      <c r="K636" s="19" t="s">
        <v>1293</v>
      </c>
      <c r="L636" s="157" t="s">
        <v>1716</v>
      </c>
      <c r="M636" s="98" t="s">
        <v>1932</v>
      </c>
      <c r="N636" s="101">
        <v>45202</v>
      </c>
      <c r="O636" s="19">
        <v>5527.9341000000004</v>
      </c>
      <c r="P636" s="19">
        <v>24425</v>
      </c>
      <c r="Q636" s="163">
        <f t="shared" si="194"/>
        <v>135019790</v>
      </c>
      <c r="R636" s="70"/>
      <c r="S636" s="19"/>
      <c r="T636" s="164">
        <v>906829</v>
      </c>
      <c r="U636" s="19" t="s">
        <v>1933</v>
      </c>
      <c r="V636" s="74">
        <v>135926619</v>
      </c>
      <c r="W636" s="75"/>
      <c r="X636" s="64">
        <v>135926619</v>
      </c>
      <c r="Y636" s="19"/>
      <c r="Z636" s="19"/>
      <c r="AA636" s="19"/>
      <c r="AB636" s="19"/>
      <c r="AC636" s="64">
        <v>135926619</v>
      </c>
      <c r="AD636" s="63">
        <v>45292</v>
      </c>
      <c r="AE636" s="65">
        <v>48213</v>
      </c>
      <c r="AF636" s="19">
        <v>8</v>
      </c>
      <c r="AG636" s="19">
        <v>96</v>
      </c>
      <c r="AH636" s="25">
        <v>1415902</v>
      </c>
      <c r="AI636" s="92"/>
      <c r="AJ636" s="92"/>
      <c r="AK636" s="27">
        <f t="shared" si="180"/>
        <v>1415902</v>
      </c>
      <c r="AL636" s="27">
        <f t="shared" si="183"/>
        <v>1415902</v>
      </c>
      <c r="AM636" s="27">
        <f t="shared" si="183"/>
        <v>1415902</v>
      </c>
      <c r="AN636" s="27">
        <f t="shared" si="189"/>
        <v>1415902</v>
      </c>
      <c r="AO636" s="27">
        <f t="shared" si="190"/>
        <v>1415902</v>
      </c>
      <c r="AP636" s="27">
        <f t="shared" si="190"/>
        <v>1415902</v>
      </c>
      <c r="AQ636" s="27">
        <f t="shared" si="191"/>
        <v>1415902</v>
      </c>
      <c r="AR636" s="27">
        <f t="shared" si="192"/>
        <v>1415902</v>
      </c>
      <c r="AS636" s="27"/>
      <c r="AT636" s="27"/>
      <c r="AU636" s="27"/>
      <c r="AV636" s="27"/>
      <c r="AW636" s="27">
        <f t="shared" si="184"/>
        <v>11327216</v>
      </c>
      <c r="AX636" s="79">
        <f t="shared" ref="AX636:AX695" si="195">AC636-AI636-AW636</f>
        <v>124599403</v>
      </c>
      <c r="AY636" s="79">
        <f t="shared" si="181"/>
        <v>11327216</v>
      </c>
      <c r="AZ636" s="25">
        <f t="shared" si="186"/>
        <v>1</v>
      </c>
      <c r="BA636" s="62"/>
      <c r="BB636" s="25">
        <v>1</v>
      </c>
      <c r="BC636" s="19"/>
      <c r="BD636" s="19"/>
      <c r="BE636" s="67">
        <f t="shared" si="185"/>
        <v>1415902</v>
      </c>
      <c r="BF636" s="67">
        <f t="shared" si="193"/>
        <v>0</v>
      </c>
      <c r="BG636" s="67">
        <f t="shared" si="182"/>
        <v>0</v>
      </c>
      <c r="BH636" s="19"/>
      <c r="BI636" s="19" t="s">
        <v>1896</v>
      </c>
      <c r="BJ636" s="19" t="s">
        <v>1980</v>
      </c>
      <c r="BK636" s="68" t="s">
        <v>1980</v>
      </c>
    </row>
    <row r="637" spans="3:63" ht="15" customHeight="1">
      <c r="C637" s="1" t="str">
        <f t="shared" si="178"/>
        <v>3112</v>
      </c>
      <c r="D637" s="1" t="str">
        <f t="shared" si="179"/>
        <v>2401</v>
      </c>
      <c r="E637" s="19" t="s">
        <v>1895</v>
      </c>
      <c r="F637" s="19" t="s">
        <v>1896</v>
      </c>
      <c r="G637" s="62">
        <v>2112</v>
      </c>
      <c r="H637" s="19" t="s">
        <v>1946</v>
      </c>
      <c r="I637" s="105" t="s">
        <v>1837</v>
      </c>
      <c r="J637" s="86">
        <v>1</v>
      </c>
      <c r="K637" s="19" t="s">
        <v>1293</v>
      </c>
      <c r="L637" s="157" t="s">
        <v>1716</v>
      </c>
      <c r="M637" s="98" t="s">
        <v>1932</v>
      </c>
      <c r="N637" s="101">
        <v>45202</v>
      </c>
      <c r="O637" s="19">
        <v>5527.9341000000004</v>
      </c>
      <c r="P637" s="19">
        <v>24425</v>
      </c>
      <c r="Q637" s="163">
        <f t="shared" si="194"/>
        <v>135019790</v>
      </c>
      <c r="R637" s="70"/>
      <c r="S637" s="19"/>
      <c r="T637" s="164">
        <v>906829</v>
      </c>
      <c r="U637" s="19" t="s">
        <v>1933</v>
      </c>
      <c r="V637" s="74">
        <v>135926619</v>
      </c>
      <c r="W637" s="75"/>
      <c r="X637" s="64">
        <v>135926619</v>
      </c>
      <c r="Y637" s="19"/>
      <c r="Z637" s="19"/>
      <c r="AA637" s="19"/>
      <c r="AB637" s="19"/>
      <c r="AC637" s="64">
        <v>135926619</v>
      </c>
      <c r="AD637" s="63">
        <v>45292</v>
      </c>
      <c r="AE637" s="65">
        <v>48213</v>
      </c>
      <c r="AF637" s="19">
        <v>8</v>
      </c>
      <c r="AG637" s="19">
        <v>96</v>
      </c>
      <c r="AH637" s="25">
        <v>1415902</v>
      </c>
      <c r="AI637" s="92"/>
      <c r="AJ637" s="92"/>
      <c r="AK637" s="27">
        <f>+IF(AND(AK$3&gt;=$D637,AK$3&lt;$C637),$AH637,$AJ637)</f>
        <v>1415902</v>
      </c>
      <c r="AL637" s="27">
        <f t="shared" si="183"/>
        <v>1415902</v>
      </c>
      <c r="AM637" s="27">
        <f t="shared" si="183"/>
        <v>1415902</v>
      </c>
      <c r="AN637" s="27">
        <f t="shared" si="189"/>
        <v>1415902</v>
      </c>
      <c r="AO637" s="27">
        <f t="shared" si="190"/>
        <v>1415902</v>
      </c>
      <c r="AP637" s="27">
        <f t="shared" si="190"/>
        <v>1415902</v>
      </c>
      <c r="AQ637" s="27">
        <f t="shared" si="191"/>
        <v>1415902</v>
      </c>
      <c r="AR637" s="27">
        <f t="shared" si="192"/>
        <v>1415902</v>
      </c>
      <c r="AS637" s="27"/>
      <c r="AT637" s="27"/>
      <c r="AU637" s="27"/>
      <c r="AV637" s="27"/>
      <c r="AW637" s="27">
        <f t="shared" si="184"/>
        <v>11327216</v>
      </c>
      <c r="AX637" s="79">
        <f t="shared" si="195"/>
        <v>124599403</v>
      </c>
      <c r="AY637" s="79">
        <f t="shared" si="181"/>
        <v>11327216</v>
      </c>
      <c r="AZ637" s="25">
        <f t="shared" si="186"/>
        <v>1</v>
      </c>
      <c r="BA637" s="62"/>
      <c r="BB637" s="25">
        <v>1</v>
      </c>
      <c r="BC637" s="19"/>
      <c r="BD637" s="19"/>
      <c r="BE637" s="67">
        <f t="shared" si="185"/>
        <v>1415902</v>
      </c>
      <c r="BF637" s="67">
        <f t="shared" si="193"/>
        <v>0</v>
      </c>
      <c r="BG637" s="67">
        <f t="shared" si="182"/>
        <v>0</v>
      </c>
      <c r="BH637" s="19"/>
      <c r="BI637" s="19" t="s">
        <v>1896</v>
      </c>
      <c r="BJ637" s="19" t="s">
        <v>1980</v>
      </c>
      <c r="BK637" s="68" t="s">
        <v>1980</v>
      </c>
    </row>
    <row r="638" spans="3:63" ht="15" customHeight="1">
      <c r="C638" s="1" t="str">
        <f t="shared" ref="C638:C681" si="196">+RIGHT(YEAR(AE638),2)&amp;IF(LEN(MONTH(AE638))=2,MONTH(AE638),"0"&amp;MONTH(AE638))</f>
        <v>3112</v>
      </c>
      <c r="D638" s="1" t="str">
        <f t="shared" ref="D638:D681" si="197">+RIGHT(YEAR(AD638),2)&amp;IF(LEN(MONTH(AD638))=2,MONTH(AD638),"0"&amp;MONTH(AD638))</f>
        <v>2401</v>
      </c>
      <c r="E638" s="19" t="s">
        <v>1895</v>
      </c>
      <c r="F638" s="19" t="s">
        <v>1896</v>
      </c>
      <c r="G638" s="62">
        <v>2112</v>
      </c>
      <c r="H638" s="19" t="s">
        <v>1947</v>
      </c>
      <c r="I638" s="105" t="s">
        <v>1837</v>
      </c>
      <c r="J638" s="86">
        <v>1</v>
      </c>
      <c r="K638" s="19" t="s">
        <v>1293</v>
      </c>
      <c r="L638" s="157" t="s">
        <v>1716</v>
      </c>
      <c r="M638" s="98" t="s">
        <v>1932</v>
      </c>
      <c r="N638" s="101">
        <v>45202</v>
      </c>
      <c r="O638" s="19">
        <v>5527.9341000000004</v>
      </c>
      <c r="P638" s="19">
        <v>24425</v>
      </c>
      <c r="Q638" s="163">
        <f t="shared" si="194"/>
        <v>135019790</v>
      </c>
      <c r="R638" s="70"/>
      <c r="S638" s="19"/>
      <c r="T638" s="164">
        <v>906829</v>
      </c>
      <c r="U638" s="19" t="s">
        <v>1933</v>
      </c>
      <c r="V638" s="74">
        <v>135926619</v>
      </c>
      <c r="W638" s="75"/>
      <c r="X638" s="64">
        <v>135926619</v>
      </c>
      <c r="Y638" s="19"/>
      <c r="Z638" s="19"/>
      <c r="AA638" s="19"/>
      <c r="AB638" s="19"/>
      <c r="AC638" s="64">
        <v>135926619</v>
      </c>
      <c r="AD638" s="63">
        <v>45292</v>
      </c>
      <c r="AE638" s="65">
        <v>48213</v>
      </c>
      <c r="AF638" s="19">
        <v>8</v>
      </c>
      <c r="AG638" s="19">
        <v>96</v>
      </c>
      <c r="AH638" s="25">
        <v>1415902</v>
      </c>
      <c r="AI638" s="92"/>
      <c r="AJ638" s="92"/>
      <c r="AK638" s="27">
        <f t="shared" si="180"/>
        <v>1415902</v>
      </c>
      <c r="AL638" s="27">
        <f t="shared" si="183"/>
        <v>1415902</v>
      </c>
      <c r="AM638" s="27">
        <f t="shared" si="183"/>
        <v>1415902</v>
      </c>
      <c r="AN638" s="27">
        <f t="shared" si="189"/>
        <v>1415902</v>
      </c>
      <c r="AO638" s="27">
        <f t="shared" si="190"/>
        <v>1415902</v>
      </c>
      <c r="AP638" s="27">
        <f t="shared" si="190"/>
        <v>1415902</v>
      </c>
      <c r="AQ638" s="27">
        <f t="shared" si="191"/>
        <v>1415902</v>
      </c>
      <c r="AR638" s="27">
        <f t="shared" si="192"/>
        <v>1415902</v>
      </c>
      <c r="AS638" s="27"/>
      <c r="AT638" s="27"/>
      <c r="AU638" s="27"/>
      <c r="AV638" s="27"/>
      <c r="AW638" s="27">
        <f t="shared" si="184"/>
        <v>11327216</v>
      </c>
      <c r="AX638" s="79">
        <f t="shared" si="195"/>
        <v>124599403</v>
      </c>
      <c r="AY638" s="79">
        <f t="shared" ref="AY638:AY697" si="198">AW638+AI638</f>
        <v>11327216</v>
      </c>
      <c r="AZ638" s="25">
        <f t="shared" si="186"/>
        <v>1</v>
      </c>
      <c r="BA638" s="62"/>
      <c r="BB638" s="25">
        <v>1</v>
      </c>
      <c r="BC638" s="19"/>
      <c r="BD638" s="19"/>
      <c r="BE638" s="67">
        <f t="shared" si="185"/>
        <v>1415902</v>
      </c>
      <c r="BF638" s="67">
        <f t="shared" si="193"/>
        <v>0</v>
      </c>
      <c r="BG638" s="67">
        <f t="shared" si="182"/>
        <v>0</v>
      </c>
      <c r="BH638" s="19"/>
      <c r="BI638" s="19" t="s">
        <v>1896</v>
      </c>
      <c r="BJ638" s="19" t="s">
        <v>1980</v>
      </c>
      <c r="BK638" s="68" t="s">
        <v>1980</v>
      </c>
    </row>
    <row r="639" spans="3:63" ht="15" customHeight="1">
      <c r="C639" s="1" t="str">
        <f t="shared" si="196"/>
        <v>3112</v>
      </c>
      <c r="D639" s="1" t="str">
        <f t="shared" si="197"/>
        <v>2401</v>
      </c>
      <c r="E639" s="19" t="s">
        <v>1895</v>
      </c>
      <c r="F639" s="19" t="s">
        <v>1896</v>
      </c>
      <c r="G639" s="62">
        <v>2112</v>
      </c>
      <c r="H639" s="19" t="s">
        <v>1948</v>
      </c>
      <c r="I639" s="105" t="s">
        <v>1837</v>
      </c>
      <c r="J639" s="86">
        <v>1</v>
      </c>
      <c r="K639" s="19" t="s">
        <v>1293</v>
      </c>
      <c r="L639" s="157" t="s">
        <v>1716</v>
      </c>
      <c r="M639" s="98" t="s">
        <v>1932</v>
      </c>
      <c r="N639" s="101">
        <v>45202</v>
      </c>
      <c r="O639" s="19">
        <v>5527.9341000000004</v>
      </c>
      <c r="P639" s="19">
        <v>24425</v>
      </c>
      <c r="Q639" s="163">
        <f t="shared" si="194"/>
        <v>135019790</v>
      </c>
      <c r="R639" s="70"/>
      <c r="S639" s="19"/>
      <c r="T639" s="164">
        <v>906829</v>
      </c>
      <c r="U639" s="19" t="s">
        <v>1933</v>
      </c>
      <c r="V639" s="74">
        <v>135926619</v>
      </c>
      <c r="W639" s="75"/>
      <c r="X639" s="64">
        <v>135926619</v>
      </c>
      <c r="Y639" s="19"/>
      <c r="Z639" s="19"/>
      <c r="AA639" s="19"/>
      <c r="AB639" s="19"/>
      <c r="AC639" s="64">
        <v>135926619</v>
      </c>
      <c r="AD639" s="63">
        <v>45292</v>
      </c>
      <c r="AE639" s="65">
        <v>48213</v>
      </c>
      <c r="AF639" s="19">
        <v>8</v>
      </c>
      <c r="AG639" s="19">
        <v>96</v>
      </c>
      <c r="AH639" s="25">
        <v>1415902</v>
      </c>
      <c r="AI639" s="92"/>
      <c r="AJ639" s="92"/>
      <c r="AK639" s="27">
        <f t="shared" si="180"/>
        <v>1415902</v>
      </c>
      <c r="AL639" s="27">
        <f t="shared" si="183"/>
        <v>1415902</v>
      </c>
      <c r="AM639" s="27">
        <f t="shared" si="183"/>
        <v>1415902</v>
      </c>
      <c r="AN639" s="27">
        <f t="shared" si="189"/>
        <v>1415902</v>
      </c>
      <c r="AO639" s="27">
        <f t="shared" si="190"/>
        <v>1415902</v>
      </c>
      <c r="AP639" s="27">
        <f t="shared" si="190"/>
        <v>1415902</v>
      </c>
      <c r="AQ639" s="27">
        <f t="shared" si="191"/>
        <v>1415902</v>
      </c>
      <c r="AR639" s="27">
        <f t="shared" si="192"/>
        <v>1415902</v>
      </c>
      <c r="AS639" s="27"/>
      <c r="AT639" s="27"/>
      <c r="AU639" s="27"/>
      <c r="AV639" s="27"/>
      <c r="AW639" s="27">
        <f t="shared" si="184"/>
        <v>11327216</v>
      </c>
      <c r="AX639" s="79">
        <f t="shared" si="195"/>
        <v>124599403</v>
      </c>
      <c r="AY639" s="79">
        <f t="shared" si="198"/>
        <v>11327216</v>
      </c>
      <c r="AZ639" s="25">
        <f t="shared" si="186"/>
        <v>1</v>
      </c>
      <c r="BA639" s="62"/>
      <c r="BB639" s="25">
        <v>1</v>
      </c>
      <c r="BC639" s="19"/>
      <c r="BD639" s="19"/>
      <c r="BE639" s="67">
        <f t="shared" si="185"/>
        <v>1415902</v>
      </c>
      <c r="BF639" s="67">
        <f t="shared" si="193"/>
        <v>0</v>
      </c>
      <c r="BG639" s="67">
        <f t="shared" si="182"/>
        <v>0</v>
      </c>
      <c r="BH639" s="19"/>
      <c r="BI639" s="19" t="s">
        <v>1896</v>
      </c>
      <c r="BJ639" s="19" t="s">
        <v>1980</v>
      </c>
      <c r="BK639" s="68" t="s">
        <v>1980</v>
      </c>
    </row>
    <row r="640" spans="3:63" ht="15" customHeight="1">
      <c r="C640" s="1" t="str">
        <f t="shared" si="196"/>
        <v>3112</v>
      </c>
      <c r="D640" s="1" t="str">
        <f t="shared" si="197"/>
        <v>2401</v>
      </c>
      <c r="E640" s="19" t="s">
        <v>1895</v>
      </c>
      <c r="F640" s="19" t="s">
        <v>1896</v>
      </c>
      <c r="G640" s="62">
        <v>2112</v>
      </c>
      <c r="H640" s="19" t="s">
        <v>1949</v>
      </c>
      <c r="I640" s="105" t="s">
        <v>1837</v>
      </c>
      <c r="J640" s="86">
        <v>1</v>
      </c>
      <c r="K640" s="19" t="s">
        <v>1293</v>
      </c>
      <c r="L640" s="157" t="s">
        <v>1716</v>
      </c>
      <c r="M640" s="98" t="s">
        <v>1932</v>
      </c>
      <c r="N640" s="101">
        <v>45202</v>
      </c>
      <c r="O640" s="19">
        <v>5527.9341000000004</v>
      </c>
      <c r="P640" s="19">
        <v>24425</v>
      </c>
      <c r="Q640" s="163">
        <f t="shared" si="194"/>
        <v>135019790</v>
      </c>
      <c r="R640" s="70"/>
      <c r="S640" s="19"/>
      <c r="T640" s="164">
        <v>906829</v>
      </c>
      <c r="U640" s="19" t="s">
        <v>1933</v>
      </c>
      <c r="V640" s="74">
        <v>135926619</v>
      </c>
      <c r="W640" s="75"/>
      <c r="X640" s="64">
        <v>135926619</v>
      </c>
      <c r="Y640" s="19"/>
      <c r="Z640" s="19"/>
      <c r="AA640" s="19"/>
      <c r="AB640" s="19"/>
      <c r="AC640" s="64">
        <v>135926619</v>
      </c>
      <c r="AD640" s="63">
        <v>45292</v>
      </c>
      <c r="AE640" s="65">
        <v>48213</v>
      </c>
      <c r="AF640" s="19">
        <v>8</v>
      </c>
      <c r="AG640" s="19">
        <v>96</v>
      </c>
      <c r="AH640" s="25">
        <v>1415902</v>
      </c>
      <c r="AI640" s="92"/>
      <c r="AJ640" s="92"/>
      <c r="AK640" s="27">
        <f t="shared" si="180"/>
        <v>1415902</v>
      </c>
      <c r="AL640" s="27">
        <f t="shared" si="183"/>
        <v>1415902</v>
      </c>
      <c r="AM640" s="27">
        <f t="shared" si="183"/>
        <v>1415902</v>
      </c>
      <c r="AN640" s="27">
        <f t="shared" si="189"/>
        <v>1415902</v>
      </c>
      <c r="AO640" s="27">
        <f t="shared" si="190"/>
        <v>1415902</v>
      </c>
      <c r="AP640" s="27">
        <f t="shared" si="190"/>
        <v>1415902</v>
      </c>
      <c r="AQ640" s="27">
        <f t="shared" si="191"/>
        <v>1415902</v>
      </c>
      <c r="AR640" s="27">
        <f t="shared" si="192"/>
        <v>1415902</v>
      </c>
      <c r="AS640" s="27"/>
      <c r="AT640" s="27"/>
      <c r="AU640" s="27"/>
      <c r="AV640" s="27"/>
      <c r="AW640" s="27">
        <f t="shared" si="184"/>
        <v>11327216</v>
      </c>
      <c r="AX640" s="79">
        <f t="shared" si="195"/>
        <v>124599403</v>
      </c>
      <c r="AY640" s="79">
        <f t="shared" si="198"/>
        <v>11327216</v>
      </c>
      <c r="AZ640" s="25">
        <f t="shared" si="186"/>
        <v>1</v>
      </c>
      <c r="BA640" s="62"/>
      <c r="BB640" s="25">
        <v>1</v>
      </c>
      <c r="BC640" s="19"/>
      <c r="BD640" s="19"/>
      <c r="BE640" s="67">
        <f t="shared" si="185"/>
        <v>1415902</v>
      </c>
      <c r="BF640" s="67">
        <f t="shared" si="193"/>
        <v>0</v>
      </c>
      <c r="BG640" s="67">
        <f t="shared" si="182"/>
        <v>0</v>
      </c>
      <c r="BH640" s="19"/>
      <c r="BI640" s="19" t="s">
        <v>1896</v>
      </c>
      <c r="BJ640" s="19" t="s">
        <v>1980</v>
      </c>
      <c r="BK640" s="68" t="s">
        <v>1980</v>
      </c>
    </row>
    <row r="641" spans="3:63" ht="15" customHeight="1">
      <c r="C641" s="1" t="str">
        <f t="shared" si="196"/>
        <v>3112</v>
      </c>
      <c r="D641" s="1" t="str">
        <f t="shared" si="197"/>
        <v>2401</v>
      </c>
      <c r="E641" s="19" t="s">
        <v>1895</v>
      </c>
      <c r="F641" s="19" t="s">
        <v>1896</v>
      </c>
      <c r="G641" s="62">
        <v>2112</v>
      </c>
      <c r="H641" s="19" t="s">
        <v>1950</v>
      </c>
      <c r="I641" s="105" t="s">
        <v>1837</v>
      </c>
      <c r="J641" s="86">
        <v>1</v>
      </c>
      <c r="K641" s="19" t="s">
        <v>1293</v>
      </c>
      <c r="L641" s="157" t="s">
        <v>1716</v>
      </c>
      <c r="M641" s="98" t="s">
        <v>1932</v>
      </c>
      <c r="N641" s="101">
        <v>45202</v>
      </c>
      <c r="O641" s="19">
        <v>5527.9341000000004</v>
      </c>
      <c r="P641" s="19">
        <v>24425</v>
      </c>
      <c r="Q641" s="163">
        <f t="shared" si="194"/>
        <v>135019790</v>
      </c>
      <c r="R641" s="70"/>
      <c r="S641" s="19"/>
      <c r="T641" s="164">
        <v>906829</v>
      </c>
      <c r="U641" s="19" t="s">
        <v>1933</v>
      </c>
      <c r="V641" s="74">
        <v>135926619</v>
      </c>
      <c r="W641" s="75"/>
      <c r="X641" s="64">
        <v>135926619</v>
      </c>
      <c r="Y641" s="19"/>
      <c r="Z641" s="19"/>
      <c r="AA641" s="19"/>
      <c r="AB641" s="19"/>
      <c r="AC641" s="64">
        <v>135926619</v>
      </c>
      <c r="AD641" s="63">
        <v>45292</v>
      </c>
      <c r="AE641" s="65">
        <v>48213</v>
      </c>
      <c r="AF641" s="19">
        <v>8</v>
      </c>
      <c r="AG641" s="19">
        <v>96</v>
      </c>
      <c r="AH641" s="25">
        <v>1415902</v>
      </c>
      <c r="AI641" s="92"/>
      <c r="AJ641" s="92"/>
      <c r="AK641" s="27">
        <f t="shared" si="180"/>
        <v>1415902</v>
      </c>
      <c r="AL641" s="27">
        <f t="shared" si="183"/>
        <v>1415902</v>
      </c>
      <c r="AM641" s="27">
        <f t="shared" si="183"/>
        <v>1415902</v>
      </c>
      <c r="AN641" s="27">
        <f t="shared" si="189"/>
        <v>1415902</v>
      </c>
      <c r="AO641" s="27">
        <f t="shared" si="190"/>
        <v>1415902</v>
      </c>
      <c r="AP641" s="27">
        <f t="shared" si="190"/>
        <v>1415902</v>
      </c>
      <c r="AQ641" s="27">
        <f t="shared" si="191"/>
        <v>1415902</v>
      </c>
      <c r="AR641" s="27">
        <f t="shared" si="192"/>
        <v>1415902</v>
      </c>
      <c r="AS641" s="27"/>
      <c r="AT641" s="27"/>
      <c r="AU641" s="27"/>
      <c r="AV641" s="27"/>
      <c r="AW641" s="27">
        <f t="shared" si="184"/>
        <v>11327216</v>
      </c>
      <c r="AX641" s="79">
        <f t="shared" si="195"/>
        <v>124599403</v>
      </c>
      <c r="AY641" s="79">
        <f t="shared" si="198"/>
        <v>11327216</v>
      </c>
      <c r="AZ641" s="25">
        <f t="shared" si="186"/>
        <v>1</v>
      </c>
      <c r="BA641" s="62"/>
      <c r="BB641" s="25">
        <v>1</v>
      </c>
      <c r="BC641" s="19"/>
      <c r="BD641" s="19"/>
      <c r="BE641" s="67">
        <f t="shared" si="185"/>
        <v>1415902</v>
      </c>
      <c r="BF641" s="67">
        <f t="shared" si="193"/>
        <v>0</v>
      </c>
      <c r="BG641" s="67">
        <f t="shared" ref="BG641:BG666" si="199">+$AL641*BD641</f>
        <v>0</v>
      </c>
      <c r="BH641" s="19"/>
      <c r="BI641" s="19" t="s">
        <v>1896</v>
      </c>
      <c r="BJ641" s="19" t="s">
        <v>1980</v>
      </c>
      <c r="BK641" s="68" t="s">
        <v>1980</v>
      </c>
    </row>
    <row r="642" spans="3:63" ht="15" customHeight="1">
      <c r="C642" s="1" t="str">
        <f t="shared" si="196"/>
        <v>3112</v>
      </c>
      <c r="D642" s="1" t="str">
        <f t="shared" si="197"/>
        <v>2401</v>
      </c>
      <c r="E642" s="19" t="s">
        <v>1895</v>
      </c>
      <c r="F642" s="19" t="s">
        <v>1896</v>
      </c>
      <c r="G642" s="62">
        <v>2112</v>
      </c>
      <c r="H642" s="19" t="s">
        <v>1951</v>
      </c>
      <c r="I642" s="105" t="s">
        <v>1838</v>
      </c>
      <c r="J642" s="86">
        <v>1</v>
      </c>
      <c r="K642" s="19" t="s">
        <v>1293</v>
      </c>
      <c r="L642" s="157" t="s">
        <v>1716</v>
      </c>
      <c r="M642" s="98" t="s">
        <v>1932</v>
      </c>
      <c r="N642" s="101">
        <v>45202</v>
      </c>
      <c r="O642" s="19">
        <v>5527.9340000000002</v>
      </c>
      <c r="P642" s="19">
        <v>24425</v>
      </c>
      <c r="Q642" s="163">
        <f t="shared" si="194"/>
        <v>135019788</v>
      </c>
      <c r="R642" s="70"/>
      <c r="S642" s="19"/>
      <c r="T642" s="164">
        <v>906829</v>
      </c>
      <c r="U642" s="19" t="s">
        <v>1933</v>
      </c>
      <c r="V642" s="74">
        <v>135926617</v>
      </c>
      <c r="W642" s="75"/>
      <c r="X642" s="64">
        <v>135926617</v>
      </c>
      <c r="Y642" s="19"/>
      <c r="Z642" s="19"/>
      <c r="AA642" s="19"/>
      <c r="AB642" s="19"/>
      <c r="AC642" s="64">
        <v>135926617</v>
      </c>
      <c r="AD642" s="63">
        <v>45292</v>
      </c>
      <c r="AE642" s="65">
        <v>48213</v>
      </c>
      <c r="AF642" s="19">
        <v>8</v>
      </c>
      <c r="AG642" s="19">
        <v>96</v>
      </c>
      <c r="AH642" s="25">
        <v>1415902</v>
      </c>
      <c r="AI642" s="92"/>
      <c r="AJ642" s="92"/>
      <c r="AK642" s="27">
        <f t="shared" si="180"/>
        <v>1415902</v>
      </c>
      <c r="AL642" s="27">
        <f t="shared" si="183"/>
        <v>1415902</v>
      </c>
      <c r="AM642" s="27">
        <f t="shared" si="183"/>
        <v>1415902</v>
      </c>
      <c r="AN642" s="27">
        <f t="shared" si="189"/>
        <v>1415902</v>
      </c>
      <c r="AO642" s="27">
        <f t="shared" si="190"/>
        <v>1415902</v>
      </c>
      <c r="AP642" s="27">
        <f t="shared" si="190"/>
        <v>1415902</v>
      </c>
      <c r="AQ642" s="27">
        <f t="shared" si="191"/>
        <v>1415902</v>
      </c>
      <c r="AR642" s="27">
        <f t="shared" si="192"/>
        <v>1415902</v>
      </c>
      <c r="AS642" s="27"/>
      <c r="AT642" s="27"/>
      <c r="AU642" s="27"/>
      <c r="AV642" s="27"/>
      <c r="AW642" s="27">
        <f t="shared" si="184"/>
        <v>11327216</v>
      </c>
      <c r="AX642" s="79">
        <f t="shared" si="195"/>
        <v>124599401</v>
      </c>
      <c r="AY642" s="79">
        <f t="shared" si="198"/>
        <v>11327216</v>
      </c>
      <c r="AZ642" s="25">
        <f t="shared" si="186"/>
        <v>1</v>
      </c>
      <c r="BA642" s="62"/>
      <c r="BB642" s="25">
        <v>1</v>
      </c>
      <c r="BC642" s="19"/>
      <c r="BD642" s="19"/>
      <c r="BE642" s="67">
        <f t="shared" si="185"/>
        <v>1415902</v>
      </c>
      <c r="BF642" s="67">
        <f t="shared" si="193"/>
        <v>0</v>
      </c>
      <c r="BG642" s="67">
        <f t="shared" si="199"/>
        <v>0</v>
      </c>
      <c r="BH642" s="19"/>
      <c r="BI642" s="19" t="s">
        <v>1896</v>
      </c>
      <c r="BJ642" s="19" t="s">
        <v>1980</v>
      </c>
      <c r="BK642" s="68" t="s">
        <v>1980</v>
      </c>
    </row>
    <row r="643" spans="3:63" ht="15" customHeight="1">
      <c r="C643" s="1" t="str">
        <f t="shared" si="196"/>
        <v>3112</v>
      </c>
      <c r="D643" s="1" t="str">
        <f t="shared" si="197"/>
        <v>2401</v>
      </c>
      <c r="E643" s="19" t="s">
        <v>1895</v>
      </c>
      <c r="F643" s="19" t="s">
        <v>1896</v>
      </c>
      <c r="G643" s="62">
        <v>2112</v>
      </c>
      <c r="H643" s="19" t="s">
        <v>1952</v>
      </c>
      <c r="I643" s="105" t="s">
        <v>1838</v>
      </c>
      <c r="J643" s="86">
        <v>1</v>
      </c>
      <c r="K643" s="19" t="s">
        <v>1293</v>
      </c>
      <c r="L643" s="157" t="s">
        <v>1716</v>
      </c>
      <c r="M643" s="98" t="s">
        <v>1932</v>
      </c>
      <c r="N643" s="101">
        <v>45202</v>
      </c>
      <c r="O643" s="19">
        <v>5527.9340000000002</v>
      </c>
      <c r="P643" s="19">
        <v>24425</v>
      </c>
      <c r="Q643" s="163">
        <f t="shared" si="194"/>
        <v>135019788</v>
      </c>
      <c r="R643" s="70"/>
      <c r="S643" s="19"/>
      <c r="T643" s="164">
        <v>906829</v>
      </c>
      <c r="U643" s="19" t="s">
        <v>1933</v>
      </c>
      <c r="V643" s="74">
        <v>135926617</v>
      </c>
      <c r="W643" s="75"/>
      <c r="X643" s="64">
        <v>135926617</v>
      </c>
      <c r="Y643" s="19"/>
      <c r="Z643" s="19"/>
      <c r="AA643" s="19"/>
      <c r="AB643" s="19"/>
      <c r="AC643" s="64">
        <v>135926617</v>
      </c>
      <c r="AD643" s="63">
        <v>45292</v>
      </c>
      <c r="AE643" s="65">
        <v>48213</v>
      </c>
      <c r="AF643" s="19">
        <v>8</v>
      </c>
      <c r="AG643" s="19">
        <v>96</v>
      </c>
      <c r="AH643" s="25">
        <v>1415902</v>
      </c>
      <c r="AI643" s="92"/>
      <c r="AJ643" s="92"/>
      <c r="AK643" s="27">
        <f t="shared" si="180"/>
        <v>1415902</v>
      </c>
      <c r="AL643" s="27">
        <f t="shared" si="183"/>
        <v>1415902</v>
      </c>
      <c r="AM643" s="27">
        <f t="shared" si="183"/>
        <v>1415902</v>
      </c>
      <c r="AN643" s="27">
        <f t="shared" si="189"/>
        <v>1415902</v>
      </c>
      <c r="AO643" s="27">
        <f t="shared" si="190"/>
        <v>1415902</v>
      </c>
      <c r="AP643" s="27">
        <f t="shared" si="190"/>
        <v>1415902</v>
      </c>
      <c r="AQ643" s="27">
        <f t="shared" si="191"/>
        <v>1415902</v>
      </c>
      <c r="AR643" s="27">
        <f t="shared" si="192"/>
        <v>1415902</v>
      </c>
      <c r="AS643" s="27"/>
      <c r="AT643" s="27"/>
      <c r="AU643" s="27"/>
      <c r="AV643" s="27"/>
      <c r="AW643" s="27">
        <f t="shared" si="184"/>
        <v>11327216</v>
      </c>
      <c r="AX643" s="79">
        <f t="shared" si="195"/>
        <v>124599401</v>
      </c>
      <c r="AY643" s="79">
        <f t="shared" si="198"/>
        <v>11327216</v>
      </c>
      <c r="AZ643" s="25">
        <f t="shared" si="186"/>
        <v>1</v>
      </c>
      <c r="BA643" s="62"/>
      <c r="BB643" s="25">
        <v>1</v>
      </c>
      <c r="BC643" s="19"/>
      <c r="BD643" s="19"/>
      <c r="BE643" s="67">
        <f t="shared" si="185"/>
        <v>1415902</v>
      </c>
      <c r="BF643" s="67">
        <f t="shared" si="193"/>
        <v>0</v>
      </c>
      <c r="BG643" s="67">
        <f t="shared" si="199"/>
        <v>0</v>
      </c>
      <c r="BH643" s="19"/>
      <c r="BI643" s="19" t="s">
        <v>1896</v>
      </c>
      <c r="BJ643" s="19" t="s">
        <v>1980</v>
      </c>
      <c r="BK643" s="68" t="s">
        <v>1980</v>
      </c>
    </row>
    <row r="644" spans="3:63" ht="15" customHeight="1">
      <c r="C644" s="1" t="str">
        <f t="shared" si="196"/>
        <v>3112</v>
      </c>
      <c r="D644" s="1" t="str">
        <f t="shared" si="197"/>
        <v>2401</v>
      </c>
      <c r="E644" s="19" t="s">
        <v>1895</v>
      </c>
      <c r="F644" s="19" t="s">
        <v>1896</v>
      </c>
      <c r="G644" s="62">
        <v>2112</v>
      </c>
      <c r="H644" s="19" t="s">
        <v>1953</v>
      </c>
      <c r="I644" s="105" t="s">
        <v>1838</v>
      </c>
      <c r="J644" s="86">
        <v>1</v>
      </c>
      <c r="K644" s="19" t="s">
        <v>1293</v>
      </c>
      <c r="L644" s="157" t="s">
        <v>1716</v>
      </c>
      <c r="M644" s="98" t="s">
        <v>1932</v>
      </c>
      <c r="N644" s="101">
        <v>45202</v>
      </c>
      <c r="O644" s="19">
        <v>5527.9340000000002</v>
      </c>
      <c r="P644" s="19">
        <v>24425</v>
      </c>
      <c r="Q644" s="163">
        <f t="shared" si="194"/>
        <v>135019788</v>
      </c>
      <c r="R644" s="70"/>
      <c r="S644" s="19"/>
      <c r="T644" s="164">
        <v>906829</v>
      </c>
      <c r="U644" s="19" t="s">
        <v>1933</v>
      </c>
      <c r="V644" s="74">
        <v>135926617</v>
      </c>
      <c r="W644" s="75"/>
      <c r="X644" s="64">
        <v>135926617</v>
      </c>
      <c r="Y644" s="19"/>
      <c r="Z644" s="19"/>
      <c r="AA644" s="19"/>
      <c r="AB644" s="19"/>
      <c r="AC644" s="64">
        <v>135926617</v>
      </c>
      <c r="AD644" s="63">
        <v>45292</v>
      </c>
      <c r="AE644" s="65">
        <v>48213</v>
      </c>
      <c r="AF644" s="19">
        <v>8</v>
      </c>
      <c r="AG644" s="19">
        <v>96</v>
      </c>
      <c r="AH644" s="25">
        <v>1415902</v>
      </c>
      <c r="AI644" s="92"/>
      <c r="AJ644" s="92"/>
      <c r="AK644" s="27">
        <f t="shared" si="180"/>
        <v>1415902</v>
      </c>
      <c r="AL644" s="27">
        <f t="shared" ref="AL644:AM668" si="200">+IF(AND(AL$3&gt;=$D644,AL$3&lt;$C644),$AH644,$AJ644-SUM(AJ644:AK644))</f>
        <v>1415902</v>
      </c>
      <c r="AM644" s="27">
        <f t="shared" si="200"/>
        <v>1415902</v>
      </c>
      <c r="AN644" s="27">
        <f t="shared" si="189"/>
        <v>1415902</v>
      </c>
      <c r="AO644" s="27">
        <f t="shared" si="190"/>
        <v>1415902</v>
      </c>
      <c r="AP644" s="27">
        <f t="shared" si="190"/>
        <v>1415902</v>
      </c>
      <c r="AQ644" s="27">
        <f t="shared" si="191"/>
        <v>1415902</v>
      </c>
      <c r="AR644" s="27">
        <f t="shared" si="192"/>
        <v>1415902</v>
      </c>
      <c r="AS644" s="27"/>
      <c r="AT644" s="27"/>
      <c r="AU644" s="27"/>
      <c r="AV644" s="27"/>
      <c r="AW644" s="27">
        <f t="shared" si="184"/>
        <v>11327216</v>
      </c>
      <c r="AX644" s="79">
        <f t="shared" si="195"/>
        <v>124599401</v>
      </c>
      <c r="AY644" s="79">
        <f t="shared" si="198"/>
        <v>11327216</v>
      </c>
      <c r="AZ644" s="25">
        <f t="shared" si="186"/>
        <v>1</v>
      </c>
      <c r="BA644" s="62"/>
      <c r="BB644" s="25">
        <v>1</v>
      </c>
      <c r="BC644" s="19"/>
      <c r="BD644" s="19"/>
      <c r="BE644" s="67">
        <f t="shared" si="185"/>
        <v>1415902</v>
      </c>
      <c r="BF644" s="67">
        <f t="shared" si="193"/>
        <v>0</v>
      </c>
      <c r="BG644" s="67">
        <f t="shared" si="199"/>
        <v>0</v>
      </c>
      <c r="BH644" s="19"/>
      <c r="BI644" s="19" t="s">
        <v>1896</v>
      </c>
      <c r="BJ644" s="19" t="s">
        <v>1980</v>
      </c>
      <c r="BK644" s="68" t="s">
        <v>1980</v>
      </c>
    </row>
    <row r="645" spans="3:63" ht="15" customHeight="1">
      <c r="C645" s="1" t="str">
        <f t="shared" si="196"/>
        <v>3112</v>
      </c>
      <c r="D645" s="1" t="str">
        <f t="shared" si="197"/>
        <v>2401</v>
      </c>
      <c r="E645" s="19" t="s">
        <v>1895</v>
      </c>
      <c r="F645" s="19" t="s">
        <v>1896</v>
      </c>
      <c r="G645" s="62">
        <v>2112</v>
      </c>
      <c r="H645" s="19" t="s">
        <v>1954</v>
      </c>
      <c r="I645" s="105" t="s">
        <v>1838</v>
      </c>
      <c r="J645" s="86">
        <v>1</v>
      </c>
      <c r="K645" s="19" t="s">
        <v>1293</v>
      </c>
      <c r="L645" s="157" t="s">
        <v>1716</v>
      </c>
      <c r="M645" s="98" t="s">
        <v>1932</v>
      </c>
      <c r="N645" s="101">
        <v>45202</v>
      </c>
      <c r="O645" s="19">
        <v>5527.9340000000002</v>
      </c>
      <c r="P645" s="19">
        <v>24425</v>
      </c>
      <c r="Q645" s="163">
        <f t="shared" si="194"/>
        <v>135019788</v>
      </c>
      <c r="R645" s="70"/>
      <c r="S645" s="19"/>
      <c r="T645" s="164">
        <v>906828</v>
      </c>
      <c r="U645" s="19" t="s">
        <v>1933</v>
      </c>
      <c r="V645" s="74">
        <v>135926616</v>
      </c>
      <c r="W645" s="75"/>
      <c r="X645" s="64">
        <v>135926616</v>
      </c>
      <c r="Y645" s="19"/>
      <c r="Z645" s="19"/>
      <c r="AA645" s="19"/>
      <c r="AB645" s="19"/>
      <c r="AC645" s="64">
        <v>135926616</v>
      </c>
      <c r="AD645" s="63">
        <v>45292</v>
      </c>
      <c r="AE645" s="65">
        <v>48213</v>
      </c>
      <c r="AF645" s="19">
        <v>8</v>
      </c>
      <c r="AG645" s="19">
        <v>96</v>
      </c>
      <c r="AH645" s="25">
        <v>1415902</v>
      </c>
      <c r="AI645" s="92"/>
      <c r="AJ645" s="92"/>
      <c r="AK645" s="27">
        <f t="shared" si="180"/>
        <v>1415902</v>
      </c>
      <c r="AL645" s="27">
        <f t="shared" si="200"/>
        <v>1415902</v>
      </c>
      <c r="AM645" s="27">
        <f t="shared" si="200"/>
        <v>1415902</v>
      </c>
      <c r="AN645" s="27">
        <f t="shared" si="189"/>
        <v>1415902</v>
      </c>
      <c r="AO645" s="27">
        <f t="shared" si="190"/>
        <v>1415902</v>
      </c>
      <c r="AP645" s="27">
        <f t="shared" si="190"/>
        <v>1415902</v>
      </c>
      <c r="AQ645" s="27">
        <f t="shared" si="191"/>
        <v>1415902</v>
      </c>
      <c r="AR645" s="27">
        <f t="shared" si="192"/>
        <v>1415902</v>
      </c>
      <c r="AS645" s="27"/>
      <c r="AT645" s="27"/>
      <c r="AU645" s="27"/>
      <c r="AV645" s="27"/>
      <c r="AW645" s="27">
        <f t="shared" si="184"/>
        <v>11327216</v>
      </c>
      <c r="AX645" s="79">
        <f t="shared" si="195"/>
        <v>124599400</v>
      </c>
      <c r="AY645" s="79">
        <f t="shared" si="198"/>
        <v>11327216</v>
      </c>
      <c r="AZ645" s="25">
        <f t="shared" si="186"/>
        <v>1</v>
      </c>
      <c r="BA645" s="62"/>
      <c r="BB645" s="25">
        <v>1</v>
      </c>
      <c r="BC645" s="19"/>
      <c r="BD645" s="19"/>
      <c r="BE645" s="67">
        <f t="shared" si="185"/>
        <v>1415902</v>
      </c>
      <c r="BF645" s="67">
        <f t="shared" si="193"/>
        <v>0</v>
      </c>
      <c r="BG645" s="67">
        <f t="shared" si="199"/>
        <v>0</v>
      </c>
      <c r="BH645" s="19"/>
      <c r="BI645" s="19" t="s">
        <v>1896</v>
      </c>
      <c r="BJ645" s="19" t="s">
        <v>1980</v>
      </c>
      <c r="BK645" s="68" t="s">
        <v>1980</v>
      </c>
    </row>
    <row r="646" spans="3:63" ht="15" customHeight="1">
      <c r="C646" s="1" t="str">
        <f t="shared" si="196"/>
        <v>3112</v>
      </c>
      <c r="D646" s="1" t="str">
        <f t="shared" si="197"/>
        <v>2401</v>
      </c>
      <c r="E646" s="19" t="s">
        <v>1895</v>
      </c>
      <c r="F646" s="19" t="s">
        <v>1896</v>
      </c>
      <c r="G646" s="62">
        <v>2112</v>
      </c>
      <c r="H646" s="19" t="s">
        <v>1955</v>
      </c>
      <c r="I646" s="105" t="s">
        <v>1838</v>
      </c>
      <c r="J646" s="86">
        <v>1</v>
      </c>
      <c r="K646" s="19" t="s">
        <v>1293</v>
      </c>
      <c r="L646" s="157" t="s">
        <v>1716</v>
      </c>
      <c r="M646" s="98" t="s">
        <v>1932</v>
      </c>
      <c r="N646" s="101">
        <v>45202</v>
      </c>
      <c r="O646" s="19">
        <v>5527.9340000000002</v>
      </c>
      <c r="P646" s="19">
        <v>24425</v>
      </c>
      <c r="Q646" s="163">
        <f t="shared" si="194"/>
        <v>135019788</v>
      </c>
      <c r="R646" s="70"/>
      <c r="S646" s="19"/>
      <c r="T646" s="164">
        <v>906828</v>
      </c>
      <c r="U646" s="19" t="s">
        <v>1933</v>
      </c>
      <c r="V646" s="74">
        <v>135926616</v>
      </c>
      <c r="W646" s="75"/>
      <c r="X646" s="64">
        <v>135926616</v>
      </c>
      <c r="Y646" s="19"/>
      <c r="Z646" s="19"/>
      <c r="AA646" s="19"/>
      <c r="AB646" s="19"/>
      <c r="AC646" s="64">
        <v>135926616</v>
      </c>
      <c r="AD646" s="63">
        <v>45292</v>
      </c>
      <c r="AE646" s="65">
        <v>48213</v>
      </c>
      <c r="AF646" s="19">
        <v>8</v>
      </c>
      <c r="AG646" s="19">
        <v>96</v>
      </c>
      <c r="AH646" s="25">
        <v>1415902</v>
      </c>
      <c r="AI646" s="92"/>
      <c r="AJ646" s="92"/>
      <c r="AK646" s="27">
        <f t="shared" si="180"/>
        <v>1415902</v>
      </c>
      <c r="AL646" s="27">
        <f t="shared" si="200"/>
        <v>1415902</v>
      </c>
      <c r="AM646" s="27">
        <f t="shared" si="200"/>
        <v>1415902</v>
      </c>
      <c r="AN646" s="27">
        <f t="shared" si="189"/>
        <v>1415902</v>
      </c>
      <c r="AO646" s="27">
        <f t="shared" si="190"/>
        <v>1415902</v>
      </c>
      <c r="AP646" s="27">
        <f t="shared" si="190"/>
        <v>1415902</v>
      </c>
      <c r="AQ646" s="27">
        <f t="shared" si="191"/>
        <v>1415902</v>
      </c>
      <c r="AR646" s="27">
        <f t="shared" si="192"/>
        <v>1415902</v>
      </c>
      <c r="AS646" s="27"/>
      <c r="AT646" s="27"/>
      <c r="AU646" s="27"/>
      <c r="AV646" s="27"/>
      <c r="AW646" s="27">
        <f t="shared" si="184"/>
        <v>11327216</v>
      </c>
      <c r="AX646" s="79">
        <f t="shared" si="195"/>
        <v>124599400</v>
      </c>
      <c r="AY646" s="79">
        <f t="shared" si="198"/>
        <v>11327216</v>
      </c>
      <c r="AZ646" s="25">
        <f t="shared" si="186"/>
        <v>1</v>
      </c>
      <c r="BA646" s="62"/>
      <c r="BB646" s="25">
        <v>1</v>
      </c>
      <c r="BC646" s="19"/>
      <c r="BD646" s="19"/>
      <c r="BE646" s="67">
        <f t="shared" si="185"/>
        <v>1415902</v>
      </c>
      <c r="BF646" s="67">
        <f t="shared" si="193"/>
        <v>0</v>
      </c>
      <c r="BG646" s="67">
        <f t="shared" si="199"/>
        <v>0</v>
      </c>
      <c r="BH646" s="19"/>
      <c r="BI646" s="19" t="s">
        <v>1896</v>
      </c>
      <c r="BJ646" s="19" t="s">
        <v>1980</v>
      </c>
      <c r="BK646" s="68" t="s">
        <v>1980</v>
      </c>
    </row>
    <row r="647" spans="3:63" ht="15" customHeight="1">
      <c r="C647" s="1" t="str">
        <f t="shared" si="196"/>
        <v>3112</v>
      </c>
      <c r="D647" s="1" t="str">
        <f t="shared" si="197"/>
        <v>2401</v>
      </c>
      <c r="E647" s="19" t="s">
        <v>1895</v>
      </c>
      <c r="F647" s="19" t="s">
        <v>1896</v>
      </c>
      <c r="G647" s="62">
        <v>2112</v>
      </c>
      <c r="H647" s="19" t="s">
        <v>1956</v>
      </c>
      <c r="I647" s="105" t="s">
        <v>1838</v>
      </c>
      <c r="J647" s="86">
        <v>1</v>
      </c>
      <c r="K647" s="19" t="s">
        <v>1293</v>
      </c>
      <c r="L647" s="157" t="s">
        <v>1716</v>
      </c>
      <c r="M647" s="98" t="s">
        <v>1932</v>
      </c>
      <c r="N647" s="101">
        <v>45202</v>
      </c>
      <c r="O647" s="19">
        <v>5527.9340000000002</v>
      </c>
      <c r="P647" s="19">
        <v>24425</v>
      </c>
      <c r="Q647" s="163">
        <f t="shared" si="194"/>
        <v>135019788</v>
      </c>
      <c r="R647" s="70"/>
      <c r="S647" s="19"/>
      <c r="T647" s="164">
        <v>906828</v>
      </c>
      <c r="U647" s="19" t="s">
        <v>1933</v>
      </c>
      <c r="V647" s="74">
        <v>135926616</v>
      </c>
      <c r="W647" s="75"/>
      <c r="X647" s="64">
        <v>135926616</v>
      </c>
      <c r="Y647" s="19"/>
      <c r="Z647" s="19"/>
      <c r="AA647" s="19"/>
      <c r="AB647" s="19"/>
      <c r="AC647" s="64">
        <v>135926616</v>
      </c>
      <c r="AD647" s="63">
        <v>45292</v>
      </c>
      <c r="AE647" s="65">
        <v>48213</v>
      </c>
      <c r="AF647" s="19">
        <v>8</v>
      </c>
      <c r="AG647" s="19">
        <v>96</v>
      </c>
      <c r="AH647" s="25">
        <v>1415902</v>
      </c>
      <c r="AI647" s="92"/>
      <c r="AJ647" s="92"/>
      <c r="AK647" s="27">
        <f t="shared" si="180"/>
        <v>1415902</v>
      </c>
      <c r="AL647" s="27">
        <f t="shared" si="200"/>
        <v>1415902</v>
      </c>
      <c r="AM647" s="27">
        <f t="shared" si="200"/>
        <v>1415902</v>
      </c>
      <c r="AN647" s="27">
        <f t="shared" si="189"/>
        <v>1415902</v>
      </c>
      <c r="AO647" s="27">
        <f t="shared" si="190"/>
        <v>1415902</v>
      </c>
      <c r="AP647" s="27">
        <f t="shared" si="190"/>
        <v>1415902</v>
      </c>
      <c r="AQ647" s="27">
        <f t="shared" si="191"/>
        <v>1415902</v>
      </c>
      <c r="AR647" s="27">
        <f t="shared" si="192"/>
        <v>1415902</v>
      </c>
      <c r="AS647" s="27"/>
      <c r="AT647" s="27"/>
      <c r="AU647" s="27"/>
      <c r="AV647" s="27"/>
      <c r="AW647" s="27">
        <f t="shared" si="184"/>
        <v>11327216</v>
      </c>
      <c r="AX647" s="79">
        <f t="shared" si="195"/>
        <v>124599400</v>
      </c>
      <c r="AY647" s="79">
        <f t="shared" si="198"/>
        <v>11327216</v>
      </c>
      <c r="AZ647" s="25">
        <f t="shared" si="186"/>
        <v>1</v>
      </c>
      <c r="BA647" s="62"/>
      <c r="BB647" s="25">
        <v>1</v>
      </c>
      <c r="BC647" s="19"/>
      <c r="BD647" s="19"/>
      <c r="BE647" s="67">
        <f t="shared" si="185"/>
        <v>1415902</v>
      </c>
      <c r="BF647" s="67">
        <f t="shared" si="193"/>
        <v>0</v>
      </c>
      <c r="BG647" s="67">
        <f t="shared" si="199"/>
        <v>0</v>
      </c>
      <c r="BH647" s="19"/>
      <c r="BI647" s="19" t="s">
        <v>1896</v>
      </c>
      <c r="BJ647" s="19" t="s">
        <v>1980</v>
      </c>
      <c r="BK647" s="68" t="s">
        <v>1980</v>
      </c>
    </row>
    <row r="648" spans="3:63" ht="15" customHeight="1">
      <c r="C648" s="1" t="str">
        <f t="shared" si="196"/>
        <v>3112</v>
      </c>
      <c r="D648" s="1" t="str">
        <f t="shared" si="197"/>
        <v>2401</v>
      </c>
      <c r="E648" s="19" t="s">
        <v>1895</v>
      </c>
      <c r="F648" s="19" t="s">
        <v>1896</v>
      </c>
      <c r="G648" s="62">
        <v>2112</v>
      </c>
      <c r="H648" s="19" t="s">
        <v>1957</v>
      </c>
      <c r="I648" s="105" t="s">
        <v>1838</v>
      </c>
      <c r="J648" s="86">
        <v>1</v>
      </c>
      <c r="K648" s="19" t="s">
        <v>1293</v>
      </c>
      <c r="L648" s="157" t="s">
        <v>1716</v>
      </c>
      <c r="M648" s="98" t="s">
        <v>1932</v>
      </c>
      <c r="N648" s="101">
        <v>45202</v>
      </c>
      <c r="O648" s="19">
        <v>5527.9340000000002</v>
      </c>
      <c r="P648" s="19">
        <v>24425</v>
      </c>
      <c r="Q648" s="163">
        <f t="shared" si="194"/>
        <v>135019788</v>
      </c>
      <c r="R648" s="70"/>
      <c r="S648" s="19"/>
      <c r="T648" s="164">
        <v>906828</v>
      </c>
      <c r="U648" s="19" t="s">
        <v>1933</v>
      </c>
      <c r="V648" s="74">
        <v>135926616</v>
      </c>
      <c r="W648" s="75"/>
      <c r="X648" s="64">
        <v>135926616</v>
      </c>
      <c r="Y648" s="19"/>
      <c r="Z648" s="19"/>
      <c r="AA648" s="19"/>
      <c r="AB648" s="19"/>
      <c r="AC648" s="64">
        <v>135926616</v>
      </c>
      <c r="AD648" s="63">
        <v>45292</v>
      </c>
      <c r="AE648" s="65">
        <v>48213</v>
      </c>
      <c r="AF648" s="19">
        <v>8</v>
      </c>
      <c r="AG648" s="19">
        <v>96</v>
      </c>
      <c r="AH648" s="25">
        <v>1415902</v>
      </c>
      <c r="AI648" s="92"/>
      <c r="AJ648" s="92"/>
      <c r="AK648" s="27">
        <f t="shared" si="180"/>
        <v>1415902</v>
      </c>
      <c r="AL648" s="27">
        <f t="shared" si="200"/>
        <v>1415902</v>
      </c>
      <c r="AM648" s="27">
        <f t="shared" si="200"/>
        <v>1415902</v>
      </c>
      <c r="AN648" s="27">
        <f t="shared" si="189"/>
        <v>1415902</v>
      </c>
      <c r="AO648" s="27">
        <f t="shared" si="190"/>
        <v>1415902</v>
      </c>
      <c r="AP648" s="27">
        <f t="shared" si="190"/>
        <v>1415902</v>
      </c>
      <c r="AQ648" s="27">
        <f t="shared" si="191"/>
        <v>1415902</v>
      </c>
      <c r="AR648" s="27">
        <f t="shared" si="192"/>
        <v>1415902</v>
      </c>
      <c r="AS648" s="27"/>
      <c r="AT648" s="27"/>
      <c r="AU648" s="27"/>
      <c r="AV648" s="27"/>
      <c r="AW648" s="27">
        <f t="shared" si="184"/>
        <v>11327216</v>
      </c>
      <c r="AX648" s="79">
        <f t="shared" si="195"/>
        <v>124599400</v>
      </c>
      <c r="AY648" s="79">
        <f t="shared" si="198"/>
        <v>11327216</v>
      </c>
      <c r="AZ648" s="25">
        <f t="shared" si="186"/>
        <v>1</v>
      </c>
      <c r="BA648" s="62"/>
      <c r="BB648" s="25">
        <v>1</v>
      </c>
      <c r="BC648" s="19"/>
      <c r="BD648" s="19"/>
      <c r="BE648" s="67">
        <f t="shared" si="185"/>
        <v>1415902</v>
      </c>
      <c r="BF648" s="67">
        <f t="shared" si="193"/>
        <v>0</v>
      </c>
      <c r="BG648" s="67">
        <f t="shared" si="199"/>
        <v>0</v>
      </c>
      <c r="BH648" s="19"/>
      <c r="BI648" s="19" t="s">
        <v>1896</v>
      </c>
      <c r="BJ648" s="19" t="s">
        <v>1980</v>
      </c>
      <c r="BK648" s="68" t="s">
        <v>1980</v>
      </c>
    </row>
    <row r="649" spans="3:63" ht="15" customHeight="1">
      <c r="C649" s="1" t="str">
        <f t="shared" si="196"/>
        <v>3112</v>
      </c>
      <c r="D649" s="1" t="str">
        <f t="shared" si="197"/>
        <v>2401</v>
      </c>
      <c r="E649" s="19" t="s">
        <v>1895</v>
      </c>
      <c r="F649" s="19" t="s">
        <v>1896</v>
      </c>
      <c r="G649" s="62">
        <v>2112</v>
      </c>
      <c r="H649" s="19" t="s">
        <v>1958</v>
      </c>
      <c r="I649" s="105" t="s">
        <v>1838</v>
      </c>
      <c r="J649" s="86">
        <v>1</v>
      </c>
      <c r="K649" s="19" t="s">
        <v>1293</v>
      </c>
      <c r="L649" s="157" t="s">
        <v>1716</v>
      </c>
      <c r="M649" s="98" t="s">
        <v>1932</v>
      </c>
      <c r="N649" s="101">
        <v>45202</v>
      </c>
      <c r="O649" s="19">
        <v>5527.9340000000002</v>
      </c>
      <c r="P649" s="19">
        <v>24425</v>
      </c>
      <c r="Q649" s="163">
        <f t="shared" si="194"/>
        <v>135019788</v>
      </c>
      <c r="R649" s="70"/>
      <c r="S649" s="19"/>
      <c r="T649" s="164">
        <v>906828</v>
      </c>
      <c r="U649" s="19" t="s">
        <v>1933</v>
      </c>
      <c r="V649" s="74">
        <v>135926616</v>
      </c>
      <c r="W649" s="75"/>
      <c r="X649" s="64">
        <v>135926616</v>
      </c>
      <c r="Y649" s="19"/>
      <c r="Z649" s="19"/>
      <c r="AA649" s="19"/>
      <c r="AB649" s="19"/>
      <c r="AC649" s="64">
        <v>135926616</v>
      </c>
      <c r="AD649" s="63">
        <v>45292</v>
      </c>
      <c r="AE649" s="65">
        <v>48213</v>
      </c>
      <c r="AF649" s="19">
        <v>8</v>
      </c>
      <c r="AG649" s="19">
        <v>96</v>
      </c>
      <c r="AH649" s="25">
        <v>1415902</v>
      </c>
      <c r="AI649" s="92"/>
      <c r="AJ649" s="92"/>
      <c r="AK649" s="27">
        <f t="shared" si="180"/>
        <v>1415902</v>
      </c>
      <c r="AL649" s="27">
        <f t="shared" si="200"/>
        <v>1415902</v>
      </c>
      <c r="AM649" s="27">
        <f t="shared" si="200"/>
        <v>1415902</v>
      </c>
      <c r="AN649" s="27">
        <f t="shared" si="189"/>
        <v>1415902</v>
      </c>
      <c r="AO649" s="27">
        <f t="shared" si="190"/>
        <v>1415902</v>
      </c>
      <c r="AP649" s="27">
        <f t="shared" si="190"/>
        <v>1415902</v>
      </c>
      <c r="AQ649" s="27">
        <f t="shared" si="191"/>
        <v>1415902</v>
      </c>
      <c r="AR649" s="27">
        <f t="shared" si="192"/>
        <v>1415902</v>
      </c>
      <c r="AS649" s="27"/>
      <c r="AT649" s="27"/>
      <c r="AU649" s="27"/>
      <c r="AV649" s="27"/>
      <c r="AW649" s="27">
        <f t="shared" si="184"/>
        <v>11327216</v>
      </c>
      <c r="AX649" s="79">
        <f t="shared" si="195"/>
        <v>124599400</v>
      </c>
      <c r="AY649" s="79">
        <f t="shared" si="198"/>
        <v>11327216</v>
      </c>
      <c r="AZ649" s="25">
        <f t="shared" si="186"/>
        <v>1</v>
      </c>
      <c r="BA649" s="62"/>
      <c r="BB649" s="25">
        <v>1</v>
      </c>
      <c r="BC649" s="19"/>
      <c r="BD649" s="19"/>
      <c r="BE649" s="67">
        <f t="shared" si="185"/>
        <v>1415902</v>
      </c>
      <c r="BF649" s="67">
        <f t="shared" si="193"/>
        <v>0</v>
      </c>
      <c r="BG649" s="67">
        <f t="shared" si="199"/>
        <v>0</v>
      </c>
      <c r="BH649" s="19"/>
      <c r="BI649" s="19" t="s">
        <v>1896</v>
      </c>
      <c r="BJ649" s="19" t="s">
        <v>1980</v>
      </c>
      <c r="BK649" s="68" t="s">
        <v>1980</v>
      </c>
    </row>
    <row r="650" spans="3:63" ht="15" customHeight="1">
      <c r="C650" s="1" t="str">
        <f t="shared" si="196"/>
        <v>3312</v>
      </c>
      <c r="D650" s="1" t="str">
        <f t="shared" si="197"/>
        <v>2401</v>
      </c>
      <c r="E650" s="19" t="s">
        <v>1895</v>
      </c>
      <c r="F650" s="19" t="s">
        <v>1896</v>
      </c>
      <c r="G650" s="62">
        <v>2112</v>
      </c>
      <c r="H650" s="19" t="s">
        <v>1959</v>
      </c>
      <c r="I650" s="105" t="s">
        <v>1839</v>
      </c>
      <c r="J650" s="86">
        <v>1</v>
      </c>
      <c r="K650" s="19" t="s">
        <v>619</v>
      </c>
      <c r="L650" s="157" t="s">
        <v>1716</v>
      </c>
      <c r="M650" s="98" t="s">
        <v>1858</v>
      </c>
      <c r="N650" s="101">
        <v>45210</v>
      </c>
      <c r="O650" s="19">
        <v>468509.71</v>
      </c>
      <c r="P650" s="19">
        <v>24460</v>
      </c>
      <c r="Q650" s="163">
        <f t="shared" si="194"/>
        <v>11459747507</v>
      </c>
      <c r="R650" s="70"/>
      <c r="S650" s="19"/>
      <c r="T650" s="164">
        <v>61203471</v>
      </c>
      <c r="U650" s="19" t="s">
        <v>1960</v>
      </c>
      <c r="V650" s="74">
        <v>11520950978</v>
      </c>
      <c r="W650" s="75"/>
      <c r="X650" s="64">
        <v>11520950978</v>
      </c>
      <c r="Y650" s="19"/>
      <c r="Z650" s="19"/>
      <c r="AA650" s="19"/>
      <c r="AB650" s="19"/>
      <c r="AC650" s="64">
        <v>11520950978</v>
      </c>
      <c r="AD650" s="63">
        <v>45292</v>
      </c>
      <c r="AE650" s="65">
        <v>48944</v>
      </c>
      <c r="AF650" s="19">
        <v>10</v>
      </c>
      <c r="AG650" s="19">
        <v>120</v>
      </c>
      <c r="AH650" s="25">
        <v>96007925</v>
      </c>
      <c r="AI650" s="92"/>
      <c r="AJ650" s="92"/>
      <c r="AK650" s="27">
        <f t="shared" si="180"/>
        <v>96007925</v>
      </c>
      <c r="AL650" s="27">
        <f t="shared" si="200"/>
        <v>96007925</v>
      </c>
      <c r="AM650" s="27">
        <f t="shared" si="200"/>
        <v>96007925</v>
      </c>
      <c r="AN650" s="27">
        <f t="shared" si="189"/>
        <v>96007925</v>
      </c>
      <c r="AO650" s="27">
        <f t="shared" si="190"/>
        <v>96007925</v>
      </c>
      <c r="AP650" s="27">
        <f t="shared" si="190"/>
        <v>96007925</v>
      </c>
      <c r="AQ650" s="27">
        <f t="shared" si="191"/>
        <v>96007925</v>
      </c>
      <c r="AR650" s="27">
        <f t="shared" si="192"/>
        <v>96007925</v>
      </c>
      <c r="AS650" s="27"/>
      <c r="AT650" s="27"/>
      <c r="AU650" s="27"/>
      <c r="AV650" s="27"/>
      <c r="AW650" s="27">
        <f t="shared" si="184"/>
        <v>768063400</v>
      </c>
      <c r="AX650" s="79">
        <f t="shared" si="195"/>
        <v>10752887578</v>
      </c>
      <c r="AY650" s="79">
        <f t="shared" si="198"/>
        <v>768063400</v>
      </c>
      <c r="AZ650" s="25">
        <f t="shared" si="186"/>
        <v>1</v>
      </c>
      <c r="BA650" s="62"/>
      <c r="BB650" s="25">
        <v>1</v>
      </c>
      <c r="BC650" s="19"/>
      <c r="BD650" s="19"/>
      <c r="BE650" s="67">
        <f t="shared" si="185"/>
        <v>96007925</v>
      </c>
      <c r="BF650" s="67">
        <f t="shared" si="193"/>
        <v>0</v>
      </c>
      <c r="BG650" s="67">
        <f t="shared" si="199"/>
        <v>0</v>
      </c>
      <c r="BH650" s="19"/>
      <c r="BI650" s="19" t="s">
        <v>1896</v>
      </c>
      <c r="BJ650" s="19" t="s">
        <v>1981</v>
      </c>
      <c r="BK650" s="19" t="s">
        <v>1989</v>
      </c>
    </row>
    <row r="651" spans="3:63" ht="15" customHeight="1">
      <c r="C651" s="1" t="str">
        <f t="shared" si="196"/>
        <v>2812</v>
      </c>
      <c r="D651" s="1" t="str">
        <f t="shared" si="197"/>
        <v>2401</v>
      </c>
      <c r="E651" s="19" t="s">
        <v>1895</v>
      </c>
      <c r="F651" s="19" t="s">
        <v>1896</v>
      </c>
      <c r="G651" s="62">
        <v>2114</v>
      </c>
      <c r="H651" s="19" t="s">
        <v>1961</v>
      </c>
      <c r="I651" s="105" t="s">
        <v>1842</v>
      </c>
      <c r="J651" s="86">
        <v>1</v>
      </c>
      <c r="K651" s="19" t="s">
        <v>1293</v>
      </c>
      <c r="L651" s="157" t="s">
        <v>1841</v>
      </c>
      <c r="M651" s="98" t="s">
        <v>1962</v>
      </c>
      <c r="N651" s="101">
        <v>45223</v>
      </c>
      <c r="O651" s="19">
        <v>11600</v>
      </c>
      <c r="P651" s="19">
        <v>24608</v>
      </c>
      <c r="Q651" s="163">
        <f t="shared" si="194"/>
        <v>285452800</v>
      </c>
      <c r="R651" s="70"/>
      <c r="S651" s="19"/>
      <c r="T651" s="164">
        <v>12242263</v>
      </c>
      <c r="U651" s="19" t="s">
        <v>1963</v>
      </c>
      <c r="V651" s="74">
        <v>297695063</v>
      </c>
      <c r="W651" s="75"/>
      <c r="X651" s="64">
        <v>297695063</v>
      </c>
      <c r="Y651" s="19"/>
      <c r="Z651" s="19"/>
      <c r="AA651" s="19"/>
      <c r="AB651" s="19"/>
      <c r="AC651" s="64">
        <v>297695063</v>
      </c>
      <c r="AD651" s="63">
        <v>45292</v>
      </c>
      <c r="AE651" s="65">
        <v>47118</v>
      </c>
      <c r="AF651" s="19">
        <v>5</v>
      </c>
      <c r="AG651" s="19">
        <v>60</v>
      </c>
      <c r="AH651" s="25">
        <v>4961584</v>
      </c>
      <c r="AI651" s="92"/>
      <c r="AJ651" s="92"/>
      <c r="AK651" s="27">
        <f t="shared" si="180"/>
        <v>4961584</v>
      </c>
      <c r="AL651" s="27">
        <f t="shared" si="200"/>
        <v>4961584</v>
      </c>
      <c r="AM651" s="27">
        <f t="shared" si="200"/>
        <v>4961584</v>
      </c>
      <c r="AN651" s="27">
        <f t="shared" si="189"/>
        <v>4961584</v>
      </c>
      <c r="AO651" s="27">
        <f t="shared" si="190"/>
        <v>4961584</v>
      </c>
      <c r="AP651" s="27">
        <f t="shared" si="190"/>
        <v>4961584</v>
      </c>
      <c r="AQ651" s="27">
        <f t="shared" si="191"/>
        <v>4961584</v>
      </c>
      <c r="AR651" s="27">
        <f t="shared" si="192"/>
        <v>4961584</v>
      </c>
      <c r="AS651" s="27"/>
      <c r="AT651" s="27"/>
      <c r="AU651" s="27"/>
      <c r="AV651" s="27"/>
      <c r="AW651" s="27">
        <f t="shared" si="184"/>
        <v>39692672</v>
      </c>
      <c r="AX651" s="79">
        <f t="shared" si="195"/>
        <v>258002391</v>
      </c>
      <c r="AY651" s="79">
        <f t="shared" si="198"/>
        <v>39692672</v>
      </c>
      <c r="AZ651" s="25">
        <f t="shared" si="186"/>
        <v>1</v>
      </c>
      <c r="BA651" s="62"/>
      <c r="BB651" s="25">
        <v>1</v>
      </c>
      <c r="BC651" s="19"/>
      <c r="BD651" s="19"/>
      <c r="BE651" s="67">
        <f t="shared" si="185"/>
        <v>4961584</v>
      </c>
      <c r="BF651" s="67">
        <f t="shared" si="193"/>
        <v>0</v>
      </c>
      <c r="BG651" s="67">
        <f t="shared" si="199"/>
        <v>0</v>
      </c>
      <c r="BH651" s="19"/>
      <c r="BI651" s="19" t="s">
        <v>1896</v>
      </c>
      <c r="BJ651" s="19" t="s">
        <v>1929</v>
      </c>
      <c r="BK651" s="19" t="s">
        <v>1989</v>
      </c>
    </row>
    <row r="652" spans="3:63" ht="15" customHeight="1">
      <c r="C652" s="1" t="str">
        <f t="shared" si="196"/>
        <v>2812</v>
      </c>
      <c r="D652" s="1" t="str">
        <f t="shared" si="197"/>
        <v>2401</v>
      </c>
      <c r="E652" s="19" t="s">
        <v>1895</v>
      </c>
      <c r="F652" s="19" t="s">
        <v>1896</v>
      </c>
      <c r="G652" s="62">
        <v>2114</v>
      </c>
      <c r="H652" s="19" t="s">
        <v>1964</v>
      </c>
      <c r="I652" s="105" t="s">
        <v>2053</v>
      </c>
      <c r="J652" s="86">
        <v>1</v>
      </c>
      <c r="K652" s="19" t="s">
        <v>1192</v>
      </c>
      <c r="L652" s="157" t="s">
        <v>1828</v>
      </c>
      <c r="M652" s="98" t="s">
        <v>1965</v>
      </c>
      <c r="N652" s="101">
        <v>45224</v>
      </c>
      <c r="O652" s="19"/>
      <c r="P652" s="19"/>
      <c r="Q652" s="163">
        <v>93500000</v>
      </c>
      <c r="R652" s="70"/>
      <c r="S652" s="19"/>
      <c r="T652" s="70"/>
      <c r="U652" s="19"/>
      <c r="V652" s="74">
        <v>93500000</v>
      </c>
      <c r="W652" s="75"/>
      <c r="X652" s="64">
        <v>93500000</v>
      </c>
      <c r="Y652" s="19"/>
      <c r="Z652" s="19"/>
      <c r="AA652" s="19"/>
      <c r="AB652" s="19"/>
      <c r="AC652" s="64">
        <v>93500000</v>
      </c>
      <c r="AD652" s="63">
        <v>45292</v>
      </c>
      <c r="AE652" s="65">
        <v>47118</v>
      </c>
      <c r="AF652" s="19">
        <v>5</v>
      </c>
      <c r="AG652" s="19">
        <v>60</v>
      </c>
      <c r="AH652" s="25">
        <v>1558333</v>
      </c>
      <c r="AI652" s="92"/>
      <c r="AJ652" s="92"/>
      <c r="AK652" s="27">
        <f t="shared" si="180"/>
        <v>1558333</v>
      </c>
      <c r="AL652" s="27">
        <f t="shared" si="200"/>
        <v>1558333</v>
      </c>
      <c r="AM652" s="27">
        <f t="shared" si="200"/>
        <v>1558333</v>
      </c>
      <c r="AN652" s="27">
        <f t="shared" si="189"/>
        <v>1558333</v>
      </c>
      <c r="AO652" s="27">
        <f t="shared" si="190"/>
        <v>1558333</v>
      </c>
      <c r="AP652" s="27">
        <f t="shared" si="190"/>
        <v>1558333</v>
      </c>
      <c r="AQ652" s="27">
        <f t="shared" si="191"/>
        <v>1558333</v>
      </c>
      <c r="AR652" s="27">
        <f t="shared" si="192"/>
        <v>1558333</v>
      </c>
      <c r="AS652" s="27"/>
      <c r="AT652" s="27"/>
      <c r="AU652" s="27"/>
      <c r="AV652" s="27"/>
      <c r="AW652" s="27">
        <f t="shared" si="184"/>
        <v>12466664</v>
      </c>
      <c r="AX652" s="79">
        <f t="shared" si="195"/>
        <v>81033336</v>
      </c>
      <c r="AY652" s="79">
        <f t="shared" si="198"/>
        <v>12466664</v>
      </c>
      <c r="AZ652" s="25">
        <f t="shared" si="186"/>
        <v>1</v>
      </c>
      <c r="BA652" s="62"/>
      <c r="BB652" s="25">
        <v>1</v>
      </c>
      <c r="BC652" s="19"/>
      <c r="BD652" s="19"/>
      <c r="BE652" s="67">
        <f t="shared" si="185"/>
        <v>1558333</v>
      </c>
      <c r="BF652" s="67">
        <f t="shared" si="193"/>
        <v>0</v>
      </c>
      <c r="BG652" s="67">
        <f t="shared" si="199"/>
        <v>0</v>
      </c>
      <c r="BH652" s="19"/>
      <c r="BI652" s="19" t="s">
        <v>1896</v>
      </c>
      <c r="BJ652" s="19" t="s">
        <v>1929</v>
      </c>
      <c r="BK652" s="19" t="s">
        <v>1989</v>
      </c>
    </row>
    <row r="653" spans="3:63" ht="15" customHeight="1">
      <c r="C653" s="1" t="str">
        <f t="shared" si="196"/>
        <v>3112</v>
      </c>
      <c r="D653" s="1" t="str">
        <f t="shared" si="197"/>
        <v>2401</v>
      </c>
      <c r="E653" s="19" t="s">
        <v>1895</v>
      </c>
      <c r="F653" s="19" t="s">
        <v>1896</v>
      </c>
      <c r="G653" s="62">
        <v>2112</v>
      </c>
      <c r="H653" s="19" t="s">
        <v>1966</v>
      </c>
      <c r="I653" s="105" t="s">
        <v>1967</v>
      </c>
      <c r="J653" s="86">
        <v>1</v>
      </c>
      <c r="K653" s="19" t="s">
        <v>1192</v>
      </c>
      <c r="L653" s="157" t="s">
        <v>1153</v>
      </c>
      <c r="M653" s="98" t="s">
        <v>1968</v>
      </c>
      <c r="N653" s="101">
        <v>45225</v>
      </c>
      <c r="O653" s="19"/>
      <c r="P653" s="19"/>
      <c r="Q653" s="163">
        <v>636140000</v>
      </c>
      <c r="R653" s="70"/>
      <c r="S653" s="19"/>
      <c r="T653" s="70"/>
      <c r="U653" s="19"/>
      <c r="V653" s="74">
        <v>636140000</v>
      </c>
      <c r="W653" s="75"/>
      <c r="X653" s="64">
        <v>636140000</v>
      </c>
      <c r="Y653" s="19"/>
      <c r="Z653" s="19"/>
      <c r="AA653" s="19"/>
      <c r="AB653" s="19"/>
      <c r="AC653" s="64">
        <v>636140000</v>
      </c>
      <c r="AD653" s="63">
        <v>45292</v>
      </c>
      <c r="AE653" s="65">
        <v>48213</v>
      </c>
      <c r="AF653" s="19">
        <v>8</v>
      </c>
      <c r="AG653" s="19">
        <v>96</v>
      </c>
      <c r="AH653" s="25">
        <v>6626458</v>
      </c>
      <c r="AI653" s="92"/>
      <c r="AJ653" s="92"/>
      <c r="AK653" s="27">
        <f t="shared" si="180"/>
        <v>6626458</v>
      </c>
      <c r="AL653" s="27">
        <f t="shared" si="200"/>
        <v>6626458</v>
      </c>
      <c r="AM653" s="27">
        <f t="shared" si="200"/>
        <v>6626458</v>
      </c>
      <c r="AN653" s="27">
        <f t="shared" si="189"/>
        <v>6626458</v>
      </c>
      <c r="AO653" s="27">
        <f t="shared" si="190"/>
        <v>6626458</v>
      </c>
      <c r="AP653" s="27">
        <f t="shared" si="190"/>
        <v>6626458</v>
      </c>
      <c r="AQ653" s="27">
        <f t="shared" si="191"/>
        <v>6626458</v>
      </c>
      <c r="AR653" s="27">
        <f t="shared" si="192"/>
        <v>6626458</v>
      </c>
      <c r="AS653" s="27"/>
      <c r="AT653" s="27"/>
      <c r="AU653" s="27"/>
      <c r="AV653" s="27"/>
      <c r="AW653" s="27">
        <f t="shared" si="184"/>
        <v>53011664</v>
      </c>
      <c r="AX653" s="79">
        <f t="shared" si="195"/>
        <v>583128336</v>
      </c>
      <c r="AY653" s="79">
        <f t="shared" si="198"/>
        <v>53011664</v>
      </c>
      <c r="AZ653" s="25">
        <f t="shared" si="186"/>
        <v>1</v>
      </c>
      <c r="BA653" s="62"/>
      <c r="BB653" s="25">
        <v>1</v>
      </c>
      <c r="BC653" s="19"/>
      <c r="BD653" s="19"/>
      <c r="BE653" s="67">
        <f t="shared" si="185"/>
        <v>6626458</v>
      </c>
      <c r="BF653" s="67">
        <f t="shared" si="193"/>
        <v>0</v>
      </c>
      <c r="BG653" s="67">
        <f t="shared" si="199"/>
        <v>0</v>
      </c>
      <c r="BH653" s="19"/>
      <c r="BI653" s="19" t="s">
        <v>1896</v>
      </c>
      <c r="BJ653" s="19" t="s">
        <v>1929</v>
      </c>
      <c r="BK653" s="19" t="s">
        <v>1989</v>
      </c>
    </row>
    <row r="654" spans="3:63" ht="15" customHeight="1">
      <c r="C654" s="1" t="str">
        <f t="shared" si="196"/>
        <v>3312</v>
      </c>
      <c r="D654" s="1" t="str">
        <f t="shared" si="197"/>
        <v>2401</v>
      </c>
      <c r="E654" s="19" t="s">
        <v>1895</v>
      </c>
      <c r="F654" s="19" t="s">
        <v>1896</v>
      </c>
      <c r="G654" s="62">
        <v>2112</v>
      </c>
      <c r="H654" s="19" t="s">
        <v>1969</v>
      </c>
      <c r="I654" s="105" t="s">
        <v>1970</v>
      </c>
      <c r="J654" s="86">
        <v>1</v>
      </c>
      <c r="K654" s="19" t="s">
        <v>1192</v>
      </c>
      <c r="L654" s="157" t="s">
        <v>1873</v>
      </c>
      <c r="M654" s="98" t="s">
        <v>1971</v>
      </c>
      <c r="N654" s="101">
        <v>45240</v>
      </c>
      <c r="O654" s="19"/>
      <c r="P654" s="19"/>
      <c r="Q654" s="163">
        <v>1090000000</v>
      </c>
      <c r="R654" s="70"/>
      <c r="S654" s="19"/>
      <c r="T654" s="70"/>
      <c r="U654" s="19"/>
      <c r="V654" s="74">
        <v>1090000000</v>
      </c>
      <c r="W654" s="75"/>
      <c r="X654" s="64">
        <v>1090000000</v>
      </c>
      <c r="Y654" s="19"/>
      <c r="Z654" s="19"/>
      <c r="AA654" s="19"/>
      <c r="AB654" s="19"/>
      <c r="AC654" s="64">
        <v>1090000000</v>
      </c>
      <c r="AD654" s="63">
        <v>45292</v>
      </c>
      <c r="AE654" s="65">
        <v>48944</v>
      </c>
      <c r="AF654" s="19">
        <v>10</v>
      </c>
      <c r="AG654" s="19">
        <v>120</v>
      </c>
      <c r="AH654" s="25">
        <v>9083333</v>
      </c>
      <c r="AI654" s="92"/>
      <c r="AJ654" s="92"/>
      <c r="AK654" s="27">
        <f t="shared" si="180"/>
        <v>9083333</v>
      </c>
      <c r="AL654" s="27">
        <f t="shared" si="200"/>
        <v>9083333</v>
      </c>
      <c r="AM654" s="27">
        <f t="shared" si="200"/>
        <v>9083333</v>
      </c>
      <c r="AN654" s="27">
        <f t="shared" si="189"/>
        <v>9083333</v>
      </c>
      <c r="AO654" s="27">
        <f t="shared" si="190"/>
        <v>9083333</v>
      </c>
      <c r="AP654" s="27">
        <f t="shared" si="190"/>
        <v>9083333</v>
      </c>
      <c r="AQ654" s="27">
        <f t="shared" si="191"/>
        <v>9083333</v>
      </c>
      <c r="AR654" s="27">
        <f t="shared" si="192"/>
        <v>9083333</v>
      </c>
      <c r="AS654" s="27"/>
      <c r="AT654" s="27"/>
      <c r="AU654" s="27"/>
      <c r="AV654" s="27"/>
      <c r="AW654" s="27">
        <f t="shared" si="184"/>
        <v>72666664</v>
      </c>
      <c r="AX654" s="79">
        <f t="shared" si="195"/>
        <v>1017333336</v>
      </c>
      <c r="AY654" s="79">
        <f t="shared" si="198"/>
        <v>72666664</v>
      </c>
      <c r="AZ654" s="25">
        <f t="shared" si="186"/>
        <v>1</v>
      </c>
      <c r="BA654" s="62"/>
      <c r="BB654" s="25">
        <v>1</v>
      </c>
      <c r="BC654" s="19"/>
      <c r="BD654" s="19"/>
      <c r="BE654" s="67">
        <f t="shared" si="185"/>
        <v>9083333</v>
      </c>
      <c r="BF654" s="67">
        <f t="shared" si="193"/>
        <v>0</v>
      </c>
      <c r="BG654" s="67">
        <f t="shared" si="199"/>
        <v>0</v>
      </c>
      <c r="BH654" s="19"/>
      <c r="BI654" s="19" t="s">
        <v>1896</v>
      </c>
      <c r="BJ654" s="19" t="s">
        <v>1929</v>
      </c>
      <c r="BK654" s="19" t="s">
        <v>1989</v>
      </c>
    </row>
    <row r="655" spans="3:63" ht="15" customHeight="1">
      <c r="C655" s="1" t="str">
        <f t="shared" si="196"/>
        <v>3312</v>
      </c>
      <c r="D655" s="1" t="str">
        <f t="shared" si="197"/>
        <v>2401</v>
      </c>
      <c r="E655" s="19" t="s">
        <v>1895</v>
      </c>
      <c r="F655" s="19" t="s">
        <v>1896</v>
      </c>
      <c r="G655" s="62">
        <v>2112</v>
      </c>
      <c r="H655" s="19" t="s">
        <v>1972</v>
      </c>
      <c r="I655" s="105" t="s">
        <v>1875</v>
      </c>
      <c r="J655" s="86">
        <v>1</v>
      </c>
      <c r="K655" s="19" t="s">
        <v>1192</v>
      </c>
      <c r="L655" s="157" t="s">
        <v>1716</v>
      </c>
      <c r="M655" s="98" t="s">
        <v>1973</v>
      </c>
      <c r="N655" s="101">
        <v>45252</v>
      </c>
      <c r="O655" s="19">
        <v>48575.08</v>
      </c>
      <c r="P655" s="19">
        <v>24540</v>
      </c>
      <c r="Q655" s="163">
        <f>ROUND(O655*P655,0)</f>
        <v>1192032463</v>
      </c>
      <c r="R655" s="70"/>
      <c r="S655" s="19"/>
      <c r="T655" s="164">
        <v>18708100</v>
      </c>
      <c r="U655" s="19" t="s">
        <v>1974</v>
      </c>
      <c r="V655" s="74">
        <v>1210740563</v>
      </c>
      <c r="W655" s="75"/>
      <c r="X655" s="64">
        <v>1210740563</v>
      </c>
      <c r="Y655" s="19"/>
      <c r="Z655" s="19"/>
      <c r="AA655" s="19"/>
      <c r="AB655" s="19"/>
      <c r="AC655" s="64">
        <v>1210740563</v>
      </c>
      <c r="AD655" s="63">
        <v>45292</v>
      </c>
      <c r="AE655" s="65">
        <v>48944</v>
      </c>
      <c r="AF655" s="19">
        <v>10</v>
      </c>
      <c r="AG655" s="19">
        <v>120</v>
      </c>
      <c r="AH655" s="25">
        <v>10089505</v>
      </c>
      <c r="AI655" s="92"/>
      <c r="AJ655" s="92"/>
      <c r="AK655" s="27">
        <f t="shared" si="180"/>
        <v>10089505</v>
      </c>
      <c r="AL655" s="27">
        <f t="shared" si="200"/>
        <v>10089505</v>
      </c>
      <c r="AM655" s="27">
        <f t="shared" si="200"/>
        <v>10089505</v>
      </c>
      <c r="AN655" s="27">
        <f t="shared" si="189"/>
        <v>10089505</v>
      </c>
      <c r="AO655" s="27">
        <f t="shared" si="190"/>
        <v>10089505</v>
      </c>
      <c r="AP655" s="27">
        <f t="shared" si="190"/>
        <v>10089505</v>
      </c>
      <c r="AQ655" s="27">
        <f t="shared" si="191"/>
        <v>10089505</v>
      </c>
      <c r="AR655" s="27">
        <f t="shared" si="192"/>
        <v>10089505</v>
      </c>
      <c r="AS655" s="27"/>
      <c r="AT655" s="27"/>
      <c r="AU655" s="27"/>
      <c r="AV655" s="27"/>
      <c r="AW655" s="27">
        <f t="shared" si="184"/>
        <v>80716040</v>
      </c>
      <c r="AX655" s="79">
        <f t="shared" si="195"/>
        <v>1130024523</v>
      </c>
      <c r="AY655" s="79">
        <f t="shared" si="198"/>
        <v>80716040</v>
      </c>
      <c r="AZ655" s="25">
        <f t="shared" si="186"/>
        <v>1</v>
      </c>
      <c r="BA655" s="62"/>
      <c r="BB655" s="25">
        <v>1</v>
      </c>
      <c r="BC655" s="19"/>
      <c r="BD655" s="19"/>
      <c r="BE655" s="67">
        <f t="shared" si="185"/>
        <v>10089505</v>
      </c>
      <c r="BF655" s="67">
        <f t="shared" si="193"/>
        <v>0</v>
      </c>
      <c r="BG655" s="67">
        <f t="shared" si="199"/>
        <v>0</v>
      </c>
      <c r="BH655" s="19"/>
      <c r="BI655" s="19" t="s">
        <v>1896</v>
      </c>
      <c r="BJ655" s="19" t="s">
        <v>1982</v>
      </c>
      <c r="BK655" s="19" t="s">
        <v>1982</v>
      </c>
    </row>
    <row r="656" spans="3:63" ht="15" customHeight="1">
      <c r="C656" s="1" t="str">
        <f t="shared" si="196"/>
        <v>2812</v>
      </c>
      <c r="D656" s="1" t="str">
        <f t="shared" si="197"/>
        <v>2401</v>
      </c>
      <c r="E656" s="19" t="s">
        <v>1895</v>
      </c>
      <c r="F656" s="19" t="s">
        <v>1896</v>
      </c>
      <c r="G656" s="62">
        <v>2114</v>
      </c>
      <c r="H656" s="19" t="s">
        <v>1975</v>
      </c>
      <c r="I656" s="105" t="s">
        <v>1874</v>
      </c>
      <c r="J656" s="86">
        <v>1</v>
      </c>
      <c r="K656" s="19" t="s">
        <v>1192</v>
      </c>
      <c r="L656" s="157" t="s">
        <v>1591</v>
      </c>
      <c r="M656" s="98" t="s">
        <v>1976</v>
      </c>
      <c r="N656" s="101">
        <v>45253</v>
      </c>
      <c r="O656" s="19"/>
      <c r="P656" s="19"/>
      <c r="Q656" s="163">
        <v>177000000</v>
      </c>
      <c r="R656" s="70"/>
      <c r="S656" s="19"/>
      <c r="T656" s="70"/>
      <c r="U656" s="19"/>
      <c r="V656" s="74">
        <v>177000000</v>
      </c>
      <c r="W656" s="75"/>
      <c r="X656" s="64">
        <v>177000000</v>
      </c>
      <c r="Y656" s="19"/>
      <c r="Z656" s="19"/>
      <c r="AA656" s="19"/>
      <c r="AB656" s="19"/>
      <c r="AC656" s="64">
        <v>177000000</v>
      </c>
      <c r="AD656" s="63">
        <v>45292</v>
      </c>
      <c r="AE656" s="65">
        <v>47118</v>
      </c>
      <c r="AF656" s="19">
        <v>5</v>
      </c>
      <c r="AG656" s="19">
        <v>60</v>
      </c>
      <c r="AH656" s="25">
        <v>2950000</v>
      </c>
      <c r="AI656" s="92"/>
      <c r="AJ656" s="92"/>
      <c r="AK656" s="27">
        <f t="shared" si="180"/>
        <v>2950000</v>
      </c>
      <c r="AL656" s="27">
        <f t="shared" si="200"/>
        <v>2950000</v>
      </c>
      <c r="AM656" s="27">
        <f t="shared" si="200"/>
        <v>2950000</v>
      </c>
      <c r="AN656" s="27">
        <f t="shared" si="189"/>
        <v>2950000</v>
      </c>
      <c r="AO656" s="27">
        <f t="shared" si="190"/>
        <v>2950000</v>
      </c>
      <c r="AP656" s="27">
        <f t="shared" si="190"/>
        <v>2950000</v>
      </c>
      <c r="AQ656" s="27">
        <f t="shared" si="191"/>
        <v>2950000</v>
      </c>
      <c r="AR656" s="27">
        <f t="shared" si="192"/>
        <v>2950000</v>
      </c>
      <c r="AS656" s="27"/>
      <c r="AT656" s="27"/>
      <c r="AU656" s="27"/>
      <c r="AV656" s="27"/>
      <c r="AW656" s="27">
        <f t="shared" si="184"/>
        <v>23600000</v>
      </c>
      <c r="AX656" s="79">
        <f t="shared" si="195"/>
        <v>153400000</v>
      </c>
      <c r="AY656" s="79">
        <f t="shared" si="198"/>
        <v>23600000</v>
      </c>
      <c r="AZ656" s="25">
        <f t="shared" si="186"/>
        <v>1</v>
      </c>
      <c r="BA656" s="62"/>
      <c r="BB656" s="25">
        <v>1</v>
      </c>
      <c r="BC656" s="19"/>
      <c r="BD656" s="19"/>
      <c r="BE656" s="67">
        <f t="shared" si="185"/>
        <v>2950000</v>
      </c>
      <c r="BF656" s="67">
        <f t="shared" si="193"/>
        <v>0</v>
      </c>
      <c r="BG656" s="67">
        <f t="shared" si="199"/>
        <v>0</v>
      </c>
      <c r="BH656" s="19"/>
      <c r="BI656" s="19" t="s">
        <v>1896</v>
      </c>
      <c r="BJ656" s="19" t="s">
        <v>1929</v>
      </c>
      <c r="BK656" s="19" t="s">
        <v>1989</v>
      </c>
    </row>
    <row r="657" spans="3:67" ht="15" customHeight="1">
      <c r="C657" s="1" t="str">
        <f t="shared" si="196"/>
        <v>2912</v>
      </c>
      <c r="D657" s="1" t="str">
        <f t="shared" si="197"/>
        <v>2401</v>
      </c>
      <c r="E657" s="19" t="s">
        <v>1895</v>
      </c>
      <c r="F657" s="19" t="s">
        <v>1896</v>
      </c>
      <c r="G657" s="62">
        <v>2113</v>
      </c>
      <c r="H657" s="19" t="s">
        <v>1977</v>
      </c>
      <c r="I657" s="105" t="s">
        <v>1882</v>
      </c>
      <c r="J657" s="86">
        <v>1</v>
      </c>
      <c r="K657" s="19" t="s">
        <v>1233</v>
      </c>
      <c r="L657" s="157" t="s">
        <v>1881</v>
      </c>
      <c r="M657" s="98" t="s">
        <v>1978</v>
      </c>
      <c r="N657" s="101">
        <v>45273</v>
      </c>
      <c r="O657" s="19"/>
      <c r="P657" s="19"/>
      <c r="Q657" s="163">
        <v>458000000</v>
      </c>
      <c r="R657" s="19"/>
      <c r="S657" s="19"/>
      <c r="T657" s="70"/>
      <c r="U657" s="19"/>
      <c r="V657" s="74">
        <v>458000000</v>
      </c>
      <c r="W657" s="75"/>
      <c r="X657" s="64">
        <v>458000000</v>
      </c>
      <c r="Y657" s="19"/>
      <c r="Z657" s="19"/>
      <c r="AA657" s="19"/>
      <c r="AB657" s="19"/>
      <c r="AC657" s="64">
        <v>458000000</v>
      </c>
      <c r="AD657" s="63">
        <v>45292</v>
      </c>
      <c r="AE657" s="65">
        <v>47483</v>
      </c>
      <c r="AF657" s="19">
        <v>6</v>
      </c>
      <c r="AG657" s="19">
        <v>72</v>
      </c>
      <c r="AH657" s="25">
        <v>6361111</v>
      </c>
      <c r="AI657" s="92"/>
      <c r="AJ657" s="92"/>
      <c r="AK657" s="27">
        <f t="shared" si="180"/>
        <v>6361111</v>
      </c>
      <c r="AL657" s="27">
        <f t="shared" si="200"/>
        <v>6361111</v>
      </c>
      <c r="AM657" s="27">
        <f t="shared" si="200"/>
        <v>6361111</v>
      </c>
      <c r="AN657" s="27">
        <f t="shared" si="189"/>
        <v>6361111</v>
      </c>
      <c r="AO657" s="27">
        <f t="shared" si="190"/>
        <v>6361111</v>
      </c>
      <c r="AP657" s="27">
        <f t="shared" si="190"/>
        <v>6361111</v>
      </c>
      <c r="AQ657" s="27">
        <f t="shared" si="191"/>
        <v>6361111</v>
      </c>
      <c r="AR657" s="27">
        <f t="shared" si="192"/>
        <v>6361111</v>
      </c>
      <c r="AS657" s="27"/>
      <c r="AT657" s="27"/>
      <c r="AU657" s="27"/>
      <c r="AV657" s="27"/>
      <c r="AW657" s="27">
        <f t="shared" si="184"/>
        <v>50888888</v>
      </c>
      <c r="AX657" s="79">
        <f t="shared" si="195"/>
        <v>407111112</v>
      </c>
      <c r="AY657" s="79">
        <f t="shared" si="198"/>
        <v>50888888</v>
      </c>
      <c r="AZ657" s="25">
        <f t="shared" si="186"/>
        <v>1</v>
      </c>
      <c r="BA657" s="62"/>
      <c r="BB657" s="25">
        <v>1</v>
      </c>
      <c r="BC657" s="19"/>
      <c r="BD657" s="19"/>
      <c r="BE657" s="67">
        <f t="shared" si="185"/>
        <v>6361111</v>
      </c>
      <c r="BF657" s="67">
        <f t="shared" si="193"/>
        <v>0</v>
      </c>
      <c r="BG657" s="67">
        <f t="shared" si="199"/>
        <v>0</v>
      </c>
      <c r="BH657" s="19"/>
      <c r="BI657" s="19" t="s">
        <v>1896</v>
      </c>
      <c r="BJ657" s="19" t="s">
        <v>1929</v>
      </c>
      <c r="BK657" s="19" t="s">
        <v>1989</v>
      </c>
    </row>
    <row r="658" spans="3:67" ht="15" customHeight="1">
      <c r="C658" s="1" t="str">
        <f t="shared" si="196"/>
        <v>3312</v>
      </c>
      <c r="D658" s="1" t="str">
        <f t="shared" si="197"/>
        <v>2401</v>
      </c>
      <c r="E658" s="19" t="s">
        <v>1895</v>
      </c>
      <c r="F658" s="19" t="s">
        <v>1896</v>
      </c>
      <c r="G658" s="62">
        <v>2112</v>
      </c>
      <c r="H658" s="19" t="s">
        <v>1983</v>
      </c>
      <c r="I658" s="105" t="s">
        <v>1880</v>
      </c>
      <c r="J658" s="86">
        <v>1</v>
      </c>
      <c r="K658" s="19" t="s">
        <v>1233</v>
      </c>
      <c r="L658" s="157" t="s">
        <v>1843</v>
      </c>
      <c r="M658" s="98" t="s">
        <v>1984</v>
      </c>
      <c r="N658" s="101">
        <v>45231</v>
      </c>
      <c r="O658" s="19">
        <v>76000</v>
      </c>
      <c r="P658" s="19">
        <v>24587</v>
      </c>
      <c r="Q658" s="163">
        <f>ROUND(O658*P658,0)</f>
        <v>1868612000</v>
      </c>
      <c r="R658" s="70"/>
      <c r="S658" s="19"/>
      <c r="T658" s="164">
        <v>24969123</v>
      </c>
      <c r="U658" s="19"/>
      <c r="V658" s="74">
        <v>1893581123</v>
      </c>
      <c r="W658" s="75"/>
      <c r="X658" s="64">
        <v>1893581123</v>
      </c>
      <c r="Y658" s="19"/>
      <c r="Z658" s="19"/>
      <c r="AA658" s="19"/>
      <c r="AB658" s="19"/>
      <c r="AC658" s="64">
        <v>1893581123</v>
      </c>
      <c r="AD658" s="63">
        <v>45292</v>
      </c>
      <c r="AE658" s="65">
        <v>48944</v>
      </c>
      <c r="AF658" s="19">
        <v>10</v>
      </c>
      <c r="AG658" s="19">
        <v>120</v>
      </c>
      <c r="AH658" s="25">
        <v>15779843</v>
      </c>
      <c r="AI658" s="92"/>
      <c r="AJ658" s="92"/>
      <c r="AK658" s="27">
        <f t="shared" si="180"/>
        <v>15779843</v>
      </c>
      <c r="AL658" s="27">
        <f t="shared" si="200"/>
        <v>15779843</v>
      </c>
      <c r="AM658" s="27">
        <f t="shared" si="200"/>
        <v>15779843</v>
      </c>
      <c r="AN658" s="27">
        <f t="shared" si="189"/>
        <v>15779843</v>
      </c>
      <c r="AO658" s="27">
        <f t="shared" si="190"/>
        <v>15779843</v>
      </c>
      <c r="AP658" s="27">
        <f t="shared" si="190"/>
        <v>15779843</v>
      </c>
      <c r="AQ658" s="27">
        <f t="shared" si="191"/>
        <v>15779843</v>
      </c>
      <c r="AR658" s="27">
        <f t="shared" si="192"/>
        <v>15779843</v>
      </c>
      <c r="AS658" s="27"/>
      <c r="AT658" s="27"/>
      <c r="AU658" s="27"/>
      <c r="AV658" s="27"/>
      <c r="AW658" s="27">
        <f t="shared" si="184"/>
        <v>126238744</v>
      </c>
      <c r="AX658" s="79">
        <f t="shared" si="195"/>
        <v>1767342379</v>
      </c>
      <c r="AY658" s="79">
        <f t="shared" si="198"/>
        <v>126238744</v>
      </c>
      <c r="AZ658" s="25">
        <f t="shared" si="186"/>
        <v>1</v>
      </c>
      <c r="BA658" s="62"/>
      <c r="BB658" s="25">
        <v>1</v>
      </c>
      <c r="BC658" s="19"/>
      <c r="BD658" s="19"/>
      <c r="BE658" s="67">
        <f t="shared" si="185"/>
        <v>15779843</v>
      </c>
      <c r="BF658" s="67">
        <f t="shared" si="193"/>
        <v>0</v>
      </c>
      <c r="BG658" s="67">
        <f t="shared" si="199"/>
        <v>0</v>
      </c>
      <c r="BH658" s="19"/>
      <c r="BI658" s="19" t="s">
        <v>1896</v>
      </c>
      <c r="BJ658" s="19" t="s">
        <v>1929</v>
      </c>
      <c r="BK658" s="19" t="s">
        <v>1989</v>
      </c>
    </row>
    <row r="659" spans="3:67" ht="15" customHeight="1">
      <c r="C659" s="1" t="str">
        <f t="shared" si="196"/>
        <v>4401</v>
      </c>
      <c r="D659" s="1" t="str">
        <f t="shared" si="197"/>
        <v>2401</v>
      </c>
      <c r="E659" s="19" t="s">
        <v>1895</v>
      </c>
      <c r="F659" s="19" t="s">
        <v>1896</v>
      </c>
      <c r="G659" s="62">
        <v>2111</v>
      </c>
      <c r="H659" s="19" t="s">
        <v>1986</v>
      </c>
      <c r="I659" s="105" t="s">
        <v>1988</v>
      </c>
      <c r="J659" s="86">
        <v>1</v>
      </c>
      <c r="K659" s="19"/>
      <c r="L659" s="157" t="s">
        <v>1783</v>
      </c>
      <c r="M659" s="98" t="s">
        <v>1987</v>
      </c>
      <c r="N659" s="101"/>
      <c r="O659" s="19"/>
      <c r="P659" s="19"/>
      <c r="Q659" s="163">
        <v>50000000000</v>
      </c>
      <c r="R659" s="19"/>
      <c r="S659" s="19"/>
      <c r="T659" s="70"/>
      <c r="U659" s="19"/>
      <c r="V659" s="74">
        <v>50000000000</v>
      </c>
      <c r="W659" s="75"/>
      <c r="X659" s="64">
        <v>50000000000</v>
      </c>
      <c r="Y659" s="19"/>
      <c r="Z659" s="19"/>
      <c r="AA659" s="19"/>
      <c r="AB659" s="19"/>
      <c r="AC659" s="64">
        <v>50000000000</v>
      </c>
      <c r="AD659" s="63">
        <v>45311</v>
      </c>
      <c r="AE659" s="65">
        <v>52615</v>
      </c>
      <c r="AF659" s="19">
        <v>20</v>
      </c>
      <c r="AG659" s="19">
        <v>240</v>
      </c>
      <c r="AH659" s="25">
        <v>208333333</v>
      </c>
      <c r="AI659" s="92"/>
      <c r="AJ659" s="92"/>
      <c r="AK659" s="27">
        <f>+AH659*12/31</f>
        <v>80645161.161290318</v>
      </c>
      <c r="AL659" s="27">
        <f t="shared" si="200"/>
        <v>208333333</v>
      </c>
      <c r="AM659" s="27">
        <f t="shared" si="200"/>
        <v>208333333</v>
      </c>
      <c r="AN659" s="27">
        <f t="shared" si="189"/>
        <v>208333333</v>
      </c>
      <c r="AO659" s="27">
        <f t="shared" si="190"/>
        <v>208333333</v>
      </c>
      <c r="AP659" s="27">
        <f t="shared" si="190"/>
        <v>208333333</v>
      </c>
      <c r="AQ659" s="27">
        <f t="shared" si="191"/>
        <v>208333333</v>
      </c>
      <c r="AR659" s="27">
        <f t="shared" si="192"/>
        <v>208333333</v>
      </c>
      <c r="AS659" s="27"/>
      <c r="AT659" s="27"/>
      <c r="AU659" s="27"/>
      <c r="AV659" s="27"/>
      <c r="AW659" s="27">
        <f t="shared" si="184"/>
        <v>1538978492.1612902</v>
      </c>
      <c r="AX659" s="79">
        <f t="shared" si="195"/>
        <v>48461021507.838707</v>
      </c>
      <c r="AY659" s="79">
        <f t="shared" si="198"/>
        <v>1538978492.1612902</v>
      </c>
      <c r="AZ659" s="25">
        <f t="shared" si="186"/>
        <v>1</v>
      </c>
      <c r="BA659" s="62"/>
      <c r="BB659" s="25">
        <v>1</v>
      </c>
      <c r="BC659" s="19"/>
      <c r="BD659" s="19"/>
      <c r="BE659" s="67">
        <f t="shared" si="185"/>
        <v>208333333</v>
      </c>
      <c r="BF659" s="67">
        <f t="shared" si="193"/>
        <v>0</v>
      </c>
      <c r="BG659" s="67">
        <f t="shared" si="199"/>
        <v>0</v>
      </c>
      <c r="BH659" s="19"/>
      <c r="BI659" s="19" t="s">
        <v>1896</v>
      </c>
      <c r="BJ659" s="19" t="s">
        <v>1929</v>
      </c>
      <c r="BK659" s="19" t="s">
        <v>1989</v>
      </c>
    </row>
    <row r="660" spans="3:67" ht="15" customHeight="1">
      <c r="C660" s="1" t="str">
        <f t="shared" si="196"/>
        <v>2901</v>
      </c>
      <c r="D660" s="1" t="str">
        <f t="shared" si="197"/>
        <v>2402</v>
      </c>
      <c r="E660" s="19" t="s">
        <v>2025</v>
      </c>
      <c r="F660" s="19" t="s">
        <v>1896</v>
      </c>
      <c r="G660" s="62">
        <v>2114</v>
      </c>
      <c r="H660" s="19" t="s">
        <v>1999</v>
      </c>
      <c r="I660" s="105" t="s">
        <v>2000</v>
      </c>
      <c r="J660" s="86">
        <v>1</v>
      </c>
      <c r="K660" s="19" t="s">
        <v>2001</v>
      </c>
      <c r="L660" s="157" t="s">
        <v>2002</v>
      </c>
      <c r="M660" s="98" t="s">
        <v>1429</v>
      </c>
      <c r="N660" s="101">
        <v>45321</v>
      </c>
      <c r="O660" s="19"/>
      <c r="P660" s="19"/>
      <c r="Q660" s="163">
        <v>426000000</v>
      </c>
      <c r="R660" s="19"/>
      <c r="S660" s="19"/>
      <c r="T660" s="70"/>
      <c r="U660" s="19"/>
      <c r="V660" s="74">
        <v>426000000</v>
      </c>
      <c r="W660" s="75"/>
      <c r="X660" s="64">
        <v>426000000</v>
      </c>
      <c r="Y660" s="19"/>
      <c r="Z660" s="19"/>
      <c r="AA660" s="19"/>
      <c r="AB660" s="19"/>
      <c r="AC660" s="64">
        <v>426000000</v>
      </c>
      <c r="AD660" s="63">
        <v>45323</v>
      </c>
      <c r="AE660" s="65">
        <v>47149</v>
      </c>
      <c r="AF660" s="19">
        <v>5</v>
      </c>
      <c r="AG660" s="19">
        <v>60</v>
      </c>
      <c r="AH660" s="25">
        <v>7100000</v>
      </c>
      <c r="AI660" s="92"/>
      <c r="AJ660" s="92"/>
      <c r="AK660" s="27"/>
      <c r="AL660" s="27">
        <f t="shared" si="200"/>
        <v>7100000</v>
      </c>
      <c r="AM660" s="27">
        <f t="shared" si="200"/>
        <v>7100000</v>
      </c>
      <c r="AN660" s="27">
        <f t="shared" si="189"/>
        <v>7100000</v>
      </c>
      <c r="AO660" s="27">
        <f t="shared" si="190"/>
        <v>7100000</v>
      </c>
      <c r="AP660" s="27">
        <f t="shared" si="190"/>
        <v>7100000</v>
      </c>
      <c r="AQ660" s="27">
        <f t="shared" si="191"/>
        <v>7100000</v>
      </c>
      <c r="AR660" s="27">
        <f t="shared" si="192"/>
        <v>7100000</v>
      </c>
      <c r="AS660" s="27"/>
      <c r="AT660" s="27"/>
      <c r="AU660" s="27"/>
      <c r="AV660" s="27"/>
      <c r="AW660" s="27">
        <f t="shared" ref="AW660:AW733" si="201">+SUM(AK660:AV660)</f>
        <v>49700000</v>
      </c>
      <c r="AX660" s="79">
        <f t="shared" si="195"/>
        <v>376300000</v>
      </c>
      <c r="AY660" s="79">
        <f t="shared" si="198"/>
        <v>49700000</v>
      </c>
      <c r="AZ660" s="25">
        <f t="shared" si="186"/>
        <v>1</v>
      </c>
      <c r="BA660" s="62"/>
      <c r="BB660" s="25">
        <v>1</v>
      </c>
      <c r="BC660" s="19"/>
      <c r="BD660" s="19"/>
      <c r="BE660" s="67">
        <f t="shared" si="185"/>
        <v>7100000</v>
      </c>
      <c r="BF660" s="67">
        <f t="shared" si="193"/>
        <v>0</v>
      </c>
      <c r="BG660" s="67">
        <f t="shared" si="199"/>
        <v>0</v>
      </c>
      <c r="BH660" s="19"/>
      <c r="BI660" s="19" t="s">
        <v>1896</v>
      </c>
      <c r="BJ660" s="19" t="s">
        <v>1929</v>
      </c>
      <c r="BK660" s="19" t="s">
        <v>1989</v>
      </c>
    </row>
    <row r="661" spans="3:67" ht="15" customHeight="1">
      <c r="C661" s="1" t="str">
        <f t="shared" si="196"/>
        <v>3401</v>
      </c>
      <c r="D661" s="1" t="str">
        <f t="shared" si="197"/>
        <v>2402</v>
      </c>
      <c r="E661" s="19" t="s">
        <v>2025</v>
      </c>
      <c r="F661" s="19" t="s">
        <v>1896</v>
      </c>
      <c r="G661" s="62">
        <v>2114</v>
      </c>
      <c r="H661" s="19" t="s">
        <v>2003</v>
      </c>
      <c r="I661" s="105" t="s">
        <v>2004</v>
      </c>
      <c r="J661" s="86">
        <v>1</v>
      </c>
      <c r="K661" s="19" t="s">
        <v>2005</v>
      </c>
      <c r="L661" s="157" t="s">
        <v>2006</v>
      </c>
      <c r="M661" s="98" t="s">
        <v>1429</v>
      </c>
      <c r="N661" s="101">
        <v>45321</v>
      </c>
      <c r="O661" s="19"/>
      <c r="P661" s="19"/>
      <c r="Q661" s="163">
        <f>122314545+283590000</f>
        <v>405904545</v>
      </c>
      <c r="R661" s="19"/>
      <c r="S661" s="19"/>
      <c r="T661" s="70"/>
      <c r="U661" s="19"/>
      <c r="V661" s="74">
        <v>405904545</v>
      </c>
      <c r="W661" s="75"/>
      <c r="X661" s="64">
        <v>405904545</v>
      </c>
      <c r="Y661" s="19"/>
      <c r="Z661" s="19"/>
      <c r="AA661" s="19"/>
      <c r="AB661" s="19"/>
      <c r="AC661" s="64">
        <v>405904545</v>
      </c>
      <c r="AD661" s="63">
        <v>45323</v>
      </c>
      <c r="AE661" s="65">
        <v>48975</v>
      </c>
      <c r="AF661" s="19">
        <v>10</v>
      </c>
      <c r="AG661" s="19">
        <v>120</v>
      </c>
      <c r="AH661" s="25">
        <v>3382538</v>
      </c>
      <c r="AI661" s="92"/>
      <c r="AJ661" s="92"/>
      <c r="AK661" s="27"/>
      <c r="AL661" s="27">
        <f t="shared" si="200"/>
        <v>3382538</v>
      </c>
      <c r="AM661" s="27">
        <f t="shared" si="200"/>
        <v>3382538</v>
      </c>
      <c r="AN661" s="27">
        <f t="shared" si="189"/>
        <v>3382538</v>
      </c>
      <c r="AO661" s="27">
        <f t="shared" si="190"/>
        <v>3382538</v>
      </c>
      <c r="AP661" s="27">
        <f t="shared" si="190"/>
        <v>3382538</v>
      </c>
      <c r="AQ661" s="27">
        <f t="shared" si="191"/>
        <v>3382538</v>
      </c>
      <c r="AR661" s="27">
        <f t="shared" si="192"/>
        <v>3382538</v>
      </c>
      <c r="AS661" s="27"/>
      <c r="AT661" s="27"/>
      <c r="AU661" s="27"/>
      <c r="AV661" s="27"/>
      <c r="AW661" s="27">
        <f t="shared" si="201"/>
        <v>23677766</v>
      </c>
      <c r="AX661" s="79">
        <f t="shared" si="195"/>
        <v>382226779</v>
      </c>
      <c r="AY661" s="79">
        <f t="shared" si="198"/>
        <v>23677766</v>
      </c>
      <c r="AZ661" s="25">
        <f t="shared" si="186"/>
        <v>1</v>
      </c>
      <c r="BA661" s="62"/>
      <c r="BB661" s="66">
        <v>1</v>
      </c>
      <c r="BC661" s="19"/>
      <c r="BD661" s="19"/>
      <c r="BE661" s="67">
        <f t="shared" si="185"/>
        <v>3382538</v>
      </c>
      <c r="BF661" s="67">
        <f t="shared" si="193"/>
        <v>0</v>
      </c>
      <c r="BG661" s="67">
        <f t="shared" si="199"/>
        <v>0</v>
      </c>
      <c r="BH661" s="19"/>
      <c r="BI661" s="19" t="s">
        <v>1896</v>
      </c>
      <c r="BJ661" s="19" t="s">
        <v>1929</v>
      </c>
      <c r="BK661" s="19" t="s">
        <v>1989</v>
      </c>
    </row>
    <row r="662" spans="3:67" ht="15" customHeight="1">
      <c r="C662" s="1" t="str">
        <f t="shared" si="196"/>
        <v>3401</v>
      </c>
      <c r="D662" s="1" t="str">
        <f t="shared" si="197"/>
        <v>2402</v>
      </c>
      <c r="E662" s="19" t="s">
        <v>2025</v>
      </c>
      <c r="F662" s="19" t="s">
        <v>1896</v>
      </c>
      <c r="G662" s="62">
        <v>2112</v>
      </c>
      <c r="H662" s="19" t="s">
        <v>2007</v>
      </c>
      <c r="I662" s="105" t="s">
        <v>2008</v>
      </c>
      <c r="J662" s="86">
        <v>1</v>
      </c>
      <c r="K662" s="19" t="s">
        <v>2005</v>
      </c>
      <c r="L662" s="157" t="s">
        <v>2009</v>
      </c>
      <c r="M662" s="98">
        <v>10042023</v>
      </c>
      <c r="N662" s="101">
        <v>45317</v>
      </c>
      <c r="O662" s="19"/>
      <c r="P662" s="19"/>
      <c r="Q662" s="163">
        <v>4995000000</v>
      </c>
      <c r="R662" s="19"/>
      <c r="S662" s="19"/>
      <c r="T662" s="19"/>
      <c r="U662" s="19"/>
      <c r="V662" s="74">
        <v>4995000000</v>
      </c>
      <c r="W662" s="75"/>
      <c r="X662" s="64">
        <v>4995000000</v>
      </c>
      <c r="Y662" s="19"/>
      <c r="Z662" s="19"/>
      <c r="AA662" s="19"/>
      <c r="AB662" s="19"/>
      <c r="AC662" s="64">
        <v>4995000000</v>
      </c>
      <c r="AD662" s="63">
        <v>45323</v>
      </c>
      <c r="AE662" s="65">
        <v>48975</v>
      </c>
      <c r="AF662" s="19">
        <v>10</v>
      </c>
      <c r="AG662" s="19">
        <v>120</v>
      </c>
      <c r="AH662" s="25">
        <v>41625000</v>
      </c>
      <c r="AI662" s="92"/>
      <c r="AJ662" s="92"/>
      <c r="AK662" s="27"/>
      <c r="AL662" s="27">
        <f t="shared" si="200"/>
        <v>41625000</v>
      </c>
      <c r="AM662" s="27">
        <f t="shared" si="200"/>
        <v>41625000</v>
      </c>
      <c r="AN662" s="27">
        <f t="shared" si="189"/>
        <v>41625000</v>
      </c>
      <c r="AO662" s="27">
        <f t="shared" si="190"/>
        <v>41625000</v>
      </c>
      <c r="AP662" s="27">
        <f t="shared" si="190"/>
        <v>41625000</v>
      </c>
      <c r="AQ662" s="27">
        <f t="shared" si="191"/>
        <v>41625000</v>
      </c>
      <c r="AR662" s="27">
        <f t="shared" si="192"/>
        <v>41625000</v>
      </c>
      <c r="AS662" s="27"/>
      <c r="AT662" s="27"/>
      <c r="AU662" s="27"/>
      <c r="AV662" s="27"/>
      <c r="AW662" s="27">
        <f t="shared" si="201"/>
        <v>291375000</v>
      </c>
      <c r="AX662" s="79">
        <f t="shared" si="195"/>
        <v>4703625000</v>
      </c>
      <c r="AY662" s="79">
        <f t="shared" si="198"/>
        <v>291375000</v>
      </c>
      <c r="AZ662" s="25">
        <f t="shared" si="186"/>
        <v>1</v>
      </c>
      <c r="BA662" s="62"/>
      <c r="BB662" s="66">
        <v>1</v>
      </c>
      <c r="BC662" s="19"/>
      <c r="BD662" s="19"/>
      <c r="BE662" s="67">
        <f t="shared" si="185"/>
        <v>41625000</v>
      </c>
      <c r="BF662" s="67">
        <f t="shared" si="193"/>
        <v>0</v>
      </c>
      <c r="BG662" s="67">
        <f t="shared" si="199"/>
        <v>0</v>
      </c>
      <c r="BH662" s="19"/>
      <c r="BI662" s="19" t="s">
        <v>1896</v>
      </c>
      <c r="BJ662" s="19" t="s">
        <v>1980</v>
      </c>
      <c r="BK662" s="68" t="s">
        <v>1980</v>
      </c>
    </row>
    <row r="663" spans="3:67" ht="15" customHeight="1">
      <c r="C663" s="1" t="str">
        <f t="shared" si="196"/>
        <v>3401</v>
      </c>
      <c r="D663" s="1" t="str">
        <f t="shared" si="197"/>
        <v>2402</v>
      </c>
      <c r="E663" s="19" t="s">
        <v>2025</v>
      </c>
      <c r="F663" s="19" t="s">
        <v>1923</v>
      </c>
      <c r="G663" s="62">
        <v>2112</v>
      </c>
      <c r="H663" s="19" t="s">
        <v>2010</v>
      </c>
      <c r="I663" s="105" t="s">
        <v>2011</v>
      </c>
      <c r="J663" s="170">
        <v>1</v>
      </c>
      <c r="K663" s="165" t="s">
        <v>619</v>
      </c>
      <c r="L663" s="165" t="s">
        <v>858</v>
      </c>
      <c r="M663" s="166" t="s">
        <v>2023</v>
      </c>
      <c r="N663" s="101">
        <v>45290</v>
      </c>
      <c r="O663" s="167">
        <v>25600</v>
      </c>
      <c r="P663" s="19">
        <v>24400</v>
      </c>
      <c r="Q663" s="163">
        <f>+O663*P663</f>
        <v>624640000</v>
      </c>
      <c r="R663" s="19"/>
      <c r="S663" s="19"/>
      <c r="T663" s="104">
        <v>12256068</v>
      </c>
      <c r="U663" s="19" t="s">
        <v>2024</v>
      </c>
      <c r="V663" s="74">
        <v>636896068</v>
      </c>
      <c r="W663" s="75"/>
      <c r="X663" s="64">
        <v>636896068</v>
      </c>
      <c r="Y663" s="19"/>
      <c r="Z663" s="19"/>
      <c r="AA663" s="19"/>
      <c r="AB663" s="19"/>
      <c r="AC663" s="64">
        <v>636896068</v>
      </c>
      <c r="AD663" s="63">
        <v>45323</v>
      </c>
      <c r="AE663" s="65">
        <v>48975</v>
      </c>
      <c r="AF663" s="19">
        <v>10</v>
      </c>
      <c r="AG663" s="19">
        <v>120</v>
      </c>
      <c r="AH663" s="25">
        <v>5307467</v>
      </c>
      <c r="AI663" s="92"/>
      <c r="AJ663" s="92"/>
      <c r="AK663" s="27"/>
      <c r="AL663" s="27">
        <f t="shared" si="200"/>
        <v>5307467</v>
      </c>
      <c r="AM663" s="27">
        <f t="shared" si="200"/>
        <v>5307467</v>
      </c>
      <c r="AN663" s="27">
        <f t="shared" si="189"/>
        <v>5307467</v>
      </c>
      <c r="AO663" s="27">
        <f t="shared" si="190"/>
        <v>5307467</v>
      </c>
      <c r="AP663" s="27">
        <f t="shared" si="190"/>
        <v>5307467</v>
      </c>
      <c r="AQ663" s="27">
        <f t="shared" si="191"/>
        <v>5307467</v>
      </c>
      <c r="AR663" s="27">
        <f t="shared" si="192"/>
        <v>5307467</v>
      </c>
      <c r="AS663" s="27"/>
      <c r="AT663" s="27"/>
      <c r="AU663" s="27"/>
      <c r="AV663" s="27"/>
      <c r="AW663" s="27">
        <f t="shared" si="201"/>
        <v>37152269</v>
      </c>
      <c r="AX663" s="79">
        <f t="shared" si="195"/>
        <v>599743799</v>
      </c>
      <c r="AY663" s="79">
        <f t="shared" si="198"/>
        <v>37152269</v>
      </c>
      <c r="AZ663" s="25">
        <f t="shared" si="186"/>
        <v>1</v>
      </c>
      <c r="BA663" s="62"/>
      <c r="BB663" s="66">
        <v>1</v>
      </c>
      <c r="BC663" s="19"/>
      <c r="BD663" s="19"/>
      <c r="BE663" s="67">
        <f t="shared" si="185"/>
        <v>5307467</v>
      </c>
      <c r="BF663" s="67">
        <f t="shared" si="193"/>
        <v>0</v>
      </c>
      <c r="BG663" s="67">
        <f t="shared" si="199"/>
        <v>0</v>
      </c>
      <c r="BH663" s="19"/>
      <c r="BI663" s="19" t="s">
        <v>1923</v>
      </c>
      <c r="BJ663" s="19" t="s">
        <v>58</v>
      </c>
      <c r="BK663" s="19" t="s">
        <v>59</v>
      </c>
    </row>
    <row r="664" spans="3:67" ht="15" customHeight="1">
      <c r="C664" s="1" t="str">
        <f t="shared" si="196"/>
        <v>2901</v>
      </c>
      <c r="D664" s="1" t="str">
        <f t="shared" si="197"/>
        <v>2402</v>
      </c>
      <c r="E664" s="19" t="s">
        <v>2025</v>
      </c>
      <c r="F664" s="19" t="s">
        <v>1896</v>
      </c>
      <c r="G664" s="62">
        <v>2112</v>
      </c>
      <c r="H664" s="19" t="s">
        <v>2012</v>
      </c>
      <c r="I664" s="105" t="s">
        <v>2013</v>
      </c>
      <c r="J664" s="86">
        <v>1</v>
      </c>
      <c r="K664" s="19" t="s">
        <v>2005</v>
      </c>
      <c r="L664" s="157" t="s">
        <v>2014</v>
      </c>
      <c r="M664" s="98">
        <v>4</v>
      </c>
      <c r="N664" s="101">
        <v>45311</v>
      </c>
      <c r="O664" s="19"/>
      <c r="P664" s="19"/>
      <c r="Q664" s="163">
        <v>126000000</v>
      </c>
      <c r="R664" s="19"/>
      <c r="S664" s="19"/>
      <c r="T664" s="19"/>
      <c r="U664" s="19"/>
      <c r="V664" s="74">
        <v>126000000</v>
      </c>
      <c r="W664" s="75"/>
      <c r="X664" s="64">
        <v>126000000</v>
      </c>
      <c r="Y664" s="19"/>
      <c r="Z664" s="19"/>
      <c r="AA664" s="19"/>
      <c r="AB664" s="19"/>
      <c r="AC664" s="64">
        <v>126000000</v>
      </c>
      <c r="AD664" s="63">
        <v>45323</v>
      </c>
      <c r="AE664" s="65">
        <v>47149</v>
      </c>
      <c r="AF664" s="19">
        <v>5</v>
      </c>
      <c r="AG664" s="19">
        <v>60</v>
      </c>
      <c r="AH664" s="25">
        <v>2100000</v>
      </c>
      <c r="AI664" s="92"/>
      <c r="AJ664" s="92"/>
      <c r="AK664" s="27"/>
      <c r="AL664" s="27">
        <f t="shared" si="200"/>
        <v>2100000</v>
      </c>
      <c r="AM664" s="27">
        <f t="shared" si="200"/>
        <v>2100000</v>
      </c>
      <c r="AN664" s="27">
        <f t="shared" si="189"/>
        <v>2100000</v>
      </c>
      <c r="AO664" s="27">
        <f t="shared" si="190"/>
        <v>2100000</v>
      </c>
      <c r="AP664" s="27">
        <f t="shared" si="190"/>
        <v>2100000</v>
      </c>
      <c r="AQ664" s="27">
        <f t="shared" si="191"/>
        <v>2100000</v>
      </c>
      <c r="AR664" s="27">
        <f t="shared" si="192"/>
        <v>2100000</v>
      </c>
      <c r="AS664" s="27"/>
      <c r="AT664" s="27"/>
      <c r="AU664" s="27"/>
      <c r="AV664" s="27"/>
      <c r="AW664" s="27">
        <f t="shared" si="201"/>
        <v>14700000</v>
      </c>
      <c r="AX664" s="79">
        <f t="shared" si="195"/>
        <v>111300000</v>
      </c>
      <c r="AY664" s="79">
        <f t="shared" si="198"/>
        <v>14700000</v>
      </c>
      <c r="AZ664" s="25">
        <f t="shared" si="186"/>
        <v>1</v>
      </c>
      <c r="BA664" s="62"/>
      <c r="BB664" s="66">
        <v>1</v>
      </c>
      <c r="BC664" s="19"/>
      <c r="BD664" s="19"/>
      <c r="BE664" s="67">
        <f t="shared" ref="BE664:BE698" si="202">+$AP664*BB664</f>
        <v>2100000</v>
      </c>
      <c r="BF664" s="67">
        <f t="shared" si="193"/>
        <v>0</v>
      </c>
      <c r="BG664" s="67">
        <f t="shared" si="199"/>
        <v>0</v>
      </c>
      <c r="BH664" s="19"/>
      <c r="BI664" s="19" t="s">
        <v>1896</v>
      </c>
      <c r="BJ664" s="19" t="s">
        <v>1979</v>
      </c>
      <c r="BK664" s="19" t="s">
        <v>1979</v>
      </c>
    </row>
    <row r="665" spans="3:67" ht="15" customHeight="1">
      <c r="C665" s="1" t="str">
        <f t="shared" si="196"/>
        <v>2901</v>
      </c>
      <c r="D665" s="1" t="str">
        <f t="shared" si="197"/>
        <v>2402</v>
      </c>
      <c r="E665" s="19" t="s">
        <v>2025</v>
      </c>
      <c r="F665" s="19" t="s">
        <v>1896</v>
      </c>
      <c r="G665" s="62">
        <v>2112</v>
      </c>
      <c r="H665" s="19" t="s">
        <v>2015</v>
      </c>
      <c r="I665" s="105" t="s">
        <v>2016</v>
      </c>
      <c r="J665" s="86">
        <v>1</v>
      </c>
      <c r="K665" s="19" t="s">
        <v>2017</v>
      </c>
      <c r="L665" s="157" t="s">
        <v>2018</v>
      </c>
      <c r="M665" s="98">
        <v>8</v>
      </c>
      <c r="N665" s="101">
        <v>45318</v>
      </c>
      <c r="O665" s="19"/>
      <c r="P665" s="19"/>
      <c r="Q665" s="163">
        <v>98000000</v>
      </c>
      <c r="R665" s="19"/>
      <c r="S665" s="19"/>
      <c r="T665" s="19"/>
      <c r="U665" s="19"/>
      <c r="V665" s="74">
        <v>98000000</v>
      </c>
      <c r="W665" s="75"/>
      <c r="X665" s="64">
        <v>98000000</v>
      </c>
      <c r="Y665" s="19"/>
      <c r="Z665" s="19"/>
      <c r="AA665" s="19"/>
      <c r="AB665" s="19"/>
      <c r="AC665" s="64">
        <v>98000000</v>
      </c>
      <c r="AD665" s="63">
        <v>45323</v>
      </c>
      <c r="AE665" s="65">
        <v>47149</v>
      </c>
      <c r="AF665" s="19">
        <v>5</v>
      </c>
      <c r="AG665" s="19">
        <v>60</v>
      </c>
      <c r="AH665" s="25">
        <v>1633333</v>
      </c>
      <c r="AI665" s="92"/>
      <c r="AJ665" s="92"/>
      <c r="AK665" s="27"/>
      <c r="AL665" s="27">
        <f t="shared" si="200"/>
        <v>1633333</v>
      </c>
      <c r="AM665" s="27">
        <f t="shared" si="200"/>
        <v>1633333</v>
      </c>
      <c r="AN665" s="27">
        <f t="shared" si="189"/>
        <v>1633333</v>
      </c>
      <c r="AO665" s="27">
        <f t="shared" si="190"/>
        <v>1633333</v>
      </c>
      <c r="AP665" s="27">
        <f t="shared" si="190"/>
        <v>1633333</v>
      </c>
      <c r="AQ665" s="27">
        <f t="shared" si="191"/>
        <v>1633333</v>
      </c>
      <c r="AR665" s="27">
        <f t="shared" si="192"/>
        <v>1633333</v>
      </c>
      <c r="AS665" s="27"/>
      <c r="AT665" s="27"/>
      <c r="AU665" s="27"/>
      <c r="AV665" s="27"/>
      <c r="AW665" s="27">
        <f t="shared" si="201"/>
        <v>11433331</v>
      </c>
      <c r="AX665" s="79">
        <f t="shared" si="195"/>
        <v>86566669</v>
      </c>
      <c r="AY665" s="79">
        <f t="shared" si="198"/>
        <v>11433331</v>
      </c>
      <c r="AZ665" s="25">
        <f t="shared" ref="AZ665:AZ734" si="203">+J665-Z665</f>
        <v>1</v>
      </c>
      <c r="BA665" s="62"/>
      <c r="BB665" s="66">
        <v>1</v>
      </c>
      <c r="BC665" s="19"/>
      <c r="BD665" s="19"/>
      <c r="BE665" s="67">
        <f t="shared" si="202"/>
        <v>1633333</v>
      </c>
      <c r="BF665" s="67">
        <f t="shared" si="193"/>
        <v>0</v>
      </c>
      <c r="BG665" s="67">
        <f t="shared" si="199"/>
        <v>0</v>
      </c>
      <c r="BH665" s="19"/>
      <c r="BI665" s="19" t="s">
        <v>1896</v>
      </c>
      <c r="BJ665" s="19" t="s">
        <v>1980</v>
      </c>
      <c r="BK665" s="68" t="s">
        <v>1980</v>
      </c>
    </row>
    <row r="666" spans="3:67" ht="15" customHeight="1">
      <c r="C666" s="1" t="str">
        <f t="shared" si="196"/>
        <v>3401</v>
      </c>
      <c r="D666" s="1" t="str">
        <f t="shared" si="197"/>
        <v>2402</v>
      </c>
      <c r="E666" s="19" t="s">
        <v>2025</v>
      </c>
      <c r="F666" s="19" t="s">
        <v>1896</v>
      </c>
      <c r="G666" s="62">
        <v>2111</v>
      </c>
      <c r="H666" s="19" t="s">
        <v>2019</v>
      </c>
      <c r="I666" s="105" t="s">
        <v>2020</v>
      </c>
      <c r="J666" s="86">
        <v>1</v>
      </c>
      <c r="K666" s="19" t="s">
        <v>2005</v>
      </c>
      <c r="L666" s="157" t="s">
        <v>2021</v>
      </c>
      <c r="M666" s="98" t="s">
        <v>2022</v>
      </c>
      <c r="N666" s="101">
        <v>45321</v>
      </c>
      <c r="O666" s="19"/>
      <c r="P666" s="19"/>
      <c r="Q666" s="163">
        <v>700000000</v>
      </c>
      <c r="R666" s="19"/>
      <c r="S666" s="19"/>
      <c r="T666" s="19"/>
      <c r="U666" s="19"/>
      <c r="V666" s="74">
        <v>700000000</v>
      </c>
      <c r="W666" s="75"/>
      <c r="X666" s="64">
        <v>700000000</v>
      </c>
      <c r="Y666" s="19"/>
      <c r="Z666" s="19"/>
      <c r="AA666" s="19"/>
      <c r="AB666" s="19"/>
      <c r="AC666" s="64">
        <v>700000000</v>
      </c>
      <c r="AD666" s="63">
        <v>45323</v>
      </c>
      <c r="AE666" s="65">
        <v>48975</v>
      </c>
      <c r="AF666" s="19">
        <v>10</v>
      </c>
      <c r="AG666" s="19">
        <v>120</v>
      </c>
      <c r="AH666" s="25">
        <v>5833333</v>
      </c>
      <c r="AI666" s="92"/>
      <c r="AJ666" s="92"/>
      <c r="AK666" s="27"/>
      <c r="AL666" s="27">
        <f t="shared" si="200"/>
        <v>5833333</v>
      </c>
      <c r="AM666" s="27">
        <f t="shared" si="200"/>
        <v>5833333</v>
      </c>
      <c r="AN666" s="27">
        <f t="shared" si="189"/>
        <v>5833333</v>
      </c>
      <c r="AO666" s="27">
        <f t="shared" si="190"/>
        <v>5833333</v>
      </c>
      <c r="AP666" s="27">
        <f t="shared" si="190"/>
        <v>5833333</v>
      </c>
      <c r="AQ666" s="27">
        <f t="shared" si="191"/>
        <v>5833333</v>
      </c>
      <c r="AR666" s="27">
        <f t="shared" si="192"/>
        <v>5833333</v>
      </c>
      <c r="AS666" s="27"/>
      <c r="AT666" s="27"/>
      <c r="AU666" s="27"/>
      <c r="AV666" s="27"/>
      <c r="AW666" s="27">
        <f t="shared" si="201"/>
        <v>40833331</v>
      </c>
      <c r="AX666" s="79">
        <f t="shared" si="195"/>
        <v>659166669</v>
      </c>
      <c r="AY666" s="79">
        <f t="shared" si="198"/>
        <v>40833331</v>
      </c>
      <c r="AZ666" s="25">
        <f t="shared" si="203"/>
        <v>1</v>
      </c>
      <c r="BA666" s="62"/>
      <c r="BB666" s="66">
        <v>1</v>
      </c>
      <c r="BC666" s="19"/>
      <c r="BD666" s="19"/>
      <c r="BE666" s="67">
        <f t="shared" si="202"/>
        <v>5833333</v>
      </c>
      <c r="BF666" s="67">
        <f t="shared" si="193"/>
        <v>0</v>
      </c>
      <c r="BG666" s="67">
        <f t="shared" si="199"/>
        <v>0</v>
      </c>
      <c r="BH666" s="19"/>
      <c r="BI666" s="19" t="s">
        <v>1896</v>
      </c>
      <c r="BJ666" s="19" t="s">
        <v>1929</v>
      </c>
      <c r="BK666" s="19" t="s">
        <v>1989</v>
      </c>
    </row>
    <row r="667" spans="3:67" ht="15" customHeight="1">
      <c r="C667" s="1" t="str">
        <f t="shared" si="196"/>
        <v>2903</v>
      </c>
      <c r="D667" s="1" t="str">
        <f t="shared" si="197"/>
        <v>2404</v>
      </c>
      <c r="E667" s="19" t="s">
        <v>2066</v>
      </c>
      <c r="F667" s="19" t="s">
        <v>1896</v>
      </c>
      <c r="G667" s="62">
        <v>2112</v>
      </c>
      <c r="H667" s="19" t="s">
        <v>2074</v>
      </c>
      <c r="I667" s="105" t="s">
        <v>2054</v>
      </c>
      <c r="J667" s="86">
        <v>1</v>
      </c>
      <c r="K667" s="19" t="s">
        <v>1293</v>
      </c>
      <c r="L667" s="175" t="s">
        <v>1615</v>
      </c>
      <c r="M667" s="266">
        <v>106113480760</v>
      </c>
      <c r="N667" s="101">
        <v>45345</v>
      </c>
      <c r="O667" s="19">
        <v>7222.67</v>
      </c>
      <c r="P667" s="19">
        <v>24800</v>
      </c>
      <c r="Q667" s="163">
        <f>+P667*O667</f>
        <v>179122216</v>
      </c>
      <c r="R667" s="163"/>
      <c r="S667" s="19"/>
      <c r="T667" s="163">
        <v>989460</v>
      </c>
      <c r="U667" s="19" t="s">
        <v>2086</v>
      </c>
      <c r="V667" s="74">
        <v>180111676</v>
      </c>
      <c r="W667" s="75"/>
      <c r="X667" s="64">
        <v>180111676</v>
      </c>
      <c r="Y667" s="19"/>
      <c r="Z667" s="19"/>
      <c r="AA667" s="19"/>
      <c r="AB667" s="19"/>
      <c r="AC667" s="64">
        <v>180111676</v>
      </c>
      <c r="AD667" s="63">
        <v>45383</v>
      </c>
      <c r="AE667" s="65">
        <v>47208</v>
      </c>
      <c r="AF667" s="19">
        <v>5</v>
      </c>
      <c r="AG667" s="19">
        <v>60</v>
      </c>
      <c r="AH667" s="25">
        <v>3001861</v>
      </c>
      <c r="AI667" s="70"/>
      <c r="AJ667" s="70"/>
      <c r="AK667" s="27"/>
      <c r="AL667" s="26">
        <f t="shared" si="200"/>
        <v>0</v>
      </c>
      <c r="AM667" s="27">
        <f t="shared" si="200"/>
        <v>0</v>
      </c>
      <c r="AN667" s="27">
        <f t="shared" si="189"/>
        <v>3001861</v>
      </c>
      <c r="AO667" s="27">
        <f t="shared" si="190"/>
        <v>3001861</v>
      </c>
      <c r="AP667" s="27">
        <f t="shared" si="190"/>
        <v>3001861</v>
      </c>
      <c r="AQ667" s="27">
        <f t="shared" si="191"/>
        <v>3001861</v>
      </c>
      <c r="AR667" s="27">
        <f t="shared" si="192"/>
        <v>3001861</v>
      </c>
      <c r="AS667" s="27"/>
      <c r="AT667" s="27"/>
      <c r="AU667" s="27"/>
      <c r="AV667" s="27"/>
      <c r="AW667" s="27">
        <f t="shared" si="201"/>
        <v>15009305</v>
      </c>
      <c r="AX667" s="27">
        <f t="shared" si="195"/>
        <v>165102371</v>
      </c>
      <c r="AY667" s="27">
        <f t="shared" si="198"/>
        <v>15009305</v>
      </c>
      <c r="AZ667" s="25">
        <f t="shared" si="203"/>
        <v>1</v>
      </c>
      <c r="BA667" s="62"/>
      <c r="BB667" s="66">
        <v>1</v>
      </c>
      <c r="BC667" s="19"/>
      <c r="BD667" s="19"/>
      <c r="BE667" s="67">
        <f t="shared" si="202"/>
        <v>3001861</v>
      </c>
      <c r="BF667" s="67">
        <f>+$AN667*BC667</f>
        <v>0</v>
      </c>
      <c r="BG667" s="67">
        <f>+$AN667*BD667</f>
        <v>0</v>
      </c>
      <c r="BH667" s="19"/>
      <c r="BI667" s="19" t="s">
        <v>1896</v>
      </c>
      <c r="BJ667" s="19"/>
      <c r="BK667" s="19"/>
      <c r="BO667" s="1"/>
    </row>
    <row r="668" spans="3:67" ht="15" customHeight="1">
      <c r="C668" s="1" t="str">
        <f t="shared" si="196"/>
        <v>3403</v>
      </c>
      <c r="D668" s="1" t="str">
        <f t="shared" si="197"/>
        <v>2404</v>
      </c>
      <c r="E668" s="176" t="s">
        <v>2066</v>
      </c>
      <c r="F668" s="19" t="s">
        <v>1896</v>
      </c>
      <c r="G668" s="62">
        <v>2112</v>
      </c>
      <c r="H668" s="19" t="s">
        <v>2075</v>
      </c>
      <c r="I668" s="105" t="s">
        <v>2055</v>
      </c>
      <c r="J668" s="86">
        <v>1</v>
      </c>
      <c r="K668" s="19" t="s">
        <v>619</v>
      </c>
      <c r="L668" s="157" t="s">
        <v>77</v>
      </c>
      <c r="M668" s="171">
        <v>106117989943</v>
      </c>
      <c r="N668" s="101">
        <v>45347</v>
      </c>
      <c r="O668" s="19">
        <v>91215</v>
      </c>
      <c r="P668" s="19">
        <v>24800</v>
      </c>
      <c r="Q668" s="163">
        <f t="shared" ref="Q668:Q739" si="204">+P668*O668</f>
        <v>2262132000</v>
      </c>
      <c r="R668" s="104"/>
      <c r="S668" s="19"/>
      <c r="T668" s="178">
        <v>10468131.714285715</v>
      </c>
      <c r="U668" s="19" t="s">
        <v>2084</v>
      </c>
      <c r="V668" s="74">
        <v>2272600131.7142859</v>
      </c>
      <c r="W668" s="75"/>
      <c r="X668" s="64">
        <v>2272600131.7142859</v>
      </c>
      <c r="Y668" s="19"/>
      <c r="Z668" s="19"/>
      <c r="AA668" s="19"/>
      <c r="AB668" s="19"/>
      <c r="AC668" s="64">
        <v>2272600131.7142859</v>
      </c>
      <c r="AD668" s="173">
        <v>45383</v>
      </c>
      <c r="AE668" s="65">
        <v>49034</v>
      </c>
      <c r="AF668" s="19">
        <v>10</v>
      </c>
      <c r="AG668" s="19">
        <v>120</v>
      </c>
      <c r="AH668" s="25">
        <v>18938334</v>
      </c>
      <c r="AI668" s="70"/>
      <c r="AJ668" s="70"/>
      <c r="AK668" s="27"/>
      <c r="AL668" s="26">
        <f t="shared" si="200"/>
        <v>0</v>
      </c>
      <c r="AM668" s="27">
        <f t="shared" si="200"/>
        <v>0</v>
      </c>
      <c r="AN668" s="27">
        <f t="shared" si="189"/>
        <v>18938334</v>
      </c>
      <c r="AO668" s="27">
        <f t="shared" si="190"/>
        <v>18938334</v>
      </c>
      <c r="AP668" s="27">
        <f t="shared" si="190"/>
        <v>18938334</v>
      </c>
      <c r="AQ668" s="27">
        <f t="shared" si="191"/>
        <v>18938334</v>
      </c>
      <c r="AR668" s="27">
        <f t="shared" si="192"/>
        <v>18938334</v>
      </c>
      <c r="AS668" s="27"/>
      <c r="AT668" s="27"/>
      <c r="AU668" s="27"/>
      <c r="AV668" s="27"/>
      <c r="AW668" s="27">
        <f t="shared" si="201"/>
        <v>94691670</v>
      </c>
      <c r="AX668" s="79">
        <f t="shared" si="195"/>
        <v>2177908461.7142859</v>
      </c>
      <c r="AY668" s="79">
        <f t="shared" si="198"/>
        <v>94691670</v>
      </c>
      <c r="AZ668" s="25">
        <f t="shared" si="203"/>
        <v>1</v>
      </c>
      <c r="BA668" s="62"/>
      <c r="BB668" s="66">
        <v>1</v>
      </c>
      <c r="BC668" s="19"/>
      <c r="BD668" s="19"/>
      <c r="BE668" s="67">
        <f t="shared" si="202"/>
        <v>18938334</v>
      </c>
      <c r="BF668" s="174">
        <f t="shared" ref="BF668:BF680" si="205">+$AN668*BC668</f>
        <v>0</v>
      </c>
      <c r="BG668" s="174">
        <f t="shared" ref="BG668:BG680" si="206">+$AN668*BD668</f>
        <v>0</v>
      </c>
      <c r="BH668" s="19"/>
      <c r="BI668" s="19" t="s">
        <v>1896</v>
      </c>
      <c r="BJ668" s="19" t="s">
        <v>1979</v>
      </c>
      <c r="BK668" s="19" t="s">
        <v>1979</v>
      </c>
    </row>
    <row r="669" spans="3:67" ht="15" customHeight="1">
      <c r="C669" s="1" t="str">
        <f t="shared" si="196"/>
        <v>3403</v>
      </c>
      <c r="D669" s="1" t="str">
        <f t="shared" si="197"/>
        <v>2404</v>
      </c>
      <c r="E669" s="176" t="s">
        <v>2066</v>
      </c>
      <c r="F669" s="19" t="s">
        <v>1896</v>
      </c>
      <c r="G669" s="62">
        <v>2112</v>
      </c>
      <c r="H669" s="19" t="s">
        <v>2076</v>
      </c>
      <c r="I669" s="105" t="s">
        <v>2056</v>
      </c>
      <c r="J669" s="86">
        <v>1</v>
      </c>
      <c r="K669" s="19" t="s">
        <v>619</v>
      </c>
      <c r="L669" s="157" t="s">
        <v>77</v>
      </c>
      <c r="M669" s="171">
        <v>106117989943</v>
      </c>
      <c r="N669" s="101">
        <v>45347</v>
      </c>
      <c r="O669" s="19">
        <v>87328</v>
      </c>
      <c r="P669" s="19">
        <v>24800</v>
      </c>
      <c r="Q669" s="163">
        <f t="shared" si="204"/>
        <v>2165734400</v>
      </c>
      <c r="R669" s="104"/>
      <c r="S669" s="19"/>
      <c r="T669" s="178">
        <v>10468131.714285715</v>
      </c>
      <c r="U669" s="19" t="s">
        <v>2084</v>
      </c>
      <c r="V669" s="74">
        <v>2176202531.7142859</v>
      </c>
      <c r="W669" s="75"/>
      <c r="X669" s="64">
        <v>2176202531.7142859</v>
      </c>
      <c r="Y669" s="19"/>
      <c r="Z669" s="19"/>
      <c r="AA669" s="19"/>
      <c r="AB669" s="19"/>
      <c r="AC669" s="64">
        <v>2176202531.7142859</v>
      </c>
      <c r="AD669" s="173">
        <v>45383</v>
      </c>
      <c r="AE669" s="65">
        <v>49034</v>
      </c>
      <c r="AF669" s="19">
        <v>10</v>
      </c>
      <c r="AG669" s="19">
        <v>120</v>
      </c>
      <c r="AH669" s="25">
        <v>18135021</v>
      </c>
      <c r="AI669" s="70"/>
      <c r="AJ669" s="70"/>
      <c r="AK669" s="27"/>
      <c r="AL669" s="26">
        <f t="shared" ref="AL669:AL692" si="207">+IF(AND(AL$3&gt;=$D669,AL$3&lt;$C669),$AH669,$AJ669-SUM(AJ669:AK669))</f>
        <v>0</v>
      </c>
      <c r="AM669" s="27">
        <f t="shared" ref="AM669:AM692" si="208">+IF(AND(AM$3&gt;=$D669,AM$3&lt;$C669),$AH669,$AJ669-SUM(AK669:AL669))</f>
        <v>0</v>
      </c>
      <c r="AN669" s="27">
        <f t="shared" si="189"/>
        <v>18135021</v>
      </c>
      <c r="AO669" s="27">
        <f t="shared" si="190"/>
        <v>18135021</v>
      </c>
      <c r="AP669" s="27">
        <f t="shared" si="190"/>
        <v>18135021</v>
      </c>
      <c r="AQ669" s="27">
        <f t="shared" si="191"/>
        <v>18135021</v>
      </c>
      <c r="AR669" s="27">
        <f t="shared" si="192"/>
        <v>18135021</v>
      </c>
      <c r="AS669" s="27"/>
      <c r="AT669" s="27"/>
      <c r="AU669" s="27"/>
      <c r="AV669" s="27"/>
      <c r="AW669" s="27">
        <f t="shared" si="201"/>
        <v>90675105</v>
      </c>
      <c r="AX669" s="79">
        <f t="shared" si="195"/>
        <v>2085527426.7142859</v>
      </c>
      <c r="AY669" s="79">
        <f t="shared" si="198"/>
        <v>90675105</v>
      </c>
      <c r="AZ669" s="25">
        <f t="shared" si="203"/>
        <v>1</v>
      </c>
      <c r="BA669" s="62"/>
      <c r="BB669" s="66">
        <v>1</v>
      </c>
      <c r="BC669" s="19"/>
      <c r="BD669" s="19"/>
      <c r="BE669" s="67">
        <f t="shared" si="202"/>
        <v>18135021</v>
      </c>
      <c r="BF669" s="174">
        <f t="shared" si="205"/>
        <v>0</v>
      </c>
      <c r="BG669" s="174">
        <f t="shared" si="206"/>
        <v>0</v>
      </c>
      <c r="BH669" s="19"/>
      <c r="BI669" s="19" t="s">
        <v>1896</v>
      </c>
      <c r="BJ669" s="19" t="s">
        <v>1979</v>
      </c>
      <c r="BK669" s="19" t="s">
        <v>1979</v>
      </c>
    </row>
    <row r="670" spans="3:67" ht="15" customHeight="1">
      <c r="C670" s="1" t="str">
        <f t="shared" si="196"/>
        <v>3203</v>
      </c>
      <c r="D670" s="1" t="str">
        <f t="shared" si="197"/>
        <v>2404</v>
      </c>
      <c r="E670" s="176" t="s">
        <v>2066</v>
      </c>
      <c r="F670" s="19" t="s">
        <v>1896</v>
      </c>
      <c r="G670" s="62">
        <v>2112</v>
      </c>
      <c r="H670" s="19" t="s">
        <v>2090</v>
      </c>
      <c r="I670" s="105" t="s">
        <v>2057</v>
      </c>
      <c r="J670" s="86">
        <v>1</v>
      </c>
      <c r="K670" s="19" t="s">
        <v>619</v>
      </c>
      <c r="L670" s="157" t="s">
        <v>77</v>
      </c>
      <c r="M670" s="171">
        <v>106117989943</v>
      </c>
      <c r="N670" s="101">
        <v>45347</v>
      </c>
      <c r="O670" s="19">
        <v>34608</v>
      </c>
      <c r="P670" s="19">
        <v>24800</v>
      </c>
      <c r="Q670" s="163">
        <f t="shared" si="204"/>
        <v>858278400</v>
      </c>
      <c r="R670" s="104"/>
      <c r="S670" s="19"/>
      <c r="T670" s="178">
        <v>10468131.714285715</v>
      </c>
      <c r="U670" s="19" t="s">
        <v>2084</v>
      </c>
      <c r="V670" s="74">
        <v>868746531.71428573</v>
      </c>
      <c r="W670" s="75"/>
      <c r="X670" s="64">
        <v>868746531.71428573</v>
      </c>
      <c r="Y670" s="19"/>
      <c r="Z670" s="19"/>
      <c r="AA670" s="19"/>
      <c r="AB670" s="19"/>
      <c r="AC670" s="64">
        <v>868746531.71428573</v>
      </c>
      <c r="AD670" s="173">
        <v>45383</v>
      </c>
      <c r="AE670" s="65">
        <v>48304</v>
      </c>
      <c r="AF670" s="117">
        <v>8</v>
      </c>
      <c r="AG670" s="19">
        <v>96</v>
      </c>
      <c r="AH670" s="25">
        <v>9049443</v>
      </c>
      <c r="AI670" s="70"/>
      <c r="AJ670" s="70"/>
      <c r="AK670" s="27"/>
      <c r="AL670" s="26">
        <f t="shared" si="207"/>
        <v>0</v>
      </c>
      <c r="AM670" s="27">
        <f t="shared" si="208"/>
        <v>0</v>
      </c>
      <c r="AN670" s="27">
        <f t="shared" si="189"/>
        <v>9049443</v>
      </c>
      <c r="AO670" s="27">
        <f t="shared" si="190"/>
        <v>9049443</v>
      </c>
      <c r="AP670" s="27">
        <f t="shared" si="190"/>
        <v>9049443</v>
      </c>
      <c r="AQ670" s="27">
        <f t="shared" si="191"/>
        <v>9049443</v>
      </c>
      <c r="AR670" s="27">
        <f t="shared" si="192"/>
        <v>9049443</v>
      </c>
      <c r="AS670" s="27"/>
      <c r="AT670" s="27"/>
      <c r="AU670" s="27"/>
      <c r="AV670" s="27"/>
      <c r="AW670" s="27">
        <f t="shared" si="201"/>
        <v>45247215</v>
      </c>
      <c r="AX670" s="79">
        <f t="shared" si="195"/>
        <v>823499316.71428573</v>
      </c>
      <c r="AY670" s="79">
        <f t="shared" si="198"/>
        <v>45247215</v>
      </c>
      <c r="AZ670" s="25">
        <f t="shared" si="203"/>
        <v>1</v>
      </c>
      <c r="BA670" s="62"/>
      <c r="BB670" s="66">
        <v>1</v>
      </c>
      <c r="BC670" s="19"/>
      <c r="BD670" s="19"/>
      <c r="BE670" s="67">
        <f t="shared" si="202"/>
        <v>9049443</v>
      </c>
      <c r="BF670" s="174">
        <f t="shared" si="205"/>
        <v>0</v>
      </c>
      <c r="BG670" s="174">
        <f t="shared" si="206"/>
        <v>0</v>
      </c>
      <c r="BH670" s="19"/>
      <c r="BI670" s="19" t="s">
        <v>1896</v>
      </c>
      <c r="BJ670" s="19" t="s">
        <v>1929</v>
      </c>
      <c r="BK670" s="19" t="s">
        <v>1989</v>
      </c>
    </row>
    <row r="671" spans="3:67" ht="15" customHeight="1">
      <c r="C671" s="1" t="str">
        <f t="shared" si="196"/>
        <v>3403</v>
      </c>
      <c r="D671" s="1" t="str">
        <f t="shared" si="197"/>
        <v>2404</v>
      </c>
      <c r="E671" s="176" t="s">
        <v>2066</v>
      </c>
      <c r="F671" s="19" t="s">
        <v>1896</v>
      </c>
      <c r="G671" s="62">
        <v>2112</v>
      </c>
      <c r="H671" s="19" t="s">
        <v>2077</v>
      </c>
      <c r="I671" s="105" t="s">
        <v>2058</v>
      </c>
      <c r="J671" s="86">
        <v>1</v>
      </c>
      <c r="K671" s="19" t="s">
        <v>619</v>
      </c>
      <c r="L671" s="157" t="s">
        <v>77</v>
      </c>
      <c r="M671" s="171">
        <v>106117989943</v>
      </c>
      <c r="N671" s="101">
        <v>45347</v>
      </c>
      <c r="O671" s="19">
        <v>131328</v>
      </c>
      <c r="P671" s="19">
        <v>24800</v>
      </c>
      <c r="Q671" s="163">
        <f t="shared" si="204"/>
        <v>3256934400</v>
      </c>
      <c r="R671" s="104"/>
      <c r="S671" s="19"/>
      <c r="T671" s="178">
        <v>10468131.714285715</v>
      </c>
      <c r="U671" s="19" t="s">
        <v>2084</v>
      </c>
      <c r="V671" s="74">
        <v>3267402531.7142859</v>
      </c>
      <c r="W671" s="75"/>
      <c r="X671" s="64">
        <v>3267402531.7142859</v>
      </c>
      <c r="Y671" s="19"/>
      <c r="Z671" s="19"/>
      <c r="AA671" s="19"/>
      <c r="AB671" s="19"/>
      <c r="AC671" s="64">
        <v>3267402531.7142859</v>
      </c>
      <c r="AD671" s="173">
        <v>45383</v>
      </c>
      <c r="AE671" s="65">
        <v>49034</v>
      </c>
      <c r="AF671" s="117">
        <v>10</v>
      </c>
      <c r="AG671" s="19">
        <v>120</v>
      </c>
      <c r="AH671" s="25">
        <v>27228354</v>
      </c>
      <c r="AI671" s="70"/>
      <c r="AJ671" s="70"/>
      <c r="AK671" s="27"/>
      <c r="AL671" s="26">
        <f t="shared" si="207"/>
        <v>0</v>
      </c>
      <c r="AM671" s="27">
        <f t="shared" si="208"/>
        <v>0</v>
      </c>
      <c r="AN671" s="27">
        <f t="shared" ref="AN671:AN692" si="209">+IF(AND(AN$3&gt;=$D671,AN$3&lt;$C671),$AH671,$AJ671-SUM(AL671:AM671))</f>
        <v>27228354</v>
      </c>
      <c r="AO671" s="27">
        <f t="shared" ref="AO671:AP746" si="210">+IF(AND(AO$3&gt;=$D671,AO$3&lt;$C671),$AH671,$AJ671-SUM(AM671:AN671))</f>
        <v>27228354</v>
      </c>
      <c r="AP671" s="27">
        <f t="shared" si="210"/>
        <v>27228354</v>
      </c>
      <c r="AQ671" s="27">
        <f t="shared" ref="AQ671:AQ746" si="211">+IF(AND(AQ$3&gt;=$D671,AQ$3&lt;$C671),$AH671,$AJ671-SUM(AK671:AP671))</f>
        <v>27228354</v>
      </c>
      <c r="AR671" s="27">
        <f t="shared" ref="AR671:AR734" si="212">+IF(AND(AR$3&gt;=$D671,AR$3&lt;$C671),$AH671,$AJ671-SUM(AL671:AQ671))</f>
        <v>27228354</v>
      </c>
      <c r="AS671" s="27"/>
      <c r="AT671" s="27"/>
      <c r="AU671" s="27"/>
      <c r="AV671" s="27"/>
      <c r="AW671" s="27">
        <f t="shared" si="201"/>
        <v>136141770</v>
      </c>
      <c r="AX671" s="79">
        <f t="shared" si="195"/>
        <v>3131260761.7142859</v>
      </c>
      <c r="AY671" s="79">
        <f t="shared" si="198"/>
        <v>136141770</v>
      </c>
      <c r="AZ671" s="25">
        <f t="shared" si="203"/>
        <v>1</v>
      </c>
      <c r="BA671" s="62"/>
      <c r="BB671" s="66">
        <v>1</v>
      </c>
      <c r="BC671" s="19"/>
      <c r="BD671" s="19"/>
      <c r="BE671" s="67">
        <f t="shared" si="202"/>
        <v>27228354</v>
      </c>
      <c r="BF671" s="174">
        <f t="shared" si="205"/>
        <v>0</v>
      </c>
      <c r="BG671" s="174">
        <f t="shared" si="206"/>
        <v>0</v>
      </c>
      <c r="BH671" s="19"/>
      <c r="BI671" s="19" t="s">
        <v>1896</v>
      </c>
      <c r="BJ671" s="19" t="s">
        <v>1929</v>
      </c>
      <c r="BK671" s="19" t="s">
        <v>1989</v>
      </c>
    </row>
    <row r="672" spans="3:67" ht="15" customHeight="1">
      <c r="C672" s="1" t="str">
        <f t="shared" si="196"/>
        <v>3003</v>
      </c>
      <c r="D672" s="1" t="str">
        <f t="shared" si="197"/>
        <v>2404</v>
      </c>
      <c r="E672" s="176" t="s">
        <v>2066</v>
      </c>
      <c r="F672" s="19" t="s">
        <v>1896</v>
      </c>
      <c r="G672" s="62">
        <v>2112</v>
      </c>
      <c r="H672" s="19" t="s">
        <v>2091</v>
      </c>
      <c r="I672" s="105" t="s">
        <v>2059</v>
      </c>
      <c r="J672" s="86">
        <v>1</v>
      </c>
      <c r="K672" s="19" t="s">
        <v>619</v>
      </c>
      <c r="L672" s="157" t="s">
        <v>77</v>
      </c>
      <c r="M672" s="171">
        <v>106117989943</v>
      </c>
      <c r="N672" s="101">
        <v>45347</v>
      </c>
      <c r="O672" s="19">
        <v>12480</v>
      </c>
      <c r="P672" s="19">
        <v>24800</v>
      </c>
      <c r="Q672" s="163">
        <f t="shared" si="204"/>
        <v>309504000</v>
      </c>
      <c r="R672" s="104"/>
      <c r="S672" s="19"/>
      <c r="T672" s="178">
        <v>10468131.714285715</v>
      </c>
      <c r="U672" s="19" t="s">
        <v>2084</v>
      </c>
      <c r="V672" s="74">
        <v>319972131.71428573</v>
      </c>
      <c r="W672" s="75"/>
      <c r="X672" s="64">
        <v>319972131.71428573</v>
      </c>
      <c r="Y672" s="19"/>
      <c r="Z672" s="19"/>
      <c r="AA672" s="19"/>
      <c r="AB672" s="19"/>
      <c r="AC672" s="64">
        <v>319972131.71428573</v>
      </c>
      <c r="AD672" s="173">
        <v>45383</v>
      </c>
      <c r="AE672" s="65">
        <v>47573</v>
      </c>
      <c r="AF672" s="117">
        <v>6</v>
      </c>
      <c r="AG672" s="19">
        <v>72</v>
      </c>
      <c r="AH672" s="25">
        <v>4444057</v>
      </c>
      <c r="AI672" s="70"/>
      <c r="AJ672" s="70"/>
      <c r="AK672" s="27"/>
      <c r="AL672" s="26">
        <f t="shared" si="207"/>
        <v>0</v>
      </c>
      <c r="AM672" s="27">
        <f t="shared" si="208"/>
        <v>0</v>
      </c>
      <c r="AN672" s="27">
        <f t="shared" si="209"/>
        <v>4444057</v>
      </c>
      <c r="AO672" s="27">
        <f t="shared" si="210"/>
        <v>4444057</v>
      </c>
      <c r="AP672" s="27">
        <f t="shared" si="210"/>
        <v>4444057</v>
      </c>
      <c r="AQ672" s="27">
        <f t="shared" si="211"/>
        <v>4444057</v>
      </c>
      <c r="AR672" s="27">
        <f t="shared" si="212"/>
        <v>4444057</v>
      </c>
      <c r="AS672" s="27"/>
      <c r="AT672" s="27"/>
      <c r="AU672" s="27"/>
      <c r="AV672" s="27"/>
      <c r="AW672" s="27">
        <f t="shared" si="201"/>
        <v>22220285</v>
      </c>
      <c r="AX672" s="79">
        <f t="shared" si="195"/>
        <v>297751846.71428573</v>
      </c>
      <c r="AY672" s="79">
        <f t="shared" si="198"/>
        <v>22220285</v>
      </c>
      <c r="AZ672" s="25">
        <f t="shared" si="203"/>
        <v>1</v>
      </c>
      <c r="BA672" s="62"/>
      <c r="BB672" s="66">
        <v>1</v>
      </c>
      <c r="BC672" s="19"/>
      <c r="BD672" s="19"/>
      <c r="BE672" s="67">
        <f t="shared" si="202"/>
        <v>4444057</v>
      </c>
      <c r="BF672" s="174">
        <f t="shared" si="205"/>
        <v>0</v>
      </c>
      <c r="BG672" s="174">
        <f t="shared" si="206"/>
        <v>0</v>
      </c>
      <c r="BH672" s="19"/>
      <c r="BI672" s="19" t="s">
        <v>1896</v>
      </c>
      <c r="BJ672" s="68" t="s">
        <v>1930</v>
      </c>
      <c r="BK672" s="68" t="s">
        <v>1930</v>
      </c>
    </row>
    <row r="673" spans="3:67" ht="15" customHeight="1">
      <c r="C673" s="1" t="str">
        <f t="shared" si="196"/>
        <v>3003</v>
      </c>
      <c r="D673" s="1" t="str">
        <f t="shared" si="197"/>
        <v>2404</v>
      </c>
      <c r="E673" s="176" t="s">
        <v>2066</v>
      </c>
      <c r="F673" s="19" t="s">
        <v>1896</v>
      </c>
      <c r="G673" s="62">
        <v>2112</v>
      </c>
      <c r="H673" s="19" t="s">
        <v>2092</v>
      </c>
      <c r="I673" s="105" t="s">
        <v>2060</v>
      </c>
      <c r="J673" s="86">
        <v>1</v>
      </c>
      <c r="K673" s="19" t="s">
        <v>619</v>
      </c>
      <c r="L673" s="157" t="s">
        <v>77</v>
      </c>
      <c r="M673" s="171">
        <v>106117989943</v>
      </c>
      <c r="N673" s="101">
        <v>45347</v>
      </c>
      <c r="O673" s="19">
        <v>16919</v>
      </c>
      <c r="P673" s="19">
        <v>24800</v>
      </c>
      <c r="Q673" s="163">
        <f t="shared" si="204"/>
        <v>419591200</v>
      </c>
      <c r="R673" s="104"/>
      <c r="S673" s="19"/>
      <c r="T673" s="178">
        <v>10468131.714285715</v>
      </c>
      <c r="U673" s="19" t="s">
        <v>2084</v>
      </c>
      <c r="V673" s="74">
        <v>430059331.71428573</v>
      </c>
      <c r="W673" s="75"/>
      <c r="X673" s="64">
        <v>430059331.71428573</v>
      </c>
      <c r="Y673" s="19"/>
      <c r="Z673" s="19"/>
      <c r="AA673" s="19"/>
      <c r="AB673" s="19"/>
      <c r="AC673" s="64">
        <v>430059331.71428573</v>
      </c>
      <c r="AD673" s="173">
        <v>45383</v>
      </c>
      <c r="AE673" s="65">
        <v>47573</v>
      </c>
      <c r="AF673" s="19">
        <v>6</v>
      </c>
      <c r="AG673" s="19">
        <v>72</v>
      </c>
      <c r="AH673" s="25">
        <v>5973046</v>
      </c>
      <c r="AI673" s="70"/>
      <c r="AJ673" s="70"/>
      <c r="AK673" s="27"/>
      <c r="AL673" s="26">
        <f t="shared" si="207"/>
        <v>0</v>
      </c>
      <c r="AM673" s="27">
        <f t="shared" si="208"/>
        <v>0</v>
      </c>
      <c r="AN673" s="27">
        <f t="shared" si="209"/>
        <v>5973046</v>
      </c>
      <c r="AO673" s="27">
        <f t="shared" si="210"/>
        <v>5973046</v>
      </c>
      <c r="AP673" s="27">
        <f t="shared" si="210"/>
        <v>5973046</v>
      </c>
      <c r="AQ673" s="27">
        <f t="shared" si="211"/>
        <v>5973046</v>
      </c>
      <c r="AR673" s="27">
        <f t="shared" si="212"/>
        <v>5973046</v>
      </c>
      <c r="AS673" s="27"/>
      <c r="AT673" s="27"/>
      <c r="AU673" s="27"/>
      <c r="AV673" s="27"/>
      <c r="AW673" s="27">
        <f t="shared" si="201"/>
        <v>29865230</v>
      </c>
      <c r="AX673" s="79">
        <f t="shared" si="195"/>
        <v>400194101.71428573</v>
      </c>
      <c r="AY673" s="79">
        <f t="shared" si="198"/>
        <v>29865230</v>
      </c>
      <c r="AZ673" s="25">
        <f t="shared" si="203"/>
        <v>1</v>
      </c>
      <c r="BA673" s="62"/>
      <c r="BB673" s="66">
        <v>1</v>
      </c>
      <c r="BC673" s="19"/>
      <c r="BD673" s="19"/>
      <c r="BE673" s="67">
        <f t="shared" si="202"/>
        <v>5973046</v>
      </c>
      <c r="BF673" s="174">
        <f t="shared" si="205"/>
        <v>0</v>
      </c>
      <c r="BG673" s="174">
        <f t="shared" si="206"/>
        <v>0</v>
      </c>
      <c r="BH673" s="19"/>
      <c r="BI673" s="19" t="s">
        <v>1896</v>
      </c>
      <c r="BJ673" s="68" t="s">
        <v>1930</v>
      </c>
      <c r="BK673" s="68" t="s">
        <v>1930</v>
      </c>
    </row>
    <row r="674" spans="3:67" ht="15" customHeight="1">
      <c r="C674" s="1" t="str">
        <f t="shared" si="196"/>
        <v>3403</v>
      </c>
      <c r="D674" s="1" t="str">
        <f t="shared" si="197"/>
        <v>2404</v>
      </c>
      <c r="E674" s="176" t="s">
        <v>2066</v>
      </c>
      <c r="F674" s="19" t="s">
        <v>1896</v>
      </c>
      <c r="G674" s="62">
        <v>2112</v>
      </c>
      <c r="H674" s="19" t="s">
        <v>2093</v>
      </c>
      <c r="I674" s="105" t="s">
        <v>2061</v>
      </c>
      <c r="J674" s="86">
        <v>1</v>
      </c>
      <c r="K674" s="19" t="s">
        <v>619</v>
      </c>
      <c r="L674" s="157" t="s">
        <v>77</v>
      </c>
      <c r="M674" s="171">
        <v>106117989943</v>
      </c>
      <c r="N674" s="101">
        <v>45347</v>
      </c>
      <c r="O674" s="19">
        <v>48384</v>
      </c>
      <c r="P674" s="19">
        <v>24800</v>
      </c>
      <c r="Q674" s="163">
        <f t="shared" si="204"/>
        <v>1199923200</v>
      </c>
      <c r="R674" s="104"/>
      <c r="S674" s="19"/>
      <c r="T674" s="178">
        <v>10468131.714285715</v>
      </c>
      <c r="U674" s="19" t="s">
        <v>2084</v>
      </c>
      <c r="V674" s="74">
        <v>1210391331.7142856</v>
      </c>
      <c r="W674" s="75"/>
      <c r="X674" s="64">
        <v>1210391331.7142856</v>
      </c>
      <c r="Y674" s="19"/>
      <c r="Z674" s="19"/>
      <c r="AA674" s="19"/>
      <c r="AB674" s="19"/>
      <c r="AC674" s="64">
        <v>1210391331.7142856</v>
      </c>
      <c r="AD674" s="173">
        <v>45383</v>
      </c>
      <c r="AE674" s="65">
        <v>49034</v>
      </c>
      <c r="AF674" s="19">
        <v>10</v>
      </c>
      <c r="AG674" s="19">
        <v>120</v>
      </c>
      <c r="AH674" s="25">
        <v>10086594</v>
      </c>
      <c r="AI674" s="70"/>
      <c r="AJ674" s="70"/>
      <c r="AK674" s="27"/>
      <c r="AL674" s="26">
        <f t="shared" si="207"/>
        <v>0</v>
      </c>
      <c r="AM674" s="27">
        <f t="shared" si="208"/>
        <v>0</v>
      </c>
      <c r="AN674" s="27">
        <f t="shared" si="209"/>
        <v>10086594</v>
      </c>
      <c r="AO674" s="27">
        <f t="shared" si="210"/>
        <v>10086594</v>
      </c>
      <c r="AP674" s="27">
        <f t="shared" si="210"/>
        <v>10086594</v>
      </c>
      <c r="AQ674" s="27">
        <f t="shared" si="211"/>
        <v>10086594</v>
      </c>
      <c r="AR674" s="27">
        <f t="shared" si="212"/>
        <v>10086594</v>
      </c>
      <c r="AS674" s="27"/>
      <c r="AT674" s="27"/>
      <c r="AU674" s="27"/>
      <c r="AV674" s="27"/>
      <c r="AW674" s="27">
        <f t="shared" si="201"/>
        <v>50432970</v>
      </c>
      <c r="AX674" s="79">
        <f t="shared" si="195"/>
        <v>1159958361.7142856</v>
      </c>
      <c r="AY674" s="79">
        <f t="shared" si="198"/>
        <v>50432970</v>
      </c>
      <c r="AZ674" s="25">
        <f t="shared" si="203"/>
        <v>1</v>
      </c>
      <c r="BA674" s="62"/>
      <c r="BB674" s="66">
        <v>1</v>
      </c>
      <c r="BC674" s="19"/>
      <c r="BD674" s="19"/>
      <c r="BE674" s="67">
        <f t="shared" si="202"/>
        <v>10086594</v>
      </c>
      <c r="BF674" s="174">
        <f t="shared" si="205"/>
        <v>0</v>
      </c>
      <c r="BG674" s="174">
        <f t="shared" si="206"/>
        <v>0</v>
      </c>
      <c r="BH674" s="19"/>
      <c r="BI674" s="19" t="s">
        <v>1896</v>
      </c>
      <c r="BJ674" s="19" t="s">
        <v>1982</v>
      </c>
      <c r="BK674" s="19" t="s">
        <v>1982</v>
      </c>
    </row>
    <row r="675" spans="3:67" ht="15" customHeight="1">
      <c r="C675" s="1" t="str">
        <f t="shared" si="196"/>
        <v>3403</v>
      </c>
      <c r="D675" s="1" t="str">
        <f t="shared" si="197"/>
        <v>2404</v>
      </c>
      <c r="E675" s="176" t="s">
        <v>2066</v>
      </c>
      <c r="F675" s="19" t="s">
        <v>1896</v>
      </c>
      <c r="G675" s="62">
        <v>2112</v>
      </c>
      <c r="H675" s="19" t="s">
        <v>2094</v>
      </c>
      <c r="I675" s="105" t="s">
        <v>2062</v>
      </c>
      <c r="J675" s="86">
        <v>1</v>
      </c>
      <c r="K675" s="19" t="s">
        <v>619</v>
      </c>
      <c r="L675" s="157" t="s">
        <v>980</v>
      </c>
      <c r="M675" s="171">
        <v>106123370401</v>
      </c>
      <c r="N675" s="101">
        <v>45342</v>
      </c>
      <c r="O675" s="19">
        <v>69000</v>
      </c>
      <c r="P675" s="19">
        <v>24810</v>
      </c>
      <c r="Q675" s="163">
        <f t="shared" si="204"/>
        <v>1711890000</v>
      </c>
      <c r="R675" s="104"/>
      <c r="S675" s="19"/>
      <c r="T675" s="179">
        <v>20441613</v>
      </c>
      <c r="U675" s="19" t="s">
        <v>2082</v>
      </c>
      <c r="V675" s="74">
        <v>1732331613</v>
      </c>
      <c r="W675" s="75"/>
      <c r="X675" s="64">
        <v>1732331613</v>
      </c>
      <c r="Y675" s="19"/>
      <c r="Z675" s="19"/>
      <c r="AA675" s="19"/>
      <c r="AB675" s="19"/>
      <c r="AC675" s="64">
        <v>1732331613</v>
      </c>
      <c r="AD675" s="173">
        <v>45383</v>
      </c>
      <c r="AE675" s="65">
        <v>49034</v>
      </c>
      <c r="AF675" s="19">
        <v>10</v>
      </c>
      <c r="AG675" s="19">
        <v>120</v>
      </c>
      <c r="AH675" s="25">
        <v>14436097</v>
      </c>
      <c r="AI675" s="70"/>
      <c r="AJ675" s="70"/>
      <c r="AK675" s="27"/>
      <c r="AL675" s="26">
        <f t="shared" si="207"/>
        <v>0</v>
      </c>
      <c r="AM675" s="27">
        <f t="shared" si="208"/>
        <v>0</v>
      </c>
      <c r="AN675" s="27">
        <f t="shared" si="209"/>
        <v>14436097</v>
      </c>
      <c r="AO675" s="27">
        <f t="shared" si="210"/>
        <v>14436097</v>
      </c>
      <c r="AP675" s="27">
        <f t="shared" si="210"/>
        <v>14436097</v>
      </c>
      <c r="AQ675" s="27">
        <f t="shared" si="211"/>
        <v>14436097</v>
      </c>
      <c r="AR675" s="27">
        <f t="shared" si="212"/>
        <v>14436097</v>
      </c>
      <c r="AS675" s="27"/>
      <c r="AT675" s="27"/>
      <c r="AU675" s="27"/>
      <c r="AV675" s="27"/>
      <c r="AW675" s="27">
        <f t="shared" si="201"/>
        <v>72180485</v>
      </c>
      <c r="AX675" s="79">
        <f t="shared" si="195"/>
        <v>1660151128</v>
      </c>
      <c r="AY675" s="79">
        <f t="shared" si="198"/>
        <v>72180485</v>
      </c>
      <c r="AZ675" s="25">
        <f t="shared" si="203"/>
        <v>1</v>
      </c>
      <c r="BA675" s="62"/>
      <c r="BB675" s="66">
        <v>1</v>
      </c>
      <c r="BC675" s="19"/>
      <c r="BD675" s="19"/>
      <c r="BE675" s="67">
        <f t="shared" si="202"/>
        <v>14436097</v>
      </c>
      <c r="BF675" s="174">
        <f t="shared" si="205"/>
        <v>0</v>
      </c>
      <c r="BG675" s="174">
        <f t="shared" si="206"/>
        <v>0</v>
      </c>
      <c r="BH675" s="19"/>
      <c r="BI675" s="19" t="s">
        <v>1896</v>
      </c>
      <c r="BJ675" s="19" t="s">
        <v>1982</v>
      </c>
      <c r="BK675" s="19" t="s">
        <v>1982</v>
      </c>
    </row>
    <row r="676" spans="3:67" ht="15" customHeight="1">
      <c r="C676" s="1" t="str">
        <f t="shared" si="196"/>
        <v>3403</v>
      </c>
      <c r="D676" s="1" t="str">
        <f t="shared" si="197"/>
        <v>2404</v>
      </c>
      <c r="E676" s="176" t="s">
        <v>2066</v>
      </c>
      <c r="F676" s="19" t="s">
        <v>1896</v>
      </c>
      <c r="G676" s="62">
        <v>2112</v>
      </c>
      <c r="H676" s="19" t="s">
        <v>2095</v>
      </c>
      <c r="I676" s="105" t="s">
        <v>2063</v>
      </c>
      <c r="J676" s="86">
        <v>1</v>
      </c>
      <c r="K676" s="19" t="s">
        <v>619</v>
      </c>
      <c r="L676" s="157" t="s">
        <v>1615</v>
      </c>
      <c r="M676" s="171">
        <v>106132080461</v>
      </c>
      <c r="N676" s="101">
        <v>45354</v>
      </c>
      <c r="O676" s="19">
        <v>60824</v>
      </c>
      <c r="P676" s="19">
        <v>24840</v>
      </c>
      <c r="Q676" s="163">
        <f t="shared" si="204"/>
        <v>1510868160</v>
      </c>
      <c r="R676" s="104"/>
      <c r="S676" s="19"/>
      <c r="T676" s="104">
        <v>21747126.666666668</v>
      </c>
      <c r="U676" s="19" t="s">
        <v>2083</v>
      </c>
      <c r="V676" s="74">
        <v>1532615286.6666667</v>
      </c>
      <c r="W676" s="75"/>
      <c r="X676" s="64">
        <v>1532615286.6666667</v>
      </c>
      <c r="Y676" s="19"/>
      <c r="Z676" s="19"/>
      <c r="AA676" s="19"/>
      <c r="AB676" s="19"/>
      <c r="AC676" s="64">
        <v>1532615286.6666667</v>
      </c>
      <c r="AD676" s="173">
        <v>45383</v>
      </c>
      <c r="AE676" s="65">
        <v>49034</v>
      </c>
      <c r="AF676" s="19">
        <v>10</v>
      </c>
      <c r="AG676" s="19">
        <v>120</v>
      </c>
      <c r="AH676" s="25">
        <v>12771794</v>
      </c>
      <c r="AI676" s="70"/>
      <c r="AJ676" s="70"/>
      <c r="AK676" s="27"/>
      <c r="AL676" s="26">
        <f t="shared" si="207"/>
        <v>0</v>
      </c>
      <c r="AM676" s="27">
        <f t="shared" si="208"/>
        <v>0</v>
      </c>
      <c r="AN676" s="27">
        <f t="shared" si="209"/>
        <v>12771794</v>
      </c>
      <c r="AO676" s="27">
        <f t="shared" si="210"/>
        <v>12771794</v>
      </c>
      <c r="AP676" s="27">
        <f t="shared" si="210"/>
        <v>12771794</v>
      </c>
      <c r="AQ676" s="27">
        <f t="shared" si="211"/>
        <v>12771794</v>
      </c>
      <c r="AR676" s="27">
        <f t="shared" si="212"/>
        <v>12771794</v>
      </c>
      <c r="AS676" s="27"/>
      <c r="AT676" s="27"/>
      <c r="AU676" s="27"/>
      <c r="AV676" s="27"/>
      <c r="AW676" s="27">
        <f t="shared" si="201"/>
        <v>63858970</v>
      </c>
      <c r="AX676" s="79">
        <f t="shared" si="195"/>
        <v>1468756316.6666667</v>
      </c>
      <c r="AY676" s="79">
        <f t="shared" si="198"/>
        <v>63858970</v>
      </c>
      <c r="AZ676" s="25">
        <f t="shared" si="203"/>
        <v>1</v>
      </c>
      <c r="BA676" s="62"/>
      <c r="BB676" s="66">
        <v>1</v>
      </c>
      <c r="BC676" s="19"/>
      <c r="BD676" s="19"/>
      <c r="BE676" s="67">
        <f t="shared" si="202"/>
        <v>12771794</v>
      </c>
      <c r="BF676" s="174">
        <f t="shared" si="205"/>
        <v>0</v>
      </c>
      <c r="BG676" s="174">
        <f t="shared" si="206"/>
        <v>0</v>
      </c>
      <c r="BH676" s="19"/>
      <c r="BI676" s="19" t="s">
        <v>1896</v>
      </c>
      <c r="BJ676" s="19" t="s">
        <v>1982</v>
      </c>
      <c r="BK676" s="19" t="s">
        <v>1982</v>
      </c>
    </row>
    <row r="677" spans="3:67" ht="15" customHeight="1">
      <c r="C677" s="1" t="str">
        <f t="shared" si="196"/>
        <v>3403</v>
      </c>
      <c r="D677" s="1" t="str">
        <f t="shared" si="197"/>
        <v>2404</v>
      </c>
      <c r="E677" s="176" t="s">
        <v>2066</v>
      </c>
      <c r="F677" s="19" t="s">
        <v>1896</v>
      </c>
      <c r="G677" s="62">
        <v>2112</v>
      </c>
      <c r="H677" s="19" t="s">
        <v>2096</v>
      </c>
      <c r="I677" s="105" t="s">
        <v>2064</v>
      </c>
      <c r="J677" s="86">
        <v>1</v>
      </c>
      <c r="K677" s="19" t="s">
        <v>619</v>
      </c>
      <c r="L677" s="157" t="s">
        <v>1615</v>
      </c>
      <c r="M677" s="171">
        <v>106132080461</v>
      </c>
      <c r="N677" s="101">
        <v>45354</v>
      </c>
      <c r="O677" s="19">
        <v>44489</v>
      </c>
      <c r="P677" s="19">
        <v>24840</v>
      </c>
      <c r="Q677" s="163">
        <f t="shared" si="204"/>
        <v>1105106760</v>
      </c>
      <c r="R677" s="104"/>
      <c r="S677" s="19"/>
      <c r="T677" s="104">
        <v>21747126.666666668</v>
      </c>
      <c r="U677" s="19" t="s">
        <v>2083</v>
      </c>
      <c r="V677" s="74">
        <v>1126853886.6666667</v>
      </c>
      <c r="W677" s="75"/>
      <c r="X677" s="64">
        <v>1126853886.6666667</v>
      </c>
      <c r="Y677" s="19"/>
      <c r="Z677" s="19"/>
      <c r="AA677" s="19"/>
      <c r="AB677" s="19"/>
      <c r="AC677" s="64">
        <v>1126853886.6666667</v>
      </c>
      <c r="AD677" s="173">
        <v>45383</v>
      </c>
      <c r="AE677" s="65">
        <v>49034</v>
      </c>
      <c r="AF677" s="19">
        <v>10</v>
      </c>
      <c r="AG677" s="19">
        <v>120</v>
      </c>
      <c r="AH677" s="25">
        <v>9390449</v>
      </c>
      <c r="AI677" s="70"/>
      <c r="AJ677" s="70"/>
      <c r="AK677" s="27"/>
      <c r="AL677" s="26">
        <f t="shared" si="207"/>
        <v>0</v>
      </c>
      <c r="AM677" s="27">
        <f t="shared" si="208"/>
        <v>0</v>
      </c>
      <c r="AN677" s="27">
        <f t="shared" si="209"/>
        <v>9390449</v>
      </c>
      <c r="AO677" s="27">
        <f t="shared" si="210"/>
        <v>9390449</v>
      </c>
      <c r="AP677" s="27">
        <f t="shared" si="210"/>
        <v>9390449</v>
      </c>
      <c r="AQ677" s="27">
        <f t="shared" si="211"/>
        <v>9390449</v>
      </c>
      <c r="AR677" s="27">
        <f t="shared" si="212"/>
        <v>9390449</v>
      </c>
      <c r="AS677" s="27"/>
      <c r="AT677" s="27"/>
      <c r="AU677" s="27"/>
      <c r="AV677" s="27"/>
      <c r="AW677" s="27">
        <f t="shared" si="201"/>
        <v>46952245</v>
      </c>
      <c r="AX677" s="79">
        <f t="shared" si="195"/>
        <v>1079901641.6666667</v>
      </c>
      <c r="AY677" s="79">
        <f t="shared" si="198"/>
        <v>46952245</v>
      </c>
      <c r="AZ677" s="25">
        <f t="shared" si="203"/>
        <v>1</v>
      </c>
      <c r="BA677" s="62"/>
      <c r="BB677" s="66">
        <v>1</v>
      </c>
      <c r="BC677" s="19"/>
      <c r="BD677" s="19"/>
      <c r="BE677" s="67">
        <f t="shared" si="202"/>
        <v>9390449</v>
      </c>
      <c r="BF677" s="174">
        <f t="shared" si="205"/>
        <v>0</v>
      </c>
      <c r="BG677" s="174">
        <f t="shared" si="206"/>
        <v>0</v>
      </c>
      <c r="BH677" s="19"/>
      <c r="BI677" s="19" t="s">
        <v>1896</v>
      </c>
      <c r="BJ677" s="19" t="s">
        <v>1980</v>
      </c>
      <c r="BK677" s="19" t="s">
        <v>1980</v>
      </c>
    </row>
    <row r="678" spans="3:67" ht="15" customHeight="1">
      <c r="C678" s="1" t="str">
        <f t="shared" si="196"/>
        <v>3403</v>
      </c>
      <c r="D678" s="1" t="str">
        <f t="shared" si="197"/>
        <v>2404</v>
      </c>
      <c r="E678" s="176" t="s">
        <v>2066</v>
      </c>
      <c r="F678" s="19" t="s">
        <v>1896</v>
      </c>
      <c r="G678" s="62">
        <v>2112</v>
      </c>
      <c r="H678" s="19" t="s">
        <v>2101</v>
      </c>
      <c r="I678" s="105" t="s">
        <v>2065</v>
      </c>
      <c r="J678" s="86">
        <v>1</v>
      </c>
      <c r="K678" s="19" t="s">
        <v>619</v>
      </c>
      <c r="L678" s="157" t="s">
        <v>1615</v>
      </c>
      <c r="M678" s="171">
        <v>106132080461</v>
      </c>
      <c r="N678" s="101">
        <v>45354</v>
      </c>
      <c r="O678" s="19">
        <v>404475</v>
      </c>
      <c r="P678" s="19">
        <v>24840</v>
      </c>
      <c r="Q678" s="163">
        <f t="shared" si="204"/>
        <v>10047159000</v>
      </c>
      <c r="R678" s="104"/>
      <c r="S678" s="19"/>
      <c r="T678" s="104">
        <v>21747126.666666668</v>
      </c>
      <c r="U678" s="19" t="s">
        <v>2083</v>
      </c>
      <c r="V678" s="74">
        <v>10068906126.666666</v>
      </c>
      <c r="W678" s="75"/>
      <c r="X678" s="64">
        <v>10068906126.666666</v>
      </c>
      <c r="Y678" s="19"/>
      <c r="Z678" s="19"/>
      <c r="AA678" s="19"/>
      <c r="AB678" s="19"/>
      <c r="AC678" s="64">
        <v>10068906126.666666</v>
      </c>
      <c r="AD678" s="173">
        <v>45383</v>
      </c>
      <c r="AE678" s="65">
        <v>49034</v>
      </c>
      <c r="AF678" s="19">
        <v>10</v>
      </c>
      <c r="AG678" s="19">
        <v>120</v>
      </c>
      <c r="AH678" s="25">
        <v>83907551</v>
      </c>
      <c r="AI678" s="70"/>
      <c r="AJ678" s="70"/>
      <c r="AK678" s="27"/>
      <c r="AL678" s="26">
        <f t="shared" si="207"/>
        <v>0</v>
      </c>
      <c r="AM678" s="27">
        <f t="shared" si="208"/>
        <v>0</v>
      </c>
      <c r="AN678" s="27">
        <f t="shared" si="209"/>
        <v>83907551</v>
      </c>
      <c r="AO678" s="27">
        <f t="shared" si="210"/>
        <v>83907551</v>
      </c>
      <c r="AP678" s="27">
        <f t="shared" si="210"/>
        <v>83907551</v>
      </c>
      <c r="AQ678" s="27">
        <f t="shared" si="211"/>
        <v>83907551</v>
      </c>
      <c r="AR678" s="27">
        <f t="shared" si="212"/>
        <v>83907551</v>
      </c>
      <c r="AS678" s="27"/>
      <c r="AT678" s="27"/>
      <c r="AU678" s="27"/>
      <c r="AV678" s="27"/>
      <c r="AW678" s="27">
        <f t="shared" si="201"/>
        <v>419537755</v>
      </c>
      <c r="AX678" s="79">
        <f t="shared" si="195"/>
        <v>9649368371.666666</v>
      </c>
      <c r="AY678" s="79">
        <f t="shared" si="198"/>
        <v>419537755</v>
      </c>
      <c r="AZ678" s="25">
        <f t="shared" si="203"/>
        <v>1</v>
      </c>
      <c r="BA678" s="62"/>
      <c r="BB678" s="66">
        <v>1</v>
      </c>
      <c r="BC678" s="19"/>
      <c r="BD678" s="19"/>
      <c r="BE678" s="67">
        <f t="shared" si="202"/>
        <v>83907551</v>
      </c>
      <c r="BF678" s="174">
        <f t="shared" si="205"/>
        <v>0</v>
      </c>
      <c r="BG678" s="174">
        <f t="shared" si="206"/>
        <v>0</v>
      </c>
      <c r="BH678" s="19"/>
      <c r="BI678" s="19" t="s">
        <v>1896</v>
      </c>
      <c r="BJ678" s="19" t="s">
        <v>1981</v>
      </c>
      <c r="BK678" s="19" t="s">
        <v>1981</v>
      </c>
    </row>
    <row r="679" spans="3:67" ht="15" customHeight="1">
      <c r="C679" s="1" t="str">
        <f t="shared" si="196"/>
        <v>3003</v>
      </c>
      <c r="D679" s="1" t="str">
        <f t="shared" si="197"/>
        <v>2404</v>
      </c>
      <c r="E679" s="176" t="s">
        <v>2066</v>
      </c>
      <c r="F679" s="19" t="s">
        <v>1896</v>
      </c>
      <c r="G679" s="62">
        <v>2112</v>
      </c>
      <c r="H679" s="19" t="s">
        <v>2104</v>
      </c>
      <c r="I679" s="105" t="s">
        <v>2067</v>
      </c>
      <c r="J679" s="86">
        <v>1</v>
      </c>
      <c r="K679" s="19" t="s">
        <v>619</v>
      </c>
      <c r="L679" s="157" t="s">
        <v>1027</v>
      </c>
      <c r="M679" s="98" t="s">
        <v>2068</v>
      </c>
      <c r="N679" s="101">
        <v>45360</v>
      </c>
      <c r="O679" s="19"/>
      <c r="P679" s="19"/>
      <c r="Q679" s="163">
        <v>463502993</v>
      </c>
      <c r="R679" s="19"/>
      <c r="S679" s="19"/>
      <c r="T679" s="19"/>
      <c r="U679" s="19"/>
      <c r="V679" s="74">
        <v>463502993</v>
      </c>
      <c r="W679" s="75"/>
      <c r="X679" s="64">
        <v>463502993</v>
      </c>
      <c r="Y679" s="19"/>
      <c r="Z679" s="19"/>
      <c r="AA679" s="19"/>
      <c r="AB679" s="19"/>
      <c r="AC679" s="64">
        <v>463502993</v>
      </c>
      <c r="AD679" s="173">
        <v>45383</v>
      </c>
      <c r="AE679" s="65">
        <v>47573</v>
      </c>
      <c r="AF679" s="19">
        <v>6</v>
      </c>
      <c r="AG679" s="19">
        <v>72</v>
      </c>
      <c r="AH679" s="25">
        <v>6437542</v>
      </c>
      <c r="AI679" s="70"/>
      <c r="AJ679" s="70"/>
      <c r="AK679" s="27"/>
      <c r="AL679" s="26">
        <f t="shared" si="207"/>
        <v>0</v>
      </c>
      <c r="AM679" s="27">
        <f t="shared" si="208"/>
        <v>0</v>
      </c>
      <c r="AN679" s="27">
        <f t="shared" si="209"/>
        <v>6437542</v>
      </c>
      <c r="AO679" s="27">
        <f t="shared" si="210"/>
        <v>6437542</v>
      </c>
      <c r="AP679" s="27">
        <f t="shared" si="210"/>
        <v>6437542</v>
      </c>
      <c r="AQ679" s="27">
        <f t="shared" si="211"/>
        <v>6437542</v>
      </c>
      <c r="AR679" s="27">
        <f t="shared" si="212"/>
        <v>6437542</v>
      </c>
      <c r="AS679" s="27"/>
      <c r="AT679" s="27"/>
      <c r="AU679" s="27"/>
      <c r="AV679" s="27"/>
      <c r="AW679" s="27">
        <f t="shared" si="201"/>
        <v>32187710</v>
      </c>
      <c r="AX679" s="79">
        <f t="shared" si="195"/>
        <v>431315283</v>
      </c>
      <c r="AY679" s="79">
        <f t="shared" si="198"/>
        <v>32187710</v>
      </c>
      <c r="AZ679" s="25">
        <f t="shared" si="203"/>
        <v>1</v>
      </c>
      <c r="BA679" s="62"/>
      <c r="BB679" s="66">
        <v>1</v>
      </c>
      <c r="BC679" s="19"/>
      <c r="BD679" s="19"/>
      <c r="BE679" s="67">
        <f t="shared" si="202"/>
        <v>6437542</v>
      </c>
      <c r="BF679" s="174">
        <f t="shared" si="205"/>
        <v>0</v>
      </c>
      <c r="BG679" s="174">
        <f t="shared" si="206"/>
        <v>0</v>
      </c>
      <c r="BH679" s="19"/>
      <c r="BI679" s="19" t="s">
        <v>1896</v>
      </c>
      <c r="BJ679" s="19" t="s">
        <v>1929</v>
      </c>
      <c r="BK679" s="19" t="s">
        <v>1989</v>
      </c>
    </row>
    <row r="680" spans="3:67" ht="15" customHeight="1">
      <c r="C680" s="1" t="str">
        <f t="shared" si="196"/>
        <v>3203</v>
      </c>
      <c r="D680" s="1" t="str">
        <f t="shared" si="197"/>
        <v>2404</v>
      </c>
      <c r="E680" s="176" t="s">
        <v>2066</v>
      </c>
      <c r="F680" s="19" t="s">
        <v>1896</v>
      </c>
      <c r="G680" s="62">
        <v>2112</v>
      </c>
      <c r="H680" s="19" t="s">
        <v>2105</v>
      </c>
      <c r="I680" s="105" t="s">
        <v>2067</v>
      </c>
      <c r="J680" s="86">
        <v>1</v>
      </c>
      <c r="K680" s="19" t="s">
        <v>619</v>
      </c>
      <c r="L680" s="157" t="s">
        <v>1027</v>
      </c>
      <c r="M680" s="98" t="s">
        <v>2069</v>
      </c>
      <c r="N680" s="101">
        <v>45360</v>
      </c>
      <c r="O680" s="19"/>
      <c r="P680" s="19"/>
      <c r="Q680" s="163">
        <v>934497007</v>
      </c>
      <c r="R680" s="19"/>
      <c r="S680" s="19"/>
      <c r="T680" s="19"/>
      <c r="U680" s="19"/>
      <c r="V680" s="74">
        <v>934497007</v>
      </c>
      <c r="W680" s="75"/>
      <c r="X680" s="64">
        <v>934497007</v>
      </c>
      <c r="Y680" s="19"/>
      <c r="Z680" s="19"/>
      <c r="AA680" s="19"/>
      <c r="AB680" s="19"/>
      <c r="AC680" s="64">
        <v>934497007</v>
      </c>
      <c r="AD680" s="173">
        <v>45383</v>
      </c>
      <c r="AE680" s="65">
        <v>48304</v>
      </c>
      <c r="AF680" s="19">
        <v>8</v>
      </c>
      <c r="AG680" s="19">
        <v>96</v>
      </c>
      <c r="AH680" s="25">
        <v>9734344</v>
      </c>
      <c r="AI680" s="70"/>
      <c r="AJ680" s="70"/>
      <c r="AK680" s="27"/>
      <c r="AL680" s="26">
        <f t="shared" si="207"/>
        <v>0</v>
      </c>
      <c r="AM680" s="27">
        <f t="shared" si="208"/>
        <v>0</v>
      </c>
      <c r="AN680" s="27">
        <f t="shared" si="209"/>
        <v>9734344</v>
      </c>
      <c r="AO680" s="27">
        <f t="shared" si="210"/>
        <v>9734344</v>
      </c>
      <c r="AP680" s="27">
        <f t="shared" si="210"/>
        <v>9734344</v>
      </c>
      <c r="AQ680" s="27">
        <f t="shared" si="211"/>
        <v>9734344</v>
      </c>
      <c r="AR680" s="27">
        <f t="shared" si="212"/>
        <v>9734344</v>
      </c>
      <c r="AS680" s="27"/>
      <c r="AT680" s="27"/>
      <c r="AU680" s="27"/>
      <c r="AV680" s="27"/>
      <c r="AW680" s="27">
        <f t="shared" si="201"/>
        <v>48671720</v>
      </c>
      <c r="AX680" s="79">
        <f t="shared" si="195"/>
        <v>885825287</v>
      </c>
      <c r="AY680" s="79">
        <f t="shared" si="198"/>
        <v>48671720</v>
      </c>
      <c r="AZ680" s="25">
        <f t="shared" si="203"/>
        <v>1</v>
      </c>
      <c r="BA680" s="62"/>
      <c r="BB680" s="66">
        <v>1</v>
      </c>
      <c r="BC680" s="19"/>
      <c r="BD680" s="19"/>
      <c r="BE680" s="67">
        <f t="shared" si="202"/>
        <v>9734344</v>
      </c>
      <c r="BF680" s="174">
        <f t="shared" si="205"/>
        <v>0</v>
      </c>
      <c r="BG680" s="174">
        <f t="shared" si="206"/>
        <v>0</v>
      </c>
      <c r="BH680" s="19"/>
      <c r="BI680" s="19" t="s">
        <v>1896</v>
      </c>
      <c r="BJ680" s="19" t="s">
        <v>1929</v>
      </c>
      <c r="BK680" s="19" t="s">
        <v>1989</v>
      </c>
    </row>
    <row r="681" spans="3:67" ht="15" customHeight="1">
      <c r="C681" s="1" t="str">
        <f t="shared" si="196"/>
        <v>2904</v>
      </c>
      <c r="D681" s="1" t="str">
        <f t="shared" si="197"/>
        <v>2405</v>
      </c>
      <c r="E681" s="19" t="s">
        <v>2080</v>
      </c>
      <c r="F681" s="19" t="s">
        <v>1896</v>
      </c>
      <c r="G681" s="62">
        <v>2114</v>
      </c>
      <c r="H681" s="19" t="s">
        <v>2103</v>
      </c>
      <c r="I681" s="105" t="s">
        <v>2070</v>
      </c>
      <c r="J681" s="86">
        <v>1</v>
      </c>
      <c r="K681" s="19" t="s">
        <v>619</v>
      </c>
      <c r="L681" s="175" t="s">
        <v>601</v>
      </c>
      <c r="M681" s="181" t="s">
        <v>2088</v>
      </c>
      <c r="N681" s="101">
        <v>45365</v>
      </c>
      <c r="O681" s="19">
        <v>2050</v>
      </c>
      <c r="P681" s="19">
        <v>24970</v>
      </c>
      <c r="Q681" s="163">
        <f t="shared" si="204"/>
        <v>51188500</v>
      </c>
      <c r="R681" s="19"/>
      <c r="S681" s="19"/>
      <c r="T681" s="161">
        <v>1704434.5</v>
      </c>
      <c r="U681" s="19" t="s">
        <v>2081</v>
      </c>
      <c r="V681" s="74">
        <v>52892934.5</v>
      </c>
      <c r="W681" s="74">
        <v>1704434.5</v>
      </c>
      <c r="X681" s="64">
        <v>52892934.5</v>
      </c>
      <c r="Y681" s="19"/>
      <c r="Z681" s="19"/>
      <c r="AA681" s="19"/>
      <c r="AB681" s="19"/>
      <c r="AC681" s="64">
        <v>52892934.5</v>
      </c>
      <c r="AD681" s="63">
        <v>45413</v>
      </c>
      <c r="AE681" s="65">
        <v>47238</v>
      </c>
      <c r="AF681" s="19">
        <v>5</v>
      </c>
      <c r="AG681" s="19">
        <v>60</v>
      </c>
      <c r="AH681" s="25">
        <v>881549</v>
      </c>
      <c r="AI681" s="70"/>
      <c r="AJ681" s="70"/>
      <c r="AK681" s="27"/>
      <c r="AL681" s="26">
        <f t="shared" si="207"/>
        <v>0</v>
      </c>
      <c r="AM681" s="27">
        <f t="shared" si="208"/>
        <v>0</v>
      </c>
      <c r="AN681" s="27">
        <f t="shared" si="209"/>
        <v>0</v>
      </c>
      <c r="AO681" s="27">
        <f t="shared" si="210"/>
        <v>881549</v>
      </c>
      <c r="AP681" s="27">
        <f t="shared" si="210"/>
        <v>881549</v>
      </c>
      <c r="AQ681" s="27">
        <f t="shared" si="211"/>
        <v>881549</v>
      </c>
      <c r="AR681" s="27">
        <f t="shared" si="212"/>
        <v>881549</v>
      </c>
      <c r="AS681" s="27"/>
      <c r="AT681" s="27"/>
      <c r="AU681" s="27"/>
      <c r="AV681" s="27"/>
      <c r="AW681" s="27">
        <f t="shared" si="201"/>
        <v>3526196</v>
      </c>
      <c r="AX681" s="27">
        <f>AC681-AI681-AW681</f>
        <v>49366738.5</v>
      </c>
      <c r="AY681" s="27">
        <f t="shared" si="198"/>
        <v>3526196</v>
      </c>
      <c r="AZ681" s="25">
        <f t="shared" si="203"/>
        <v>1</v>
      </c>
      <c r="BA681" s="62"/>
      <c r="BB681" s="66">
        <v>1</v>
      </c>
      <c r="BC681" s="19"/>
      <c r="BD681" s="19"/>
      <c r="BE681" s="67">
        <f t="shared" si="202"/>
        <v>881549</v>
      </c>
      <c r="BF681" s="67">
        <f>+$AO681*BC681</f>
        <v>0</v>
      </c>
      <c r="BG681" s="67">
        <f>+$AO681*BD681</f>
        <v>0</v>
      </c>
      <c r="BH681" s="19"/>
      <c r="BI681" s="19" t="s">
        <v>1896</v>
      </c>
      <c r="BJ681" s="19" t="s">
        <v>1929</v>
      </c>
      <c r="BK681" s="19" t="s">
        <v>1989</v>
      </c>
      <c r="BO681" s="1"/>
    </row>
    <row r="682" spans="3:67" ht="15" customHeight="1">
      <c r="C682" s="1" t="str">
        <f t="shared" ref="C682:C688" si="213">+RIGHT(YEAR(AE682),2)&amp;IF(LEN(MONTH(AE682))=2,MONTH(AE682),"0"&amp;MONTH(AE682))</f>
        <v>2904</v>
      </c>
      <c r="D682" s="1" t="str">
        <f t="shared" ref="D682:D691" si="214">+RIGHT(YEAR(AD682),2)&amp;IF(LEN(MONTH(AD682))=2,MONTH(AD682),"0"&amp;MONTH(AD682))</f>
        <v>2405</v>
      </c>
      <c r="E682" s="19" t="s">
        <v>2080</v>
      </c>
      <c r="F682" s="19" t="s">
        <v>1896</v>
      </c>
      <c r="G682" s="62">
        <v>2114</v>
      </c>
      <c r="H682" s="19" t="s">
        <v>2106</v>
      </c>
      <c r="I682" s="105" t="s">
        <v>2070</v>
      </c>
      <c r="J682" s="86">
        <v>1</v>
      </c>
      <c r="K682" s="19" t="s">
        <v>619</v>
      </c>
      <c r="L682" s="175" t="s">
        <v>601</v>
      </c>
      <c r="M682" s="181" t="s">
        <v>2088</v>
      </c>
      <c r="N682" s="101">
        <v>45365</v>
      </c>
      <c r="O682" s="19">
        <v>2050</v>
      </c>
      <c r="P682" s="19">
        <v>24970</v>
      </c>
      <c r="Q682" s="163">
        <f t="shared" si="204"/>
        <v>51188500</v>
      </c>
      <c r="R682" s="19"/>
      <c r="S682" s="19"/>
      <c r="T682" s="161">
        <v>1704434.5</v>
      </c>
      <c r="U682" s="19" t="s">
        <v>2081</v>
      </c>
      <c r="V682" s="74">
        <v>52892934.5</v>
      </c>
      <c r="W682" s="75"/>
      <c r="X682" s="64">
        <v>52892934.5</v>
      </c>
      <c r="Y682" s="19"/>
      <c r="Z682" s="19"/>
      <c r="AA682" s="19"/>
      <c r="AB682" s="19"/>
      <c r="AC682" s="64">
        <v>52892934.5</v>
      </c>
      <c r="AD682" s="63">
        <v>45413</v>
      </c>
      <c r="AE682" s="65">
        <v>47238</v>
      </c>
      <c r="AF682" s="19">
        <v>5</v>
      </c>
      <c r="AG682" s="19">
        <v>60</v>
      </c>
      <c r="AH682" s="25">
        <v>881549</v>
      </c>
      <c r="AI682" s="70"/>
      <c r="AJ682" s="70"/>
      <c r="AK682" s="27"/>
      <c r="AL682" s="26">
        <f t="shared" si="207"/>
        <v>0</v>
      </c>
      <c r="AM682" s="27">
        <f t="shared" si="208"/>
        <v>0</v>
      </c>
      <c r="AN682" s="27">
        <f t="shared" si="209"/>
        <v>0</v>
      </c>
      <c r="AO682" s="27">
        <f t="shared" si="210"/>
        <v>881549</v>
      </c>
      <c r="AP682" s="27">
        <f t="shared" si="210"/>
        <v>881549</v>
      </c>
      <c r="AQ682" s="27">
        <f t="shared" si="211"/>
        <v>881549</v>
      </c>
      <c r="AR682" s="27">
        <f t="shared" si="212"/>
        <v>881549</v>
      </c>
      <c r="AS682" s="27"/>
      <c r="AT682" s="27"/>
      <c r="AU682" s="27"/>
      <c r="AV682" s="27"/>
      <c r="AW682" s="27">
        <f t="shared" si="201"/>
        <v>3526196</v>
      </c>
      <c r="AX682" s="27">
        <f t="shared" si="195"/>
        <v>49366738.5</v>
      </c>
      <c r="AY682" s="177">
        <f t="shared" si="198"/>
        <v>3526196</v>
      </c>
      <c r="AZ682" s="25">
        <f t="shared" si="203"/>
        <v>1</v>
      </c>
      <c r="BA682" s="62"/>
      <c r="BB682" s="66">
        <v>1</v>
      </c>
      <c r="BC682" s="19"/>
      <c r="BD682" s="19"/>
      <c r="BE682" s="67">
        <f t="shared" si="202"/>
        <v>881549</v>
      </c>
      <c r="BF682" s="174">
        <f t="shared" ref="BF682:BF694" si="215">+$AO682*BC682</f>
        <v>0</v>
      </c>
      <c r="BG682" s="174">
        <f t="shared" ref="BG682:BG698" si="216">+$AO682*BD682</f>
        <v>0</v>
      </c>
      <c r="BH682" s="19"/>
      <c r="BI682" s="19" t="s">
        <v>1896</v>
      </c>
      <c r="BJ682" s="19" t="s">
        <v>1929</v>
      </c>
      <c r="BK682" s="19" t="s">
        <v>1989</v>
      </c>
    </row>
    <row r="683" spans="3:67" ht="15" customHeight="1">
      <c r="C683" s="1" t="str">
        <f t="shared" si="213"/>
        <v>2904</v>
      </c>
      <c r="D683" s="1" t="str">
        <f t="shared" si="214"/>
        <v>2405</v>
      </c>
      <c r="E683" s="19" t="s">
        <v>2080</v>
      </c>
      <c r="F683" s="19" t="s">
        <v>1896</v>
      </c>
      <c r="G683" s="62">
        <v>2114</v>
      </c>
      <c r="H683" s="19" t="s">
        <v>2107</v>
      </c>
      <c r="I683" s="105" t="s">
        <v>2070</v>
      </c>
      <c r="J683" s="86">
        <v>1</v>
      </c>
      <c r="K683" s="19" t="s">
        <v>619</v>
      </c>
      <c r="L683" s="175" t="s">
        <v>601</v>
      </c>
      <c r="M683" s="181" t="s">
        <v>2088</v>
      </c>
      <c r="N683" s="101">
        <v>45365</v>
      </c>
      <c r="O683" s="19">
        <v>2050</v>
      </c>
      <c r="P683" s="19">
        <v>24970</v>
      </c>
      <c r="Q683" s="163">
        <f t="shared" si="204"/>
        <v>51188500</v>
      </c>
      <c r="R683" s="19"/>
      <c r="S683" s="19"/>
      <c r="T683" s="161">
        <v>1704434.5</v>
      </c>
      <c r="U683" s="19" t="s">
        <v>2081</v>
      </c>
      <c r="V683" s="74">
        <v>52892934.5</v>
      </c>
      <c r="W683" s="75"/>
      <c r="X683" s="64">
        <v>52892934.5</v>
      </c>
      <c r="Y683" s="19"/>
      <c r="Z683" s="19"/>
      <c r="AA683" s="19"/>
      <c r="AB683" s="19"/>
      <c r="AC683" s="64">
        <v>52892934.5</v>
      </c>
      <c r="AD683" s="63">
        <v>45413</v>
      </c>
      <c r="AE683" s="65">
        <v>47238</v>
      </c>
      <c r="AF683" s="19">
        <v>5</v>
      </c>
      <c r="AG683" s="19">
        <v>60</v>
      </c>
      <c r="AH683" s="25">
        <v>881549</v>
      </c>
      <c r="AI683" s="70"/>
      <c r="AJ683" s="70"/>
      <c r="AK683" s="27"/>
      <c r="AL683" s="26">
        <f t="shared" si="207"/>
        <v>0</v>
      </c>
      <c r="AM683" s="27">
        <f t="shared" si="208"/>
        <v>0</v>
      </c>
      <c r="AN683" s="27">
        <f t="shared" si="209"/>
        <v>0</v>
      </c>
      <c r="AO683" s="27">
        <f t="shared" si="210"/>
        <v>881549</v>
      </c>
      <c r="AP683" s="27">
        <f t="shared" si="210"/>
        <v>881549</v>
      </c>
      <c r="AQ683" s="27">
        <f t="shared" si="211"/>
        <v>881549</v>
      </c>
      <c r="AR683" s="27">
        <f t="shared" si="212"/>
        <v>881549</v>
      </c>
      <c r="AS683" s="27"/>
      <c r="AT683" s="27"/>
      <c r="AU683" s="27"/>
      <c r="AV683" s="27"/>
      <c r="AW683" s="27">
        <f t="shared" si="201"/>
        <v>3526196</v>
      </c>
      <c r="AX683" s="27">
        <f t="shared" si="195"/>
        <v>49366738.5</v>
      </c>
      <c r="AY683" s="27">
        <f t="shared" si="198"/>
        <v>3526196</v>
      </c>
      <c r="AZ683" s="25">
        <f t="shared" si="203"/>
        <v>1</v>
      </c>
      <c r="BA683" s="62"/>
      <c r="BB683" s="66">
        <v>1</v>
      </c>
      <c r="BC683" s="19"/>
      <c r="BD683" s="19"/>
      <c r="BE683" s="67">
        <f t="shared" si="202"/>
        <v>881549</v>
      </c>
      <c r="BF683" s="174">
        <f t="shared" si="215"/>
        <v>0</v>
      </c>
      <c r="BG683" s="174">
        <f t="shared" si="216"/>
        <v>0</v>
      </c>
      <c r="BH683" s="19"/>
      <c r="BI683" s="19" t="s">
        <v>1896</v>
      </c>
      <c r="BJ683" s="19" t="s">
        <v>1929</v>
      </c>
      <c r="BK683" s="19" t="s">
        <v>1989</v>
      </c>
    </row>
    <row r="684" spans="3:67" ht="15" customHeight="1">
      <c r="C684" s="1" t="str">
        <f t="shared" si="213"/>
        <v>2904</v>
      </c>
      <c r="D684" s="1" t="str">
        <f t="shared" si="214"/>
        <v>2405</v>
      </c>
      <c r="E684" s="19" t="s">
        <v>2080</v>
      </c>
      <c r="F684" s="19" t="s">
        <v>1896</v>
      </c>
      <c r="G684" s="62">
        <v>2114</v>
      </c>
      <c r="H684" s="19" t="s">
        <v>2108</v>
      </c>
      <c r="I684" s="105" t="s">
        <v>2070</v>
      </c>
      <c r="J684" s="86">
        <v>1</v>
      </c>
      <c r="K684" s="19" t="s">
        <v>619</v>
      </c>
      <c r="L684" s="175" t="s">
        <v>601</v>
      </c>
      <c r="M684" s="181" t="s">
        <v>2088</v>
      </c>
      <c r="N684" s="101">
        <v>45365</v>
      </c>
      <c r="O684" s="19">
        <v>2050</v>
      </c>
      <c r="P684" s="19">
        <v>24970</v>
      </c>
      <c r="Q684" s="163">
        <f t="shared" si="204"/>
        <v>51188500</v>
      </c>
      <c r="R684" s="19"/>
      <c r="S684" s="19"/>
      <c r="T684" s="161">
        <v>1704434.5</v>
      </c>
      <c r="U684" s="19" t="s">
        <v>2081</v>
      </c>
      <c r="V684" s="74">
        <v>52892934.5</v>
      </c>
      <c r="W684" s="75"/>
      <c r="X684" s="64">
        <v>52892934.5</v>
      </c>
      <c r="Y684" s="19"/>
      <c r="Z684" s="19"/>
      <c r="AA684" s="19"/>
      <c r="AB684" s="19"/>
      <c r="AC684" s="64">
        <v>52892934.5</v>
      </c>
      <c r="AD684" s="63">
        <v>45413</v>
      </c>
      <c r="AE684" s="65">
        <v>47238</v>
      </c>
      <c r="AF684" s="19">
        <v>5</v>
      </c>
      <c r="AG684" s="19">
        <v>60</v>
      </c>
      <c r="AH684" s="25">
        <v>881549</v>
      </c>
      <c r="AI684" s="70"/>
      <c r="AJ684" s="70"/>
      <c r="AK684" s="27"/>
      <c r="AL684" s="26">
        <f t="shared" si="207"/>
        <v>0</v>
      </c>
      <c r="AM684" s="27">
        <f t="shared" si="208"/>
        <v>0</v>
      </c>
      <c r="AN684" s="27">
        <f t="shared" si="209"/>
        <v>0</v>
      </c>
      <c r="AO684" s="27">
        <f t="shared" si="210"/>
        <v>881549</v>
      </c>
      <c r="AP684" s="27">
        <f t="shared" si="210"/>
        <v>881549</v>
      </c>
      <c r="AQ684" s="27">
        <f t="shared" si="211"/>
        <v>881549</v>
      </c>
      <c r="AR684" s="27">
        <f t="shared" si="212"/>
        <v>881549</v>
      </c>
      <c r="AS684" s="27"/>
      <c r="AT684" s="27"/>
      <c r="AU684" s="27"/>
      <c r="AV684" s="27"/>
      <c r="AW684" s="27">
        <f t="shared" si="201"/>
        <v>3526196</v>
      </c>
      <c r="AX684" s="27">
        <f t="shared" si="195"/>
        <v>49366738.5</v>
      </c>
      <c r="AY684" s="27">
        <f t="shared" si="198"/>
        <v>3526196</v>
      </c>
      <c r="AZ684" s="25">
        <f t="shared" si="203"/>
        <v>1</v>
      </c>
      <c r="BA684" s="62"/>
      <c r="BB684" s="66">
        <v>1</v>
      </c>
      <c r="BC684" s="19"/>
      <c r="BD684" s="19"/>
      <c r="BE684" s="67">
        <f t="shared" si="202"/>
        <v>881549</v>
      </c>
      <c r="BF684" s="174">
        <f t="shared" si="215"/>
        <v>0</v>
      </c>
      <c r="BG684" s="174">
        <f t="shared" si="216"/>
        <v>0</v>
      </c>
      <c r="BH684" s="19"/>
      <c r="BI684" s="19" t="s">
        <v>1896</v>
      </c>
      <c r="BJ684" s="19" t="s">
        <v>1929</v>
      </c>
      <c r="BK684" s="19" t="s">
        <v>1989</v>
      </c>
    </row>
    <row r="685" spans="3:67" ht="15" customHeight="1">
      <c r="C685" s="1" t="str">
        <f t="shared" si="213"/>
        <v>2904</v>
      </c>
      <c r="D685" s="1" t="str">
        <f t="shared" si="214"/>
        <v>2405</v>
      </c>
      <c r="E685" s="19" t="s">
        <v>2080</v>
      </c>
      <c r="F685" s="19" t="s">
        <v>1923</v>
      </c>
      <c r="G685" s="62">
        <v>2114</v>
      </c>
      <c r="H685" s="19" t="s">
        <v>2109</v>
      </c>
      <c r="I685" s="105" t="s">
        <v>2070</v>
      </c>
      <c r="J685" s="86">
        <v>1</v>
      </c>
      <c r="K685" s="19" t="s">
        <v>619</v>
      </c>
      <c r="L685" s="175" t="s">
        <v>601</v>
      </c>
      <c r="M685" s="181" t="s">
        <v>2088</v>
      </c>
      <c r="N685" s="101">
        <v>45365</v>
      </c>
      <c r="O685" s="19">
        <v>2050</v>
      </c>
      <c r="P685" s="19">
        <v>24970</v>
      </c>
      <c r="Q685" s="163">
        <f t="shared" si="204"/>
        <v>51188500</v>
      </c>
      <c r="R685" s="19"/>
      <c r="S685" s="19"/>
      <c r="T685" s="161">
        <v>1704434.5</v>
      </c>
      <c r="U685" s="19" t="s">
        <v>2081</v>
      </c>
      <c r="V685" s="74">
        <v>52892934.5</v>
      </c>
      <c r="W685" s="75"/>
      <c r="X685" s="64">
        <v>52892934.5</v>
      </c>
      <c r="Y685" s="19"/>
      <c r="Z685" s="19"/>
      <c r="AA685" s="19"/>
      <c r="AB685" s="19"/>
      <c r="AC685" s="64">
        <v>52892934.5</v>
      </c>
      <c r="AD685" s="63">
        <v>45413</v>
      </c>
      <c r="AE685" s="65">
        <v>47238</v>
      </c>
      <c r="AF685" s="19">
        <v>5</v>
      </c>
      <c r="AG685" s="19">
        <v>60</v>
      </c>
      <c r="AH685" s="25">
        <v>881549</v>
      </c>
      <c r="AI685" s="70"/>
      <c r="AJ685" s="70"/>
      <c r="AK685" s="27"/>
      <c r="AL685" s="26">
        <f t="shared" si="207"/>
        <v>0</v>
      </c>
      <c r="AM685" s="27">
        <f t="shared" si="208"/>
        <v>0</v>
      </c>
      <c r="AN685" s="27">
        <f t="shared" si="209"/>
        <v>0</v>
      </c>
      <c r="AO685" s="27">
        <f t="shared" si="210"/>
        <v>881549</v>
      </c>
      <c r="AP685" s="27">
        <f t="shared" si="210"/>
        <v>881549</v>
      </c>
      <c r="AQ685" s="27">
        <f t="shared" si="211"/>
        <v>881549</v>
      </c>
      <c r="AR685" s="27">
        <f t="shared" si="212"/>
        <v>881549</v>
      </c>
      <c r="AS685" s="27"/>
      <c r="AT685" s="27"/>
      <c r="AU685" s="27"/>
      <c r="AV685" s="27"/>
      <c r="AW685" s="27">
        <f t="shared" si="201"/>
        <v>3526196</v>
      </c>
      <c r="AX685" s="27">
        <f t="shared" si="195"/>
        <v>49366738.5</v>
      </c>
      <c r="AY685" s="27">
        <f t="shared" si="198"/>
        <v>3526196</v>
      </c>
      <c r="AZ685" s="25">
        <f t="shared" si="203"/>
        <v>1</v>
      </c>
      <c r="BA685" s="62"/>
      <c r="BB685" s="66">
        <v>1</v>
      </c>
      <c r="BC685" s="19"/>
      <c r="BD685" s="19"/>
      <c r="BE685" s="67">
        <f t="shared" si="202"/>
        <v>881549</v>
      </c>
      <c r="BF685" s="174">
        <f t="shared" si="215"/>
        <v>0</v>
      </c>
      <c r="BG685" s="174">
        <f t="shared" si="216"/>
        <v>0</v>
      </c>
      <c r="BH685" s="19"/>
      <c r="BI685" s="19" t="s">
        <v>1923</v>
      </c>
      <c r="BJ685" s="19" t="s">
        <v>58</v>
      </c>
      <c r="BK685" s="19" t="s">
        <v>59</v>
      </c>
    </row>
    <row r="686" spans="3:67" ht="15" customHeight="1">
      <c r="C686" s="1" t="str">
        <f t="shared" si="213"/>
        <v>2904</v>
      </c>
      <c r="D686" s="1" t="str">
        <f t="shared" si="214"/>
        <v>2405</v>
      </c>
      <c r="E686" s="19" t="s">
        <v>2080</v>
      </c>
      <c r="F686" s="19" t="s">
        <v>1923</v>
      </c>
      <c r="G686" s="62">
        <v>2114</v>
      </c>
      <c r="H686" s="19" t="s">
        <v>2110</v>
      </c>
      <c r="I686" s="105" t="s">
        <v>2070</v>
      </c>
      <c r="J686" s="86">
        <v>1</v>
      </c>
      <c r="K686" s="19" t="s">
        <v>619</v>
      </c>
      <c r="L686" s="175" t="s">
        <v>601</v>
      </c>
      <c r="M686" s="181" t="s">
        <v>2088</v>
      </c>
      <c r="N686" s="101">
        <v>45365</v>
      </c>
      <c r="O686" s="19">
        <v>2050</v>
      </c>
      <c r="P686" s="19">
        <v>24970</v>
      </c>
      <c r="Q686" s="163">
        <f t="shared" si="204"/>
        <v>51188500</v>
      </c>
      <c r="R686" s="19"/>
      <c r="S686" s="19"/>
      <c r="T686" s="161">
        <v>1704434.5</v>
      </c>
      <c r="U686" s="19" t="s">
        <v>2081</v>
      </c>
      <c r="V686" s="74">
        <v>52892934.5</v>
      </c>
      <c r="W686" s="75"/>
      <c r="X686" s="64">
        <v>52892934.5</v>
      </c>
      <c r="Y686" s="19"/>
      <c r="Z686" s="19"/>
      <c r="AA686" s="19"/>
      <c r="AB686" s="19"/>
      <c r="AC686" s="64">
        <v>52892934.5</v>
      </c>
      <c r="AD686" s="63">
        <v>45413</v>
      </c>
      <c r="AE686" s="65">
        <v>47238</v>
      </c>
      <c r="AF686" s="19">
        <v>5</v>
      </c>
      <c r="AG686" s="19">
        <v>60</v>
      </c>
      <c r="AH686" s="25">
        <v>881549</v>
      </c>
      <c r="AI686" s="70"/>
      <c r="AJ686" s="70"/>
      <c r="AK686" s="27"/>
      <c r="AL686" s="26">
        <f t="shared" si="207"/>
        <v>0</v>
      </c>
      <c r="AM686" s="27">
        <f t="shared" si="208"/>
        <v>0</v>
      </c>
      <c r="AN686" s="27">
        <f t="shared" si="209"/>
        <v>0</v>
      </c>
      <c r="AO686" s="27">
        <f t="shared" si="210"/>
        <v>881549</v>
      </c>
      <c r="AP686" s="27">
        <f t="shared" si="210"/>
        <v>881549</v>
      </c>
      <c r="AQ686" s="27">
        <f t="shared" si="211"/>
        <v>881549</v>
      </c>
      <c r="AR686" s="27">
        <f t="shared" si="212"/>
        <v>881549</v>
      </c>
      <c r="AS686" s="27"/>
      <c r="AT686" s="27"/>
      <c r="AU686" s="27"/>
      <c r="AV686" s="27"/>
      <c r="AW686" s="27">
        <f t="shared" si="201"/>
        <v>3526196</v>
      </c>
      <c r="AX686" s="27">
        <f t="shared" si="195"/>
        <v>49366738.5</v>
      </c>
      <c r="AY686" s="27">
        <f t="shared" si="198"/>
        <v>3526196</v>
      </c>
      <c r="AZ686" s="25">
        <f t="shared" si="203"/>
        <v>1</v>
      </c>
      <c r="BA686" s="62"/>
      <c r="BB686" s="66">
        <v>1</v>
      </c>
      <c r="BC686" s="19"/>
      <c r="BD686" s="19"/>
      <c r="BE686" s="67">
        <f t="shared" si="202"/>
        <v>881549</v>
      </c>
      <c r="BF686" s="174">
        <f t="shared" si="215"/>
        <v>0</v>
      </c>
      <c r="BG686" s="174">
        <f t="shared" si="216"/>
        <v>0</v>
      </c>
      <c r="BH686" s="19"/>
      <c r="BI686" s="19" t="s">
        <v>1923</v>
      </c>
      <c r="BJ686" s="19" t="s">
        <v>58</v>
      </c>
      <c r="BK686" s="19" t="s">
        <v>59</v>
      </c>
    </row>
    <row r="687" spans="3:67" ht="15" customHeight="1">
      <c r="C687" s="1" t="str">
        <f t="shared" si="213"/>
        <v>2904</v>
      </c>
      <c r="D687" s="1" t="str">
        <f t="shared" si="214"/>
        <v>2405</v>
      </c>
      <c r="E687" s="19" t="s">
        <v>2080</v>
      </c>
      <c r="F687" s="19" t="s">
        <v>1923</v>
      </c>
      <c r="G687" s="62">
        <v>2114</v>
      </c>
      <c r="H687" s="19" t="s">
        <v>2111</v>
      </c>
      <c r="I687" s="105" t="s">
        <v>2070</v>
      </c>
      <c r="J687" s="86">
        <v>1</v>
      </c>
      <c r="K687" s="19" t="s">
        <v>619</v>
      </c>
      <c r="L687" s="175" t="s">
        <v>601</v>
      </c>
      <c r="M687" s="181" t="s">
        <v>2088</v>
      </c>
      <c r="N687" s="101">
        <v>45365</v>
      </c>
      <c r="O687" s="19">
        <v>2050</v>
      </c>
      <c r="P687" s="19">
        <v>24970</v>
      </c>
      <c r="Q687" s="163">
        <f t="shared" si="204"/>
        <v>51188500</v>
      </c>
      <c r="R687" s="19"/>
      <c r="S687" s="19"/>
      <c r="T687" s="161">
        <v>1704434.5</v>
      </c>
      <c r="U687" s="19" t="s">
        <v>2081</v>
      </c>
      <c r="V687" s="74">
        <v>52892934.5</v>
      </c>
      <c r="W687" s="75"/>
      <c r="X687" s="64">
        <v>52892934.5</v>
      </c>
      <c r="Y687" s="19"/>
      <c r="Z687" s="19"/>
      <c r="AA687" s="19"/>
      <c r="AB687" s="19"/>
      <c r="AC687" s="64">
        <v>52892934.5</v>
      </c>
      <c r="AD687" s="63">
        <v>45413</v>
      </c>
      <c r="AE687" s="65">
        <v>47238</v>
      </c>
      <c r="AF687" s="19">
        <v>5</v>
      </c>
      <c r="AG687" s="19">
        <v>60</v>
      </c>
      <c r="AH687" s="25">
        <v>881549</v>
      </c>
      <c r="AI687" s="70"/>
      <c r="AJ687" s="70"/>
      <c r="AK687" s="27"/>
      <c r="AL687" s="26">
        <f t="shared" si="207"/>
        <v>0</v>
      </c>
      <c r="AM687" s="27">
        <f t="shared" si="208"/>
        <v>0</v>
      </c>
      <c r="AN687" s="27">
        <f t="shared" si="209"/>
        <v>0</v>
      </c>
      <c r="AO687" s="27">
        <f t="shared" si="210"/>
        <v>881549</v>
      </c>
      <c r="AP687" s="27">
        <f t="shared" si="210"/>
        <v>881549</v>
      </c>
      <c r="AQ687" s="27">
        <f t="shared" si="211"/>
        <v>881549</v>
      </c>
      <c r="AR687" s="27">
        <f t="shared" si="212"/>
        <v>881549</v>
      </c>
      <c r="AS687" s="27"/>
      <c r="AT687" s="27"/>
      <c r="AU687" s="27"/>
      <c r="AV687" s="27"/>
      <c r="AW687" s="27">
        <f t="shared" si="201"/>
        <v>3526196</v>
      </c>
      <c r="AX687" s="27">
        <f t="shared" si="195"/>
        <v>49366738.5</v>
      </c>
      <c r="AY687" s="27">
        <f t="shared" si="198"/>
        <v>3526196</v>
      </c>
      <c r="AZ687" s="25">
        <f t="shared" si="203"/>
        <v>1</v>
      </c>
      <c r="BA687" s="62"/>
      <c r="BB687" s="66">
        <v>1</v>
      </c>
      <c r="BC687" s="19"/>
      <c r="BD687" s="19"/>
      <c r="BE687" s="67">
        <f t="shared" si="202"/>
        <v>881549</v>
      </c>
      <c r="BF687" s="174">
        <f t="shared" si="215"/>
        <v>0</v>
      </c>
      <c r="BG687" s="174">
        <f t="shared" si="216"/>
        <v>0</v>
      </c>
      <c r="BH687" s="19"/>
      <c r="BI687" s="19" t="s">
        <v>1923</v>
      </c>
      <c r="BJ687" s="19" t="s">
        <v>58</v>
      </c>
      <c r="BK687" s="19" t="s">
        <v>59</v>
      </c>
    </row>
    <row r="688" spans="3:67" ht="15" customHeight="1">
      <c r="C688" s="1" t="str">
        <f t="shared" si="213"/>
        <v>2904</v>
      </c>
      <c r="D688" s="1" t="str">
        <f t="shared" si="214"/>
        <v>2405</v>
      </c>
      <c r="E688" s="19" t="s">
        <v>2080</v>
      </c>
      <c r="F688" s="19" t="s">
        <v>1923</v>
      </c>
      <c r="G688" s="62">
        <v>2114</v>
      </c>
      <c r="H688" s="19" t="s">
        <v>2112</v>
      </c>
      <c r="I688" s="105" t="s">
        <v>2070</v>
      </c>
      <c r="J688" s="86">
        <v>1</v>
      </c>
      <c r="K688" s="19" t="s">
        <v>619</v>
      </c>
      <c r="L688" s="175" t="s">
        <v>601</v>
      </c>
      <c r="M688" s="181" t="s">
        <v>2088</v>
      </c>
      <c r="N688" s="101">
        <v>45365</v>
      </c>
      <c r="O688" s="19">
        <v>2050</v>
      </c>
      <c r="P688" s="19">
        <v>24970</v>
      </c>
      <c r="Q688" s="163">
        <f t="shared" si="204"/>
        <v>51188500</v>
      </c>
      <c r="R688" s="19"/>
      <c r="S688" s="19"/>
      <c r="T688" s="161">
        <v>1704434.5</v>
      </c>
      <c r="U688" s="19" t="s">
        <v>2081</v>
      </c>
      <c r="V688" s="74">
        <v>52892934.5</v>
      </c>
      <c r="W688" s="75"/>
      <c r="X688" s="64">
        <v>52892934.5</v>
      </c>
      <c r="Y688" s="19"/>
      <c r="Z688" s="19"/>
      <c r="AA688" s="19"/>
      <c r="AB688" s="19"/>
      <c r="AC688" s="64">
        <v>52892934.5</v>
      </c>
      <c r="AD688" s="63">
        <v>45413</v>
      </c>
      <c r="AE688" s="65">
        <v>47238</v>
      </c>
      <c r="AF688" s="19">
        <v>5</v>
      </c>
      <c r="AG688" s="19">
        <v>60</v>
      </c>
      <c r="AH688" s="25">
        <v>881549</v>
      </c>
      <c r="AI688" s="70"/>
      <c r="AJ688" s="70"/>
      <c r="AK688" s="27"/>
      <c r="AL688" s="26">
        <f t="shared" si="207"/>
        <v>0</v>
      </c>
      <c r="AM688" s="27">
        <f t="shared" si="208"/>
        <v>0</v>
      </c>
      <c r="AN688" s="27">
        <f t="shared" si="209"/>
        <v>0</v>
      </c>
      <c r="AO688" s="27">
        <f t="shared" si="210"/>
        <v>881549</v>
      </c>
      <c r="AP688" s="27">
        <f t="shared" si="210"/>
        <v>881549</v>
      </c>
      <c r="AQ688" s="27">
        <f t="shared" si="211"/>
        <v>881549</v>
      </c>
      <c r="AR688" s="27">
        <f t="shared" si="212"/>
        <v>881549</v>
      </c>
      <c r="AS688" s="27"/>
      <c r="AT688" s="27"/>
      <c r="AU688" s="27"/>
      <c r="AV688" s="27"/>
      <c r="AW688" s="27">
        <f t="shared" si="201"/>
        <v>3526196</v>
      </c>
      <c r="AX688" s="27">
        <f t="shared" si="195"/>
        <v>49366738.5</v>
      </c>
      <c r="AY688" s="27">
        <f t="shared" si="198"/>
        <v>3526196</v>
      </c>
      <c r="AZ688" s="25">
        <f t="shared" si="203"/>
        <v>1</v>
      </c>
      <c r="BA688" s="62"/>
      <c r="BB688" s="66">
        <v>1</v>
      </c>
      <c r="BC688" s="19"/>
      <c r="BD688" s="19"/>
      <c r="BE688" s="67">
        <f t="shared" si="202"/>
        <v>881549</v>
      </c>
      <c r="BF688" s="174">
        <f t="shared" si="215"/>
        <v>0</v>
      </c>
      <c r="BG688" s="174">
        <f t="shared" si="216"/>
        <v>0</v>
      </c>
      <c r="BH688" s="19"/>
      <c r="BI688" s="19" t="s">
        <v>1923</v>
      </c>
      <c r="BJ688" s="19" t="s">
        <v>58</v>
      </c>
      <c r="BK688" s="19" t="s">
        <v>59</v>
      </c>
    </row>
    <row r="689" spans="3:67" ht="15" customHeight="1">
      <c r="C689" s="169" t="s">
        <v>2079</v>
      </c>
      <c r="D689" s="1" t="str">
        <f t="shared" si="214"/>
        <v>2405</v>
      </c>
      <c r="E689" s="19" t="s">
        <v>2080</v>
      </c>
      <c r="F689" s="19" t="s">
        <v>1923</v>
      </c>
      <c r="G689" s="62">
        <v>2112</v>
      </c>
      <c r="H689" s="19" t="s">
        <v>2113</v>
      </c>
      <c r="I689" s="105" t="s">
        <v>2071</v>
      </c>
      <c r="J689" s="86">
        <v>1</v>
      </c>
      <c r="K689" s="19" t="s">
        <v>619</v>
      </c>
      <c r="L689" s="157" t="s">
        <v>2078</v>
      </c>
      <c r="M689" s="98" t="s">
        <v>2087</v>
      </c>
      <c r="N689" s="267">
        <v>45385</v>
      </c>
      <c r="O689" s="163">
        <v>66092.820000000007</v>
      </c>
      <c r="P689" s="19">
        <v>25076</v>
      </c>
      <c r="Q689" s="163">
        <f t="shared" si="204"/>
        <v>1657343554.3200002</v>
      </c>
      <c r="R689" s="144">
        <v>4208030</v>
      </c>
      <c r="S689" s="73">
        <v>47571178.079999991</v>
      </c>
      <c r="T689" s="163">
        <v>23042663.333333332</v>
      </c>
      <c r="U689" s="19" t="s">
        <v>2085</v>
      </c>
      <c r="V689" s="74">
        <v>1732165425.7333333</v>
      </c>
      <c r="W689" s="74">
        <v>74821871.413333327</v>
      </c>
      <c r="X689" s="64">
        <v>1732165425.7333333</v>
      </c>
      <c r="Y689" s="19"/>
      <c r="Z689" s="19"/>
      <c r="AA689" s="19"/>
      <c r="AB689" s="19"/>
      <c r="AC689" s="64">
        <v>1732165425.7333333</v>
      </c>
      <c r="AD689" s="63">
        <v>45413</v>
      </c>
      <c r="AE689" s="65">
        <v>49064</v>
      </c>
      <c r="AF689" s="19">
        <v>10</v>
      </c>
      <c r="AG689" s="19">
        <v>120</v>
      </c>
      <c r="AH689" s="25">
        <v>14434712</v>
      </c>
      <c r="AI689" s="70"/>
      <c r="AJ689" s="70"/>
      <c r="AK689" s="27"/>
      <c r="AL689" s="26">
        <f t="shared" si="207"/>
        <v>0</v>
      </c>
      <c r="AM689" s="27">
        <f t="shared" si="208"/>
        <v>0</v>
      </c>
      <c r="AN689" s="27">
        <f t="shared" si="209"/>
        <v>0</v>
      </c>
      <c r="AO689" s="27">
        <f t="shared" si="210"/>
        <v>14434712</v>
      </c>
      <c r="AP689" s="27">
        <f t="shared" si="210"/>
        <v>14434712</v>
      </c>
      <c r="AQ689" s="27">
        <f t="shared" si="211"/>
        <v>14434712</v>
      </c>
      <c r="AR689" s="27">
        <f t="shared" si="212"/>
        <v>14434712</v>
      </c>
      <c r="AS689" s="27"/>
      <c r="AT689" s="27"/>
      <c r="AU689" s="27"/>
      <c r="AV689" s="27"/>
      <c r="AW689" s="27">
        <f t="shared" si="201"/>
        <v>57738848</v>
      </c>
      <c r="AX689" s="27">
        <f t="shared" si="195"/>
        <v>1674426577.7333333</v>
      </c>
      <c r="AY689" s="27">
        <f t="shared" si="198"/>
        <v>57738848</v>
      </c>
      <c r="AZ689" s="25">
        <f t="shared" si="203"/>
        <v>1</v>
      </c>
      <c r="BA689" s="62"/>
      <c r="BB689" s="66">
        <v>1</v>
      </c>
      <c r="BC689" s="19"/>
      <c r="BD689" s="19"/>
      <c r="BE689" s="67">
        <f t="shared" si="202"/>
        <v>14434712</v>
      </c>
      <c r="BF689" s="67">
        <f t="shared" si="215"/>
        <v>0</v>
      </c>
      <c r="BG689" s="67">
        <f t="shared" si="216"/>
        <v>0</v>
      </c>
      <c r="BH689" s="19"/>
      <c r="BI689" s="19" t="s">
        <v>1701</v>
      </c>
      <c r="BJ689" s="19" t="s">
        <v>644</v>
      </c>
      <c r="BK689" s="19" t="s">
        <v>644</v>
      </c>
      <c r="BO689" s="1"/>
    </row>
    <row r="690" spans="3:67" ht="15" customHeight="1">
      <c r="C690" s="169" t="s">
        <v>2079</v>
      </c>
      <c r="D690" s="1" t="str">
        <f t="shared" si="214"/>
        <v>2405</v>
      </c>
      <c r="E690" s="19" t="s">
        <v>2080</v>
      </c>
      <c r="F690" s="19" t="s">
        <v>1923</v>
      </c>
      <c r="G690" s="62">
        <v>2112</v>
      </c>
      <c r="H690" s="19" t="s">
        <v>2114</v>
      </c>
      <c r="I690" s="105" t="s">
        <v>2072</v>
      </c>
      <c r="J690" s="86">
        <v>1</v>
      </c>
      <c r="K690" s="19" t="s">
        <v>619</v>
      </c>
      <c r="L690" s="157" t="s">
        <v>2078</v>
      </c>
      <c r="M690" s="98" t="s">
        <v>2087</v>
      </c>
      <c r="N690" s="267">
        <v>45385</v>
      </c>
      <c r="O690" s="163">
        <v>67525.070000000007</v>
      </c>
      <c r="P690" s="19">
        <v>25076</v>
      </c>
      <c r="Q690" s="163">
        <f t="shared" si="204"/>
        <v>1693258655.3200002</v>
      </c>
      <c r="R690" s="144">
        <v>4208030</v>
      </c>
      <c r="S690" s="73">
        <v>47571178.079999991</v>
      </c>
      <c r="T690" s="163">
        <v>23042663.333333332</v>
      </c>
      <c r="U690" s="19" t="s">
        <v>2085</v>
      </c>
      <c r="V690" s="74">
        <v>1768080526.7333333</v>
      </c>
      <c r="W690" s="75"/>
      <c r="X690" s="64">
        <v>1768080526.7333333</v>
      </c>
      <c r="Y690" s="19"/>
      <c r="Z690" s="19"/>
      <c r="AA690" s="19"/>
      <c r="AB690" s="19"/>
      <c r="AC690" s="64">
        <v>1768080526.7333333</v>
      </c>
      <c r="AD690" s="63">
        <v>45413</v>
      </c>
      <c r="AE690" s="65">
        <v>49064</v>
      </c>
      <c r="AF690" s="19">
        <v>10</v>
      </c>
      <c r="AG690" s="19">
        <v>120</v>
      </c>
      <c r="AH690" s="25">
        <v>14734004</v>
      </c>
      <c r="AI690" s="70"/>
      <c r="AJ690" s="70"/>
      <c r="AK690" s="27"/>
      <c r="AL690" s="26">
        <f t="shared" si="207"/>
        <v>0</v>
      </c>
      <c r="AM690" s="27">
        <f t="shared" si="208"/>
        <v>0</v>
      </c>
      <c r="AN690" s="27">
        <f t="shared" si="209"/>
        <v>0</v>
      </c>
      <c r="AO690" s="27">
        <f t="shared" si="210"/>
        <v>14734004</v>
      </c>
      <c r="AP690" s="27">
        <f t="shared" si="210"/>
        <v>14734004</v>
      </c>
      <c r="AQ690" s="27">
        <f t="shared" si="211"/>
        <v>14734004</v>
      </c>
      <c r="AR690" s="27">
        <f t="shared" si="212"/>
        <v>14734004</v>
      </c>
      <c r="AS690" s="27"/>
      <c r="AT690" s="27"/>
      <c r="AU690" s="27"/>
      <c r="AV690" s="27"/>
      <c r="AW690" s="27">
        <f t="shared" si="201"/>
        <v>58936016</v>
      </c>
      <c r="AX690" s="27">
        <f t="shared" si="195"/>
        <v>1709144510.7333333</v>
      </c>
      <c r="AY690" s="27">
        <f t="shared" si="198"/>
        <v>58936016</v>
      </c>
      <c r="AZ690" s="25">
        <f t="shared" si="203"/>
        <v>1</v>
      </c>
      <c r="BA690" s="62"/>
      <c r="BB690" s="66">
        <v>1</v>
      </c>
      <c r="BC690" s="19"/>
      <c r="BD690" s="19"/>
      <c r="BE690" s="67">
        <f t="shared" si="202"/>
        <v>14734004</v>
      </c>
      <c r="BF690" s="67">
        <f t="shared" si="215"/>
        <v>0</v>
      </c>
      <c r="BG690" s="67">
        <f t="shared" si="216"/>
        <v>0</v>
      </c>
      <c r="BH690" s="19"/>
      <c r="BI690" s="19" t="s">
        <v>1701</v>
      </c>
      <c r="BJ690" s="19" t="s">
        <v>644</v>
      </c>
      <c r="BK690" s="19" t="s">
        <v>644</v>
      </c>
      <c r="BO690" s="1"/>
    </row>
    <row r="691" spans="3:67" ht="15" customHeight="1">
      <c r="C691" s="169" t="s">
        <v>2102</v>
      </c>
      <c r="D691" s="1" t="str">
        <f t="shared" si="214"/>
        <v>2405</v>
      </c>
      <c r="E691" s="19" t="s">
        <v>2080</v>
      </c>
      <c r="F691" s="19" t="s">
        <v>1923</v>
      </c>
      <c r="G691" s="62">
        <v>2112</v>
      </c>
      <c r="H691" s="19" t="s">
        <v>2115</v>
      </c>
      <c r="I691" s="105" t="s">
        <v>2073</v>
      </c>
      <c r="J691" s="86">
        <v>1</v>
      </c>
      <c r="K691" s="19" t="s">
        <v>1293</v>
      </c>
      <c r="L691" s="157" t="s">
        <v>2078</v>
      </c>
      <c r="M691" s="98" t="s">
        <v>2087</v>
      </c>
      <c r="N691" s="267">
        <v>45385</v>
      </c>
      <c r="O691" s="163">
        <v>11690.870000000003</v>
      </c>
      <c r="P691" s="19">
        <v>25076</v>
      </c>
      <c r="Q691" s="163">
        <f t="shared" si="204"/>
        <v>293160256.12000006</v>
      </c>
      <c r="R691" s="144">
        <v>4208030</v>
      </c>
      <c r="S691" s="73">
        <v>47571178.079999991</v>
      </c>
      <c r="T691" s="163">
        <v>23042663.333333332</v>
      </c>
      <c r="U691" s="19" t="s">
        <v>2085</v>
      </c>
      <c r="V691" s="74">
        <v>367982127.53333336</v>
      </c>
      <c r="W691" s="75"/>
      <c r="X691" s="64">
        <v>367982127.53333336</v>
      </c>
      <c r="Y691" s="19"/>
      <c r="Z691" s="19"/>
      <c r="AA691" s="19"/>
      <c r="AB691" s="19"/>
      <c r="AC691" s="64">
        <v>367982127.53333336</v>
      </c>
      <c r="AD691" s="63">
        <v>45413</v>
      </c>
      <c r="AE691" s="65">
        <v>47968</v>
      </c>
      <c r="AF691" s="19">
        <v>7</v>
      </c>
      <c r="AG691" s="19">
        <v>84</v>
      </c>
      <c r="AH691" s="25">
        <v>4380740</v>
      </c>
      <c r="AI691" s="70"/>
      <c r="AJ691" s="70"/>
      <c r="AK691" s="27"/>
      <c r="AL691" s="26">
        <f t="shared" si="207"/>
        <v>0</v>
      </c>
      <c r="AM691" s="27">
        <f t="shared" si="208"/>
        <v>0</v>
      </c>
      <c r="AN691" s="27">
        <f t="shared" si="209"/>
        <v>0</v>
      </c>
      <c r="AO691" s="27">
        <f t="shared" si="210"/>
        <v>4380740</v>
      </c>
      <c r="AP691" s="27">
        <f t="shared" si="210"/>
        <v>4380740</v>
      </c>
      <c r="AQ691" s="27">
        <f t="shared" si="211"/>
        <v>4380740</v>
      </c>
      <c r="AR691" s="27">
        <f t="shared" si="212"/>
        <v>4380740</v>
      </c>
      <c r="AS691" s="27"/>
      <c r="AT691" s="27"/>
      <c r="AU691" s="27"/>
      <c r="AV691" s="27"/>
      <c r="AW691" s="27">
        <f t="shared" si="201"/>
        <v>17522960</v>
      </c>
      <c r="AX691" s="27">
        <f t="shared" si="195"/>
        <v>350459167.53333336</v>
      </c>
      <c r="AY691" s="27">
        <f t="shared" si="198"/>
        <v>17522960</v>
      </c>
      <c r="AZ691" s="25">
        <f t="shared" si="203"/>
        <v>1</v>
      </c>
      <c r="BA691" s="62"/>
      <c r="BB691" s="66">
        <v>1</v>
      </c>
      <c r="BC691" s="19"/>
      <c r="BD691" s="19"/>
      <c r="BE691" s="67">
        <f t="shared" si="202"/>
        <v>4380740</v>
      </c>
      <c r="BF691" s="67">
        <f t="shared" si="215"/>
        <v>0</v>
      </c>
      <c r="BG691" s="67">
        <f t="shared" si="216"/>
        <v>0</v>
      </c>
      <c r="BH691" s="19"/>
      <c r="BI691" s="19" t="s">
        <v>1701</v>
      </c>
      <c r="BJ691" s="19" t="s">
        <v>644</v>
      </c>
      <c r="BK691" s="19" t="s">
        <v>644</v>
      </c>
      <c r="BO691" s="1"/>
    </row>
    <row r="692" spans="3:67" ht="15" customHeight="1">
      <c r="C692" s="169" t="s">
        <v>2102</v>
      </c>
      <c r="D692" s="1" t="str">
        <f t="shared" ref="D692:D750" si="217">+RIGHT(YEAR(AD692),2)&amp;IF(LEN(MONTH(AD692))=2,MONTH(AD692),"0"&amp;MONTH(AD692))</f>
        <v>2405</v>
      </c>
      <c r="E692" s="19" t="s">
        <v>2080</v>
      </c>
      <c r="F692" s="19" t="s">
        <v>1923</v>
      </c>
      <c r="G692" s="62">
        <v>2113</v>
      </c>
      <c r="H692" s="19" t="s">
        <v>2116</v>
      </c>
      <c r="I692" s="105" t="s">
        <v>2097</v>
      </c>
      <c r="J692" s="86">
        <v>1</v>
      </c>
      <c r="K692" s="19" t="s">
        <v>2098</v>
      </c>
      <c r="L692" s="157" t="s">
        <v>2099</v>
      </c>
      <c r="M692" s="98" t="s">
        <v>2100</v>
      </c>
      <c r="N692" s="101">
        <v>45381</v>
      </c>
      <c r="O692" s="163"/>
      <c r="P692" s="19"/>
      <c r="Q692" s="163">
        <v>373518519</v>
      </c>
      <c r="R692" s="19"/>
      <c r="S692" s="163"/>
      <c r="T692" s="163">
        <v>12455889</v>
      </c>
      <c r="U692" s="19"/>
      <c r="V692" s="74">
        <v>385974408</v>
      </c>
      <c r="W692" s="75"/>
      <c r="X692" s="64">
        <v>385974408</v>
      </c>
      <c r="Y692" s="19"/>
      <c r="Z692" s="19"/>
      <c r="AA692" s="19"/>
      <c r="AB692" s="19"/>
      <c r="AC692" s="64">
        <v>385974408</v>
      </c>
      <c r="AD692" s="63">
        <v>45413</v>
      </c>
      <c r="AE692" s="65">
        <v>47968</v>
      </c>
      <c r="AF692" s="19">
        <v>7</v>
      </c>
      <c r="AG692" s="19">
        <v>84</v>
      </c>
      <c r="AH692" s="25">
        <v>4594933</v>
      </c>
      <c r="AI692" s="70"/>
      <c r="AJ692" s="70"/>
      <c r="AK692" s="27"/>
      <c r="AL692" s="26">
        <f t="shared" si="207"/>
        <v>0</v>
      </c>
      <c r="AM692" s="27">
        <f t="shared" si="208"/>
        <v>0</v>
      </c>
      <c r="AN692" s="27">
        <f t="shared" si="209"/>
        <v>0</v>
      </c>
      <c r="AO692" s="27">
        <f t="shared" si="210"/>
        <v>4594933</v>
      </c>
      <c r="AP692" s="27">
        <f t="shared" si="210"/>
        <v>4594933</v>
      </c>
      <c r="AQ692" s="27">
        <f t="shared" si="211"/>
        <v>4594933</v>
      </c>
      <c r="AR692" s="27">
        <f t="shared" si="212"/>
        <v>4594933</v>
      </c>
      <c r="AS692" s="27"/>
      <c r="AT692" s="27"/>
      <c r="AU692" s="27"/>
      <c r="AV692" s="27"/>
      <c r="AW692" s="27">
        <f t="shared" si="201"/>
        <v>18379732</v>
      </c>
      <c r="AX692" s="27">
        <f t="shared" si="195"/>
        <v>367594676</v>
      </c>
      <c r="AY692" s="27">
        <f t="shared" si="198"/>
        <v>18379732</v>
      </c>
      <c r="AZ692" s="25">
        <f t="shared" si="203"/>
        <v>1</v>
      </c>
      <c r="BA692" s="62"/>
      <c r="BB692" s="66">
        <v>1</v>
      </c>
      <c r="BC692" s="19"/>
      <c r="BD692" s="19"/>
      <c r="BE692" s="67">
        <f t="shared" si="202"/>
        <v>4594933</v>
      </c>
      <c r="BF692" s="67">
        <f t="shared" si="215"/>
        <v>0</v>
      </c>
      <c r="BG692" s="67">
        <f t="shared" si="216"/>
        <v>0</v>
      </c>
      <c r="BH692" s="19"/>
      <c r="BI692" s="19" t="s">
        <v>1923</v>
      </c>
      <c r="BJ692" s="19" t="s">
        <v>58</v>
      </c>
      <c r="BK692" s="19" t="s">
        <v>59</v>
      </c>
      <c r="BO692" s="1"/>
    </row>
    <row r="693" spans="3:67" ht="15" customHeight="1">
      <c r="C693" s="1" t="str">
        <f t="shared" ref="C693:C750" si="218">+RIGHT(YEAR(AE693),2)&amp;IF(LEN(MONTH(AE693))=2,MONTH(AE693),"0"&amp;MONTH(AE693))</f>
        <v>4404</v>
      </c>
      <c r="D693" s="1" t="str">
        <f t="shared" si="217"/>
        <v>2405</v>
      </c>
      <c r="E693" s="19" t="s">
        <v>2080</v>
      </c>
      <c r="F693" s="19" t="s">
        <v>1896</v>
      </c>
      <c r="G693" s="62">
        <v>2111</v>
      </c>
      <c r="H693" s="19" t="s">
        <v>2132</v>
      </c>
      <c r="I693" s="268" t="s">
        <v>2129</v>
      </c>
      <c r="J693" s="86">
        <v>1</v>
      </c>
      <c r="K693" s="19" t="s">
        <v>2134</v>
      </c>
      <c r="L693" s="157" t="s">
        <v>1783</v>
      </c>
      <c r="M693" s="98" t="s">
        <v>2135</v>
      </c>
      <c r="N693" s="101">
        <v>45408</v>
      </c>
      <c r="O693" s="163"/>
      <c r="P693" s="70"/>
      <c r="Q693" s="163">
        <v>1320000000</v>
      </c>
      <c r="R693" s="178"/>
      <c r="S693" s="19"/>
      <c r="T693" s="163"/>
      <c r="U693" s="19"/>
      <c r="V693" s="74">
        <v>1320000000</v>
      </c>
      <c r="W693" s="75"/>
      <c r="X693" s="64">
        <v>1320000000</v>
      </c>
      <c r="Y693" s="19"/>
      <c r="Z693" s="19"/>
      <c r="AA693" s="19"/>
      <c r="AB693" s="19"/>
      <c r="AC693" s="64">
        <v>1320000000</v>
      </c>
      <c r="AD693" s="63">
        <v>45413</v>
      </c>
      <c r="AE693" s="65">
        <v>52717</v>
      </c>
      <c r="AF693" s="19">
        <v>20</v>
      </c>
      <c r="AG693" s="19">
        <v>240</v>
      </c>
      <c r="AH693" s="25">
        <v>5500000</v>
      </c>
      <c r="AI693" s="70"/>
      <c r="AJ693" s="70"/>
      <c r="AK693" s="27"/>
      <c r="AL693" s="26"/>
      <c r="AM693" s="27"/>
      <c r="AN693" s="27"/>
      <c r="AO693" s="27">
        <f t="shared" si="210"/>
        <v>5500000</v>
      </c>
      <c r="AP693" s="27">
        <f t="shared" si="210"/>
        <v>5500000</v>
      </c>
      <c r="AQ693" s="27">
        <f t="shared" si="211"/>
        <v>5500000</v>
      </c>
      <c r="AR693" s="27">
        <f t="shared" si="212"/>
        <v>5500000</v>
      </c>
      <c r="AS693" s="27"/>
      <c r="AT693" s="27"/>
      <c r="AU693" s="27"/>
      <c r="AV693" s="27"/>
      <c r="AW693" s="27">
        <f t="shared" si="201"/>
        <v>22000000</v>
      </c>
      <c r="AX693" s="27">
        <f t="shared" si="195"/>
        <v>1298000000</v>
      </c>
      <c r="AY693" s="27">
        <f t="shared" si="198"/>
        <v>22000000</v>
      </c>
      <c r="AZ693" s="25">
        <f t="shared" si="203"/>
        <v>1</v>
      </c>
      <c r="BA693" s="62" t="s">
        <v>56</v>
      </c>
      <c r="BB693" s="66">
        <v>1</v>
      </c>
      <c r="BC693" s="19"/>
      <c r="BD693" s="19"/>
      <c r="BE693" s="67">
        <f t="shared" si="202"/>
        <v>5500000</v>
      </c>
      <c r="BF693" s="67">
        <f t="shared" si="215"/>
        <v>0</v>
      </c>
      <c r="BG693" s="67">
        <f t="shared" si="216"/>
        <v>0</v>
      </c>
      <c r="BH693" s="19"/>
      <c r="BI693" s="19" t="s">
        <v>1896</v>
      </c>
      <c r="BJ693" s="19" t="s">
        <v>1929</v>
      </c>
      <c r="BK693" s="19" t="s">
        <v>2137</v>
      </c>
      <c r="BO693" s="1"/>
    </row>
    <row r="694" spans="3:67" ht="15" customHeight="1">
      <c r="C694" s="1" t="str">
        <f t="shared" si="218"/>
        <v>4404</v>
      </c>
      <c r="D694" s="1" t="str">
        <f t="shared" si="217"/>
        <v>2405</v>
      </c>
      <c r="E694" s="19" t="s">
        <v>2080</v>
      </c>
      <c r="F694" s="19" t="s">
        <v>1896</v>
      </c>
      <c r="G694" s="62">
        <v>2111</v>
      </c>
      <c r="H694" s="19" t="s">
        <v>2133</v>
      </c>
      <c r="I694" s="105" t="s">
        <v>2118</v>
      </c>
      <c r="J694" s="86">
        <v>1</v>
      </c>
      <c r="K694" s="19" t="s">
        <v>2134</v>
      </c>
      <c r="L694" s="157" t="s">
        <v>1783</v>
      </c>
      <c r="M694" s="98" t="s">
        <v>2136</v>
      </c>
      <c r="N694" s="101">
        <v>45414</v>
      </c>
      <c r="O694" s="269"/>
      <c r="P694" s="19"/>
      <c r="Q694" s="163">
        <v>1733000000</v>
      </c>
      <c r="R694" s="178"/>
      <c r="S694" s="19"/>
      <c r="T694" s="163"/>
      <c r="U694" s="19"/>
      <c r="V694" s="74">
        <v>1733000000</v>
      </c>
      <c r="W694" s="75"/>
      <c r="X694" s="64">
        <v>1733000000</v>
      </c>
      <c r="Y694" s="19"/>
      <c r="Z694" s="19"/>
      <c r="AA694" s="19"/>
      <c r="AB694" s="19"/>
      <c r="AC694" s="64">
        <v>1733000000</v>
      </c>
      <c r="AD694" s="63">
        <v>45413</v>
      </c>
      <c r="AE694" s="65">
        <v>52717</v>
      </c>
      <c r="AF694" s="19">
        <v>20</v>
      </c>
      <c r="AG694" s="19">
        <v>240</v>
      </c>
      <c r="AH694" s="25">
        <v>7220833</v>
      </c>
      <c r="AI694" s="70"/>
      <c r="AJ694" s="70"/>
      <c r="AK694" s="27"/>
      <c r="AL694" s="26"/>
      <c r="AM694" s="27"/>
      <c r="AN694" s="27"/>
      <c r="AO694" s="27">
        <f t="shared" si="210"/>
        <v>7220833</v>
      </c>
      <c r="AP694" s="27">
        <f t="shared" si="210"/>
        <v>7220833</v>
      </c>
      <c r="AQ694" s="27">
        <f t="shared" si="211"/>
        <v>7220833</v>
      </c>
      <c r="AR694" s="27">
        <f t="shared" si="212"/>
        <v>7220833</v>
      </c>
      <c r="AS694" s="27"/>
      <c r="AT694" s="27"/>
      <c r="AU694" s="27"/>
      <c r="AV694" s="27"/>
      <c r="AW694" s="27">
        <f t="shared" si="201"/>
        <v>28883332</v>
      </c>
      <c r="AX694" s="27">
        <f t="shared" si="195"/>
        <v>1704116668</v>
      </c>
      <c r="AY694" s="27">
        <f t="shared" si="198"/>
        <v>28883332</v>
      </c>
      <c r="AZ694" s="25">
        <f t="shared" si="203"/>
        <v>1</v>
      </c>
      <c r="BA694" s="62" t="s">
        <v>56</v>
      </c>
      <c r="BB694" s="66">
        <v>1</v>
      </c>
      <c r="BC694" s="19"/>
      <c r="BD694" s="19"/>
      <c r="BE694" s="67">
        <f t="shared" si="202"/>
        <v>7220833</v>
      </c>
      <c r="BF694" s="67">
        <f t="shared" si="215"/>
        <v>0</v>
      </c>
      <c r="BG694" s="67">
        <f t="shared" si="216"/>
        <v>0</v>
      </c>
      <c r="BH694" s="19"/>
      <c r="BI694" s="19" t="s">
        <v>1896</v>
      </c>
      <c r="BJ694" s="19" t="s">
        <v>1929</v>
      </c>
      <c r="BK694" s="19" t="s">
        <v>2137</v>
      </c>
      <c r="BO694" s="1"/>
    </row>
    <row r="695" spans="3:67" ht="15" customHeight="1">
      <c r="C695" s="1" t="str">
        <f t="shared" si="218"/>
        <v>3405</v>
      </c>
      <c r="D695" s="1" t="str">
        <f t="shared" si="217"/>
        <v>2406</v>
      </c>
      <c r="E695" s="19" t="s">
        <v>2169</v>
      </c>
      <c r="F695" s="19" t="s">
        <v>1896</v>
      </c>
      <c r="G695" s="62">
        <v>2112</v>
      </c>
      <c r="H695" s="19" t="s">
        <v>2164</v>
      </c>
      <c r="I695" s="105" t="s">
        <v>2165</v>
      </c>
      <c r="J695" s="86">
        <v>1</v>
      </c>
      <c r="K695" s="19" t="s">
        <v>619</v>
      </c>
      <c r="L695" s="175" t="s">
        <v>77</v>
      </c>
      <c r="M695" s="98" t="s">
        <v>2170</v>
      </c>
      <c r="N695" s="101">
        <v>45407</v>
      </c>
      <c r="O695" s="163">
        <v>181956.64</v>
      </c>
      <c r="P695" s="178">
        <v>25477</v>
      </c>
      <c r="Q695" s="163">
        <f>P695*O695</f>
        <v>4635709317.2800007</v>
      </c>
      <c r="R695" s="19"/>
      <c r="S695" s="19"/>
      <c r="T695" s="163">
        <v>18767681</v>
      </c>
      <c r="U695" s="19" t="s">
        <v>2176</v>
      </c>
      <c r="V695" s="74">
        <v>4654476998.2800007</v>
      </c>
      <c r="W695" s="75"/>
      <c r="X695" s="64">
        <v>4654476998.2800007</v>
      </c>
      <c r="Y695" s="19"/>
      <c r="Z695" s="19"/>
      <c r="AA695" s="19"/>
      <c r="AB695" s="19"/>
      <c r="AC695" s="64">
        <v>4654476998.2800007</v>
      </c>
      <c r="AD695" s="63">
        <v>45444</v>
      </c>
      <c r="AE695" s="65">
        <v>49095</v>
      </c>
      <c r="AF695" s="19">
        <v>10</v>
      </c>
      <c r="AG695" s="19">
        <v>120</v>
      </c>
      <c r="AH695" s="25">
        <v>38787308</v>
      </c>
      <c r="AI695" s="70"/>
      <c r="AJ695" s="70"/>
      <c r="AK695" s="27"/>
      <c r="AL695" s="26"/>
      <c r="AM695" s="27"/>
      <c r="AN695" s="27"/>
      <c r="AO695" s="27">
        <f t="shared" si="210"/>
        <v>0</v>
      </c>
      <c r="AP695" s="27">
        <f t="shared" si="210"/>
        <v>38787308</v>
      </c>
      <c r="AQ695" s="27">
        <f t="shared" si="211"/>
        <v>38787308</v>
      </c>
      <c r="AR695" s="27">
        <f t="shared" si="212"/>
        <v>38787308</v>
      </c>
      <c r="AS695" s="27"/>
      <c r="AT695" s="27"/>
      <c r="AU695" s="27"/>
      <c r="AV695" s="27"/>
      <c r="AW695" s="27">
        <f t="shared" si="201"/>
        <v>116361924</v>
      </c>
      <c r="AX695" s="27">
        <f t="shared" si="195"/>
        <v>4538115074.2800007</v>
      </c>
      <c r="AY695" s="27">
        <f t="shared" si="198"/>
        <v>116361924</v>
      </c>
      <c r="AZ695" s="25">
        <f t="shared" si="203"/>
        <v>1</v>
      </c>
      <c r="BA695" s="62"/>
      <c r="BB695" s="66">
        <v>1</v>
      </c>
      <c r="BC695" s="19"/>
      <c r="BD695" s="19"/>
      <c r="BE695" s="67">
        <f t="shared" si="202"/>
        <v>38787308</v>
      </c>
      <c r="BF695" s="67">
        <f>+$AP695*BC695</f>
        <v>0</v>
      </c>
      <c r="BG695" s="67">
        <f t="shared" si="216"/>
        <v>0</v>
      </c>
      <c r="BH695" s="19"/>
      <c r="BI695" s="19" t="s">
        <v>1896</v>
      </c>
      <c r="BJ695" s="19" t="s">
        <v>1929</v>
      </c>
      <c r="BK695" s="19" t="s">
        <v>1989</v>
      </c>
      <c r="BO695" s="1"/>
    </row>
    <row r="696" spans="3:67" ht="15" customHeight="1">
      <c r="C696" s="1" t="str">
        <f t="shared" si="218"/>
        <v>3205</v>
      </c>
      <c r="D696" s="1" t="str">
        <f t="shared" si="217"/>
        <v>2406</v>
      </c>
      <c r="E696" s="19" t="s">
        <v>2169</v>
      </c>
      <c r="F696" s="19" t="s">
        <v>1923</v>
      </c>
      <c r="G696" s="62">
        <v>2112</v>
      </c>
      <c r="H696" s="19" t="s">
        <v>2167</v>
      </c>
      <c r="I696" s="105" t="s">
        <v>2166</v>
      </c>
      <c r="J696" s="86">
        <v>1</v>
      </c>
      <c r="K696" s="19" t="s">
        <v>619</v>
      </c>
      <c r="L696" s="175" t="s">
        <v>858</v>
      </c>
      <c r="M696" s="98" t="s">
        <v>2171</v>
      </c>
      <c r="N696" s="101">
        <v>45407</v>
      </c>
      <c r="O696" s="163">
        <v>25000</v>
      </c>
      <c r="P696" s="178">
        <v>25307</v>
      </c>
      <c r="Q696" s="163">
        <f t="shared" ref="Q696:Q697" si="219">P696*O696</f>
        <v>632675000</v>
      </c>
      <c r="R696" s="19"/>
      <c r="S696" s="117"/>
      <c r="T696" s="163">
        <v>10033576.5</v>
      </c>
      <c r="U696" s="19" t="s">
        <v>2177</v>
      </c>
      <c r="V696" s="74">
        <v>642708576.5</v>
      </c>
      <c r="W696" s="75"/>
      <c r="X696" s="64">
        <v>642708576.5</v>
      </c>
      <c r="Y696" s="19"/>
      <c r="Z696" s="19"/>
      <c r="AA696" s="19"/>
      <c r="AB696" s="19"/>
      <c r="AC696" s="64">
        <v>642708576.5</v>
      </c>
      <c r="AD696" s="63">
        <v>45444</v>
      </c>
      <c r="AE696" s="65">
        <v>48365</v>
      </c>
      <c r="AF696" s="19">
        <v>8</v>
      </c>
      <c r="AG696" s="19">
        <v>96</v>
      </c>
      <c r="AH696" s="25">
        <v>6694881</v>
      </c>
      <c r="AI696" s="70"/>
      <c r="AJ696" s="70"/>
      <c r="AK696" s="27"/>
      <c r="AL696" s="26"/>
      <c r="AM696" s="27"/>
      <c r="AN696" s="27"/>
      <c r="AO696" s="27">
        <f t="shared" si="210"/>
        <v>0</v>
      </c>
      <c r="AP696" s="27">
        <f t="shared" si="210"/>
        <v>6694881</v>
      </c>
      <c r="AQ696" s="27">
        <f t="shared" si="211"/>
        <v>6694881</v>
      </c>
      <c r="AR696" s="27">
        <f t="shared" si="212"/>
        <v>6694881</v>
      </c>
      <c r="AS696" s="27"/>
      <c r="AT696" s="27"/>
      <c r="AU696" s="27"/>
      <c r="AV696" s="27"/>
      <c r="AW696" s="27">
        <f t="shared" si="201"/>
        <v>20084643</v>
      </c>
      <c r="AX696" s="27">
        <f t="shared" ref="AX696:AX752" si="220">AC696-AI696-AW696</f>
        <v>622623933.5</v>
      </c>
      <c r="AY696" s="27">
        <f t="shared" si="198"/>
        <v>20084643</v>
      </c>
      <c r="AZ696" s="25">
        <f t="shared" si="203"/>
        <v>1</v>
      </c>
      <c r="BA696" s="62"/>
      <c r="BB696" s="66">
        <v>1</v>
      </c>
      <c r="BC696" s="19"/>
      <c r="BD696" s="19"/>
      <c r="BE696" s="67">
        <f t="shared" si="202"/>
        <v>6694881</v>
      </c>
      <c r="BF696" s="67">
        <f t="shared" ref="BF696:BF698" si="221">+$AP696*BC696</f>
        <v>0</v>
      </c>
      <c r="BG696" s="67">
        <f t="shared" si="216"/>
        <v>0</v>
      </c>
      <c r="BH696" s="19"/>
      <c r="BI696" s="19" t="s">
        <v>1923</v>
      </c>
      <c r="BJ696" s="19" t="s">
        <v>58</v>
      </c>
      <c r="BK696" s="19" t="s">
        <v>59</v>
      </c>
      <c r="BO696" s="1"/>
    </row>
    <row r="697" spans="3:67" ht="15" customHeight="1">
      <c r="C697" s="1" t="str">
        <f t="shared" si="218"/>
        <v>3205</v>
      </c>
      <c r="D697" s="1" t="str">
        <f t="shared" si="217"/>
        <v>2406</v>
      </c>
      <c r="E697" s="19" t="s">
        <v>2169</v>
      </c>
      <c r="F697" s="19" t="s">
        <v>1923</v>
      </c>
      <c r="G697" s="62">
        <v>2112</v>
      </c>
      <c r="H697" s="19" t="s">
        <v>2168</v>
      </c>
      <c r="I697" s="105" t="s">
        <v>2166</v>
      </c>
      <c r="J697" s="86">
        <v>1</v>
      </c>
      <c r="K697" s="19" t="s">
        <v>619</v>
      </c>
      <c r="L697" s="175" t="s">
        <v>858</v>
      </c>
      <c r="M697" s="98" t="s">
        <v>2171</v>
      </c>
      <c r="N697" s="101">
        <v>45407</v>
      </c>
      <c r="O697" s="163">
        <v>25000</v>
      </c>
      <c r="P697" s="178">
        <v>25307</v>
      </c>
      <c r="Q697" s="163">
        <f t="shared" si="219"/>
        <v>632675000</v>
      </c>
      <c r="R697" s="19"/>
      <c r="S697" s="70"/>
      <c r="T697" s="163">
        <v>10033576.5</v>
      </c>
      <c r="U697" s="19" t="s">
        <v>2177</v>
      </c>
      <c r="V697" s="74">
        <v>642708576.5</v>
      </c>
      <c r="W697" s="74">
        <v>10033576.5</v>
      </c>
      <c r="X697" s="64">
        <v>642708576.5</v>
      </c>
      <c r="Y697" s="19"/>
      <c r="Z697" s="19"/>
      <c r="AA697" s="19"/>
      <c r="AB697" s="19"/>
      <c r="AC697" s="64">
        <v>642708576.5</v>
      </c>
      <c r="AD697" s="63">
        <v>45444</v>
      </c>
      <c r="AE697" s="65">
        <v>48365</v>
      </c>
      <c r="AF697" s="19">
        <v>8</v>
      </c>
      <c r="AG697" s="19">
        <v>96</v>
      </c>
      <c r="AH697" s="25">
        <v>6694881</v>
      </c>
      <c r="AI697" s="70"/>
      <c r="AJ697" s="70"/>
      <c r="AK697" s="27"/>
      <c r="AL697" s="26"/>
      <c r="AM697" s="27"/>
      <c r="AN697" s="27"/>
      <c r="AO697" s="27">
        <f t="shared" si="210"/>
        <v>0</v>
      </c>
      <c r="AP697" s="27">
        <f t="shared" si="210"/>
        <v>6694881</v>
      </c>
      <c r="AQ697" s="27">
        <f t="shared" si="211"/>
        <v>6694881</v>
      </c>
      <c r="AR697" s="27">
        <f t="shared" si="212"/>
        <v>6694881</v>
      </c>
      <c r="AS697" s="27"/>
      <c r="AT697" s="27"/>
      <c r="AU697" s="27"/>
      <c r="AV697" s="27"/>
      <c r="AW697" s="27">
        <f t="shared" si="201"/>
        <v>20084643</v>
      </c>
      <c r="AX697" s="27">
        <f t="shared" si="220"/>
        <v>622623933.5</v>
      </c>
      <c r="AY697" s="27">
        <f t="shared" si="198"/>
        <v>20084643</v>
      </c>
      <c r="AZ697" s="25">
        <f t="shared" si="203"/>
        <v>1</v>
      </c>
      <c r="BA697" s="62"/>
      <c r="BB697" s="66">
        <v>1</v>
      </c>
      <c r="BC697" s="19"/>
      <c r="BD697" s="19"/>
      <c r="BE697" s="67">
        <f t="shared" si="202"/>
        <v>6694881</v>
      </c>
      <c r="BF697" s="67">
        <f t="shared" si="221"/>
        <v>0</v>
      </c>
      <c r="BG697" s="67">
        <f t="shared" si="216"/>
        <v>0</v>
      </c>
      <c r="BH697" s="19"/>
      <c r="BI697" s="19" t="s">
        <v>1923</v>
      </c>
      <c r="BJ697" s="19" t="s">
        <v>58</v>
      </c>
      <c r="BK697" s="19" t="s">
        <v>59</v>
      </c>
      <c r="BO697" s="1"/>
    </row>
    <row r="698" spans="3:67" ht="15" customHeight="1">
      <c r="C698" s="1" t="str">
        <f t="shared" si="218"/>
        <v>3205</v>
      </c>
      <c r="D698" s="1" t="str">
        <f t="shared" si="217"/>
        <v>2406</v>
      </c>
      <c r="E698" s="19" t="s">
        <v>2169</v>
      </c>
      <c r="F698" s="19" t="s">
        <v>1923</v>
      </c>
      <c r="G698" s="68">
        <v>2113</v>
      </c>
      <c r="H698" s="19" t="s">
        <v>2173</v>
      </c>
      <c r="I698" s="105" t="s">
        <v>2172</v>
      </c>
      <c r="J698" s="86">
        <v>1</v>
      </c>
      <c r="K698" s="19" t="s">
        <v>2174</v>
      </c>
      <c r="L698" s="157" t="s">
        <v>2099</v>
      </c>
      <c r="M698" s="98" t="s">
        <v>2175</v>
      </c>
      <c r="N698" s="101">
        <v>45427</v>
      </c>
      <c r="O698" s="19"/>
      <c r="P698" s="178"/>
      <c r="Q698" s="163">
        <v>1190000000</v>
      </c>
      <c r="R698" s="19"/>
      <c r="S698" s="163"/>
      <c r="T698" s="163">
        <v>144532889</v>
      </c>
      <c r="U698" s="19"/>
      <c r="V698" s="74">
        <v>1334532889</v>
      </c>
      <c r="W698" s="75"/>
      <c r="X698" s="64">
        <v>1334532889</v>
      </c>
      <c r="Y698" s="19"/>
      <c r="Z698" s="19"/>
      <c r="AA698" s="19"/>
      <c r="AB698" s="19"/>
      <c r="AC698" s="64">
        <v>1334532889</v>
      </c>
      <c r="AD698" s="63">
        <v>45444</v>
      </c>
      <c r="AE698" s="65">
        <v>48365</v>
      </c>
      <c r="AF698" s="19">
        <v>8</v>
      </c>
      <c r="AG698" s="19">
        <v>96</v>
      </c>
      <c r="AH698" s="25">
        <v>13901384</v>
      </c>
      <c r="AI698" s="70"/>
      <c r="AJ698" s="70"/>
      <c r="AK698" s="27"/>
      <c r="AL698" s="26"/>
      <c r="AM698" s="27"/>
      <c r="AN698" s="27"/>
      <c r="AO698" s="27">
        <f t="shared" si="210"/>
        <v>0</v>
      </c>
      <c r="AP698" s="27">
        <f t="shared" si="210"/>
        <v>13901384</v>
      </c>
      <c r="AQ698" s="27">
        <f t="shared" si="211"/>
        <v>13901384</v>
      </c>
      <c r="AR698" s="27">
        <f t="shared" si="212"/>
        <v>13901384</v>
      </c>
      <c r="AS698" s="27"/>
      <c r="AT698" s="27"/>
      <c r="AU698" s="27"/>
      <c r="AV698" s="27"/>
      <c r="AW698" s="27">
        <f t="shared" si="201"/>
        <v>41704152</v>
      </c>
      <c r="AX698" s="27">
        <f t="shared" si="220"/>
        <v>1292828737</v>
      </c>
      <c r="AY698" s="27">
        <f t="shared" ref="AY698:AY752" si="222">AW698+AI698</f>
        <v>41704152</v>
      </c>
      <c r="AZ698" s="25">
        <f t="shared" si="203"/>
        <v>1</v>
      </c>
      <c r="BA698" s="62"/>
      <c r="BB698" s="66"/>
      <c r="BC698" s="19">
        <v>1</v>
      </c>
      <c r="BD698" s="19"/>
      <c r="BE698" s="67">
        <f t="shared" si="202"/>
        <v>0</v>
      </c>
      <c r="BF698" s="67">
        <f t="shared" si="221"/>
        <v>13901384</v>
      </c>
      <c r="BG698" s="67">
        <f t="shared" si="216"/>
        <v>0</v>
      </c>
      <c r="BH698" s="19"/>
      <c r="BI698" s="19" t="s">
        <v>1923</v>
      </c>
      <c r="BJ698" s="19" t="s">
        <v>58</v>
      </c>
      <c r="BK698" s="19" t="s">
        <v>59</v>
      </c>
      <c r="BO698" s="1"/>
    </row>
    <row r="699" spans="3:67" ht="15" customHeight="1">
      <c r="C699" s="1" t="str">
        <f t="shared" si="218"/>
        <v>3206</v>
      </c>
      <c r="D699" s="1" t="str">
        <f t="shared" si="217"/>
        <v>2407</v>
      </c>
      <c r="E699" s="19" t="s">
        <v>2189</v>
      </c>
      <c r="F699" s="19" t="s">
        <v>1896</v>
      </c>
      <c r="G699" s="62">
        <v>2112</v>
      </c>
      <c r="H699" s="19" t="s">
        <v>2196</v>
      </c>
      <c r="I699" s="105" t="s">
        <v>2193</v>
      </c>
      <c r="J699" s="86">
        <v>1</v>
      </c>
      <c r="K699" s="19" t="s">
        <v>619</v>
      </c>
      <c r="L699" s="157" t="s">
        <v>2192</v>
      </c>
      <c r="M699" s="270">
        <v>106321650041</v>
      </c>
      <c r="N699" s="101">
        <v>45446</v>
      </c>
      <c r="O699" s="19">
        <v>38455.769999999997</v>
      </c>
      <c r="P699" s="19">
        <v>25477</v>
      </c>
      <c r="Q699" s="163">
        <f t="shared" si="204"/>
        <v>979737652.28999996</v>
      </c>
      <c r="R699" s="19"/>
      <c r="S699" s="178"/>
      <c r="T699" s="163">
        <v>26291646</v>
      </c>
      <c r="U699" s="19"/>
      <c r="V699" s="74">
        <v>1006029298.29</v>
      </c>
      <c r="W699" s="75"/>
      <c r="X699" s="64">
        <v>1006029298.29</v>
      </c>
      <c r="Y699" s="19"/>
      <c r="Z699" s="19"/>
      <c r="AA699" s="19"/>
      <c r="AB699" s="19"/>
      <c r="AC699" s="64">
        <v>1006029298.29</v>
      </c>
      <c r="AD699" s="63">
        <v>45474</v>
      </c>
      <c r="AE699" s="65">
        <v>48395</v>
      </c>
      <c r="AF699" s="19">
        <v>8</v>
      </c>
      <c r="AG699" s="19">
        <v>96</v>
      </c>
      <c r="AH699" s="25">
        <v>10479472</v>
      </c>
      <c r="AI699" s="70"/>
      <c r="AJ699" s="70"/>
      <c r="AK699" s="27"/>
      <c r="AL699" s="26"/>
      <c r="AM699" s="27"/>
      <c r="AN699" s="27"/>
      <c r="AO699" s="27">
        <f t="shared" si="210"/>
        <v>0</v>
      </c>
      <c r="AP699" s="27">
        <f t="shared" si="210"/>
        <v>0</v>
      </c>
      <c r="AQ699" s="27">
        <f t="shared" si="211"/>
        <v>10479472</v>
      </c>
      <c r="AR699" s="27">
        <f t="shared" si="212"/>
        <v>10479472</v>
      </c>
      <c r="AS699" s="27"/>
      <c r="AT699" s="27"/>
      <c r="AU699" s="27"/>
      <c r="AV699" s="27"/>
      <c r="AW699" s="27">
        <f t="shared" si="201"/>
        <v>20958944</v>
      </c>
      <c r="AX699" s="27">
        <f t="shared" si="220"/>
        <v>985070354.28999996</v>
      </c>
      <c r="AY699" s="27">
        <f t="shared" si="222"/>
        <v>20958944</v>
      </c>
      <c r="AZ699" s="25">
        <f t="shared" si="203"/>
        <v>1</v>
      </c>
      <c r="BA699" s="62"/>
      <c r="BB699" s="66">
        <v>1</v>
      </c>
      <c r="BC699" s="19"/>
      <c r="BD699" s="19"/>
      <c r="BE699" s="67">
        <f>+$AQ699*BB699</f>
        <v>10479472</v>
      </c>
      <c r="BF699" s="67">
        <f>+$AQ699*BC699</f>
        <v>0</v>
      </c>
      <c r="BG699" s="67">
        <f>+$AP699*BD699</f>
        <v>0</v>
      </c>
      <c r="BH699" s="19"/>
      <c r="BI699" s="19" t="s">
        <v>1896</v>
      </c>
      <c r="BJ699" s="19" t="s">
        <v>1929</v>
      </c>
      <c r="BK699" s="19" t="s">
        <v>1989</v>
      </c>
      <c r="BO699" s="1"/>
    </row>
    <row r="700" spans="3:67" ht="15" customHeight="1">
      <c r="C700" s="1" t="str">
        <f t="shared" si="218"/>
        <v>3206</v>
      </c>
      <c r="D700" s="1" t="str">
        <f t="shared" si="217"/>
        <v>2407</v>
      </c>
      <c r="E700" s="19" t="s">
        <v>2189</v>
      </c>
      <c r="F700" s="19" t="s">
        <v>1896</v>
      </c>
      <c r="G700" s="62">
        <v>2112</v>
      </c>
      <c r="H700" s="19" t="s">
        <v>2197</v>
      </c>
      <c r="I700" s="105" t="s">
        <v>2191</v>
      </c>
      <c r="J700" s="86">
        <v>1</v>
      </c>
      <c r="K700" s="19" t="s">
        <v>619</v>
      </c>
      <c r="L700" s="157" t="s">
        <v>2190</v>
      </c>
      <c r="M700" s="98" t="s">
        <v>2195</v>
      </c>
      <c r="N700" s="101">
        <v>45447</v>
      </c>
      <c r="O700" s="19">
        <v>36300</v>
      </c>
      <c r="P700" s="19">
        <v>25146</v>
      </c>
      <c r="Q700" s="163">
        <f t="shared" si="204"/>
        <v>912799800</v>
      </c>
      <c r="R700" s="19"/>
      <c r="S700" s="178"/>
      <c r="T700" s="163">
        <v>15222873</v>
      </c>
      <c r="U700" s="19"/>
      <c r="V700" s="74">
        <v>928022673</v>
      </c>
      <c r="W700" s="75"/>
      <c r="X700" s="64">
        <v>928022673</v>
      </c>
      <c r="Y700" s="19"/>
      <c r="Z700" s="19"/>
      <c r="AA700" s="19"/>
      <c r="AB700" s="19"/>
      <c r="AC700" s="64">
        <v>928022673</v>
      </c>
      <c r="AD700" s="63">
        <v>45474</v>
      </c>
      <c r="AE700" s="65">
        <v>48395</v>
      </c>
      <c r="AF700" s="19">
        <v>8</v>
      </c>
      <c r="AG700" s="19">
        <v>96</v>
      </c>
      <c r="AH700" s="25">
        <v>9666903</v>
      </c>
      <c r="AI700" s="92"/>
      <c r="AJ700" s="92"/>
      <c r="AK700" s="27"/>
      <c r="AL700" s="26"/>
      <c r="AM700" s="27"/>
      <c r="AN700" s="27"/>
      <c r="AO700" s="27">
        <f t="shared" si="210"/>
        <v>0</v>
      </c>
      <c r="AP700" s="27">
        <f t="shared" si="210"/>
        <v>0</v>
      </c>
      <c r="AQ700" s="27">
        <f t="shared" si="211"/>
        <v>9666903</v>
      </c>
      <c r="AR700" s="27">
        <f t="shared" si="212"/>
        <v>9666903</v>
      </c>
      <c r="AS700" s="27"/>
      <c r="AT700" s="27"/>
      <c r="AU700" s="27"/>
      <c r="AV700" s="27"/>
      <c r="AW700" s="27">
        <f t="shared" si="201"/>
        <v>19333806</v>
      </c>
      <c r="AX700" s="27">
        <f t="shared" si="220"/>
        <v>908688867</v>
      </c>
      <c r="AY700" s="27">
        <f t="shared" si="222"/>
        <v>19333806</v>
      </c>
      <c r="AZ700" s="25">
        <f t="shared" si="203"/>
        <v>1</v>
      </c>
      <c r="BA700" s="62"/>
      <c r="BB700" s="66">
        <v>1</v>
      </c>
      <c r="BC700" s="19"/>
      <c r="BD700" s="19"/>
      <c r="BE700" s="67">
        <f t="shared" ref="BE700:BE735" si="223">+$AQ700*BB700</f>
        <v>9666903</v>
      </c>
      <c r="BF700" s="67">
        <f t="shared" ref="BF700:BF735" si="224">+$AQ700*BC700</f>
        <v>0</v>
      </c>
      <c r="BG700" s="67">
        <f>+$AP700*BD700</f>
        <v>0</v>
      </c>
      <c r="BH700" s="19"/>
      <c r="BI700" s="19" t="s">
        <v>1896</v>
      </c>
      <c r="BJ700" s="19" t="s">
        <v>1929</v>
      </c>
      <c r="BK700" s="19" t="s">
        <v>1989</v>
      </c>
    </row>
    <row r="701" spans="3:67" ht="15" customHeight="1">
      <c r="C701" s="1" t="str">
        <f t="shared" si="218"/>
        <v>3206</v>
      </c>
      <c r="D701" s="1" t="str">
        <f t="shared" si="217"/>
        <v>2407</v>
      </c>
      <c r="E701" s="19" t="s">
        <v>2189</v>
      </c>
      <c r="F701" s="19" t="s">
        <v>1923</v>
      </c>
      <c r="G701" s="62">
        <v>2112</v>
      </c>
      <c r="H701" s="19" t="s">
        <v>2198</v>
      </c>
      <c r="I701" s="105" t="s">
        <v>2188</v>
      </c>
      <c r="J701" s="86">
        <v>1</v>
      </c>
      <c r="K701" s="19" t="s">
        <v>619</v>
      </c>
      <c r="L701" s="157" t="s">
        <v>2187</v>
      </c>
      <c r="M701" s="98" t="s">
        <v>2194</v>
      </c>
      <c r="N701" s="101">
        <v>45449</v>
      </c>
      <c r="O701" s="19">
        <v>28480</v>
      </c>
      <c r="P701" s="19">
        <v>24930</v>
      </c>
      <c r="Q701" s="163">
        <f t="shared" si="204"/>
        <v>710006400</v>
      </c>
      <c r="R701" s="19"/>
      <c r="S701" s="178"/>
      <c r="T701" s="179">
        <v>12876481</v>
      </c>
      <c r="U701" s="19"/>
      <c r="V701" s="74">
        <v>722882881</v>
      </c>
      <c r="W701" s="74">
        <v>12876481</v>
      </c>
      <c r="X701" s="64">
        <v>722882881</v>
      </c>
      <c r="Y701" s="19"/>
      <c r="Z701" s="19"/>
      <c r="AA701" s="19"/>
      <c r="AB701" s="19"/>
      <c r="AC701" s="64">
        <v>722882881</v>
      </c>
      <c r="AD701" s="63">
        <v>45474</v>
      </c>
      <c r="AE701" s="65">
        <v>48395</v>
      </c>
      <c r="AF701" s="19">
        <v>8</v>
      </c>
      <c r="AG701" s="19">
        <v>96</v>
      </c>
      <c r="AH701" s="25">
        <v>7530030</v>
      </c>
      <c r="AI701" s="92"/>
      <c r="AJ701" s="92"/>
      <c r="AK701" s="27"/>
      <c r="AL701" s="26"/>
      <c r="AM701" s="27"/>
      <c r="AN701" s="27"/>
      <c r="AO701" s="27">
        <f t="shared" si="210"/>
        <v>0</v>
      </c>
      <c r="AP701" s="27">
        <f t="shared" si="210"/>
        <v>0</v>
      </c>
      <c r="AQ701" s="27">
        <f t="shared" si="211"/>
        <v>7530030</v>
      </c>
      <c r="AR701" s="27">
        <f t="shared" si="212"/>
        <v>7530030</v>
      </c>
      <c r="AS701" s="27"/>
      <c r="AT701" s="27"/>
      <c r="AU701" s="27"/>
      <c r="AV701" s="27"/>
      <c r="AW701" s="27">
        <f t="shared" si="201"/>
        <v>15060060</v>
      </c>
      <c r="AX701" s="27">
        <f t="shared" si="220"/>
        <v>707822821</v>
      </c>
      <c r="AY701" s="27">
        <f t="shared" si="222"/>
        <v>15060060</v>
      </c>
      <c r="AZ701" s="25">
        <f t="shared" si="203"/>
        <v>1</v>
      </c>
      <c r="BA701" s="62"/>
      <c r="BB701" s="66">
        <v>1</v>
      </c>
      <c r="BC701" s="19"/>
      <c r="BD701" s="19"/>
      <c r="BE701" s="67">
        <f t="shared" si="223"/>
        <v>7530030</v>
      </c>
      <c r="BF701" s="67">
        <f t="shared" si="224"/>
        <v>0</v>
      </c>
      <c r="BG701" s="67">
        <f t="shared" ref="BG701:BG752" si="225">+$AP701*BD701</f>
        <v>0</v>
      </c>
      <c r="BH701" s="19"/>
      <c r="BI701" s="19" t="s">
        <v>1923</v>
      </c>
      <c r="BJ701" s="19" t="s">
        <v>121</v>
      </c>
      <c r="BK701" s="19" t="s">
        <v>121</v>
      </c>
    </row>
    <row r="702" spans="3:67" s="182" customFormat="1" ht="15" customHeight="1">
      <c r="C702" s="182" t="str">
        <f t="shared" si="218"/>
        <v>2906</v>
      </c>
      <c r="D702" s="182" t="str">
        <f t="shared" si="217"/>
        <v>2407</v>
      </c>
      <c r="E702" s="183" t="s">
        <v>2189</v>
      </c>
      <c r="F702" s="183" t="s">
        <v>1923</v>
      </c>
      <c r="G702" s="184">
        <v>2114</v>
      </c>
      <c r="H702" s="183" t="s">
        <v>2200</v>
      </c>
      <c r="I702" s="225" t="s">
        <v>2184</v>
      </c>
      <c r="J702" s="226">
        <v>1</v>
      </c>
      <c r="K702" s="183" t="s">
        <v>2201</v>
      </c>
      <c r="L702" s="99" t="s">
        <v>2185</v>
      </c>
      <c r="M702" s="227">
        <v>102</v>
      </c>
      <c r="N702" s="228">
        <v>45457</v>
      </c>
      <c r="O702" s="229"/>
      <c r="P702" s="183"/>
      <c r="Q702" s="230">
        <v>57870000</v>
      </c>
      <c r="R702" s="229"/>
      <c r="S702" s="183"/>
      <c r="T702" s="183"/>
      <c r="U702" s="183"/>
      <c r="V702" s="74">
        <v>57870000</v>
      </c>
      <c r="W702" s="231"/>
      <c r="X702" s="64">
        <v>57870000</v>
      </c>
      <c r="Y702" s="183"/>
      <c r="Z702" s="183"/>
      <c r="AA702" s="183"/>
      <c r="AB702" s="183"/>
      <c r="AC702" s="64">
        <v>57870000</v>
      </c>
      <c r="AD702" s="200">
        <v>45474</v>
      </c>
      <c r="AE702" s="188">
        <v>47299</v>
      </c>
      <c r="AF702" s="183">
        <v>5</v>
      </c>
      <c r="AG702" s="183">
        <v>60</v>
      </c>
      <c r="AH702" s="25">
        <v>964500</v>
      </c>
      <c r="AI702" s="232"/>
      <c r="AJ702" s="232"/>
      <c r="AK702" s="195"/>
      <c r="AL702" s="233"/>
      <c r="AM702" s="195"/>
      <c r="AN702" s="195"/>
      <c r="AO702" s="195"/>
      <c r="AP702" s="195"/>
      <c r="AQ702" s="195">
        <f t="shared" si="211"/>
        <v>964500</v>
      </c>
      <c r="AR702" s="27">
        <f t="shared" si="212"/>
        <v>964500</v>
      </c>
      <c r="AS702" s="27"/>
      <c r="AT702" s="27"/>
      <c r="AU702" s="195"/>
      <c r="AV702" s="195"/>
      <c r="AW702" s="27">
        <f t="shared" si="201"/>
        <v>1929000</v>
      </c>
      <c r="AX702" s="27">
        <f t="shared" si="220"/>
        <v>55941000</v>
      </c>
      <c r="AY702" s="27">
        <f t="shared" si="222"/>
        <v>1929000</v>
      </c>
      <c r="AZ702" s="25">
        <f t="shared" si="203"/>
        <v>1</v>
      </c>
      <c r="BA702" s="184"/>
      <c r="BB702" s="66">
        <v>1</v>
      </c>
      <c r="BC702" s="183"/>
      <c r="BD702" s="183"/>
      <c r="BE702" s="197">
        <f t="shared" si="223"/>
        <v>964500</v>
      </c>
      <c r="BF702" s="67">
        <f t="shared" si="224"/>
        <v>0</v>
      </c>
      <c r="BG702" s="67">
        <f t="shared" si="225"/>
        <v>0</v>
      </c>
      <c r="BH702" s="183"/>
      <c r="BI702" s="19" t="s">
        <v>1923</v>
      </c>
      <c r="BJ702" s="19" t="s">
        <v>58</v>
      </c>
      <c r="BK702" s="19" t="s">
        <v>59</v>
      </c>
    </row>
    <row r="703" spans="3:67" s="182" customFormat="1" ht="15" customHeight="1">
      <c r="C703" s="1" t="str">
        <f t="shared" si="218"/>
        <v>2906</v>
      </c>
      <c r="D703" s="1" t="str">
        <f t="shared" si="217"/>
        <v>2407</v>
      </c>
      <c r="E703" s="19" t="s">
        <v>2189</v>
      </c>
      <c r="F703" s="19" t="s">
        <v>1923</v>
      </c>
      <c r="G703" s="62">
        <v>2114</v>
      </c>
      <c r="H703" s="183" t="s">
        <v>2204</v>
      </c>
      <c r="I703" s="225" t="s">
        <v>2184</v>
      </c>
      <c r="J703" s="86">
        <v>1</v>
      </c>
      <c r="K703" s="183" t="s">
        <v>2201</v>
      </c>
      <c r="L703" s="99" t="s">
        <v>2185</v>
      </c>
      <c r="M703" s="227">
        <v>102</v>
      </c>
      <c r="N703" s="228">
        <v>45457</v>
      </c>
      <c r="O703" s="229"/>
      <c r="P703" s="183"/>
      <c r="Q703" s="230">
        <v>57870000</v>
      </c>
      <c r="R703" s="229"/>
      <c r="S703" s="183"/>
      <c r="T703" s="183"/>
      <c r="U703" s="183"/>
      <c r="V703" s="74">
        <v>57870000</v>
      </c>
      <c r="W703" s="231"/>
      <c r="X703" s="64">
        <v>57870000</v>
      </c>
      <c r="Y703" s="183"/>
      <c r="Z703" s="183"/>
      <c r="AA703" s="183"/>
      <c r="AB703" s="183"/>
      <c r="AC703" s="64">
        <v>57870000</v>
      </c>
      <c r="AD703" s="200">
        <v>45474</v>
      </c>
      <c r="AE703" s="188">
        <v>47299</v>
      </c>
      <c r="AF703" s="183">
        <v>5</v>
      </c>
      <c r="AG703" s="183">
        <v>60</v>
      </c>
      <c r="AH703" s="25">
        <v>964500</v>
      </c>
      <c r="AI703" s="232"/>
      <c r="AJ703" s="232"/>
      <c r="AK703" s="195"/>
      <c r="AL703" s="233"/>
      <c r="AM703" s="195"/>
      <c r="AN703" s="195"/>
      <c r="AO703" s="195"/>
      <c r="AP703" s="195"/>
      <c r="AQ703" s="195">
        <f t="shared" si="211"/>
        <v>964500</v>
      </c>
      <c r="AR703" s="27">
        <f t="shared" si="212"/>
        <v>964500</v>
      </c>
      <c r="AS703" s="27"/>
      <c r="AT703" s="27"/>
      <c r="AU703" s="195"/>
      <c r="AV703" s="195"/>
      <c r="AW703" s="27">
        <f t="shared" si="201"/>
        <v>1929000</v>
      </c>
      <c r="AX703" s="27">
        <f t="shared" si="220"/>
        <v>55941000</v>
      </c>
      <c r="AY703" s="27">
        <f t="shared" si="222"/>
        <v>1929000</v>
      </c>
      <c r="AZ703" s="25">
        <f t="shared" si="203"/>
        <v>1</v>
      </c>
      <c r="BA703" s="184"/>
      <c r="BB703" s="66">
        <v>1</v>
      </c>
      <c r="BC703" s="183"/>
      <c r="BD703" s="183"/>
      <c r="BE703" s="197">
        <f t="shared" si="223"/>
        <v>964500</v>
      </c>
      <c r="BF703" s="67">
        <f t="shared" si="224"/>
        <v>0</v>
      </c>
      <c r="BG703" s="67">
        <f t="shared" si="225"/>
        <v>0</v>
      </c>
      <c r="BH703" s="183"/>
      <c r="BI703" s="19" t="s">
        <v>1923</v>
      </c>
      <c r="BJ703" s="19" t="s">
        <v>58</v>
      </c>
      <c r="BK703" s="19" t="s">
        <v>59</v>
      </c>
    </row>
    <row r="704" spans="3:67" s="182" customFormat="1" ht="15" customHeight="1">
      <c r="C704" s="1" t="str">
        <f t="shared" si="218"/>
        <v>2906</v>
      </c>
      <c r="D704" s="1" t="str">
        <f t="shared" si="217"/>
        <v>2407</v>
      </c>
      <c r="E704" s="19" t="s">
        <v>2189</v>
      </c>
      <c r="F704" s="19" t="s">
        <v>1923</v>
      </c>
      <c r="G704" s="62">
        <v>2114</v>
      </c>
      <c r="H704" s="183" t="s">
        <v>2202</v>
      </c>
      <c r="I704" s="225" t="s">
        <v>2184</v>
      </c>
      <c r="J704" s="86">
        <v>1</v>
      </c>
      <c r="K704" s="183" t="s">
        <v>2201</v>
      </c>
      <c r="L704" s="99" t="s">
        <v>2185</v>
      </c>
      <c r="M704" s="227">
        <v>102</v>
      </c>
      <c r="N704" s="228">
        <v>45457</v>
      </c>
      <c r="O704" s="229"/>
      <c r="P704" s="183"/>
      <c r="Q704" s="230">
        <v>57870000</v>
      </c>
      <c r="R704" s="229"/>
      <c r="S704" s="183"/>
      <c r="T704" s="183"/>
      <c r="U704" s="183"/>
      <c r="V704" s="74">
        <v>57870000</v>
      </c>
      <c r="W704" s="231"/>
      <c r="X704" s="64">
        <v>57870000</v>
      </c>
      <c r="Y704" s="183"/>
      <c r="Z704" s="183"/>
      <c r="AA704" s="183"/>
      <c r="AB704" s="183"/>
      <c r="AC704" s="64">
        <v>57870000</v>
      </c>
      <c r="AD704" s="200">
        <v>45474</v>
      </c>
      <c r="AE704" s="188">
        <v>47299</v>
      </c>
      <c r="AF704" s="183">
        <v>5</v>
      </c>
      <c r="AG704" s="183">
        <v>60</v>
      </c>
      <c r="AH704" s="25">
        <v>964500</v>
      </c>
      <c r="AI704" s="232"/>
      <c r="AJ704" s="232"/>
      <c r="AK704" s="195"/>
      <c r="AL704" s="233"/>
      <c r="AM704" s="195"/>
      <c r="AN704" s="195"/>
      <c r="AO704" s="195"/>
      <c r="AP704" s="195"/>
      <c r="AQ704" s="195">
        <f t="shared" si="211"/>
        <v>964500</v>
      </c>
      <c r="AR704" s="27">
        <f t="shared" si="212"/>
        <v>964500</v>
      </c>
      <c r="AS704" s="27"/>
      <c r="AT704" s="27"/>
      <c r="AU704" s="195"/>
      <c r="AV704" s="195"/>
      <c r="AW704" s="27">
        <f t="shared" si="201"/>
        <v>1929000</v>
      </c>
      <c r="AX704" s="27">
        <f t="shared" si="220"/>
        <v>55941000</v>
      </c>
      <c r="AY704" s="27">
        <f t="shared" si="222"/>
        <v>1929000</v>
      </c>
      <c r="AZ704" s="25">
        <f t="shared" si="203"/>
        <v>1</v>
      </c>
      <c r="BA704" s="184"/>
      <c r="BB704" s="66">
        <v>1</v>
      </c>
      <c r="BC704" s="183"/>
      <c r="BD704" s="183"/>
      <c r="BE704" s="197">
        <f t="shared" si="223"/>
        <v>964500</v>
      </c>
      <c r="BF704" s="67">
        <f t="shared" si="224"/>
        <v>0</v>
      </c>
      <c r="BG704" s="67">
        <f t="shared" si="225"/>
        <v>0</v>
      </c>
      <c r="BH704" s="183"/>
      <c r="BI704" s="19" t="s">
        <v>1923</v>
      </c>
      <c r="BJ704" s="19" t="s">
        <v>58</v>
      </c>
      <c r="BK704" s="19" t="s">
        <v>59</v>
      </c>
    </row>
    <row r="705" spans="3:63" s="182" customFormat="1" ht="15" customHeight="1">
      <c r="C705" s="1" t="str">
        <f t="shared" si="218"/>
        <v>2906</v>
      </c>
      <c r="D705" s="1" t="str">
        <f t="shared" si="217"/>
        <v>2407</v>
      </c>
      <c r="E705" s="19" t="s">
        <v>2189</v>
      </c>
      <c r="F705" s="19" t="s">
        <v>1923</v>
      </c>
      <c r="G705" s="62">
        <v>2114</v>
      </c>
      <c r="H705" s="183" t="s">
        <v>2203</v>
      </c>
      <c r="I705" s="225" t="s">
        <v>2184</v>
      </c>
      <c r="J705" s="86">
        <v>1</v>
      </c>
      <c r="K705" s="183" t="s">
        <v>2201</v>
      </c>
      <c r="L705" s="99" t="s">
        <v>2185</v>
      </c>
      <c r="M705" s="227">
        <v>102</v>
      </c>
      <c r="N705" s="228">
        <v>45457</v>
      </c>
      <c r="O705" s="229"/>
      <c r="P705" s="183"/>
      <c r="Q705" s="230">
        <v>57870000</v>
      </c>
      <c r="R705" s="229"/>
      <c r="S705" s="183"/>
      <c r="T705" s="183"/>
      <c r="U705" s="183"/>
      <c r="V705" s="74">
        <v>57870000</v>
      </c>
      <c r="W705" s="231"/>
      <c r="X705" s="64">
        <v>57870000</v>
      </c>
      <c r="Y705" s="183"/>
      <c r="Z705" s="183"/>
      <c r="AA705" s="183"/>
      <c r="AB705" s="183"/>
      <c r="AC705" s="64">
        <v>57870000</v>
      </c>
      <c r="AD705" s="200">
        <v>45474</v>
      </c>
      <c r="AE705" s="188">
        <v>47299</v>
      </c>
      <c r="AF705" s="183">
        <v>5</v>
      </c>
      <c r="AG705" s="183">
        <v>60</v>
      </c>
      <c r="AH705" s="25">
        <v>964500</v>
      </c>
      <c r="AI705" s="232"/>
      <c r="AJ705" s="232"/>
      <c r="AK705" s="195"/>
      <c r="AL705" s="233"/>
      <c r="AM705" s="195"/>
      <c r="AN705" s="195"/>
      <c r="AO705" s="195"/>
      <c r="AP705" s="195"/>
      <c r="AQ705" s="195">
        <f t="shared" si="211"/>
        <v>964500</v>
      </c>
      <c r="AR705" s="27">
        <f t="shared" si="212"/>
        <v>964500</v>
      </c>
      <c r="AS705" s="27"/>
      <c r="AT705" s="27"/>
      <c r="AU705" s="195"/>
      <c r="AV705" s="195"/>
      <c r="AW705" s="27">
        <f t="shared" si="201"/>
        <v>1929000</v>
      </c>
      <c r="AX705" s="27">
        <f t="shared" si="220"/>
        <v>55941000</v>
      </c>
      <c r="AY705" s="27">
        <f t="shared" si="222"/>
        <v>1929000</v>
      </c>
      <c r="AZ705" s="25">
        <f t="shared" si="203"/>
        <v>1</v>
      </c>
      <c r="BA705" s="184"/>
      <c r="BB705" s="66">
        <v>1</v>
      </c>
      <c r="BC705" s="183"/>
      <c r="BD705" s="183"/>
      <c r="BE705" s="197">
        <f t="shared" si="223"/>
        <v>964500</v>
      </c>
      <c r="BF705" s="67">
        <f t="shared" si="224"/>
        <v>0</v>
      </c>
      <c r="BG705" s="67">
        <f t="shared" si="225"/>
        <v>0</v>
      </c>
      <c r="BH705" s="183"/>
      <c r="BI705" s="19" t="s">
        <v>1923</v>
      </c>
      <c r="BJ705" s="19" t="s">
        <v>58</v>
      </c>
      <c r="BK705" s="19" t="s">
        <v>59</v>
      </c>
    </row>
    <row r="706" spans="3:63" s="182" customFormat="1" ht="15" customHeight="1">
      <c r="C706" s="1" t="str">
        <f t="shared" si="218"/>
        <v>2906</v>
      </c>
      <c r="D706" s="1" t="str">
        <f t="shared" si="217"/>
        <v>2407</v>
      </c>
      <c r="E706" s="19" t="s">
        <v>2189</v>
      </c>
      <c r="F706" s="19" t="s">
        <v>1923</v>
      </c>
      <c r="G706" s="62">
        <v>2114</v>
      </c>
      <c r="H706" s="183" t="s">
        <v>2205</v>
      </c>
      <c r="I706" s="225" t="s">
        <v>2184</v>
      </c>
      <c r="J706" s="86">
        <v>1</v>
      </c>
      <c r="K706" s="183" t="s">
        <v>2201</v>
      </c>
      <c r="L706" s="99" t="s">
        <v>2185</v>
      </c>
      <c r="M706" s="227">
        <v>102</v>
      </c>
      <c r="N706" s="228">
        <v>45457</v>
      </c>
      <c r="O706" s="229"/>
      <c r="P706" s="183"/>
      <c r="Q706" s="230">
        <v>57870000</v>
      </c>
      <c r="R706" s="229"/>
      <c r="S706" s="183"/>
      <c r="T706" s="183"/>
      <c r="U706" s="183"/>
      <c r="V706" s="74">
        <v>57870000</v>
      </c>
      <c r="W706" s="231"/>
      <c r="X706" s="64">
        <v>57870000</v>
      </c>
      <c r="Y706" s="183"/>
      <c r="Z706" s="183"/>
      <c r="AA706" s="183"/>
      <c r="AB706" s="183"/>
      <c r="AC706" s="64">
        <v>57870000</v>
      </c>
      <c r="AD706" s="200">
        <v>45474</v>
      </c>
      <c r="AE706" s="188">
        <v>47299</v>
      </c>
      <c r="AF706" s="183">
        <v>5</v>
      </c>
      <c r="AG706" s="183">
        <v>60</v>
      </c>
      <c r="AH706" s="25">
        <v>964500</v>
      </c>
      <c r="AI706" s="232"/>
      <c r="AJ706" s="232"/>
      <c r="AK706" s="195"/>
      <c r="AL706" s="233"/>
      <c r="AM706" s="195"/>
      <c r="AN706" s="195"/>
      <c r="AO706" s="195"/>
      <c r="AP706" s="195"/>
      <c r="AQ706" s="195">
        <f t="shared" si="211"/>
        <v>964500</v>
      </c>
      <c r="AR706" s="27">
        <f t="shared" si="212"/>
        <v>964500</v>
      </c>
      <c r="AS706" s="27"/>
      <c r="AT706" s="27"/>
      <c r="AU706" s="195"/>
      <c r="AV706" s="195"/>
      <c r="AW706" s="27">
        <f t="shared" si="201"/>
        <v>1929000</v>
      </c>
      <c r="AX706" s="27">
        <f t="shared" si="220"/>
        <v>55941000</v>
      </c>
      <c r="AY706" s="27">
        <f t="shared" si="222"/>
        <v>1929000</v>
      </c>
      <c r="AZ706" s="25">
        <f t="shared" si="203"/>
        <v>1</v>
      </c>
      <c r="BA706" s="184"/>
      <c r="BB706" s="66">
        <v>1</v>
      </c>
      <c r="BC706" s="183"/>
      <c r="BD706" s="183"/>
      <c r="BE706" s="197">
        <f t="shared" si="223"/>
        <v>964500</v>
      </c>
      <c r="BF706" s="67">
        <f t="shared" si="224"/>
        <v>0</v>
      </c>
      <c r="BG706" s="67">
        <f t="shared" si="225"/>
        <v>0</v>
      </c>
      <c r="BH706" s="183"/>
      <c r="BI706" s="19" t="s">
        <v>1923</v>
      </c>
      <c r="BJ706" s="19" t="s">
        <v>58</v>
      </c>
      <c r="BK706" s="19" t="s">
        <v>59</v>
      </c>
    </row>
    <row r="707" spans="3:63" s="182" customFormat="1" ht="15" customHeight="1">
      <c r="C707" s="1" t="str">
        <f t="shared" si="218"/>
        <v>2906</v>
      </c>
      <c r="D707" s="1" t="str">
        <f t="shared" si="217"/>
        <v>2407</v>
      </c>
      <c r="E707" s="19" t="s">
        <v>2189</v>
      </c>
      <c r="F707" s="19" t="s">
        <v>1923</v>
      </c>
      <c r="G707" s="62">
        <v>2114</v>
      </c>
      <c r="H707" s="183" t="s">
        <v>2206</v>
      </c>
      <c r="I707" s="225" t="s">
        <v>2184</v>
      </c>
      <c r="J707" s="86">
        <v>1</v>
      </c>
      <c r="K707" s="183" t="s">
        <v>2201</v>
      </c>
      <c r="L707" s="99" t="s">
        <v>2185</v>
      </c>
      <c r="M707" s="227">
        <v>102</v>
      </c>
      <c r="N707" s="228">
        <v>45457</v>
      </c>
      <c r="O707" s="229"/>
      <c r="P707" s="183"/>
      <c r="Q707" s="230">
        <v>57870000</v>
      </c>
      <c r="R707" s="229"/>
      <c r="S707" s="183"/>
      <c r="T707" s="183"/>
      <c r="U707" s="183"/>
      <c r="V707" s="74">
        <v>57870000</v>
      </c>
      <c r="W707" s="231"/>
      <c r="X707" s="64">
        <v>57870000</v>
      </c>
      <c r="Y707" s="183"/>
      <c r="Z707" s="183"/>
      <c r="AA707" s="183"/>
      <c r="AB707" s="183"/>
      <c r="AC707" s="64">
        <v>57870000</v>
      </c>
      <c r="AD707" s="200">
        <v>45474</v>
      </c>
      <c r="AE707" s="188">
        <v>47299</v>
      </c>
      <c r="AF707" s="183">
        <v>5</v>
      </c>
      <c r="AG707" s="183">
        <v>60</v>
      </c>
      <c r="AH707" s="25">
        <v>964500</v>
      </c>
      <c r="AI707" s="232"/>
      <c r="AJ707" s="232"/>
      <c r="AK707" s="195"/>
      <c r="AL707" s="233"/>
      <c r="AM707" s="195"/>
      <c r="AN707" s="195"/>
      <c r="AO707" s="195"/>
      <c r="AP707" s="195"/>
      <c r="AQ707" s="195">
        <f t="shared" si="211"/>
        <v>964500</v>
      </c>
      <c r="AR707" s="27">
        <f t="shared" si="212"/>
        <v>964500</v>
      </c>
      <c r="AS707" s="27"/>
      <c r="AT707" s="27"/>
      <c r="AU707" s="195"/>
      <c r="AV707" s="195"/>
      <c r="AW707" s="27">
        <f t="shared" si="201"/>
        <v>1929000</v>
      </c>
      <c r="AX707" s="27">
        <f t="shared" si="220"/>
        <v>55941000</v>
      </c>
      <c r="AY707" s="27">
        <f t="shared" si="222"/>
        <v>1929000</v>
      </c>
      <c r="AZ707" s="25">
        <f t="shared" si="203"/>
        <v>1</v>
      </c>
      <c r="BA707" s="184"/>
      <c r="BB707" s="66">
        <v>1</v>
      </c>
      <c r="BC707" s="183"/>
      <c r="BD707" s="183"/>
      <c r="BE707" s="197">
        <f t="shared" si="223"/>
        <v>964500</v>
      </c>
      <c r="BF707" s="67">
        <f t="shared" si="224"/>
        <v>0</v>
      </c>
      <c r="BG707" s="67">
        <f t="shared" si="225"/>
        <v>0</v>
      </c>
      <c r="BH707" s="183"/>
      <c r="BI707" s="19" t="s">
        <v>1923</v>
      </c>
      <c r="BJ707" s="19" t="s">
        <v>58</v>
      </c>
      <c r="BK707" s="19" t="s">
        <v>59</v>
      </c>
    </row>
    <row r="708" spans="3:63" s="182" customFormat="1" ht="15" customHeight="1">
      <c r="C708" s="1" t="str">
        <f t="shared" si="218"/>
        <v>2906</v>
      </c>
      <c r="D708" s="1" t="str">
        <f t="shared" si="217"/>
        <v>2407</v>
      </c>
      <c r="E708" s="19" t="s">
        <v>2189</v>
      </c>
      <c r="F708" s="19" t="s">
        <v>1923</v>
      </c>
      <c r="G708" s="62">
        <v>2114</v>
      </c>
      <c r="H708" s="183" t="s">
        <v>2207</v>
      </c>
      <c r="I708" s="225" t="s">
        <v>2184</v>
      </c>
      <c r="J708" s="86">
        <v>1</v>
      </c>
      <c r="K708" s="183" t="s">
        <v>2201</v>
      </c>
      <c r="L708" s="99" t="s">
        <v>2185</v>
      </c>
      <c r="M708" s="227">
        <v>102</v>
      </c>
      <c r="N708" s="228">
        <v>45457</v>
      </c>
      <c r="O708" s="229"/>
      <c r="P708" s="183"/>
      <c r="Q708" s="230">
        <v>57870000</v>
      </c>
      <c r="R708" s="229"/>
      <c r="S708" s="183"/>
      <c r="T708" s="183"/>
      <c r="U708" s="183"/>
      <c r="V708" s="74">
        <v>57870000</v>
      </c>
      <c r="W708" s="231"/>
      <c r="X708" s="64">
        <v>57870000</v>
      </c>
      <c r="Y708" s="183"/>
      <c r="Z708" s="183"/>
      <c r="AA708" s="183"/>
      <c r="AB708" s="183"/>
      <c r="AC708" s="64">
        <v>57870000</v>
      </c>
      <c r="AD708" s="200">
        <v>45474</v>
      </c>
      <c r="AE708" s="188">
        <v>47299</v>
      </c>
      <c r="AF708" s="183">
        <v>5</v>
      </c>
      <c r="AG708" s="183">
        <v>60</v>
      </c>
      <c r="AH708" s="25">
        <v>964500</v>
      </c>
      <c r="AI708" s="232"/>
      <c r="AJ708" s="232"/>
      <c r="AK708" s="195"/>
      <c r="AL708" s="233"/>
      <c r="AM708" s="195"/>
      <c r="AN708" s="195"/>
      <c r="AO708" s="195"/>
      <c r="AP708" s="195"/>
      <c r="AQ708" s="195">
        <f t="shared" si="211"/>
        <v>964500</v>
      </c>
      <c r="AR708" s="27">
        <f t="shared" si="212"/>
        <v>964500</v>
      </c>
      <c r="AS708" s="27"/>
      <c r="AT708" s="27"/>
      <c r="AU708" s="195"/>
      <c r="AV708" s="195"/>
      <c r="AW708" s="27">
        <f t="shared" si="201"/>
        <v>1929000</v>
      </c>
      <c r="AX708" s="27">
        <f t="shared" si="220"/>
        <v>55941000</v>
      </c>
      <c r="AY708" s="27">
        <f t="shared" si="222"/>
        <v>1929000</v>
      </c>
      <c r="AZ708" s="25">
        <f t="shared" si="203"/>
        <v>1</v>
      </c>
      <c r="BA708" s="184"/>
      <c r="BB708" s="66">
        <v>1</v>
      </c>
      <c r="BC708" s="183"/>
      <c r="BD708" s="183"/>
      <c r="BE708" s="197">
        <f t="shared" si="223"/>
        <v>964500</v>
      </c>
      <c r="BF708" s="67">
        <f t="shared" si="224"/>
        <v>0</v>
      </c>
      <c r="BG708" s="67">
        <f t="shared" si="225"/>
        <v>0</v>
      </c>
      <c r="BH708" s="183"/>
      <c r="BI708" s="19" t="s">
        <v>1923</v>
      </c>
      <c r="BJ708" s="19" t="s">
        <v>58</v>
      </c>
      <c r="BK708" s="19" t="s">
        <v>59</v>
      </c>
    </row>
    <row r="709" spans="3:63" s="182" customFormat="1" ht="15" customHeight="1">
      <c r="C709" s="1" t="str">
        <f t="shared" si="218"/>
        <v>2906</v>
      </c>
      <c r="D709" s="1" t="str">
        <f t="shared" si="217"/>
        <v>2407</v>
      </c>
      <c r="E709" s="19" t="s">
        <v>2189</v>
      </c>
      <c r="F709" s="19" t="s">
        <v>1923</v>
      </c>
      <c r="G709" s="62">
        <v>2114</v>
      </c>
      <c r="H709" s="183" t="s">
        <v>2208</v>
      </c>
      <c r="I709" s="225" t="s">
        <v>2184</v>
      </c>
      <c r="J709" s="86">
        <v>1</v>
      </c>
      <c r="K709" s="183" t="s">
        <v>2201</v>
      </c>
      <c r="L709" s="99" t="s">
        <v>2185</v>
      </c>
      <c r="M709" s="227">
        <v>102</v>
      </c>
      <c r="N709" s="228">
        <v>45457</v>
      </c>
      <c r="O709" s="229"/>
      <c r="P709" s="183"/>
      <c r="Q709" s="230">
        <v>57870000</v>
      </c>
      <c r="R709" s="229"/>
      <c r="S709" s="183"/>
      <c r="T709" s="183"/>
      <c r="U709" s="183"/>
      <c r="V709" s="74">
        <v>57870000</v>
      </c>
      <c r="W709" s="231"/>
      <c r="X709" s="64">
        <v>57870000</v>
      </c>
      <c r="Y709" s="183"/>
      <c r="Z709" s="183"/>
      <c r="AA709" s="183"/>
      <c r="AB709" s="183"/>
      <c r="AC709" s="64">
        <v>57870000</v>
      </c>
      <c r="AD709" s="200">
        <v>45474</v>
      </c>
      <c r="AE709" s="188">
        <v>47299</v>
      </c>
      <c r="AF709" s="183">
        <v>5</v>
      </c>
      <c r="AG709" s="183">
        <v>60</v>
      </c>
      <c r="AH709" s="25">
        <v>964500</v>
      </c>
      <c r="AI709" s="232"/>
      <c r="AJ709" s="232"/>
      <c r="AK709" s="195"/>
      <c r="AL709" s="233"/>
      <c r="AM709" s="195"/>
      <c r="AN709" s="195"/>
      <c r="AO709" s="195"/>
      <c r="AP709" s="195"/>
      <c r="AQ709" s="195">
        <f t="shared" si="211"/>
        <v>964500</v>
      </c>
      <c r="AR709" s="27">
        <f t="shared" si="212"/>
        <v>964500</v>
      </c>
      <c r="AS709" s="27"/>
      <c r="AT709" s="27"/>
      <c r="AU709" s="195"/>
      <c r="AV709" s="195"/>
      <c r="AW709" s="27">
        <f t="shared" si="201"/>
        <v>1929000</v>
      </c>
      <c r="AX709" s="27">
        <f t="shared" si="220"/>
        <v>55941000</v>
      </c>
      <c r="AY709" s="27">
        <f t="shared" si="222"/>
        <v>1929000</v>
      </c>
      <c r="AZ709" s="25">
        <f t="shared" si="203"/>
        <v>1</v>
      </c>
      <c r="BA709" s="184"/>
      <c r="BB709" s="66">
        <v>1</v>
      </c>
      <c r="BC709" s="183"/>
      <c r="BD709" s="183"/>
      <c r="BE709" s="197">
        <f t="shared" si="223"/>
        <v>964500</v>
      </c>
      <c r="BF709" s="67">
        <f t="shared" si="224"/>
        <v>0</v>
      </c>
      <c r="BG709" s="67">
        <f t="shared" si="225"/>
        <v>0</v>
      </c>
      <c r="BH709" s="183"/>
      <c r="BI709" s="19" t="s">
        <v>1923</v>
      </c>
      <c r="BJ709" s="19" t="s">
        <v>58</v>
      </c>
      <c r="BK709" s="19" t="s">
        <v>59</v>
      </c>
    </row>
    <row r="710" spans="3:63" s="182" customFormat="1" ht="15" customHeight="1">
      <c r="C710" s="1" t="str">
        <f t="shared" si="218"/>
        <v>2906</v>
      </c>
      <c r="D710" s="1" t="str">
        <f t="shared" si="217"/>
        <v>2407</v>
      </c>
      <c r="E710" s="19" t="s">
        <v>2189</v>
      </c>
      <c r="F710" s="19" t="s">
        <v>1923</v>
      </c>
      <c r="G710" s="62">
        <v>2114</v>
      </c>
      <c r="H710" s="183" t="s">
        <v>2209</v>
      </c>
      <c r="I710" s="225" t="s">
        <v>2184</v>
      </c>
      <c r="J710" s="86">
        <v>1</v>
      </c>
      <c r="K710" s="183" t="s">
        <v>2201</v>
      </c>
      <c r="L710" s="99" t="s">
        <v>2185</v>
      </c>
      <c r="M710" s="227">
        <v>102</v>
      </c>
      <c r="N710" s="228">
        <v>45457</v>
      </c>
      <c r="O710" s="229"/>
      <c r="P710" s="183"/>
      <c r="Q710" s="230">
        <v>57870000</v>
      </c>
      <c r="R710" s="229"/>
      <c r="S710" s="183"/>
      <c r="T710" s="183"/>
      <c r="U710" s="183"/>
      <c r="V710" s="74">
        <v>57870000</v>
      </c>
      <c r="W710" s="231"/>
      <c r="X710" s="64">
        <v>57870000</v>
      </c>
      <c r="Y710" s="183"/>
      <c r="Z710" s="183"/>
      <c r="AA710" s="183"/>
      <c r="AB710" s="183"/>
      <c r="AC710" s="64">
        <v>57870000</v>
      </c>
      <c r="AD710" s="200">
        <v>45474</v>
      </c>
      <c r="AE710" s="188">
        <v>47299</v>
      </c>
      <c r="AF710" s="183">
        <v>5</v>
      </c>
      <c r="AG710" s="183">
        <v>60</v>
      </c>
      <c r="AH710" s="25">
        <v>964500</v>
      </c>
      <c r="AI710" s="232"/>
      <c r="AJ710" s="232"/>
      <c r="AK710" s="195"/>
      <c r="AL710" s="233"/>
      <c r="AM710" s="195"/>
      <c r="AN710" s="195"/>
      <c r="AO710" s="195"/>
      <c r="AP710" s="195"/>
      <c r="AQ710" s="195">
        <f t="shared" si="211"/>
        <v>964500</v>
      </c>
      <c r="AR710" s="27">
        <f t="shared" si="212"/>
        <v>964500</v>
      </c>
      <c r="AS710" s="27"/>
      <c r="AT710" s="27"/>
      <c r="AU710" s="195"/>
      <c r="AV710" s="195"/>
      <c r="AW710" s="27">
        <f t="shared" si="201"/>
        <v>1929000</v>
      </c>
      <c r="AX710" s="27">
        <f t="shared" si="220"/>
        <v>55941000</v>
      </c>
      <c r="AY710" s="27">
        <f t="shared" si="222"/>
        <v>1929000</v>
      </c>
      <c r="AZ710" s="25">
        <f t="shared" si="203"/>
        <v>1</v>
      </c>
      <c r="BA710" s="184"/>
      <c r="BB710" s="66">
        <v>1</v>
      </c>
      <c r="BC710" s="183"/>
      <c r="BD710" s="183"/>
      <c r="BE710" s="197">
        <f t="shared" si="223"/>
        <v>964500</v>
      </c>
      <c r="BF710" s="67">
        <f t="shared" si="224"/>
        <v>0</v>
      </c>
      <c r="BG710" s="67">
        <f t="shared" si="225"/>
        <v>0</v>
      </c>
      <c r="BH710" s="183"/>
      <c r="BI710" s="19" t="s">
        <v>1923</v>
      </c>
      <c r="BJ710" s="19" t="s">
        <v>58</v>
      </c>
      <c r="BK710" s="19" t="s">
        <v>59</v>
      </c>
    </row>
    <row r="711" spans="3:63" s="182" customFormat="1" ht="15" customHeight="1">
      <c r="C711" s="1" t="str">
        <f t="shared" si="218"/>
        <v>2906</v>
      </c>
      <c r="D711" s="1" t="str">
        <f t="shared" si="217"/>
        <v>2407</v>
      </c>
      <c r="E711" s="19" t="s">
        <v>2189</v>
      </c>
      <c r="F711" s="19" t="s">
        <v>1923</v>
      </c>
      <c r="G711" s="62">
        <v>2114</v>
      </c>
      <c r="H711" s="183" t="s">
        <v>2210</v>
      </c>
      <c r="I711" s="225" t="s">
        <v>2184</v>
      </c>
      <c r="J711" s="86">
        <v>1</v>
      </c>
      <c r="K711" s="183" t="s">
        <v>2201</v>
      </c>
      <c r="L711" s="99" t="s">
        <v>2185</v>
      </c>
      <c r="M711" s="227">
        <v>102</v>
      </c>
      <c r="N711" s="228">
        <v>45457</v>
      </c>
      <c r="O711" s="229"/>
      <c r="P711" s="183"/>
      <c r="Q711" s="230">
        <v>57870000</v>
      </c>
      <c r="R711" s="229"/>
      <c r="S711" s="183"/>
      <c r="T711" s="183"/>
      <c r="U711" s="183"/>
      <c r="V711" s="74">
        <v>57870000</v>
      </c>
      <c r="W711" s="231"/>
      <c r="X711" s="64">
        <v>57870000</v>
      </c>
      <c r="Y711" s="183"/>
      <c r="Z711" s="183"/>
      <c r="AA711" s="183"/>
      <c r="AB711" s="183"/>
      <c r="AC711" s="64">
        <v>57870000</v>
      </c>
      <c r="AD711" s="200">
        <v>45474</v>
      </c>
      <c r="AE711" s="188">
        <v>47299</v>
      </c>
      <c r="AF711" s="183">
        <v>5</v>
      </c>
      <c r="AG711" s="183">
        <v>60</v>
      </c>
      <c r="AH711" s="25">
        <v>964500</v>
      </c>
      <c r="AI711" s="232"/>
      <c r="AJ711" s="232"/>
      <c r="AK711" s="195"/>
      <c r="AL711" s="233"/>
      <c r="AM711" s="195"/>
      <c r="AN711" s="195"/>
      <c r="AO711" s="195"/>
      <c r="AP711" s="195"/>
      <c r="AQ711" s="195">
        <f t="shared" si="211"/>
        <v>964500</v>
      </c>
      <c r="AR711" s="27">
        <f t="shared" si="212"/>
        <v>964500</v>
      </c>
      <c r="AS711" s="27"/>
      <c r="AT711" s="27"/>
      <c r="AU711" s="195"/>
      <c r="AV711" s="195"/>
      <c r="AW711" s="27">
        <f t="shared" si="201"/>
        <v>1929000</v>
      </c>
      <c r="AX711" s="27">
        <f t="shared" si="220"/>
        <v>55941000</v>
      </c>
      <c r="AY711" s="27">
        <f t="shared" si="222"/>
        <v>1929000</v>
      </c>
      <c r="AZ711" s="25">
        <f t="shared" si="203"/>
        <v>1</v>
      </c>
      <c r="BA711" s="184"/>
      <c r="BB711" s="66">
        <v>1</v>
      </c>
      <c r="BC711" s="183"/>
      <c r="BD711" s="183"/>
      <c r="BE711" s="197">
        <f t="shared" si="223"/>
        <v>964500</v>
      </c>
      <c r="BF711" s="67">
        <f t="shared" si="224"/>
        <v>0</v>
      </c>
      <c r="BG711" s="67">
        <f t="shared" si="225"/>
        <v>0</v>
      </c>
      <c r="BH711" s="183"/>
      <c r="BI711" s="19" t="s">
        <v>1923</v>
      </c>
      <c r="BJ711" s="19" t="s">
        <v>58</v>
      </c>
      <c r="BK711" s="19" t="s">
        <v>59</v>
      </c>
    </row>
    <row r="712" spans="3:63" s="182" customFormat="1" ht="15" customHeight="1">
      <c r="C712" s="1" t="str">
        <f t="shared" si="218"/>
        <v>2906</v>
      </c>
      <c r="D712" s="1" t="str">
        <f t="shared" si="217"/>
        <v>2407</v>
      </c>
      <c r="E712" s="19" t="s">
        <v>2189</v>
      </c>
      <c r="F712" s="19" t="s">
        <v>1923</v>
      </c>
      <c r="G712" s="62">
        <v>2114</v>
      </c>
      <c r="H712" s="183" t="s">
        <v>2211</v>
      </c>
      <c r="I712" s="225" t="s">
        <v>2184</v>
      </c>
      <c r="J712" s="86">
        <v>1</v>
      </c>
      <c r="K712" s="183" t="s">
        <v>2201</v>
      </c>
      <c r="L712" s="99" t="s">
        <v>2185</v>
      </c>
      <c r="M712" s="227">
        <v>102</v>
      </c>
      <c r="N712" s="228">
        <v>45457</v>
      </c>
      <c r="O712" s="229"/>
      <c r="P712" s="183"/>
      <c r="Q712" s="230">
        <v>57870000</v>
      </c>
      <c r="R712" s="229"/>
      <c r="S712" s="183"/>
      <c r="T712" s="183"/>
      <c r="U712" s="183"/>
      <c r="V712" s="74">
        <v>57870000</v>
      </c>
      <c r="W712" s="231"/>
      <c r="X712" s="64">
        <v>57870000</v>
      </c>
      <c r="Y712" s="183"/>
      <c r="Z712" s="183"/>
      <c r="AA712" s="183"/>
      <c r="AB712" s="183"/>
      <c r="AC712" s="64">
        <v>57870000</v>
      </c>
      <c r="AD712" s="200">
        <v>45474</v>
      </c>
      <c r="AE712" s="188">
        <v>47299</v>
      </c>
      <c r="AF712" s="183">
        <v>5</v>
      </c>
      <c r="AG712" s="183">
        <v>60</v>
      </c>
      <c r="AH712" s="25">
        <v>964500</v>
      </c>
      <c r="AI712" s="232"/>
      <c r="AJ712" s="232"/>
      <c r="AK712" s="195"/>
      <c r="AL712" s="233"/>
      <c r="AM712" s="195"/>
      <c r="AN712" s="195"/>
      <c r="AO712" s="195"/>
      <c r="AP712" s="195"/>
      <c r="AQ712" s="195">
        <f t="shared" si="211"/>
        <v>964500</v>
      </c>
      <c r="AR712" s="27">
        <f t="shared" si="212"/>
        <v>964500</v>
      </c>
      <c r="AS712" s="27"/>
      <c r="AT712" s="27"/>
      <c r="AU712" s="195"/>
      <c r="AV712" s="195"/>
      <c r="AW712" s="27">
        <f t="shared" si="201"/>
        <v>1929000</v>
      </c>
      <c r="AX712" s="27">
        <f t="shared" si="220"/>
        <v>55941000</v>
      </c>
      <c r="AY712" s="27">
        <f t="shared" si="222"/>
        <v>1929000</v>
      </c>
      <c r="AZ712" s="25">
        <f t="shared" si="203"/>
        <v>1</v>
      </c>
      <c r="BA712" s="184"/>
      <c r="BB712" s="66">
        <v>1</v>
      </c>
      <c r="BC712" s="183"/>
      <c r="BD712" s="183"/>
      <c r="BE712" s="197">
        <f t="shared" si="223"/>
        <v>964500</v>
      </c>
      <c r="BF712" s="67">
        <f t="shared" si="224"/>
        <v>0</v>
      </c>
      <c r="BG712" s="67">
        <f t="shared" si="225"/>
        <v>0</v>
      </c>
      <c r="BH712" s="183"/>
      <c r="BI712" s="19" t="s">
        <v>1923</v>
      </c>
      <c r="BJ712" s="19" t="s">
        <v>58</v>
      </c>
      <c r="BK712" s="19" t="s">
        <v>59</v>
      </c>
    </row>
    <row r="713" spans="3:63" ht="15" customHeight="1">
      <c r="C713" s="1" t="str">
        <f t="shared" si="218"/>
        <v>2906</v>
      </c>
      <c r="D713" s="1" t="str">
        <f t="shared" si="217"/>
        <v>2407</v>
      </c>
      <c r="E713" s="19" t="s">
        <v>2189</v>
      </c>
      <c r="F713" s="19" t="s">
        <v>1896</v>
      </c>
      <c r="G713" s="62">
        <v>2112</v>
      </c>
      <c r="H713" s="19" t="s">
        <v>2212</v>
      </c>
      <c r="I713" s="105" t="s">
        <v>2183</v>
      </c>
      <c r="J713" s="86">
        <v>1</v>
      </c>
      <c r="K713" s="19" t="s">
        <v>1737</v>
      </c>
      <c r="L713" s="157" t="s">
        <v>1027</v>
      </c>
      <c r="M713" s="224">
        <v>47</v>
      </c>
      <c r="N713" s="228">
        <v>45457</v>
      </c>
      <c r="O713" s="178"/>
      <c r="P713" s="19"/>
      <c r="Q713" s="163">
        <v>76286096</v>
      </c>
      <c r="R713" s="178"/>
      <c r="S713" s="201"/>
      <c r="T713" s="178"/>
      <c r="U713" s="19"/>
      <c r="V713" s="74">
        <v>76286096</v>
      </c>
      <c r="W713" s="75"/>
      <c r="X713" s="64">
        <v>76286096</v>
      </c>
      <c r="Y713" s="19"/>
      <c r="Z713" s="19"/>
      <c r="AA713" s="19"/>
      <c r="AB713" s="19"/>
      <c r="AC713" s="64">
        <v>76286096</v>
      </c>
      <c r="AD713" s="200">
        <v>45474</v>
      </c>
      <c r="AE713" s="188">
        <v>47299</v>
      </c>
      <c r="AF713" s="183">
        <v>5</v>
      </c>
      <c r="AG713" s="183">
        <v>60</v>
      </c>
      <c r="AH713" s="25">
        <v>1271435</v>
      </c>
      <c r="AI713" s="92"/>
      <c r="AJ713" s="92"/>
      <c r="AK713" s="27"/>
      <c r="AL713" s="26"/>
      <c r="AM713" s="27"/>
      <c r="AN713" s="27"/>
      <c r="AO713" s="27"/>
      <c r="AP713" s="27"/>
      <c r="AQ713" s="27">
        <f t="shared" si="211"/>
        <v>1271435</v>
      </c>
      <c r="AR713" s="27">
        <f t="shared" si="212"/>
        <v>1271435</v>
      </c>
      <c r="AS713" s="27"/>
      <c r="AT713" s="27"/>
      <c r="AU713" s="27"/>
      <c r="AV713" s="27"/>
      <c r="AW713" s="27">
        <f t="shared" si="201"/>
        <v>2542870</v>
      </c>
      <c r="AX713" s="27">
        <f t="shared" si="220"/>
        <v>73743226</v>
      </c>
      <c r="AY713" s="27">
        <f t="shared" si="222"/>
        <v>2542870</v>
      </c>
      <c r="AZ713" s="25">
        <f t="shared" si="203"/>
        <v>1</v>
      </c>
      <c r="BA713" s="62"/>
      <c r="BB713" s="66">
        <v>1</v>
      </c>
      <c r="BC713" s="19"/>
      <c r="BD713" s="19"/>
      <c r="BE713" s="67">
        <f t="shared" si="223"/>
        <v>1271435</v>
      </c>
      <c r="BF713" s="67">
        <f t="shared" si="224"/>
        <v>0</v>
      </c>
      <c r="BG713" s="67">
        <f t="shared" si="225"/>
        <v>0</v>
      </c>
      <c r="BH713" s="19"/>
      <c r="BI713" s="19" t="s">
        <v>1896</v>
      </c>
      <c r="BJ713" s="19" t="s">
        <v>624</v>
      </c>
      <c r="BK713" s="19" t="s">
        <v>624</v>
      </c>
    </row>
    <row r="714" spans="3:63" ht="15" customHeight="1">
      <c r="C714" s="1" t="str">
        <f t="shared" si="218"/>
        <v>2906</v>
      </c>
      <c r="D714" s="1" t="str">
        <f t="shared" si="217"/>
        <v>2407</v>
      </c>
      <c r="E714" s="19" t="s">
        <v>2189</v>
      </c>
      <c r="F714" s="19" t="s">
        <v>1896</v>
      </c>
      <c r="G714" s="62">
        <v>2112</v>
      </c>
      <c r="H714" s="19" t="s">
        <v>2213</v>
      </c>
      <c r="I714" s="105" t="s">
        <v>2182</v>
      </c>
      <c r="J714" s="86">
        <v>1</v>
      </c>
      <c r="K714" s="19" t="s">
        <v>1737</v>
      </c>
      <c r="L714" s="157" t="s">
        <v>1027</v>
      </c>
      <c r="M714" s="224">
        <v>48</v>
      </c>
      <c r="N714" s="228">
        <v>45457</v>
      </c>
      <c r="O714" s="178"/>
      <c r="P714" s="19"/>
      <c r="Q714" s="163">
        <v>123713904</v>
      </c>
      <c r="R714" s="178"/>
      <c r="S714" s="201"/>
      <c r="T714" s="178"/>
      <c r="U714" s="19"/>
      <c r="V714" s="74">
        <v>123713904</v>
      </c>
      <c r="W714" s="75"/>
      <c r="X714" s="64">
        <v>123713904</v>
      </c>
      <c r="Y714" s="19"/>
      <c r="Z714" s="19"/>
      <c r="AA714" s="19"/>
      <c r="AB714" s="19"/>
      <c r="AC714" s="64">
        <v>123713904</v>
      </c>
      <c r="AD714" s="200">
        <v>45474</v>
      </c>
      <c r="AE714" s="188">
        <v>47299</v>
      </c>
      <c r="AF714" s="183">
        <v>5</v>
      </c>
      <c r="AG714" s="183">
        <v>60</v>
      </c>
      <c r="AH714" s="25">
        <v>2061898</v>
      </c>
      <c r="AI714" s="92"/>
      <c r="AJ714" s="92"/>
      <c r="AK714" s="27"/>
      <c r="AL714" s="26"/>
      <c r="AM714" s="27"/>
      <c r="AN714" s="27"/>
      <c r="AO714" s="27"/>
      <c r="AP714" s="27"/>
      <c r="AQ714" s="27">
        <f t="shared" si="211"/>
        <v>2061898</v>
      </c>
      <c r="AR714" s="27">
        <f t="shared" si="212"/>
        <v>2061898</v>
      </c>
      <c r="AS714" s="27"/>
      <c r="AT714" s="27"/>
      <c r="AU714" s="27"/>
      <c r="AV714" s="27"/>
      <c r="AW714" s="27">
        <f t="shared" si="201"/>
        <v>4123796</v>
      </c>
      <c r="AX714" s="27">
        <f t="shared" si="220"/>
        <v>119590108</v>
      </c>
      <c r="AY714" s="27">
        <f t="shared" si="222"/>
        <v>4123796</v>
      </c>
      <c r="AZ714" s="25">
        <f t="shared" si="203"/>
        <v>1</v>
      </c>
      <c r="BA714" s="62"/>
      <c r="BB714" s="66">
        <v>1</v>
      </c>
      <c r="BC714" s="19"/>
      <c r="BD714" s="19"/>
      <c r="BE714" s="67">
        <f t="shared" si="223"/>
        <v>2061898</v>
      </c>
      <c r="BF714" s="67">
        <f t="shared" si="224"/>
        <v>0</v>
      </c>
      <c r="BG714" s="67">
        <f t="shared" si="225"/>
        <v>0</v>
      </c>
      <c r="BH714" s="19"/>
      <c r="BI714" s="19" t="s">
        <v>1896</v>
      </c>
      <c r="BJ714" s="19" t="s">
        <v>624</v>
      </c>
      <c r="BK714" s="19" t="s">
        <v>624</v>
      </c>
    </row>
    <row r="715" spans="3:63" ht="15" customHeight="1">
      <c r="C715" s="1" t="str">
        <f t="shared" si="218"/>
        <v>3006</v>
      </c>
      <c r="D715" s="1" t="str">
        <f t="shared" si="217"/>
        <v>2407</v>
      </c>
      <c r="E715" s="19" t="s">
        <v>2189</v>
      </c>
      <c r="F715" s="19" t="s">
        <v>1896</v>
      </c>
      <c r="G715" s="62">
        <v>2112</v>
      </c>
      <c r="H715" s="19" t="s">
        <v>2215</v>
      </c>
      <c r="I715" s="105" t="s">
        <v>2180</v>
      </c>
      <c r="J715" s="86">
        <v>1</v>
      </c>
      <c r="K715" s="19" t="s">
        <v>2214</v>
      </c>
      <c r="L715" s="157" t="s">
        <v>2181</v>
      </c>
      <c r="M715" s="224">
        <v>1182</v>
      </c>
      <c r="N715" s="101">
        <v>45461</v>
      </c>
      <c r="O715" s="178"/>
      <c r="P715" s="19"/>
      <c r="Q715" s="163">
        <v>580000000</v>
      </c>
      <c r="R715" s="178"/>
      <c r="S715" s="201"/>
      <c r="T715" s="178"/>
      <c r="U715" s="19"/>
      <c r="V715" s="74">
        <v>580000000</v>
      </c>
      <c r="W715" s="75"/>
      <c r="X715" s="64">
        <v>580000000</v>
      </c>
      <c r="Y715" s="19"/>
      <c r="Z715" s="19"/>
      <c r="AA715" s="19"/>
      <c r="AB715" s="19"/>
      <c r="AC715" s="64">
        <v>580000000</v>
      </c>
      <c r="AD715" s="200">
        <v>45474</v>
      </c>
      <c r="AE715" s="65">
        <v>47664</v>
      </c>
      <c r="AF715" s="19">
        <v>6</v>
      </c>
      <c r="AG715" s="183">
        <v>72</v>
      </c>
      <c r="AH715" s="25">
        <v>8055556</v>
      </c>
      <c r="AI715" s="92"/>
      <c r="AJ715" s="92"/>
      <c r="AK715" s="27"/>
      <c r="AL715" s="26"/>
      <c r="AM715" s="27"/>
      <c r="AN715" s="27"/>
      <c r="AO715" s="27"/>
      <c r="AP715" s="27"/>
      <c r="AQ715" s="27">
        <f t="shared" si="211"/>
        <v>8055556</v>
      </c>
      <c r="AR715" s="27">
        <f t="shared" si="212"/>
        <v>8055556</v>
      </c>
      <c r="AS715" s="27"/>
      <c r="AT715" s="27"/>
      <c r="AU715" s="27"/>
      <c r="AV715" s="27"/>
      <c r="AW715" s="27">
        <f t="shared" si="201"/>
        <v>16111112</v>
      </c>
      <c r="AX715" s="27">
        <f t="shared" si="220"/>
        <v>563888888</v>
      </c>
      <c r="AY715" s="27">
        <f t="shared" si="222"/>
        <v>16111112</v>
      </c>
      <c r="AZ715" s="25">
        <f t="shared" si="203"/>
        <v>1</v>
      </c>
      <c r="BA715" s="62"/>
      <c r="BB715" s="66">
        <v>1</v>
      </c>
      <c r="BC715" s="19"/>
      <c r="BD715" s="19"/>
      <c r="BE715" s="67">
        <f t="shared" si="223"/>
        <v>8055556</v>
      </c>
      <c r="BF715" s="67">
        <f t="shared" si="224"/>
        <v>0</v>
      </c>
      <c r="BG715" s="67">
        <f t="shared" si="225"/>
        <v>0</v>
      </c>
      <c r="BH715" s="19"/>
      <c r="BI715" s="19" t="s">
        <v>1896</v>
      </c>
      <c r="BJ715" s="19" t="s">
        <v>1929</v>
      </c>
      <c r="BK715" s="19" t="s">
        <v>1989</v>
      </c>
    </row>
    <row r="716" spans="3:63" ht="15" customHeight="1">
      <c r="C716" s="1" t="str">
        <f t="shared" si="218"/>
        <v>2906</v>
      </c>
      <c r="D716" s="1" t="str">
        <f t="shared" si="217"/>
        <v>2407</v>
      </c>
      <c r="E716" s="19" t="s">
        <v>2189</v>
      </c>
      <c r="F716" s="19" t="s">
        <v>1896</v>
      </c>
      <c r="G716" s="62">
        <v>2114</v>
      </c>
      <c r="H716" s="19" t="s">
        <v>2216</v>
      </c>
      <c r="I716" s="105" t="s">
        <v>2179</v>
      </c>
      <c r="J716" s="86">
        <v>1</v>
      </c>
      <c r="K716" s="19" t="s">
        <v>2214</v>
      </c>
      <c r="L716" s="157" t="s">
        <v>1827</v>
      </c>
      <c r="M716" s="224">
        <v>366</v>
      </c>
      <c r="N716" s="101">
        <v>45473</v>
      </c>
      <c r="O716" s="178"/>
      <c r="P716" s="19"/>
      <c r="Q716" s="163">
        <v>32800000</v>
      </c>
      <c r="R716" s="178"/>
      <c r="S716" s="104"/>
      <c r="T716" s="19"/>
      <c r="U716" s="19"/>
      <c r="V716" s="74">
        <v>32800000</v>
      </c>
      <c r="W716" s="75"/>
      <c r="X716" s="64">
        <v>32800000</v>
      </c>
      <c r="Y716" s="19"/>
      <c r="Z716" s="19"/>
      <c r="AA716" s="19"/>
      <c r="AB716" s="19"/>
      <c r="AC716" s="64">
        <v>32800000</v>
      </c>
      <c r="AD716" s="63">
        <v>45474</v>
      </c>
      <c r="AE716" s="65">
        <v>47299</v>
      </c>
      <c r="AF716" s="19">
        <v>5</v>
      </c>
      <c r="AG716" s="183">
        <v>60</v>
      </c>
      <c r="AH716" s="25">
        <v>546667</v>
      </c>
      <c r="AI716" s="92"/>
      <c r="AJ716" s="92"/>
      <c r="AK716" s="27"/>
      <c r="AL716" s="26"/>
      <c r="AM716" s="27"/>
      <c r="AN716" s="27"/>
      <c r="AO716" s="27"/>
      <c r="AP716" s="27"/>
      <c r="AQ716" s="27">
        <f t="shared" si="211"/>
        <v>546667</v>
      </c>
      <c r="AR716" s="27">
        <f t="shared" si="212"/>
        <v>546667</v>
      </c>
      <c r="AS716" s="27"/>
      <c r="AT716" s="27"/>
      <c r="AU716" s="27"/>
      <c r="AV716" s="27"/>
      <c r="AW716" s="27">
        <f t="shared" si="201"/>
        <v>1093334</v>
      </c>
      <c r="AX716" s="27">
        <f t="shared" si="220"/>
        <v>31706666</v>
      </c>
      <c r="AY716" s="27">
        <f t="shared" si="222"/>
        <v>1093334</v>
      </c>
      <c r="AZ716" s="25">
        <f t="shared" si="203"/>
        <v>1</v>
      </c>
      <c r="BA716" s="62"/>
      <c r="BB716" s="66">
        <v>1</v>
      </c>
      <c r="BC716" s="19"/>
      <c r="BD716" s="19"/>
      <c r="BE716" s="67">
        <f t="shared" si="223"/>
        <v>546667</v>
      </c>
      <c r="BF716" s="67">
        <f t="shared" si="224"/>
        <v>0</v>
      </c>
      <c r="BG716" s="67">
        <f t="shared" si="225"/>
        <v>0</v>
      </c>
      <c r="BH716" s="19"/>
      <c r="BI716" s="19" t="s">
        <v>1896</v>
      </c>
      <c r="BJ716" s="19" t="s">
        <v>1929</v>
      </c>
      <c r="BK716" s="19" t="s">
        <v>1989</v>
      </c>
    </row>
    <row r="717" spans="3:63" ht="15" customHeight="1">
      <c r="C717" s="1" t="str">
        <f t="shared" si="218"/>
        <v>2906</v>
      </c>
      <c r="D717" s="1" t="str">
        <f t="shared" si="217"/>
        <v>2407</v>
      </c>
      <c r="E717" s="19" t="s">
        <v>2189</v>
      </c>
      <c r="F717" s="19" t="s">
        <v>1896</v>
      </c>
      <c r="G717" s="62">
        <v>2114</v>
      </c>
      <c r="H717" s="19" t="s">
        <v>2217</v>
      </c>
      <c r="I717" s="105" t="s">
        <v>2179</v>
      </c>
      <c r="J717" s="86">
        <v>1</v>
      </c>
      <c r="K717" s="19" t="s">
        <v>2214</v>
      </c>
      <c r="L717" s="157" t="s">
        <v>1827</v>
      </c>
      <c r="M717" s="224">
        <v>366</v>
      </c>
      <c r="N717" s="101">
        <v>45473</v>
      </c>
      <c r="O717" s="178"/>
      <c r="P717" s="19"/>
      <c r="Q717" s="163">
        <v>32800000</v>
      </c>
      <c r="R717" s="178"/>
      <c r="S717" s="104"/>
      <c r="T717" s="19"/>
      <c r="U717" s="19"/>
      <c r="V717" s="74">
        <v>32800000</v>
      </c>
      <c r="W717" s="75"/>
      <c r="X717" s="64">
        <v>32800000</v>
      </c>
      <c r="Y717" s="19"/>
      <c r="Z717" s="19"/>
      <c r="AA717" s="19"/>
      <c r="AB717" s="19"/>
      <c r="AC717" s="64">
        <v>32800000</v>
      </c>
      <c r="AD717" s="63">
        <v>45474</v>
      </c>
      <c r="AE717" s="65">
        <v>47299</v>
      </c>
      <c r="AF717" s="19">
        <v>5</v>
      </c>
      <c r="AG717" s="183">
        <v>60</v>
      </c>
      <c r="AH717" s="25">
        <v>546667</v>
      </c>
      <c r="AI717" s="92"/>
      <c r="AJ717" s="92"/>
      <c r="AK717" s="27"/>
      <c r="AL717" s="26"/>
      <c r="AM717" s="27"/>
      <c r="AN717" s="27"/>
      <c r="AO717" s="27"/>
      <c r="AP717" s="27"/>
      <c r="AQ717" s="27">
        <f t="shared" si="211"/>
        <v>546667</v>
      </c>
      <c r="AR717" s="27">
        <f t="shared" si="212"/>
        <v>546667</v>
      </c>
      <c r="AS717" s="27"/>
      <c r="AT717" s="27"/>
      <c r="AU717" s="27"/>
      <c r="AV717" s="27"/>
      <c r="AW717" s="27">
        <f t="shared" si="201"/>
        <v>1093334</v>
      </c>
      <c r="AX717" s="27">
        <f t="shared" si="220"/>
        <v>31706666</v>
      </c>
      <c r="AY717" s="27">
        <f t="shared" si="222"/>
        <v>1093334</v>
      </c>
      <c r="AZ717" s="25">
        <f t="shared" si="203"/>
        <v>1</v>
      </c>
      <c r="BA717" s="62"/>
      <c r="BB717" s="66">
        <v>1</v>
      </c>
      <c r="BC717" s="19"/>
      <c r="BD717" s="19"/>
      <c r="BE717" s="67">
        <f t="shared" si="223"/>
        <v>546667</v>
      </c>
      <c r="BF717" s="67">
        <f t="shared" si="224"/>
        <v>0</v>
      </c>
      <c r="BG717" s="67">
        <f t="shared" si="225"/>
        <v>0</v>
      </c>
      <c r="BH717" s="19"/>
      <c r="BI717" s="19" t="s">
        <v>1896</v>
      </c>
      <c r="BJ717" s="19" t="s">
        <v>1929</v>
      </c>
      <c r="BK717" s="19" t="s">
        <v>1989</v>
      </c>
    </row>
    <row r="718" spans="3:63" ht="15" customHeight="1">
      <c r="C718" s="1" t="str">
        <f t="shared" si="218"/>
        <v>2906</v>
      </c>
      <c r="D718" s="1" t="str">
        <f t="shared" si="217"/>
        <v>2407</v>
      </c>
      <c r="E718" s="19" t="s">
        <v>2189</v>
      </c>
      <c r="F718" s="19" t="s">
        <v>1896</v>
      </c>
      <c r="G718" s="62">
        <v>2114</v>
      </c>
      <c r="H718" s="19" t="s">
        <v>2218</v>
      </c>
      <c r="I718" s="105" t="s">
        <v>2179</v>
      </c>
      <c r="J718" s="86">
        <v>1</v>
      </c>
      <c r="K718" s="19" t="s">
        <v>2214</v>
      </c>
      <c r="L718" s="157" t="s">
        <v>1827</v>
      </c>
      <c r="M718" s="224">
        <v>366</v>
      </c>
      <c r="N718" s="101">
        <v>45473</v>
      </c>
      <c r="O718" s="178"/>
      <c r="P718" s="19"/>
      <c r="Q718" s="163">
        <v>32800000</v>
      </c>
      <c r="R718" s="178"/>
      <c r="S718" s="104"/>
      <c r="T718" s="19"/>
      <c r="U718" s="19"/>
      <c r="V718" s="74">
        <v>32800000</v>
      </c>
      <c r="W718" s="75"/>
      <c r="X718" s="64">
        <v>32800000</v>
      </c>
      <c r="Y718" s="19"/>
      <c r="Z718" s="19"/>
      <c r="AA718" s="19"/>
      <c r="AB718" s="19"/>
      <c r="AC718" s="64">
        <v>32800000</v>
      </c>
      <c r="AD718" s="63">
        <v>45474</v>
      </c>
      <c r="AE718" s="65">
        <v>47299</v>
      </c>
      <c r="AF718" s="19">
        <v>5</v>
      </c>
      <c r="AG718" s="183">
        <v>60</v>
      </c>
      <c r="AH718" s="25">
        <v>546667</v>
      </c>
      <c r="AI718" s="92"/>
      <c r="AJ718" s="92"/>
      <c r="AK718" s="27"/>
      <c r="AL718" s="26"/>
      <c r="AM718" s="27"/>
      <c r="AN718" s="27"/>
      <c r="AO718" s="27"/>
      <c r="AP718" s="27"/>
      <c r="AQ718" s="27">
        <f t="shared" si="211"/>
        <v>546667</v>
      </c>
      <c r="AR718" s="27">
        <f t="shared" si="212"/>
        <v>546667</v>
      </c>
      <c r="AS718" s="27"/>
      <c r="AT718" s="27"/>
      <c r="AU718" s="27"/>
      <c r="AV718" s="27"/>
      <c r="AW718" s="27">
        <f t="shared" si="201"/>
        <v>1093334</v>
      </c>
      <c r="AX718" s="27">
        <f t="shared" si="220"/>
        <v>31706666</v>
      </c>
      <c r="AY718" s="27">
        <f t="shared" si="222"/>
        <v>1093334</v>
      </c>
      <c r="AZ718" s="25">
        <f t="shared" si="203"/>
        <v>1</v>
      </c>
      <c r="BA718" s="62"/>
      <c r="BB718" s="66">
        <v>1</v>
      </c>
      <c r="BC718" s="19"/>
      <c r="BD718" s="19"/>
      <c r="BE718" s="67">
        <f t="shared" si="223"/>
        <v>546667</v>
      </c>
      <c r="BF718" s="67">
        <f t="shared" si="224"/>
        <v>0</v>
      </c>
      <c r="BG718" s="67">
        <f t="shared" si="225"/>
        <v>0</v>
      </c>
      <c r="BH718" s="19"/>
      <c r="BI718" s="19" t="s">
        <v>1896</v>
      </c>
      <c r="BJ718" s="19" t="s">
        <v>1929</v>
      </c>
      <c r="BK718" s="19" t="s">
        <v>1989</v>
      </c>
    </row>
    <row r="719" spans="3:63" ht="15" customHeight="1">
      <c r="C719" s="1" t="str">
        <f t="shared" si="218"/>
        <v>2906</v>
      </c>
      <c r="D719" s="1" t="str">
        <f t="shared" si="217"/>
        <v>2407</v>
      </c>
      <c r="E719" s="19" t="s">
        <v>2189</v>
      </c>
      <c r="F719" s="19" t="s">
        <v>1896</v>
      </c>
      <c r="G719" s="62">
        <v>2114</v>
      </c>
      <c r="H719" s="19" t="s">
        <v>2219</v>
      </c>
      <c r="I719" s="105" t="s">
        <v>2179</v>
      </c>
      <c r="J719" s="86">
        <v>1</v>
      </c>
      <c r="K719" s="19" t="s">
        <v>2214</v>
      </c>
      <c r="L719" s="157" t="s">
        <v>1827</v>
      </c>
      <c r="M719" s="224">
        <v>366</v>
      </c>
      <c r="N719" s="101">
        <v>45473</v>
      </c>
      <c r="O719" s="178"/>
      <c r="P719" s="19"/>
      <c r="Q719" s="163">
        <v>32800000</v>
      </c>
      <c r="R719" s="178"/>
      <c r="S719" s="19"/>
      <c r="T719" s="19"/>
      <c r="U719" s="19"/>
      <c r="V719" s="74">
        <v>32800000</v>
      </c>
      <c r="W719" s="75"/>
      <c r="X719" s="64">
        <v>32800000</v>
      </c>
      <c r="Y719" s="19"/>
      <c r="Z719" s="19"/>
      <c r="AA719" s="19"/>
      <c r="AB719" s="19"/>
      <c r="AC719" s="64">
        <v>32800000</v>
      </c>
      <c r="AD719" s="63">
        <v>45474</v>
      </c>
      <c r="AE719" s="65">
        <v>47299</v>
      </c>
      <c r="AF719" s="19">
        <v>5</v>
      </c>
      <c r="AG719" s="183">
        <v>60</v>
      </c>
      <c r="AH719" s="25">
        <v>546667</v>
      </c>
      <c r="AI719" s="92"/>
      <c r="AJ719" s="92"/>
      <c r="AK719" s="27"/>
      <c r="AL719" s="26"/>
      <c r="AM719" s="27"/>
      <c r="AN719" s="27"/>
      <c r="AO719" s="27"/>
      <c r="AP719" s="27"/>
      <c r="AQ719" s="27">
        <f t="shared" si="211"/>
        <v>546667</v>
      </c>
      <c r="AR719" s="27">
        <f t="shared" si="212"/>
        <v>546667</v>
      </c>
      <c r="AS719" s="27"/>
      <c r="AT719" s="27"/>
      <c r="AU719" s="27"/>
      <c r="AV719" s="27"/>
      <c r="AW719" s="27">
        <f t="shared" si="201"/>
        <v>1093334</v>
      </c>
      <c r="AX719" s="27">
        <f t="shared" si="220"/>
        <v>31706666</v>
      </c>
      <c r="AY719" s="27">
        <f t="shared" si="222"/>
        <v>1093334</v>
      </c>
      <c r="AZ719" s="25">
        <f t="shared" si="203"/>
        <v>1</v>
      </c>
      <c r="BA719" s="62"/>
      <c r="BB719" s="66">
        <v>1</v>
      </c>
      <c r="BC719" s="19"/>
      <c r="BD719" s="19"/>
      <c r="BE719" s="67">
        <f t="shared" si="223"/>
        <v>546667</v>
      </c>
      <c r="BF719" s="67">
        <f t="shared" si="224"/>
        <v>0</v>
      </c>
      <c r="BG719" s="67">
        <f t="shared" si="225"/>
        <v>0</v>
      </c>
      <c r="BH719" s="19"/>
      <c r="BI719" s="19" t="s">
        <v>1896</v>
      </c>
      <c r="BJ719" s="19" t="s">
        <v>1929</v>
      </c>
      <c r="BK719" s="19" t="s">
        <v>1989</v>
      </c>
    </row>
    <row r="720" spans="3:63" ht="15" customHeight="1">
      <c r="C720" s="1" t="str">
        <f t="shared" si="218"/>
        <v>2906</v>
      </c>
      <c r="D720" s="1" t="str">
        <f t="shared" si="217"/>
        <v>2407</v>
      </c>
      <c r="E720" s="19" t="s">
        <v>2189</v>
      </c>
      <c r="F720" s="19" t="s">
        <v>1896</v>
      </c>
      <c r="G720" s="62">
        <v>2114</v>
      </c>
      <c r="H720" s="19" t="s">
        <v>2220</v>
      </c>
      <c r="I720" s="105" t="s">
        <v>2179</v>
      </c>
      <c r="J720" s="86">
        <v>1</v>
      </c>
      <c r="K720" s="19" t="s">
        <v>2214</v>
      </c>
      <c r="L720" s="157" t="s">
        <v>1827</v>
      </c>
      <c r="M720" s="224">
        <v>366</v>
      </c>
      <c r="N720" s="101">
        <v>45473</v>
      </c>
      <c r="O720" s="178"/>
      <c r="P720" s="19"/>
      <c r="Q720" s="163">
        <v>32800000</v>
      </c>
      <c r="R720" s="178"/>
      <c r="S720" s="19"/>
      <c r="T720" s="19"/>
      <c r="U720" s="19"/>
      <c r="V720" s="74">
        <v>32800000</v>
      </c>
      <c r="W720" s="75"/>
      <c r="X720" s="64">
        <v>32800000</v>
      </c>
      <c r="Y720" s="19"/>
      <c r="Z720" s="19"/>
      <c r="AA720" s="19"/>
      <c r="AB720" s="19"/>
      <c r="AC720" s="64">
        <v>32800000</v>
      </c>
      <c r="AD720" s="63">
        <v>45474</v>
      </c>
      <c r="AE720" s="65">
        <v>47299</v>
      </c>
      <c r="AF720" s="19">
        <v>5</v>
      </c>
      <c r="AG720" s="183">
        <v>60</v>
      </c>
      <c r="AH720" s="25">
        <v>546667</v>
      </c>
      <c r="AI720" s="92"/>
      <c r="AJ720" s="92"/>
      <c r="AK720" s="27"/>
      <c r="AL720" s="26"/>
      <c r="AM720" s="27"/>
      <c r="AN720" s="27"/>
      <c r="AO720" s="27"/>
      <c r="AP720" s="27"/>
      <c r="AQ720" s="27">
        <f t="shared" si="211"/>
        <v>546667</v>
      </c>
      <c r="AR720" s="27">
        <f t="shared" si="212"/>
        <v>546667</v>
      </c>
      <c r="AS720" s="27"/>
      <c r="AT720" s="27"/>
      <c r="AU720" s="27"/>
      <c r="AV720" s="27"/>
      <c r="AW720" s="27">
        <f t="shared" si="201"/>
        <v>1093334</v>
      </c>
      <c r="AX720" s="27">
        <f t="shared" si="220"/>
        <v>31706666</v>
      </c>
      <c r="AY720" s="27">
        <f t="shared" si="222"/>
        <v>1093334</v>
      </c>
      <c r="AZ720" s="25">
        <f t="shared" si="203"/>
        <v>1</v>
      </c>
      <c r="BA720" s="62"/>
      <c r="BB720" s="66">
        <v>1</v>
      </c>
      <c r="BC720" s="19"/>
      <c r="BD720" s="19"/>
      <c r="BE720" s="67">
        <f t="shared" si="223"/>
        <v>546667</v>
      </c>
      <c r="BF720" s="67">
        <f t="shared" si="224"/>
        <v>0</v>
      </c>
      <c r="BG720" s="67">
        <f t="shared" si="225"/>
        <v>0</v>
      </c>
      <c r="BH720" s="19"/>
      <c r="BI720" s="19" t="s">
        <v>1896</v>
      </c>
      <c r="BJ720" s="19" t="s">
        <v>1929</v>
      </c>
      <c r="BK720" s="19" t="s">
        <v>1989</v>
      </c>
    </row>
    <row r="721" spans="3:63" ht="15" customHeight="1">
      <c r="C721" s="1" t="str">
        <f t="shared" si="218"/>
        <v>2906</v>
      </c>
      <c r="D721" s="1" t="str">
        <f t="shared" si="217"/>
        <v>2407</v>
      </c>
      <c r="E721" s="19" t="s">
        <v>2189</v>
      </c>
      <c r="F721" s="19" t="s">
        <v>1896</v>
      </c>
      <c r="G721" s="62">
        <v>2114</v>
      </c>
      <c r="H721" s="19" t="s">
        <v>2221</v>
      </c>
      <c r="I721" s="105" t="s">
        <v>2179</v>
      </c>
      <c r="J721" s="86">
        <v>1</v>
      </c>
      <c r="K721" s="19" t="s">
        <v>2214</v>
      </c>
      <c r="L721" s="157" t="s">
        <v>1827</v>
      </c>
      <c r="M721" s="224">
        <v>366</v>
      </c>
      <c r="N721" s="101">
        <v>45473</v>
      </c>
      <c r="O721" s="178"/>
      <c r="P721" s="19"/>
      <c r="Q721" s="163">
        <v>32800000</v>
      </c>
      <c r="R721" s="178"/>
      <c r="S721" s="19"/>
      <c r="T721" s="19"/>
      <c r="U721" s="19"/>
      <c r="V721" s="74">
        <v>32800000</v>
      </c>
      <c r="W721" s="75"/>
      <c r="X721" s="64">
        <v>32800000</v>
      </c>
      <c r="Y721" s="19"/>
      <c r="Z721" s="19"/>
      <c r="AA721" s="19"/>
      <c r="AB721" s="19"/>
      <c r="AC721" s="64">
        <v>32800000</v>
      </c>
      <c r="AD721" s="63">
        <v>45474</v>
      </c>
      <c r="AE721" s="65">
        <v>47299</v>
      </c>
      <c r="AF721" s="19">
        <v>5</v>
      </c>
      <c r="AG721" s="183">
        <v>60</v>
      </c>
      <c r="AH721" s="25">
        <v>546667</v>
      </c>
      <c r="AI721" s="92"/>
      <c r="AJ721" s="92"/>
      <c r="AK721" s="27"/>
      <c r="AL721" s="26"/>
      <c r="AM721" s="27"/>
      <c r="AN721" s="27"/>
      <c r="AO721" s="27"/>
      <c r="AP721" s="27"/>
      <c r="AQ721" s="27">
        <f t="shared" si="211"/>
        <v>546667</v>
      </c>
      <c r="AR721" s="27">
        <f t="shared" si="212"/>
        <v>546667</v>
      </c>
      <c r="AS721" s="27"/>
      <c r="AT721" s="27"/>
      <c r="AU721" s="27"/>
      <c r="AV721" s="27"/>
      <c r="AW721" s="27">
        <f t="shared" si="201"/>
        <v>1093334</v>
      </c>
      <c r="AX721" s="27">
        <f t="shared" si="220"/>
        <v>31706666</v>
      </c>
      <c r="AY721" s="27">
        <f t="shared" si="222"/>
        <v>1093334</v>
      </c>
      <c r="AZ721" s="25">
        <f t="shared" si="203"/>
        <v>1</v>
      </c>
      <c r="BA721" s="62"/>
      <c r="BB721" s="66">
        <v>1</v>
      </c>
      <c r="BC721" s="19"/>
      <c r="BD721" s="19"/>
      <c r="BE721" s="67">
        <f t="shared" si="223"/>
        <v>546667</v>
      </c>
      <c r="BF721" s="67">
        <f t="shared" si="224"/>
        <v>0</v>
      </c>
      <c r="BG721" s="67">
        <f t="shared" si="225"/>
        <v>0</v>
      </c>
      <c r="BH721" s="19"/>
      <c r="BI721" s="19" t="s">
        <v>1896</v>
      </c>
      <c r="BJ721" s="19" t="s">
        <v>1929</v>
      </c>
      <c r="BK721" s="19" t="s">
        <v>1989</v>
      </c>
    </row>
    <row r="722" spans="3:63" ht="15" customHeight="1">
      <c r="C722" s="1" t="str">
        <f t="shared" si="218"/>
        <v>2906</v>
      </c>
      <c r="D722" s="1" t="str">
        <f t="shared" si="217"/>
        <v>2407</v>
      </c>
      <c r="E722" s="19" t="s">
        <v>2189</v>
      </c>
      <c r="F722" s="19" t="s">
        <v>1923</v>
      </c>
      <c r="G722" s="62">
        <v>2114</v>
      </c>
      <c r="H722" s="19" t="s">
        <v>2222</v>
      </c>
      <c r="I722" s="105" t="s">
        <v>2178</v>
      </c>
      <c r="J722" s="86">
        <v>1</v>
      </c>
      <c r="K722" s="19" t="s">
        <v>2214</v>
      </c>
      <c r="L722" s="157" t="s">
        <v>1827</v>
      </c>
      <c r="M722" s="224">
        <v>369</v>
      </c>
      <c r="N722" s="101">
        <v>45473</v>
      </c>
      <c r="O722" s="178"/>
      <c r="P722" s="19"/>
      <c r="Q722" s="163">
        <v>32800000</v>
      </c>
      <c r="R722" s="178"/>
      <c r="S722" s="19"/>
      <c r="T722" s="19"/>
      <c r="U722" s="19"/>
      <c r="V722" s="74">
        <v>32800000</v>
      </c>
      <c r="W722" s="75"/>
      <c r="X722" s="64">
        <v>32800000</v>
      </c>
      <c r="Y722" s="19"/>
      <c r="Z722" s="19"/>
      <c r="AA722" s="19"/>
      <c r="AB722" s="19"/>
      <c r="AC722" s="64">
        <v>32800000</v>
      </c>
      <c r="AD722" s="63">
        <v>45474</v>
      </c>
      <c r="AE722" s="65">
        <v>47299</v>
      </c>
      <c r="AF722" s="19">
        <v>5</v>
      </c>
      <c r="AG722" s="183">
        <v>60</v>
      </c>
      <c r="AH722" s="25">
        <v>546667</v>
      </c>
      <c r="AI722" s="92"/>
      <c r="AJ722" s="92"/>
      <c r="AK722" s="27"/>
      <c r="AL722" s="26"/>
      <c r="AM722" s="27"/>
      <c r="AN722" s="27"/>
      <c r="AO722" s="27"/>
      <c r="AP722" s="27"/>
      <c r="AQ722" s="27">
        <f t="shared" si="211"/>
        <v>546667</v>
      </c>
      <c r="AR722" s="27">
        <f t="shared" si="212"/>
        <v>546667</v>
      </c>
      <c r="AS722" s="27"/>
      <c r="AT722" s="27"/>
      <c r="AU722" s="27"/>
      <c r="AV722" s="27"/>
      <c r="AW722" s="27">
        <f t="shared" si="201"/>
        <v>1093334</v>
      </c>
      <c r="AX722" s="27">
        <f t="shared" si="220"/>
        <v>31706666</v>
      </c>
      <c r="AY722" s="27">
        <f t="shared" si="222"/>
        <v>1093334</v>
      </c>
      <c r="AZ722" s="25">
        <f t="shared" si="203"/>
        <v>1</v>
      </c>
      <c r="BA722" s="62"/>
      <c r="BB722" s="66">
        <v>1</v>
      </c>
      <c r="BC722" s="19"/>
      <c r="BD722" s="19"/>
      <c r="BE722" s="67">
        <f t="shared" si="223"/>
        <v>546667</v>
      </c>
      <c r="BF722" s="67">
        <f t="shared" si="224"/>
        <v>0</v>
      </c>
      <c r="BG722" s="67">
        <f t="shared" si="225"/>
        <v>0</v>
      </c>
      <c r="BH722" s="19"/>
      <c r="BI722" s="19" t="s">
        <v>1923</v>
      </c>
      <c r="BJ722" s="19" t="s">
        <v>58</v>
      </c>
      <c r="BK722" s="19" t="s">
        <v>59</v>
      </c>
    </row>
    <row r="723" spans="3:63" ht="15" customHeight="1">
      <c r="C723" s="1" t="str">
        <f t="shared" si="218"/>
        <v>2906</v>
      </c>
      <c r="D723" s="1" t="str">
        <f t="shared" si="217"/>
        <v>2407</v>
      </c>
      <c r="E723" s="19" t="s">
        <v>2189</v>
      </c>
      <c r="F723" s="19" t="s">
        <v>1923</v>
      </c>
      <c r="G723" s="62">
        <v>2114</v>
      </c>
      <c r="H723" s="19" t="s">
        <v>2223</v>
      </c>
      <c r="I723" s="105" t="s">
        <v>2178</v>
      </c>
      <c r="J723" s="86">
        <v>1</v>
      </c>
      <c r="K723" s="19" t="s">
        <v>2214</v>
      </c>
      <c r="L723" s="157" t="s">
        <v>1827</v>
      </c>
      <c r="M723" s="224">
        <v>369</v>
      </c>
      <c r="N723" s="101">
        <v>45473</v>
      </c>
      <c r="O723" s="178"/>
      <c r="P723" s="19"/>
      <c r="Q723" s="163">
        <v>32800000</v>
      </c>
      <c r="R723" s="19"/>
      <c r="S723" s="19"/>
      <c r="T723" s="19"/>
      <c r="U723" s="19"/>
      <c r="V723" s="74">
        <v>32800000</v>
      </c>
      <c r="W723" s="75"/>
      <c r="X723" s="64">
        <v>32800000</v>
      </c>
      <c r="Y723" s="19"/>
      <c r="Z723" s="19"/>
      <c r="AA723" s="19"/>
      <c r="AB723" s="19"/>
      <c r="AC723" s="64">
        <v>32800000</v>
      </c>
      <c r="AD723" s="63">
        <v>45474</v>
      </c>
      <c r="AE723" s="65">
        <v>47299</v>
      </c>
      <c r="AF723" s="19">
        <v>5</v>
      </c>
      <c r="AG723" s="183">
        <v>60</v>
      </c>
      <c r="AH723" s="25">
        <v>546667</v>
      </c>
      <c r="AI723" s="92"/>
      <c r="AJ723" s="92"/>
      <c r="AK723" s="27"/>
      <c r="AL723" s="26"/>
      <c r="AM723" s="27"/>
      <c r="AN723" s="27"/>
      <c r="AO723" s="27"/>
      <c r="AP723" s="27"/>
      <c r="AQ723" s="27">
        <f t="shared" si="211"/>
        <v>546667</v>
      </c>
      <c r="AR723" s="27">
        <f t="shared" si="212"/>
        <v>546667</v>
      </c>
      <c r="AS723" s="27"/>
      <c r="AT723" s="27"/>
      <c r="AU723" s="27"/>
      <c r="AV723" s="27"/>
      <c r="AW723" s="27">
        <f t="shared" si="201"/>
        <v>1093334</v>
      </c>
      <c r="AX723" s="27">
        <f t="shared" si="220"/>
        <v>31706666</v>
      </c>
      <c r="AY723" s="27">
        <f t="shared" si="222"/>
        <v>1093334</v>
      </c>
      <c r="AZ723" s="25">
        <f t="shared" si="203"/>
        <v>1</v>
      </c>
      <c r="BA723" s="62"/>
      <c r="BB723" s="66">
        <v>1</v>
      </c>
      <c r="BC723" s="19"/>
      <c r="BD723" s="19"/>
      <c r="BE723" s="67">
        <f t="shared" si="223"/>
        <v>546667</v>
      </c>
      <c r="BF723" s="67">
        <f t="shared" si="224"/>
        <v>0</v>
      </c>
      <c r="BG723" s="67">
        <f t="shared" si="225"/>
        <v>0</v>
      </c>
      <c r="BH723" s="19"/>
      <c r="BI723" s="19" t="s">
        <v>1923</v>
      </c>
      <c r="BJ723" s="19" t="s">
        <v>58</v>
      </c>
      <c r="BK723" s="19" t="s">
        <v>59</v>
      </c>
    </row>
    <row r="724" spans="3:63" ht="15" customHeight="1">
      <c r="C724" s="1" t="str">
        <f t="shared" si="218"/>
        <v>2906</v>
      </c>
      <c r="D724" s="1" t="str">
        <f t="shared" si="217"/>
        <v>2407</v>
      </c>
      <c r="E724" s="19" t="s">
        <v>2189</v>
      </c>
      <c r="F724" s="19" t="s">
        <v>1923</v>
      </c>
      <c r="G724" s="62">
        <v>2114</v>
      </c>
      <c r="H724" s="19" t="s">
        <v>2224</v>
      </c>
      <c r="I724" s="105" t="s">
        <v>2178</v>
      </c>
      <c r="J724" s="86">
        <v>1</v>
      </c>
      <c r="K724" s="19" t="s">
        <v>2214</v>
      </c>
      <c r="L724" s="157" t="s">
        <v>1827</v>
      </c>
      <c r="M724" s="224">
        <v>369</v>
      </c>
      <c r="N724" s="101">
        <v>45473</v>
      </c>
      <c r="O724" s="178"/>
      <c r="P724" s="19"/>
      <c r="Q724" s="163">
        <v>32800000</v>
      </c>
      <c r="R724" s="19"/>
      <c r="S724" s="19"/>
      <c r="T724" s="19"/>
      <c r="U724" s="19"/>
      <c r="V724" s="74">
        <v>32800000</v>
      </c>
      <c r="W724" s="75"/>
      <c r="X724" s="64">
        <v>32800000</v>
      </c>
      <c r="Y724" s="19"/>
      <c r="Z724" s="19"/>
      <c r="AA724" s="19"/>
      <c r="AB724" s="19"/>
      <c r="AC724" s="64">
        <v>32800000</v>
      </c>
      <c r="AD724" s="63">
        <v>45474</v>
      </c>
      <c r="AE724" s="65">
        <v>47299</v>
      </c>
      <c r="AF724" s="19">
        <v>5</v>
      </c>
      <c r="AG724" s="183">
        <v>60</v>
      </c>
      <c r="AH724" s="25">
        <v>546667</v>
      </c>
      <c r="AI724" s="92"/>
      <c r="AJ724" s="92"/>
      <c r="AK724" s="27"/>
      <c r="AL724" s="26"/>
      <c r="AM724" s="27"/>
      <c r="AN724" s="27"/>
      <c r="AO724" s="27"/>
      <c r="AP724" s="27"/>
      <c r="AQ724" s="27">
        <f t="shared" si="211"/>
        <v>546667</v>
      </c>
      <c r="AR724" s="27">
        <f t="shared" si="212"/>
        <v>546667</v>
      </c>
      <c r="AS724" s="27"/>
      <c r="AT724" s="27"/>
      <c r="AU724" s="27"/>
      <c r="AV724" s="27"/>
      <c r="AW724" s="27">
        <f t="shared" si="201"/>
        <v>1093334</v>
      </c>
      <c r="AX724" s="27">
        <f t="shared" si="220"/>
        <v>31706666</v>
      </c>
      <c r="AY724" s="27">
        <f t="shared" si="222"/>
        <v>1093334</v>
      </c>
      <c r="AZ724" s="25">
        <f t="shared" si="203"/>
        <v>1</v>
      </c>
      <c r="BA724" s="62"/>
      <c r="BB724" s="66">
        <v>1</v>
      </c>
      <c r="BC724" s="19"/>
      <c r="BD724" s="19"/>
      <c r="BE724" s="67">
        <f t="shared" si="223"/>
        <v>546667</v>
      </c>
      <c r="BF724" s="67">
        <f t="shared" si="224"/>
        <v>0</v>
      </c>
      <c r="BG724" s="67">
        <f t="shared" si="225"/>
        <v>0</v>
      </c>
      <c r="BH724" s="19"/>
      <c r="BI724" s="19" t="s">
        <v>1923</v>
      </c>
      <c r="BJ724" s="19" t="s">
        <v>58</v>
      </c>
      <c r="BK724" s="19" t="s">
        <v>59</v>
      </c>
    </row>
    <row r="725" spans="3:63" ht="15" customHeight="1">
      <c r="C725" s="1" t="str">
        <f t="shared" si="218"/>
        <v>2906</v>
      </c>
      <c r="D725" s="1" t="str">
        <f t="shared" si="217"/>
        <v>2407</v>
      </c>
      <c r="E725" s="19" t="s">
        <v>2189</v>
      </c>
      <c r="F725" s="19" t="s">
        <v>1923</v>
      </c>
      <c r="G725" s="62">
        <v>2114</v>
      </c>
      <c r="H725" s="19" t="s">
        <v>2225</v>
      </c>
      <c r="I725" s="105" t="s">
        <v>2178</v>
      </c>
      <c r="J725" s="86">
        <v>1</v>
      </c>
      <c r="K725" s="19" t="s">
        <v>2214</v>
      </c>
      <c r="L725" s="157" t="s">
        <v>1827</v>
      </c>
      <c r="M725" s="224">
        <v>369</v>
      </c>
      <c r="N725" s="101">
        <v>45473</v>
      </c>
      <c r="O725" s="180"/>
      <c r="P725" s="19"/>
      <c r="Q725" s="163">
        <v>32800000</v>
      </c>
      <c r="R725" s="19"/>
      <c r="S725" s="19"/>
      <c r="T725" s="19"/>
      <c r="U725" s="19"/>
      <c r="V725" s="74">
        <v>32800000</v>
      </c>
      <c r="W725" s="75"/>
      <c r="X725" s="64">
        <v>32800000</v>
      </c>
      <c r="Y725" s="19"/>
      <c r="Z725" s="19"/>
      <c r="AA725" s="19"/>
      <c r="AB725" s="19"/>
      <c r="AC725" s="64">
        <v>32800000</v>
      </c>
      <c r="AD725" s="63">
        <v>45474</v>
      </c>
      <c r="AE725" s="65">
        <v>47299</v>
      </c>
      <c r="AF725" s="19">
        <v>5</v>
      </c>
      <c r="AG725" s="183">
        <v>60</v>
      </c>
      <c r="AH725" s="25">
        <v>546667</v>
      </c>
      <c r="AI725" s="92"/>
      <c r="AJ725" s="92"/>
      <c r="AK725" s="27"/>
      <c r="AL725" s="26"/>
      <c r="AM725" s="27"/>
      <c r="AN725" s="27"/>
      <c r="AO725" s="27"/>
      <c r="AP725" s="27"/>
      <c r="AQ725" s="27">
        <f t="shared" si="211"/>
        <v>546667</v>
      </c>
      <c r="AR725" s="27">
        <f t="shared" si="212"/>
        <v>546667</v>
      </c>
      <c r="AS725" s="27"/>
      <c r="AT725" s="27"/>
      <c r="AU725" s="27"/>
      <c r="AV725" s="27"/>
      <c r="AW725" s="27">
        <f t="shared" si="201"/>
        <v>1093334</v>
      </c>
      <c r="AX725" s="27">
        <f t="shared" si="220"/>
        <v>31706666</v>
      </c>
      <c r="AY725" s="27">
        <f t="shared" si="222"/>
        <v>1093334</v>
      </c>
      <c r="AZ725" s="25">
        <f t="shared" si="203"/>
        <v>1</v>
      </c>
      <c r="BA725" s="62"/>
      <c r="BB725" s="66">
        <v>1</v>
      </c>
      <c r="BC725" s="19"/>
      <c r="BD725" s="19"/>
      <c r="BE725" s="67">
        <f t="shared" si="223"/>
        <v>546667</v>
      </c>
      <c r="BF725" s="67">
        <f t="shared" si="224"/>
        <v>0</v>
      </c>
      <c r="BG725" s="67">
        <f t="shared" si="225"/>
        <v>0</v>
      </c>
      <c r="BH725" s="19"/>
      <c r="BI725" s="19" t="s">
        <v>1923</v>
      </c>
      <c r="BJ725" s="19" t="s">
        <v>58</v>
      </c>
      <c r="BK725" s="19" t="s">
        <v>59</v>
      </c>
    </row>
    <row r="726" spans="3:63" ht="15" customHeight="1">
      <c r="C726" s="1" t="str">
        <f t="shared" si="218"/>
        <v>2906</v>
      </c>
      <c r="D726" s="1" t="str">
        <f t="shared" si="217"/>
        <v>2407</v>
      </c>
      <c r="E726" s="19" t="s">
        <v>2189</v>
      </c>
      <c r="F726" s="19" t="s">
        <v>1923</v>
      </c>
      <c r="G726" s="62">
        <v>2114</v>
      </c>
      <c r="H726" s="19" t="s">
        <v>2226</v>
      </c>
      <c r="I726" s="105" t="s">
        <v>2178</v>
      </c>
      <c r="J726" s="86">
        <v>1</v>
      </c>
      <c r="K726" s="19" t="s">
        <v>2214</v>
      </c>
      <c r="L726" s="157" t="s">
        <v>1827</v>
      </c>
      <c r="M726" s="224">
        <v>369</v>
      </c>
      <c r="N726" s="101">
        <v>45473</v>
      </c>
      <c r="O726" s="178"/>
      <c r="P726" s="19"/>
      <c r="Q726" s="163">
        <v>32800000</v>
      </c>
      <c r="R726" s="19"/>
      <c r="S726" s="19"/>
      <c r="T726" s="19"/>
      <c r="U726" s="19"/>
      <c r="V726" s="74">
        <v>32800000</v>
      </c>
      <c r="W726" s="75"/>
      <c r="X726" s="64">
        <v>32800000</v>
      </c>
      <c r="Y726" s="19"/>
      <c r="Z726" s="19"/>
      <c r="AA726" s="19"/>
      <c r="AB726" s="19"/>
      <c r="AC726" s="64">
        <v>32800000</v>
      </c>
      <c r="AD726" s="63">
        <v>45474</v>
      </c>
      <c r="AE726" s="65">
        <v>47299</v>
      </c>
      <c r="AF726" s="19">
        <v>5</v>
      </c>
      <c r="AG726" s="183">
        <v>60</v>
      </c>
      <c r="AH726" s="25">
        <v>546667</v>
      </c>
      <c r="AI726" s="92"/>
      <c r="AJ726" s="92"/>
      <c r="AK726" s="27"/>
      <c r="AL726" s="26"/>
      <c r="AM726" s="27"/>
      <c r="AN726" s="27"/>
      <c r="AO726" s="27"/>
      <c r="AP726" s="27"/>
      <c r="AQ726" s="27">
        <f t="shared" si="211"/>
        <v>546667</v>
      </c>
      <c r="AR726" s="27">
        <f t="shared" si="212"/>
        <v>546667</v>
      </c>
      <c r="AS726" s="27"/>
      <c r="AT726" s="27"/>
      <c r="AU726" s="27"/>
      <c r="AV726" s="27"/>
      <c r="AW726" s="27">
        <f t="shared" si="201"/>
        <v>1093334</v>
      </c>
      <c r="AX726" s="27">
        <f t="shared" si="220"/>
        <v>31706666</v>
      </c>
      <c r="AY726" s="27">
        <f t="shared" si="222"/>
        <v>1093334</v>
      </c>
      <c r="AZ726" s="25">
        <f t="shared" si="203"/>
        <v>1</v>
      </c>
      <c r="BA726" s="62"/>
      <c r="BB726" s="66">
        <v>1</v>
      </c>
      <c r="BC726" s="19"/>
      <c r="BD726" s="19"/>
      <c r="BE726" s="67">
        <f t="shared" si="223"/>
        <v>546667</v>
      </c>
      <c r="BF726" s="67">
        <f t="shared" si="224"/>
        <v>0</v>
      </c>
      <c r="BG726" s="67">
        <f t="shared" si="225"/>
        <v>0</v>
      </c>
      <c r="BH726" s="19"/>
      <c r="BI726" s="19" t="s">
        <v>1923</v>
      </c>
      <c r="BJ726" s="19" t="s">
        <v>58</v>
      </c>
      <c r="BK726" s="19" t="s">
        <v>59</v>
      </c>
    </row>
    <row r="727" spans="3:63" ht="15" customHeight="1">
      <c r="C727" s="1" t="str">
        <f t="shared" si="218"/>
        <v>2906</v>
      </c>
      <c r="D727" s="1" t="str">
        <f t="shared" si="217"/>
        <v>2407</v>
      </c>
      <c r="E727" s="19" t="s">
        <v>2189</v>
      </c>
      <c r="F727" s="19" t="s">
        <v>1923</v>
      </c>
      <c r="G727" s="62">
        <v>2114</v>
      </c>
      <c r="H727" s="19" t="s">
        <v>2227</v>
      </c>
      <c r="I727" s="105" t="s">
        <v>2178</v>
      </c>
      <c r="J727" s="86">
        <v>1</v>
      </c>
      <c r="K727" s="19" t="s">
        <v>2214</v>
      </c>
      <c r="L727" s="157" t="s">
        <v>1827</v>
      </c>
      <c r="M727" s="224">
        <v>369</v>
      </c>
      <c r="N727" s="101">
        <v>45473</v>
      </c>
      <c r="O727" s="178"/>
      <c r="P727" s="19"/>
      <c r="Q727" s="163">
        <v>32800000</v>
      </c>
      <c r="R727" s="19"/>
      <c r="S727" s="19"/>
      <c r="T727" s="19"/>
      <c r="U727" s="19"/>
      <c r="V727" s="74">
        <v>32800000</v>
      </c>
      <c r="W727" s="75"/>
      <c r="X727" s="64">
        <v>32800000</v>
      </c>
      <c r="Y727" s="19"/>
      <c r="Z727" s="19"/>
      <c r="AA727" s="19"/>
      <c r="AB727" s="19"/>
      <c r="AC727" s="64">
        <v>32800000</v>
      </c>
      <c r="AD727" s="63">
        <v>45474</v>
      </c>
      <c r="AE727" s="65">
        <v>47299</v>
      </c>
      <c r="AF727" s="19">
        <v>5</v>
      </c>
      <c r="AG727" s="183">
        <v>60</v>
      </c>
      <c r="AH727" s="25">
        <v>546667</v>
      </c>
      <c r="AI727" s="92"/>
      <c r="AJ727" s="92"/>
      <c r="AK727" s="27"/>
      <c r="AL727" s="26"/>
      <c r="AM727" s="27"/>
      <c r="AN727" s="27"/>
      <c r="AO727" s="27"/>
      <c r="AP727" s="27"/>
      <c r="AQ727" s="27">
        <f t="shared" si="211"/>
        <v>546667</v>
      </c>
      <c r="AR727" s="27">
        <f t="shared" si="212"/>
        <v>546667</v>
      </c>
      <c r="AS727" s="27"/>
      <c r="AT727" s="27"/>
      <c r="AU727" s="27"/>
      <c r="AV727" s="27"/>
      <c r="AW727" s="27">
        <f t="shared" si="201"/>
        <v>1093334</v>
      </c>
      <c r="AX727" s="27">
        <f t="shared" si="220"/>
        <v>31706666</v>
      </c>
      <c r="AY727" s="27">
        <f t="shared" si="222"/>
        <v>1093334</v>
      </c>
      <c r="AZ727" s="25">
        <f t="shared" si="203"/>
        <v>1</v>
      </c>
      <c r="BA727" s="62"/>
      <c r="BB727" s="66">
        <v>1</v>
      </c>
      <c r="BC727" s="19"/>
      <c r="BD727" s="19"/>
      <c r="BE727" s="67">
        <f t="shared" si="223"/>
        <v>546667</v>
      </c>
      <c r="BF727" s="67">
        <f t="shared" si="224"/>
        <v>0</v>
      </c>
      <c r="BG727" s="67">
        <f t="shared" si="225"/>
        <v>0</v>
      </c>
      <c r="BH727" s="19"/>
      <c r="BI727" s="19" t="s">
        <v>1923</v>
      </c>
      <c r="BJ727" s="19" t="s">
        <v>58</v>
      </c>
      <c r="BK727" s="19" t="s">
        <v>59</v>
      </c>
    </row>
    <row r="728" spans="3:63" ht="15" customHeight="1">
      <c r="C728" s="1" t="str">
        <f t="shared" si="218"/>
        <v>2906</v>
      </c>
      <c r="D728" s="1" t="str">
        <f t="shared" si="217"/>
        <v>2407</v>
      </c>
      <c r="E728" s="19" t="s">
        <v>2189</v>
      </c>
      <c r="F728" s="19" t="s">
        <v>1923</v>
      </c>
      <c r="G728" s="62">
        <v>2114</v>
      </c>
      <c r="H728" s="19" t="s">
        <v>2228</v>
      </c>
      <c r="I728" s="105" t="s">
        <v>2178</v>
      </c>
      <c r="J728" s="86">
        <v>1</v>
      </c>
      <c r="K728" s="19" t="s">
        <v>2214</v>
      </c>
      <c r="L728" s="157" t="s">
        <v>1827</v>
      </c>
      <c r="M728" s="224">
        <v>369</v>
      </c>
      <c r="N728" s="101">
        <v>45473</v>
      </c>
      <c r="O728" s="178"/>
      <c r="P728" s="19"/>
      <c r="Q728" s="163">
        <v>32800000</v>
      </c>
      <c r="R728" s="19"/>
      <c r="S728" s="19"/>
      <c r="T728" s="19"/>
      <c r="U728" s="19"/>
      <c r="V728" s="74">
        <v>32800000</v>
      </c>
      <c r="W728" s="75"/>
      <c r="X728" s="64">
        <v>32800000</v>
      </c>
      <c r="Y728" s="19"/>
      <c r="Z728" s="19"/>
      <c r="AA728" s="19"/>
      <c r="AB728" s="19"/>
      <c r="AC728" s="64">
        <v>32800000</v>
      </c>
      <c r="AD728" s="63">
        <v>45474</v>
      </c>
      <c r="AE728" s="65">
        <v>47299</v>
      </c>
      <c r="AF728" s="19">
        <v>5</v>
      </c>
      <c r="AG728" s="183">
        <v>60</v>
      </c>
      <c r="AH728" s="25">
        <v>546667</v>
      </c>
      <c r="AI728" s="92"/>
      <c r="AJ728" s="92"/>
      <c r="AK728" s="27"/>
      <c r="AL728" s="26"/>
      <c r="AM728" s="27"/>
      <c r="AN728" s="27"/>
      <c r="AO728" s="27"/>
      <c r="AP728" s="27"/>
      <c r="AQ728" s="27">
        <f t="shared" si="211"/>
        <v>546667</v>
      </c>
      <c r="AR728" s="27">
        <f t="shared" si="212"/>
        <v>546667</v>
      </c>
      <c r="AS728" s="27"/>
      <c r="AT728" s="27"/>
      <c r="AU728" s="27"/>
      <c r="AV728" s="27"/>
      <c r="AW728" s="27">
        <f t="shared" si="201"/>
        <v>1093334</v>
      </c>
      <c r="AX728" s="27">
        <f t="shared" si="220"/>
        <v>31706666</v>
      </c>
      <c r="AY728" s="27">
        <f t="shared" si="222"/>
        <v>1093334</v>
      </c>
      <c r="AZ728" s="25">
        <f t="shared" si="203"/>
        <v>1</v>
      </c>
      <c r="BA728" s="62"/>
      <c r="BB728" s="66">
        <v>1</v>
      </c>
      <c r="BC728" s="19"/>
      <c r="BD728" s="19"/>
      <c r="BE728" s="67">
        <f t="shared" si="223"/>
        <v>546667</v>
      </c>
      <c r="BF728" s="67">
        <f t="shared" si="224"/>
        <v>0</v>
      </c>
      <c r="BG728" s="67">
        <f t="shared" si="225"/>
        <v>0</v>
      </c>
      <c r="BH728" s="19"/>
      <c r="BI728" s="19" t="s">
        <v>1923</v>
      </c>
      <c r="BJ728" s="19" t="s">
        <v>58</v>
      </c>
      <c r="BK728" s="19" t="s">
        <v>59</v>
      </c>
    </row>
    <row r="729" spans="3:63" ht="15" customHeight="1">
      <c r="C729" s="1" t="str">
        <f t="shared" si="218"/>
        <v>2906</v>
      </c>
      <c r="D729" s="1" t="str">
        <f t="shared" si="217"/>
        <v>2407</v>
      </c>
      <c r="E729" s="19" t="s">
        <v>2189</v>
      </c>
      <c r="F729" s="19" t="s">
        <v>1923</v>
      </c>
      <c r="G729" s="62">
        <v>2114</v>
      </c>
      <c r="H729" s="19" t="s">
        <v>2229</v>
      </c>
      <c r="I729" s="105" t="s">
        <v>2178</v>
      </c>
      <c r="J729" s="86">
        <v>1</v>
      </c>
      <c r="K729" s="19" t="s">
        <v>2214</v>
      </c>
      <c r="L729" s="157" t="s">
        <v>1827</v>
      </c>
      <c r="M729" s="224">
        <v>369</v>
      </c>
      <c r="N729" s="101">
        <v>45473</v>
      </c>
      <c r="O729" s="178"/>
      <c r="P729" s="19"/>
      <c r="Q729" s="163">
        <v>32800000</v>
      </c>
      <c r="R729" s="19"/>
      <c r="S729" s="19"/>
      <c r="T729" s="19"/>
      <c r="U729" s="19"/>
      <c r="V729" s="74">
        <v>32800000</v>
      </c>
      <c r="W729" s="75"/>
      <c r="X729" s="64">
        <v>32800000</v>
      </c>
      <c r="Y729" s="19"/>
      <c r="Z729" s="19"/>
      <c r="AA729" s="19"/>
      <c r="AB729" s="19"/>
      <c r="AC729" s="64">
        <v>32800000</v>
      </c>
      <c r="AD729" s="63">
        <v>45474</v>
      </c>
      <c r="AE729" s="65">
        <v>47299</v>
      </c>
      <c r="AF729" s="19">
        <v>5</v>
      </c>
      <c r="AG729" s="183">
        <v>60</v>
      </c>
      <c r="AH729" s="25">
        <v>546667</v>
      </c>
      <c r="AI729" s="92"/>
      <c r="AJ729" s="92"/>
      <c r="AK729" s="27"/>
      <c r="AL729" s="26"/>
      <c r="AM729" s="27"/>
      <c r="AN729" s="27"/>
      <c r="AO729" s="27"/>
      <c r="AP729" s="27"/>
      <c r="AQ729" s="27">
        <f t="shared" si="211"/>
        <v>546667</v>
      </c>
      <c r="AR729" s="27">
        <f t="shared" si="212"/>
        <v>546667</v>
      </c>
      <c r="AS729" s="27"/>
      <c r="AT729" s="27"/>
      <c r="AU729" s="27"/>
      <c r="AV729" s="27"/>
      <c r="AW729" s="27">
        <f t="shared" si="201"/>
        <v>1093334</v>
      </c>
      <c r="AX729" s="27">
        <f t="shared" si="220"/>
        <v>31706666</v>
      </c>
      <c r="AY729" s="27">
        <f t="shared" si="222"/>
        <v>1093334</v>
      </c>
      <c r="AZ729" s="25">
        <f t="shared" si="203"/>
        <v>1</v>
      </c>
      <c r="BA729" s="62"/>
      <c r="BB729" s="66">
        <v>1</v>
      </c>
      <c r="BC729" s="19"/>
      <c r="BD729" s="19"/>
      <c r="BE729" s="67">
        <f t="shared" si="223"/>
        <v>546667</v>
      </c>
      <c r="BF729" s="67">
        <f t="shared" si="224"/>
        <v>0</v>
      </c>
      <c r="BG729" s="67">
        <f t="shared" si="225"/>
        <v>0</v>
      </c>
      <c r="BH729" s="19"/>
      <c r="BI729" s="19" t="s">
        <v>1923</v>
      </c>
      <c r="BJ729" s="19" t="s">
        <v>58</v>
      </c>
      <c r="BK729" s="19" t="s">
        <v>59</v>
      </c>
    </row>
    <row r="730" spans="3:63" ht="15" customHeight="1">
      <c r="C730" s="1" t="str">
        <f t="shared" si="218"/>
        <v>2906</v>
      </c>
      <c r="D730" s="1" t="str">
        <f t="shared" si="217"/>
        <v>2407</v>
      </c>
      <c r="E730" s="19" t="s">
        <v>2189</v>
      </c>
      <c r="F730" s="19" t="s">
        <v>1923</v>
      </c>
      <c r="G730" s="62">
        <v>2114</v>
      </c>
      <c r="H730" s="19" t="s">
        <v>2230</v>
      </c>
      <c r="I730" s="105" t="s">
        <v>2178</v>
      </c>
      <c r="J730" s="86">
        <v>1</v>
      </c>
      <c r="K730" s="19" t="s">
        <v>2214</v>
      </c>
      <c r="L730" s="157" t="s">
        <v>1827</v>
      </c>
      <c r="M730" s="224">
        <v>369</v>
      </c>
      <c r="N730" s="101">
        <v>45473</v>
      </c>
      <c r="O730" s="178"/>
      <c r="P730" s="19"/>
      <c r="Q730" s="163">
        <v>32800000</v>
      </c>
      <c r="R730" s="19"/>
      <c r="S730" s="19"/>
      <c r="T730" s="19"/>
      <c r="U730" s="19"/>
      <c r="V730" s="74">
        <v>32800000</v>
      </c>
      <c r="W730" s="75"/>
      <c r="X730" s="64">
        <v>32800000</v>
      </c>
      <c r="Y730" s="19"/>
      <c r="Z730" s="19"/>
      <c r="AA730" s="19"/>
      <c r="AB730" s="19"/>
      <c r="AC730" s="64">
        <v>32800000</v>
      </c>
      <c r="AD730" s="63">
        <v>45474</v>
      </c>
      <c r="AE730" s="65">
        <v>47299</v>
      </c>
      <c r="AF730" s="19">
        <v>5</v>
      </c>
      <c r="AG730" s="183">
        <v>60</v>
      </c>
      <c r="AH730" s="25">
        <v>546667</v>
      </c>
      <c r="AI730" s="92"/>
      <c r="AJ730" s="92"/>
      <c r="AK730" s="27"/>
      <c r="AL730" s="26"/>
      <c r="AM730" s="27"/>
      <c r="AN730" s="27"/>
      <c r="AO730" s="27"/>
      <c r="AP730" s="27"/>
      <c r="AQ730" s="27">
        <f t="shared" si="211"/>
        <v>546667</v>
      </c>
      <c r="AR730" s="27">
        <f t="shared" si="212"/>
        <v>546667</v>
      </c>
      <c r="AS730" s="27"/>
      <c r="AT730" s="27"/>
      <c r="AU730" s="27"/>
      <c r="AV730" s="27"/>
      <c r="AW730" s="27">
        <f t="shared" si="201"/>
        <v>1093334</v>
      </c>
      <c r="AX730" s="27">
        <f t="shared" si="220"/>
        <v>31706666</v>
      </c>
      <c r="AY730" s="27">
        <f t="shared" si="222"/>
        <v>1093334</v>
      </c>
      <c r="AZ730" s="25">
        <f t="shared" si="203"/>
        <v>1</v>
      </c>
      <c r="BA730" s="62"/>
      <c r="BB730" s="66">
        <v>1</v>
      </c>
      <c r="BC730" s="19"/>
      <c r="BD730" s="19"/>
      <c r="BE730" s="67">
        <f t="shared" si="223"/>
        <v>546667</v>
      </c>
      <c r="BF730" s="67">
        <f t="shared" si="224"/>
        <v>0</v>
      </c>
      <c r="BG730" s="67">
        <f t="shared" si="225"/>
        <v>0</v>
      </c>
      <c r="BH730" s="19"/>
      <c r="BI730" s="19" t="s">
        <v>1923</v>
      </c>
      <c r="BJ730" s="19" t="s">
        <v>58</v>
      </c>
      <c r="BK730" s="19" t="s">
        <v>59</v>
      </c>
    </row>
    <row r="731" spans="3:63" ht="15" customHeight="1">
      <c r="C731" s="1" t="str">
        <f t="shared" si="218"/>
        <v>2906</v>
      </c>
      <c r="D731" s="1" t="str">
        <f t="shared" si="217"/>
        <v>2407</v>
      </c>
      <c r="E731" s="19" t="s">
        <v>2189</v>
      </c>
      <c r="F731" s="19" t="s">
        <v>1923</v>
      </c>
      <c r="G731" s="62">
        <v>2114</v>
      </c>
      <c r="H731" s="19" t="s">
        <v>2231</v>
      </c>
      <c r="I731" s="105" t="s">
        <v>2178</v>
      </c>
      <c r="J731" s="86">
        <v>1</v>
      </c>
      <c r="K731" s="19" t="s">
        <v>2214</v>
      </c>
      <c r="L731" s="157" t="s">
        <v>1827</v>
      </c>
      <c r="M731" s="224">
        <v>369</v>
      </c>
      <c r="N731" s="101">
        <v>45473</v>
      </c>
      <c r="O731" s="19"/>
      <c r="P731" s="19"/>
      <c r="Q731" s="163">
        <v>32800000</v>
      </c>
      <c r="R731" s="19"/>
      <c r="S731" s="19"/>
      <c r="T731" s="19"/>
      <c r="U731" s="19"/>
      <c r="V731" s="74">
        <v>32800000</v>
      </c>
      <c r="W731" s="75"/>
      <c r="X731" s="64">
        <v>32800000</v>
      </c>
      <c r="Y731" s="19"/>
      <c r="Z731" s="19"/>
      <c r="AA731" s="19"/>
      <c r="AB731" s="19"/>
      <c r="AC731" s="64">
        <v>32800000</v>
      </c>
      <c r="AD731" s="63">
        <v>45474</v>
      </c>
      <c r="AE731" s="65">
        <v>47299</v>
      </c>
      <c r="AF731" s="19">
        <v>5</v>
      </c>
      <c r="AG731" s="19">
        <v>60</v>
      </c>
      <c r="AH731" s="25">
        <v>546667</v>
      </c>
      <c r="AI731" s="92"/>
      <c r="AJ731" s="92"/>
      <c r="AK731" s="27"/>
      <c r="AL731" s="26"/>
      <c r="AM731" s="27"/>
      <c r="AN731" s="27"/>
      <c r="AO731" s="27">
        <f t="shared" si="210"/>
        <v>0</v>
      </c>
      <c r="AP731" s="27">
        <f t="shared" si="210"/>
        <v>0</v>
      </c>
      <c r="AQ731" s="27">
        <f t="shared" si="211"/>
        <v>546667</v>
      </c>
      <c r="AR731" s="27">
        <f t="shared" si="212"/>
        <v>546667</v>
      </c>
      <c r="AS731" s="27"/>
      <c r="AT731" s="27"/>
      <c r="AU731" s="27"/>
      <c r="AV731" s="27"/>
      <c r="AW731" s="27">
        <f t="shared" si="201"/>
        <v>1093334</v>
      </c>
      <c r="AX731" s="27">
        <f t="shared" si="220"/>
        <v>31706666</v>
      </c>
      <c r="AY731" s="27">
        <f t="shared" si="222"/>
        <v>1093334</v>
      </c>
      <c r="AZ731" s="25">
        <f t="shared" si="203"/>
        <v>1</v>
      </c>
      <c r="BA731" s="62"/>
      <c r="BB731" s="66">
        <v>1</v>
      </c>
      <c r="BC731" s="19"/>
      <c r="BD731" s="19"/>
      <c r="BE731" s="67">
        <f t="shared" si="223"/>
        <v>546667</v>
      </c>
      <c r="BF731" s="67">
        <f t="shared" si="224"/>
        <v>0</v>
      </c>
      <c r="BG731" s="67">
        <f t="shared" si="225"/>
        <v>0</v>
      </c>
      <c r="BH731" s="19"/>
      <c r="BI731" s="19" t="s">
        <v>1923</v>
      </c>
      <c r="BJ731" s="19" t="s">
        <v>58</v>
      </c>
      <c r="BK731" s="19" t="s">
        <v>59</v>
      </c>
    </row>
    <row r="732" spans="3:63" ht="15" customHeight="1">
      <c r="C732" s="1" t="str">
        <f t="shared" si="218"/>
        <v>2906</v>
      </c>
      <c r="D732" s="1" t="str">
        <f t="shared" si="217"/>
        <v>2407</v>
      </c>
      <c r="E732" s="19" t="s">
        <v>2189</v>
      </c>
      <c r="F732" s="19" t="s">
        <v>1923</v>
      </c>
      <c r="G732" s="62">
        <v>2114</v>
      </c>
      <c r="H732" s="19" t="s">
        <v>2232</v>
      </c>
      <c r="I732" s="105" t="s">
        <v>2178</v>
      </c>
      <c r="J732" s="86">
        <v>1</v>
      </c>
      <c r="K732" s="19" t="s">
        <v>2214</v>
      </c>
      <c r="L732" s="157" t="s">
        <v>1827</v>
      </c>
      <c r="M732" s="224">
        <v>369</v>
      </c>
      <c r="N732" s="101">
        <v>45473</v>
      </c>
      <c r="O732" s="19"/>
      <c r="P732" s="19"/>
      <c r="Q732" s="163">
        <v>32800000</v>
      </c>
      <c r="R732" s="19"/>
      <c r="S732" s="19"/>
      <c r="T732" s="19"/>
      <c r="U732" s="19"/>
      <c r="V732" s="74">
        <v>32800000</v>
      </c>
      <c r="W732" s="75"/>
      <c r="X732" s="64">
        <v>32800000</v>
      </c>
      <c r="Y732" s="19"/>
      <c r="Z732" s="19"/>
      <c r="AA732" s="19"/>
      <c r="AB732" s="19"/>
      <c r="AC732" s="64">
        <v>32800000</v>
      </c>
      <c r="AD732" s="63">
        <v>45474</v>
      </c>
      <c r="AE732" s="65">
        <v>47299</v>
      </c>
      <c r="AF732" s="19">
        <v>5</v>
      </c>
      <c r="AG732" s="19">
        <v>60</v>
      </c>
      <c r="AH732" s="25">
        <v>546667</v>
      </c>
      <c r="AI732" s="92"/>
      <c r="AJ732" s="92"/>
      <c r="AK732" s="27"/>
      <c r="AL732" s="26"/>
      <c r="AM732" s="27"/>
      <c r="AN732" s="27"/>
      <c r="AO732" s="27">
        <f t="shared" si="210"/>
        <v>0</v>
      </c>
      <c r="AP732" s="27">
        <f t="shared" si="210"/>
        <v>0</v>
      </c>
      <c r="AQ732" s="27">
        <f t="shared" si="211"/>
        <v>546667</v>
      </c>
      <c r="AR732" s="27">
        <f t="shared" si="212"/>
        <v>546667</v>
      </c>
      <c r="AS732" s="27"/>
      <c r="AT732" s="27"/>
      <c r="AU732" s="27"/>
      <c r="AV732" s="27"/>
      <c r="AW732" s="27">
        <f t="shared" si="201"/>
        <v>1093334</v>
      </c>
      <c r="AX732" s="27">
        <f t="shared" si="220"/>
        <v>31706666</v>
      </c>
      <c r="AY732" s="27">
        <f t="shared" si="222"/>
        <v>1093334</v>
      </c>
      <c r="AZ732" s="25">
        <f t="shared" si="203"/>
        <v>1</v>
      </c>
      <c r="BA732" s="62"/>
      <c r="BB732" s="66">
        <v>1</v>
      </c>
      <c r="BC732" s="19"/>
      <c r="BD732" s="19"/>
      <c r="BE732" s="67">
        <f t="shared" si="223"/>
        <v>546667</v>
      </c>
      <c r="BF732" s="67">
        <f t="shared" si="224"/>
        <v>0</v>
      </c>
      <c r="BG732" s="67">
        <f t="shared" si="225"/>
        <v>0</v>
      </c>
      <c r="BH732" s="19"/>
      <c r="BI732" s="19" t="s">
        <v>1923</v>
      </c>
      <c r="BJ732" s="19" t="s">
        <v>58</v>
      </c>
      <c r="BK732" s="19" t="s">
        <v>59</v>
      </c>
    </row>
    <row r="733" spans="3:63" ht="15" customHeight="1">
      <c r="C733" s="1" t="str">
        <f t="shared" si="218"/>
        <v>2906</v>
      </c>
      <c r="D733" s="1" t="str">
        <f t="shared" si="217"/>
        <v>2407</v>
      </c>
      <c r="E733" s="19" t="s">
        <v>2189</v>
      </c>
      <c r="F733" s="19" t="s">
        <v>1923</v>
      </c>
      <c r="G733" s="62">
        <v>2114</v>
      </c>
      <c r="H733" s="19" t="s">
        <v>2233</v>
      </c>
      <c r="I733" s="105" t="s">
        <v>2178</v>
      </c>
      <c r="J733" s="86">
        <v>1</v>
      </c>
      <c r="K733" s="19" t="s">
        <v>2214</v>
      </c>
      <c r="L733" s="157" t="s">
        <v>1827</v>
      </c>
      <c r="M733" s="224">
        <v>369</v>
      </c>
      <c r="N733" s="101">
        <v>45473</v>
      </c>
      <c r="O733" s="19"/>
      <c r="P733" s="19"/>
      <c r="Q733" s="163">
        <v>32800000</v>
      </c>
      <c r="R733" s="19"/>
      <c r="S733" s="19"/>
      <c r="T733" s="19"/>
      <c r="U733" s="19"/>
      <c r="V733" s="74">
        <v>32800000</v>
      </c>
      <c r="W733" s="75"/>
      <c r="X733" s="64">
        <v>32800000</v>
      </c>
      <c r="Y733" s="19"/>
      <c r="Z733" s="19"/>
      <c r="AA733" s="19"/>
      <c r="AB733" s="19"/>
      <c r="AC733" s="64">
        <v>32800000</v>
      </c>
      <c r="AD733" s="63">
        <v>45474</v>
      </c>
      <c r="AE733" s="65">
        <v>47299</v>
      </c>
      <c r="AF733" s="19">
        <v>5</v>
      </c>
      <c r="AG733" s="19">
        <v>60</v>
      </c>
      <c r="AH733" s="25">
        <v>546667</v>
      </c>
      <c r="AI733" s="92"/>
      <c r="AJ733" s="92"/>
      <c r="AK733" s="27"/>
      <c r="AL733" s="26"/>
      <c r="AM733" s="27"/>
      <c r="AN733" s="27"/>
      <c r="AO733" s="27">
        <f t="shared" si="210"/>
        <v>0</v>
      </c>
      <c r="AP733" s="27">
        <f t="shared" si="210"/>
        <v>0</v>
      </c>
      <c r="AQ733" s="27">
        <f t="shared" si="211"/>
        <v>546667</v>
      </c>
      <c r="AR733" s="27">
        <f t="shared" si="212"/>
        <v>546667</v>
      </c>
      <c r="AS733" s="27"/>
      <c r="AT733" s="27"/>
      <c r="AU733" s="27"/>
      <c r="AV733" s="27"/>
      <c r="AW733" s="27">
        <f t="shared" si="201"/>
        <v>1093334</v>
      </c>
      <c r="AX733" s="27">
        <f t="shared" si="220"/>
        <v>31706666</v>
      </c>
      <c r="AY733" s="27">
        <f t="shared" si="222"/>
        <v>1093334</v>
      </c>
      <c r="AZ733" s="25">
        <f t="shared" si="203"/>
        <v>1</v>
      </c>
      <c r="BA733" s="62"/>
      <c r="BB733" s="66">
        <v>1</v>
      </c>
      <c r="BC733" s="19"/>
      <c r="BD733" s="19"/>
      <c r="BE733" s="67">
        <f t="shared" si="223"/>
        <v>546667</v>
      </c>
      <c r="BF733" s="67">
        <f t="shared" si="224"/>
        <v>0</v>
      </c>
      <c r="BG733" s="67">
        <f t="shared" si="225"/>
        <v>0</v>
      </c>
      <c r="BH733" s="19"/>
      <c r="BI733" s="19" t="s">
        <v>1923</v>
      </c>
      <c r="BJ733" s="19" t="s">
        <v>58</v>
      </c>
      <c r="BK733" s="19" t="s">
        <v>59</v>
      </c>
    </row>
    <row r="734" spans="3:63" ht="15" customHeight="1">
      <c r="C734" s="1" t="str">
        <f t="shared" si="218"/>
        <v>2906</v>
      </c>
      <c r="D734" s="1" t="str">
        <f t="shared" si="217"/>
        <v>2407</v>
      </c>
      <c r="E734" s="19" t="s">
        <v>2189</v>
      </c>
      <c r="F734" s="19" t="s">
        <v>1923</v>
      </c>
      <c r="G734" s="62">
        <v>2114</v>
      </c>
      <c r="H734" s="19" t="s">
        <v>2234</v>
      </c>
      <c r="I734" s="105" t="s">
        <v>2178</v>
      </c>
      <c r="J734" s="86">
        <v>1</v>
      </c>
      <c r="K734" s="19" t="s">
        <v>2214</v>
      </c>
      <c r="L734" s="157" t="s">
        <v>1827</v>
      </c>
      <c r="M734" s="224">
        <v>369</v>
      </c>
      <c r="N734" s="101">
        <v>45473</v>
      </c>
      <c r="O734" s="19"/>
      <c r="P734" s="19"/>
      <c r="Q734" s="163">
        <v>32800000</v>
      </c>
      <c r="R734" s="19"/>
      <c r="S734" s="19"/>
      <c r="T734" s="19"/>
      <c r="U734" s="19"/>
      <c r="V734" s="74">
        <v>32800000</v>
      </c>
      <c r="W734" s="75"/>
      <c r="X734" s="64">
        <v>32800000</v>
      </c>
      <c r="Y734" s="19"/>
      <c r="Z734" s="19"/>
      <c r="AA734" s="19"/>
      <c r="AB734" s="19"/>
      <c r="AC734" s="64">
        <v>32800000</v>
      </c>
      <c r="AD734" s="63">
        <v>45474</v>
      </c>
      <c r="AE734" s="65">
        <v>47299</v>
      </c>
      <c r="AF734" s="19">
        <v>5</v>
      </c>
      <c r="AG734" s="19">
        <v>60</v>
      </c>
      <c r="AH734" s="25">
        <v>546667</v>
      </c>
      <c r="AI734" s="92"/>
      <c r="AJ734" s="92"/>
      <c r="AK734" s="27"/>
      <c r="AL734" s="26"/>
      <c r="AM734" s="27"/>
      <c r="AN734" s="27"/>
      <c r="AO734" s="27">
        <f t="shared" si="210"/>
        <v>0</v>
      </c>
      <c r="AP734" s="27">
        <f t="shared" si="210"/>
        <v>0</v>
      </c>
      <c r="AQ734" s="27">
        <f t="shared" si="211"/>
        <v>546667</v>
      </c>
      <c r="AR734" s="27">
        <f t="shared" si="212"/>
        <v>546667</v>
      </c>
      <c r="AS734" s="27"/>
      <c r="AT734" s="27"/>
      <c r="AU734" s="27"/>
      <c r="AV734" s="27"/>
      <c r="AW734" s="27">
        <f t="shared" ref="AW734:AW752" si="226">+SUM(AK734:AV734)</f>
        <v>1093334</v>
      </c>
      <c r="AX734" s="27">
        <f t="shared" si="220"/>
        <v>31706666</v>
      </c>
      <c r="AY734" s="27">
        <f t="shared" si="222"/>
        <v>1093334</v>
      </c>
      <c r="AZ734" s="25">
        <f t="shared" si="203"/>
        <v>1</v>
      </c>
      <c r="BA734" s="62"/>
      <c r="BB734" s="66">
        <v>1</v>
      </c>
      <c r="BC734" s="19"/>
      <c r="BD734" s="19"/>
      <c r="BE734" s="67">
        <f t="shared" si="223"/>
        <v>546667</v>
      </c>
      <c r="BF734" s="67">
        <f t="shared" si="224"/>
        <v>0</v>
      </c>
      <c r="BG734" s="67">
        <f t="shared" si="225"/>
        <v>0</v>
      </c>
      <c r="BH734" s="19"/>
      <c r="BI734" s="19" t="s">
        <v>1923</v>
      </c>
      <c r="BJ734" s="19" t="s">
        <v>58</v>
      </c>
      <c r="BK734" s="19" t="s">
        <v>59</v>
      </c>
    </row>
    <row r="735" spans="3:63" ht="15" customHeight="1">
      <c r="C735" s="1" t="str">
        <f t="shared" si="218"/>
        <v>2906</v>
      </c>
      <c r="D735" s="1" t="str">
        <f t="shared" si="217"/>
        <v>2407</v>
      </c>
      <c r="E735" s="19" t="s">
        <v>2189</v>
      </c>
      <c r="F735" s="19" t="s">
        <v>1923</v>
      </c>
      <c r="G735" s="62">
        <v>2114</v>
      </c>
      <c r="H735" s="19" t="s">
        <v>2235</v>
      </c>
      <c r="I735" s="105" t="s">
        <v>2178</v>
      </c>
      <c r="J735" s="86">
        <v>1</v>
      </c>
      <c r="K735" s="19" t="s">
        <v>2214</v>
      </c>
      <c r="L735" s="157" t="s">
        <v>1827</v>
      </c>
      <c r="M735" s="224">
        <v>369</v>
      </c>
      <c r="N735" s="101">
        <v>45473</v>
      </c>
      <c r="O735" s="19"/>
      <c r="P735" s="19"/>
      <c r="Q735" s="163">
        <v>32800000</v>
      </c>
      <c r="R735" s="19"/>
      <c r="S735" s="19"/>
      <c r="T735" s="19"/>
      <c r="U735" s="19"/>
      <c r="V735" s="74">
        <v>32800000</v>
      </c>
      <c r="W735" s="75"/>
      <c r="X735" s="64">
        <v>32800000</v>
      </c>
      <c r="Y735" s="19"/>
      <c r="Z735" s="19"/>
      <c r="AA735" s="19"/>
      <c r="AB735" s="19"/>
      <c r="AC735" s="64">
        <v>32800000</v>
      </c>
      <c r="AD735" s="63">
        <v>45474</v>
      </c>
      <c r="AE735" s="65">
        <v>47299</v>
      </c>
      <c r="AF735" s="19">
        <v>5</v>
      </c>
      <c r="AG735" s="19">
        <v>60</v>
      </c>
      <c r="AH735" s="25">
        <v>546667</v>
      </c>
      <c r="AI735" s="92"/>
      <c r="AJ735" s="92"/>
      <c r="AK735" s="27"/>
      <c r="AL735" s="26"/>
      <c r="AM735" s="27"/>
      <c r="AN735" s="27"/>
      <c r="AO735" s="27">
        <f t="shared" si="210"/>
        <v>0</v>
      </c>
      <c r="AP735" s="27">
        <f t="shared" si="210"/>
        <v>0</v>
      </c>
      <c r="AQ735" s="27">
        <f t="shared" si="211"/>
        <v>546667</v>
      </c>
      <c r="AR735" s="27">
        <f t="shared" ref="AR735:AR752" si="227">+IF(AND(AR$3&gt;=$D735,AR$3&lt;$C735),$AH735,$AJ735-SUM(AL735:AQ735))</f>
        <v>546667</v>
      </c>
      <c r="AS735" s="27"/>
      <c r="AT735" s="27"/>
      <c r="AU735" s="27"/>
      <c r="AV735" s="27"/>
      <c r="AW735" s="27">
        <f t="shared" si="226"/>
        <v>1093334</v>
      </c>
      <c r="AX735" s="27">
        <f t="shared" si="220"/>
        <v>31706666</v>
      </c>
      <c r="AY735" s="27">
        <f t="shared" si="222"/>
        <v>1093334</v>
      </c>
      <c r="AZ735" s="25">
        <f t="shared" ref="AZ735:AZ750" si="228">+J735-Z735</f>
        <v>1</v>
      </c>
      <c r="BA735" s="62"/>
      <c r="BB735" s="66">
        <v>1</v>
      </c>
      <c r="BC735" s="19"/>
      <c r="BD735" s="19"/>
      <c r="BE735" s="67">
        <f t="shared" si="223"/>
        <v>546667</v>
      </c>
      <c r="BF735" s="67">
        <f t="shared" si="224"/>
        <v>0</v>
      </c>
      <c r="BG735" s="67">
        <f t="shared" si="225"/>
        <v>0</v>
      </c>
      <c r="BH735" s="19"/>
      <c r="BI735" s="19" t="s">
        <v>1923</v>
      </c>
      <c r="BJ735" s="19" t="s">
        <v>58</v>
      </c>
      <c r="BK735" s="19" t="s">
        <v>59</v>
      </c>
    </row>
    <row r="736" spans="3:63" ht="15" customHeight="1">
      <c r="C736" s="1" t="str">
        <f t="shared" si="218"/>
        <v>2907</v>
      </c>
      <c r="D736" s="1" t="str">
        <f t="shared" si="217"/>
        <v>2408</v>
      </c>
      <c r="E736" s="19" t="s">
        <v>2237</v>
      </c>
      <c r="F736" s="19" t="s">
        <v>1923</v>
      </c>
      <c r="G736" s="62">
        <v>2112</v>
      </c>
      <c r="H736" s="19" t="s">
        <v>2241</v>
      </c>
      <c r="I736" s="105" t="s">
        <v>2238</v>
      </c>
      <c r="J736" s="86">
        <v>1</v>
      </c>
      <c r="K736" s="19" t="s">
        <v>2214</v>
      </c>
      <c r="L736" s="157" t="s">
        <v>1615</v>
      </c>
      <c r="M736" s="224">
        <v>106424466851</v>
      </c>
      <c r="N736" s="101">
        <v>45489</v>
      </c>
      <c r="O736" s="104">
        <v>2808.8199999999997</v>
      </c>
      <c r="P736" s="250">
        <v>25460</v>
      </c>
      <c r="Q736" s="163">
        <f t="shared" si="204"/>
        <v>71512557.199999988</v>
      </c>
      <c r="R736" s="19"/>
      <c r="S736" s="19"/>
      <c r="T736" s="178">
        <v>397687.28571428574</v>
      </c>
      <c r="U736" s="19" t="s">
        <v>2255</v>
      </c>
      <c r="V736" s="74">
        <v>71910244.485714272</v>
      </c>
      <c r="W736" s="74">
        <v>397687.28571428574</v>
      </c>
      <c r="X736" s="64">
        <v>71910244.485714272</v>
      </c>
      <c r="Y736" s="19"/>
      <c r="Z736" s="19"/>
      <c r="AA736" s="19"/>
      <c r="AB736" s="19"/>
      <c r="AC736" s="64">
        <v>71910244.485714272</v>
      </c>
      <c r="AD736" s="65">
        <v>45505</v>
      </c>
      <c r="AE736" s="65">
        <v>47330</v>
      </c>
      <c r="AF736" s="19">
        <v>5</v>
      </c>
      <c r="AG736" s="19">
        <v>60</v>
      </c>
      <c r="AH736" s="25">
        <v>1198504</v>
      </c>
      <c r="AI736" s="92"/>
      <c r="AJ736" s="92"/>
      <c r="AK736" s="27"/>
      <c r="AL736" s="26"/>
      <c r="AM736" s="27"/>
      <c r="AN736" s="27"/>
      <c r="AO736" s="27">
        <f t="shared" si="210"/>
        <v>0</v>
      </c>
      <c r="AP736" s="27">
        <f t="shared" si="210"/>
        <v>0</v>
      </c>
      <c r="AQ736" s="27">
        <f>+IF(AND(AQ$3&gt;=$D736,AQ$3&lt;$C736),$AH736,$AJ736-SUM(AK736:AP736))</f>
        <v>0</v>
      </c>
      <c r="AR736" s="27">
        <f t="shared" si="227"/>
        <v>1198504</v>
      </c>
      <c r="AS736" s="27"/>
      <c r="AT736" s="27"/>
      <c r="AU736" s="27"/>
      <c r="AV736" s="27"/>
      <c r="AW736" s="27">
        <f t="shared" si="226"/>
        <v>1198504</v>
      </c>
      <c r="AX736" s="27">
        <f>AD736-AI736-AW736</f>
        <v>-1152999</v>
      </c>
      <c r="AY736" s="27">
        <f t="shared" si="222"/>
        <v>1198504</v>
      </c>
      <c r="AZ736" s="25">
        <f t="shared" si="228"/>
        <v>1</v>
      </c>
      <c r="BA736" s="62"/>
      <c r="BB736" s="66">
        <v>1</v>
      </c>
      <c r="BC736" s="19"/>
      <c r="BD736" s="19"/>
      <c r="BE736" s="67">
        <f>+$AR736*BB736</f>
        <v>1198504</v>
      </c>
      <c r="BF736" s="67">
        <f>+$AR736*BC736</f>
        <v>0</v>
      </c>
      <c r="BG736" s="67">
        <f t="shared" si="225"/>
        <v>0</v>
      </c>
      <c r="BH736" s="19"/>
      <c r="BI736" s="19" t="s">
        <v>1923</v>
      </c>
      <c r="BJ736" s="19" t="s">
        <v>58</v>
      </c>
      <c r="BK736" s="19" t="s">
        <v>59</v>
      </c>
    </row>
    <row r="737" spans="2:102" ht="15" customHeight="1">
      <c r="C737" s="1" t="str">
        <f t="shared" si="218"/>
        <v>2907</v>
      </c>
      <c r="D737" s="1" t="str">
        <f t="shared" si="217"/>
        <v>2408</v>
      </c>
      <c r="E737" s="19" t="s">
        <v>2237</v>
      </c>
      <c r="F737" s="19" t="s">
        <v>1923</v>
      </c>
      <c r="G737" s="62">
        <v>2112</v>
      </c>
      <c r="H737" s="19" t="s">
        <v>2242</v>
      </c>
      <c r="I737" s="105" t="s">
        <v>2238</v>
      </c>
      <c r="J737" s="86">
        <v>1</v>
      </c>
      <c r="K737" s="19" t="s">
        <v>2214</v>
      </c>
      <c r="L737" s="157" t="s">
        <v>1615</v>
      </c>
      <c r="M737" s="224">
        <v>106424466851</v>
      </c>
      <c r="N737" s="101">
        <v>45489</v>
      </c>
      <c r="O737" s="104">
        <v>2808.8199999999997</v>
      </c>
      <c r="P737" s="250">
        <v>25460</v>
      </c>
      <c r="Q737" s="163">
        <f t="shared" si="204"/>
        <v>71512557.199999988</v>
      </c>
      <c r="R737" s="19"/>
      <c r="S737" s="19"/>
      <c r="T737" s="178">
        <v>397687.28571428574</v>
      </c>
      <c r="U737" s="19" t="s">
        <v>2255</v>
      </c>
      <c r="V737" s="74">
        <v>71910244.485714272</v>
      </c>
      <c r="W737" s="75"/>
      <c r="X737" s="64">
        <v>71910244.485714272</v>
      </c>
      <c r="Y737" s="19"/>
      <c r="Z737" s="19"/>
      <c r="AA737" s="19"/>
      <c r="AB737" s="19"/>
      <c r="AC737" s="64">
        <v>71910244.485714272</v>
      </c>
      <c r="AD737" s="65">
        <v>45505</v>
      </c>
      <c r="AE737" s="65">
        <v>47330</v>
      </c>
      <c r="AF737" s="19">
        <v>5</v>
      </c>
      <c r="AG737" s="19">
        <v>60</v>
      </c>
      <c r="AH737" s="25">
        <v>1198504</v>
      </c>
      <c r="AI737" s="92"/>
      <c r="AJ737" s="92"/>
      <c r="AK737" s="27"/>
      <c r="AL737" s="26"/>
      <c r="AM737" s="27"/>
      <c r="AN737" s="27"/>
      <c r="AO737" s="27">
        <f t="shared" si="210"/>
        <v>0</v>
      </c>
      <c r="AP737" s="27">
        <f t="shared" si="210"/>
        <v>0</v>
      </c>
      <c r="AQ737" s="27">
        <f t="shared" ref="AQ737:AQ738" si="229">+IF(AND(AQ$3&gt;=$D737,AQ$3&lt;$C737),$AH737,$AJ737-SUM(AK737:AP737))</f>
        <v>0</v>
      </c>
      <c r="AR737" s="27">
        <f t="shared" si="227"/>
        <v>1198504</v>
      </c>
      <c r="AS737" s="27"/>
      <c r="AT737" s="27"/>
      <c r="AU737" s="27"/>
      <c r="AV737" s="27"/>
      <c r="AW737" s="27">
        <f t="shared" si="226"/>
        <v>1198504</v>
      </c>
      <c r="AX737" s="27">
        <f t="shared" ref="AX737:AX738" si="230">AD737-AI737-AW737</f>
        <v>-1152999</v>
      </c>
      <c r="AY737" s="27">
        <f t="shared" si="222"/>
        <v>1198504</v>
      </c>
      <c r="AZ737" s="25">
        <f t="shared" si="228"/>
        <v>1</v>
      </c>
      <c r="BA737" s="62"/>
      <c r="BB737" s="66">
        <v>1</v>
      </c>
      <c r="BC737" s="19"/>
      <c r="BD737" s="19"/>
      <c r="BE737" s="67">
        <f t="shared" ref="BE737:BE752" si="231">+$AR737*BB737</f>
        <v>1198504</v>
      </c>
      <c r="BF737" s="67">
        <f t="shared" ref="BF737:BF752" si="232">+$AR737*BC737</f>
        <v>0</v>
      </c>
      <c r="BG737" s="67">
        <f t="shared" si="225"/>
        <v>0</v>
      </c>
      <c r="BH737" s="19"/>
      <c r="BI737" s="19" t="s">
        <v>1923</v>
      </c>
      <c r="BJ737" s="19" t="s">
        <v>58</v>
      </c>
      <c r="BK737" s="19" t="s">
        <v>59</v>
      </c>
    </row>
    <row r="738" spans="2:102" ht="15" customHeight="1">
      <c r="C738" s="1" t="str">
        <f t="shared" si="218"/>
        <v>2907</v>
      </c>
      <c r="D738" s="1" t="str">
        <f t="shared" si="217"/>
        <v>2408</v>
      </c>
      <c r="E738" s="19" t="s">
        <v>2237</v>
      </c>
      <c r="F738" s="19" t="s">
        <v>1923</v>
      </c>
      <c r="G738" s="62">
        <v>2112</v>
      </c>
      <c r="H738" s="19" t="s">
        <v>2243</v>
      </c>
      <c r="I738" s="105" t="s">
        <v>2238</v>
      </c>
      <c r="J738" s="86">
        <v>1</v>
      </c>
      <c r="K738" s="19" t="s">
        <v>2214</v>
      </c>
      <c r="L738" s="157" t="s">
        <v>1615</v>
      </c>
      <c r="M738" s="224">
        <v>106424466851</v>
      </c>
      <c r="N738" s="101">
        <v>45489</v>
      </c>
      <c r="O738" s="104">
        <v>2808.8199999999997</v>
      </c>
      <c r="P738" s="250">
        <v>25460</v>
      </c>
      <c r="Q738" s="163">
        <f t="shared" si="204"/>
        <v>71512557.199999988</v>
      </c>
      <c r="R738" s="19"/>
      <c r="S738" s="19"/>
      <c r="T738" s="178">
        <v>397687.28571428574</v>
      </c>
      <c r="U738" s="19" t="s">
        <v>2255</v>
      </c>
      <c r="V738" s="74">
        <v>71910244.485714272</v>
      </c>
      <c r="W738" s="75"/>
      <c r="X738" s="64">
        <v>71910244.485714272</v>
      </c>
      <c r="Y738" s="19"/>
      <c r="Z738" s="19"/>
      <c r="AA738" s="19"/>
      <c r="AB738" s="19"/>
      <c r="AC738" s="64">
        <v>71910244.485714272</v>
      </c>
      <c r="AD738" s="65">
        <v>45505</v>
      </c>
      <c r="AE738" s="65">
        <v>47330</v>
      </c>
      <c r="AF738" s="19">
        <v>5</v>
      </c>
      <c r="AG738" s="19">
        <v>60</v>
      </c>
      <c r="AH738" s="25">
        <v>1198504</v>
      </c>
      <c r="AI738" s="92"/>
      <c r="AJ738" s="92"/>
      <c r="AK738" s="27"/>
      <c r="AL738" s="26"/>
      <c r="AM738" s="27"/>
      <c r="AN738" s="27"/>
      <c r="AO738" s="27">
        <f t="shared" si="210"/>
        <v>0</v>
      </c>
      <c r="AP738" s="27">
        <f t="shared" si="210"/>
        <v>0</v>
      </c>
      <c r="AQ738" s="27">
        <f t="shared" si="229"/>
        <v>0</v>
      </c>
      <c r="AR738" s="27">
        <f t="shared" si="227"/>
        <v>1198504</v>
      </c>
      <c r="AS738" s="27"/>
      <c r="AT738" s="27"/>
      <c r="AU738" s="27"/>
      <c r="AV738" s="27"/>
      <c r="AW738" s="27">
        <f t="shared" si="226"/>
        <v>1198504</v>
      </c>
      <c r="AX738" s="27">
        <f t="shared" si="230"/>
        <v>-1152999</v>
      </c>
      <c r="AY738" s="27">
        <f t="shared" si="222"/>
        <v>1198504</v>
      </c>
      <c r="AZ738" s="25">
        <f t="shared" si="228"/>
        <v>1</v>
      </c>
      <c r="BA738" s="62"/>
      <c r="BB738" s="66">
        <v>1</v>
      </c>
      <c r="BC738" s="19"/>
      <c r="BD738" s="19"/>
      <c r="BE738" s="67">
        <f t="shared" si="231"/>
        <v>1198504</v>
      </c>
      <c r="BF738" s="67">
        <f t="shared" si="232"/>
        <v>0</v>
      </c>
      <c r="BG738" s="67">
        <f t="shared" si="225"/>
        <v>0</v>
      </c>
      <c r="BH738" s="19"/>
      <c r="BI738" s="19" t="s">
        <v>1923</v>
      </c>
      <c r="BJ738" s="19" t="s">
        <v>58</v>
      </c>
      <c r="BK738" s="19" t="s">
        <v>59</v>
      </c>
    </row>
    <row r="739" spans="2:102" ht="15" customHeight="1">
      <c r="C739" s="1" t="str">
        <f t="shared" si="218"/>
        <v>3007</v>
      </c>
      <c r="D739" s="1" t="str">
        <f t="shared" si="217"/>
        <v>2408</v>
      </c>
      <c r="E739" s="19" t="s">
        <v>2237</v>
      </c>
      <c r="F739" s="19" t="s">
        <v>1923</v>
      </c>
      <c r="G739" s="62">
        <v>2112</v>
      </c>
      <c r="H739" s="19" t="s">
        <v>2244</v>
      </c>
      <c r="I739" s="105" t="s">
        <v>2239</v>
      </c>
      <c r="J739" s="86">
        <v>1</v>
      </c>
      <c r="K739" s="19" t="s">
        <v>2214</v>
      </c>
      <c r="L739" s="157" t="s">
        <v>1615</v>
      </c>
      <c r="M739" s="224">
        <v>106424466851</v>
      </c>
      <c r="N739" s="101">
        <v>45489</v>
      </c>
      <c r="O739" s="161">
        <v>16719.446363636365</v>
      </c>
      <c r="P739" s="250">
        <v>25460</v>
      </c>
      <c r="Q739" s="163">
        <f t="shared" si="204"/>
        <v>425677104.41818184</v>
      </c>
      <c r="R739" s="178">
        <v>20927561.545454547</v>
      </c>
      <c r="S739" s="19"/>
      <c r="T739" s="178">
        <v>397687.28571428574</v>
      </c>
      <c r="U739" s="19" t="s">
        <v>2255</v>
      </c>
      <c r="V739" s="74">
        <v>447002353.24935067</v>
      </c>
      <c r="W739" s="75"/>
      <c r="X739" s="64">
        <v>447002353.24935067</v>
      </c>
      <c r="Y739" s="19"/>
      <c r="Z739" s="19"/>
      <c r="AA739" s="19"/>
      <c r="AB739" s="19"/>
      <c r="AC739" s="64">
        <v>447002353.24935067</v>
      </c>
      <c r="AD739" s="65">
        <v>45505</v>
      </c>
      <c r="AE739" s="65">
        <v>47695</v>
      </c>
      <c r="AF739" s="19">
        <v>6</v>
      </c>
      <c r="AG739" s="19">
        <v>72</v>
      </c>
      <c r="AH739" s="25">
        <v>6208366</v>
      </c>
      <c r="AI739" s="92"/>
      <c r="AJ739" s="92"/>
      <c r="AK739" s="27"/>
      <c r="AL739" s="26"/>
      <c r="AM739" s="27"/>
      <c r="AN739" s="27"/>
      <c r="AO739" s="27">
        <f t="shared" si="210"/>
        <v>0</v>
      </c>
      <c r="AP739" s="27">
        <f t="shared" si="210"/>
        <v>0</v>
      </c>
      <c r="AQ739" s="27">
        <f t="shared" si="211"/>
        <v>0</v>
      </c>
      <c r="AR739" s="27">
        <f t="shared" si="227"/>
        <v>6208366</v>
      </c>
      <c r="AS739" s="27"/>
      <c r="AT739" s="27"/>
      <c r="AU739" s="27"/>
      <c r="AV739" s="27"/>
      <c r="AW739" s="27">
        <f t="shared" si="226"/>
        <v>6208366</v>
      </c>
      <c r="AX739" s="27">
        <f t="shared" si="220"/>
        <v>440793987.24935067</v>
      </c>
      <c r="AY739" s="27">
        <f t="shared" si="222"/>
        <v>6208366</v>
      </c>
      <c r="AZ739" s="25">
        <f t="shared" si="228"/>
        <v>1</v>
      </c>
      <c r="BA739" s="62"/>
      <c r="BB739" s="66">
        <v>1</v>
      </c>
      <c r="BC739" s="19"/>
      <c r="BD739" s="19"/>
      <c r="BE739" s="67">
        <f t="shared" si="231"/>
        <v>6208366</v>
      </c>
      <c r="BF739" s="67">
        <f t="shared" si="232"/>
        <v>0</v>
      </c>
      <c r="BG739" s="67">
        <f t="shared" si="225"/>
        <v>0</v>
      </c>
      <c r="BH739" s="19"/>
      <c r="BI739" s="19" t="s">
        <v>1923</v>
      </c>
      <c r="BJ739" s="68" t="s">
        <v>98</v>
      </c>
      <c r="BK739" s="68" t="s">
        <v>98</v>
      </c>
    </row>
    <row r="740" spans="2:102" ht="15" customHeight="1">
      <c r="C740" s="1" t="str">
        <f t="shared" si="218"/>
        <v>3007</v>
      </c>
      <c r="D740" s="1" t="str">
        <f t="shared" si="217"/>
        <v>2408</v>
      </c>
      <c r="E740" s="19" t="s">
        <v>2237</v>
      </c>
      <c r="F740" s="19" t="s">
        <v>1923</v>
      </c>
      <c r="G740" s="62">
        <v>2112</v>
      </c>
      <c r="H740" s="19" t="s">
        <v>2245</v>
      </c>
      <c r="I740" s="105" t="s">
        <v>2239</v>
      </c>
      <c r="J740" s="86">
        <v>1</v>
      </c>
      <c r="K740" s="19" t="s">
        <v>2214</v>
      </c>
      <c r="L740" s="157" t="s">
        <v>1615</v>
      </c>
      <c r="M740" s="224">
        <v>106424466851</v>
      </c>
      <c r="N740" s="101">
        <v>45489</v>
      </c>
      <c r="O740" s="161">
        <v>16719.446363636365</v>
      </c>
      <c r="P740" s="250">
        <v>25460</v>
      </c>
      <c r="Q740" s="163">
        <f t="shared" ref="Q740:Q752" si="233">+P740*O740</f>
        <v>425677104.41818184</v>
      </c>
      <c r="R740" s="178">
        <v>20927561.545454547</v>
      </c>
      <c r="S740" s="19"/>
      <c r="T740" s="178">
        <v>397687.28571428574</v>
      </c>
      <c r="U740" s="19" t="s">
        <v>2255</v>
      </c>
      <c r="V740" s="74">
        <v>447002353.24935067</v>
      </c>
      <c r="W740" s="75"/>
      <c r="X740" s="64">
        <v>447002353.24935067</v>
      </c>
      <c r="Y740" s="19"/>
      <c r="Z740" s="19"/>
      <c r="AA740" s="19"/>
      <c r="AB740" s="19"/>
      <c r="AC740" s="64">
        <v>447002353.24935067</v>
      </c>
      <c r="AD740" s="65">
        <v>45505</v>
      </c>
      <c r="AE740" s="65">
        <v>47695</v>
      </c>
      <c r="AF740" s="19">
        <v>6</v>
      </c>
      <c r="AG740" s="19">
        <v>72</v>
      </c>
      <c r="AH740" s="25">
        <v>6208366</v>
      </c>
      <c r="AI740" s="92"/>
      <c r="AJ740" s="92"/>
      <c r="AK740" s="27"/>
      <c r="AL740" s="26"/>
      <c r="AM740" s="27"/>
      <c r="AN740" s="27"/>
      <c r="AO740" s="27">
        <f t="shared" si="210"/>
        <v>0</v>
      </c>
      <c r="AP740" s="27">
        <f t="shared" si="210"/>
        <v>0</v>
      </c>
      <c r="AQ740" s="27">
        <f t="shared" si="211"/>
        <v>0</v>
      </c>
      <c r="AR740" s="27">
        <f t="shared" si="227"/>
        <v>6208366</v>
      </c>
      <c r="AS740" s="27"/>
      <c r="AT740" s="27"/>
      <c r="AU740" s="27"/>
      <c r="AV740" s="27"/>
      <c r="AW740" s="27">
        <f t="shared" si="226"/>
        <v>6208366</v>
      </c>
      <c r="AX740" s="27">
        <f t="shared" si="220"/>
        <v>440793987.24935067</v>
      </c>
      <c r="AY740" s="27">
        <f t="shared" si="222"/>
        <v>6208366</v>
      </c>
      <c r="AZ740" s="25">
        <f t="shared" si="228"/>
        <v>1</v>
      </c>
      <c r="BA740" s="62"/>
      <c r="BB740" s="66">
        <v>1</v>
      </c>
      <c r="BC740" s="19"/>
      <c r="BD740" s="19"/>
      <c r="BE740" s="67">
        <f t="shared" si="231"/>
        <v>6208366</v>
      </c>
      <c r="BF740" s="67">
        <f t="shared" si="232"/>
        <v>0</v>
      </c>
      <c r="BG740" s="67">
        <f t="shared" si="225"/>
        <v>0</v>
      </c>
      <c r="BH740" s="19"/>
      <c r="BI740" s="19" t="s">
        <v>1923</v>
      </c>
      <c r="BJ740" s="68" t="s">
        <v>98</v>
      </c>
      <c r="BK740" s="68" t="s">
        <v>98</v>
      </c>
    </row>
    <row r="741" spans="2:102" ht="15" customHeight="1">
      <c r="C741" s="1" t="str">
        <f t="shared" si="218"/>
        <v>3007</v>
      </c>
      <c r="D741" s="1" t="str">
        <f t="shared" si="217"/>
        <v>2408</v>
      </c>
      <c r="E741" s="19" t="s">
        <v>2237</v>
      </c>
      <c r="F741" s="19" t="s">
        <v>1923</v>
      </c>
      <c r="G741" s="62">
        <v>2112</v>
      </c>
      <c r="H741" s="19" t="s">
        <v>2246</v>
      </c>
      <c r="I741" s="105" t="s">
        <v>2239</v>
      </c>
      <c r="J741" s="86">
        <v>1</v>
      </c>
      <c r="K741" s="19" t="s">
        <v>2214</v>
      </c>
      <c r="L741" s="157" t="s">
        <v>1615</v>
      </c>
      <c r="M741" s="224">
        <v>106424466851</v>
      </c>
      <c r="N741" s="101">
        <v>45489</v>
      </c>
      <c r="O741" s="161">
        <v>16719.446363636365</v>
      </c>
      <c r="P741" s="250">
        <v>25460</v>
      </c>
      <c r="Q741" s="163">
        <f t="shared" si="233"/>
        <v>425677104.41818184</v>
      </c>
      <c r="R741" s="178">
        <v>20927561.545454547</v>
      </c>
      <c r="S741" s="19"/>
      <c r="T741" s="178">
        <v>397687.28571428574</v>
      </c>
      <c r="U741" s="19" t="s">
        <v>2255</v>
      </c>
      <c r="V741" s="74">
        <v>447002353.24935067</v>
      </c>
      <c r="W741" s="75"/>
      <c r="X741" s="64">
        <v>447002353.24935067</v>
      </c>
      <c r="Y741" s="19"/>
      <c r="Z741" s="19"/>
      <c r="AA741" s="19"/>
      <c r="AB741" s="19"/>
      <c r="AC741" s="64">
        <v>447002353.24935067</v>
      </c>
      <c r="AD741" s="65">
        <v>45505</v>
      </c>
      <c r="AE741" s="65">
        <v>47695</v>
      </c>
      <c r="AF741" s="19">
        <v>6</v>
      </c>
      <c r="AG741" s="19">
        <v>72</v>
      </c>
      <c r="AH741" s="25">
        <v>6208366</v>
      </c>
      <c r="AI741" s="92"/>
      <c r="AJ741" s="92"/>
      <c r="AK741" s="27"/>
      <c r="AL741" s="26"/>
      <c r="AM741" s="27"/>
      <c r="AN741" s="27"/>
      <c r="AO741" s="27">
        <f t="shared" si="210"/>
        <v>0</v>
      </c>
      <c r="AP741" s="27">
        <f t="shared" si="210"/>
        <v>0</v>
      </c>
      <c r="AQ741" s="27">
        <f t="shared" si="211"/>
        <v>0</v>
      </c>
      <c r="AR741" s="27">
        <f t="shared" si="227"/>
        <v>6208366</v>
      </c>
      <c r="AS741" s="27"/>
      <c r="AT741" s="27"/>
      <c r="AU741" s="27"/>
      <c r="AV741" s="27"/>
      <c r="AW741" s="27">
        <f t="shared" si="226"/>
        <v>6208366</v>
      </c>
      <c r="AX741" s="27">
        <f t="shared" si="220"/>
        <v>440793987.24935067</v>
      </c>
      <c r="AY741" s="27">
        <f t="shared" si="222"/>
        <v>6208366</v>
      </c>
      <c r="AZ741" s="25">
        <f t="shared" si="228"/>
        <v>1</v>
      </c>
      <c r="BA741" s="62"/>
      <c r="BB741" s="66">
        <v>1</v>
      </c>
      <c r="BC741" s="19"/>
      <c r="BD741" s="19"/>
      <c r="BE741" s="67">
        <f t="shared" si="231"/>
        <v>6208366</v>
      </c>
      <c r="BF741" s="67">
        <f t="shared" si="232"/>
        <v>0</v>
      </c>
      <c r="BG741" s="67">
        <f t="shared" si="225"/>
        <v>0</v>
      </c>
      <c r="BH741" s="19"/>
      <c r="BI741" s="19" t="s">
        <v>1923</v>
      </c>
      <c r="BJ741" s="68" t="s">
        <v>98</v>
      </c>
      <c r="BK741" s="68" t="s">
        <v>98</v>
      </c>
    </row>
    <row r="742" spans="2:102" ht="15" customHeight="1">
      <c r="C742" s="1" t="str">
        <f t="shared" si="218"/>
        <v>3007</v>
      </c>
      <c r="D742" s="1" t="str">
        <f t="shared" si="217"/>
        <v>2408</v>
      </c>
      <c r="E742" s="19" t="s">
        <v>2237</v>
      </c>
      <c r="F742" s="19" t="s">
        <v>1923</v>
      </c>
      <c r="G742" s="62">
        <v>2112</v>
      </c>
      <c r="H742" s="19" t="s">
        <v>2247</v>
      </c>
      <c r="I742" s="105" t="s">
        <v>2239</v>
      </c>
      <c r="J742" s="86">
        <v>1</v>
      </c>
      <c r="K742" s="19" t="s">
        <v>2214</v>
      </c>
      <c r="L742" s="157" t="s">
        <v>1615</v>
      </c>
      <c r="M742" s="224">
        <v>106424466851</v>
      </c>
      <c r="N742" s="101">
        <v>45489</v>
      </c>
      <c r="O742" s="161">
        <v>16719.446363636365</v>
      </c>
      <c r="P742" s="250">
        <v>25460</v>
      </c>
      <c r="Q742" s="163">
        <f t="shared" si="233"/>
        <v>425677104.41818184</v>
      </c>
      <c r="R742" s="178">
        <v>20927561.545454547</v>
      </c>
      <c r="S742" s="19"/>
      <c r="T742" s="178">
        <v>397687.28571428574</v>
      </c>
      <c r="U742" s="19" t="s">
        <v>2255</v>
      </c>
      <c r="V742" s="74">
        <v>447002353.24935067</v>
      </c>
      <c r="W742" s="75"/>
      <c r="X742" s="64">
        <v>447002353.24935067</v>
      </c>
      <c r="Y742" s="19"/>
      <c r="Z742" s="19"/>
      <c r="AA742" s="19"/>
      <c r="AB742" s="19"/>
      <c r="AC742" s="64">
        <v>447002353.24935067</v>
      </c>
      <c r="AD742" s="65">
        <v>45505</v>
      </c>
      <c r="AE742" s="65">
        <v>47695</v>
      </c>
      <c r="AF742" s="19">
        <v>6</v>
      </c>
      <c r="AG742" s="19">
        <v>72</v>
      </c>
      <c r="AH742" s="25">
        <v>6208366</v>
      </c>
      <c r="AI742" s="92"/>
      <c r="AJ742" s="92"/>
      <c r="AK742" s="27"/>
      <c r="AL742" s="26"/>
      <c r="AM742" s="27"/>
      <c r="AN742" s="27"/>
      <c r="AO742" s="27">
        <f t="shared" si="210"/>
        <v>0</v>
      </c>
      <c r="AP742" s="27">
        <f t="shared" si="210"/>
        <v>0</v>
      </c>
      <c r="AQ742" s="27">
        <f t="shared" si="211"/>
        <v>0</v>
      </c>
      <c r="AR742" s="27">
        <f t="shared" si="227"/>
        <v>6208366</v>
      </c>
      <c r="AS742" s="27"/>
      <c r="AT742" s="27"/>
      <c r="AU742" s="27"/>
      <c r="AV742" s="27"/>
      <c r="AW742" s="27">
        <f t="shared" si="226"/>
        <v>6208366</v>
      </c>
      <c r="AX742" s="27">
        <f t="shared" si="220"/>
        <v>440793987.24935067</v>
      </c>
      <c r="AY742" s="27">
        <f t="shared" si="222"/>
        <v>6208366</v>
      </c>
      <c r="AZ742" s="25">
        <f t="shared" si="228"/>
        <v>1</v>
      </c>
      <c r="BA742" s="62"/>
      <c r="BB742" s="66">
        <v>1</v>
      </c>
      <c r="BC742" s="19"/>
      <c r="BD742" s="19"/>
      <c r="BE742" s="67">
        <f t="shared" si="231"/>
        <v>6208366</v>
      </c>
      <c r="BF742" s="67">
        <f t="shared" si="232"/>
        <v>0</v>
      </c>
      <c r="BG742" s="67">
        <f t="shared" si="225"/>
        <v>0</v>
      </c>
      <c r="BH742" s="19"/>
      <c r="BI742" s="19" t="s">
        <v>1923</v>
      </c>
      <c r="BJ742" s="68" t="s">
        <v>98</v>
      </c>
      <c r="BK742" s="68" t="s">
        <v>98</v>
      </c>
    </row>
    <row r="743" spans="2:102" ht="15" customHeight="1">
      <c r="C743" s="1" t="str">
        <f t="shared" si="218"/>
        <v>3007</v>
      </c>
      <c r="D743" s="1" t="str">
        <f t="shared" si="217"/>
        <v>2408</v>
      </c>
      <c r="E743" s="19" t="s">
        <v>2237</v>
      </c>
      <c r="F743" s="19" t="s">
        <v>1923</v>
      </c>
      <c r="G743" s="62">
        <v>2112</v>
      </c>
      <c r="H743" s="19" t="s">
        <v>2248</v>
      </c>
      <c r="I743" s="105" t="s">
        <v>2239</v>
      </c>
      <c r="J743" s="86">
        <v>1</v>
      </c>
      <c r="K743" s="19" t="s">
        <v>2214</v>
      </c>
      <c r="L743" s="157" t="s">
        <v>1615</v>
      </c>
      <c r="M743" s="224">
        <v>106424466851</v>
      </c>
      <c r="N743" s="101">
        <v>45489</v>
      </c>
      <c r="O743" s="161">
        <v>16719.446363636365</v>
      </c>
      <c r="P743" s="250">
        <v>25460</v>
      </c>
      <c r="Q743" s="163">
        <f t="shared" si="233"/>
        <v>425677104.41818184</v>
      </c>
      <c r="R743" s="178">
        <v>20927561.545454547</v>
      </c>
      <c r="S743" s="19"/>
      <c r="T743" s="178">
        <v>397687.28571428574</v>
      </c>
      <c r="U743" s="19" t="s">
        <v>2255</v>
      </c>
      <c r="V743" s="74">
        <v>447002353.24935067</v>
      </c>
      <c r="W743" s="75"/>
      <c r="X743" s="64">
        <v>447002353.24935067</v>
      </c>
      <c r="Y743" s="19"/>
      <c r="Z743" s="19"/>
      <c r="AA743" s="19"/>
      <c r="AB743" s="19"/>
      <c r="AC743" s="64">
        <v>447002353.24935067</v>
      </c>
      <c r="AD743" s="65">
        <v>45505</v>
      </c>
      <c r="AE743" s="65">
        <v>47695</v>
      </c>
      <c r="AF743" s="19">
        <v>6</v>
      </c>
      <c r="AG743" s="19">
        <v>72</v>
      </c>
      <c r="AH743" s="25">
        <v>6208366</v>
      </c>
      <c r="AI743" s="92"/>
      <c r="AJ743" s="92"/>
      <c r="AK743" s="27"/>
      <c r="AL743" s="26"/>
      <c r="AM743" s="27"/>
      <c r="AN743" s="27"/>
      <c r="AO743" s="27">
        <f t="shared" si="210"/>
        <v>0</v>
      </c>
      <c r="AP743" s="27">
        <f t="shared" si="210"/>
        <v>0</v>
      </c>
      <c r="AQ743" s="27">
        <f t="shared" si="211"/>
        <v>0</v>
      </c>
      <c r="AR743" s="27">
        <f t="shared" si="227"/>
        <v>6208366</v>
      </c>
      <c r="AS743" s="27"/>
      <c r="AT743" s="27"/>
      <c r="AU743" s="27"/>
      <c r="AV743" s="27"/>
      <c r="AW743" s="27">
        <f t="shared" si="226"/>
        <v>6208366</v>
      </c>
      <c r="AX743" s="27">
        <f t="shared" si="220"/>
        <v>440793987.24935067</v>
      </c>
      <c r="AY743" s="27">
        <f t="shared" si="222"/>
        <v>6208366</v>
      </c>
      <c r="AZ743" s="25">
        <f t="shared" si="228"/>
        <v>1</v>
      </c>
      <c r="BA743" s="62"/>
      <c r="BB743" s="66">
        <v>1</v>
      </c>
      <c r="BC743" s="19"/>
      <c r="BD743" s="19"/>
      <c r="BE743" s="67">
        <f t="shared" si="231"/>
        <v>6208366</v>
      </c>
      <c r="BF743" s="67">
        <f t="shared" si="232"/>
        <v>0</v>
      </c>
      <c r="BG743" s="67">
        <f t="shared" si="225"/>
        <v>0</v>
      </c>
      <c r="BH743" s="19"/>
      <c r="BI743" s="19" t="s">
        <v>1923</v>
      </c>
      <c r="BJ743" s="68" t="s">
        <v>98</v>
      </c>
      <c r="BK743" s="68" t="s">
        <v>98</v>
      </c>
    </row>
    <row r="744" spans="2:102" ht="15" customHeight="1">
      <c r="C744" s="1" t="str">
        <f t="shared" si="218"/>
        <v>3007</v>
      </c>
      <c r="D744" s="1" t="str">
        <f t="shared" si="217"/>
        <v>2408</v>
      </c>
      <c r="E744" s="19" t="s">
        <v>2237</v>
      </c>
      <c r="F744" s="19" t="s">
        <v>1923</v>
      </c>
      <c r="G744" s="62">
        <v>2112</v>
      </c>
      <c r="H744" s="19" t="s">
        <v>2249</v>
      </c>
      <c r="I744" s="105" t="s">
        <v>2239</v>
      </c>
      <c r="J744" s="86">
        <v>1</v>
      </c>
      <c r="K744" s="19" t="s">
        <v>2214</v>
      </c>
      <c r="L744" s="157" t="s">
        <v>1615</v>
      </c>
      <c r="M744" s="224">
        <v>106424466851</v>
      </c>
      <c r="N744" s="101">
        <v>45489</v>
      </c>
      <c r="O744" s="161">
        <v>16719.446363636365</v>
      </c>
      <c r="P744" s="250">
        <v>25460</v>
      </c>
      <c r="Q744" s="163">
        <f t="shared" si="233"/>
        <v>425677104.41818184</v>
      </c>
      <c r="R744" s="178">
        <v>20927561.545454547</v>
      </c>
      <c r="S744" s="19"/>
      <c r="T744" s="178">
        <v>397687.28571428574</v>
      </c>
      <c r="U744" s="19" t="s">
        <v>2255</v>
      </c>
      <c r="V744" s="74">
        <v>447002353.24935067</v>
      </c>
      <c r="W744" s="75"/>
      <c r="X744" s="64">
        <v>447002353.24935067</v>
      </c>
      <c r="Y744" s="19"/>
      <c r="Z744" s="19"/>
      <c r="AA744" s="19"/>
      <c r="AB744" s="19"/>
      <c r="AC744" s="64">
        <v>447002353.24935067</v>
      </c>
      <c r="AD744" s="65">
        <v>45505</v>
      </c>
      <c r="AE744" s="65">
        <v>47695</v>
      </c>
      <c r="AF744" s="19">
        <v>6</v>
      </c>
      <c r="AG744" s="19">
        <v>72</v>
      </c>
      <c r="AH744" s="25">
        <v>6208366</v>
      </c>
      <c r="AI744" s="92"/>
      <c r="AJ744" s="92"/>
      <c r="AK744" s="27"/>
      <c r="AL744" s="26"/>
      <c r="AM744" s="27"/>
      <c r="AN744" s="27"/>
      <c r="AO744" s="27">
        <f t="shared" si="210"/>
        <v>0</v>
      </c>
      <c r="AP744" s="27">
        <f t="shared" si="210"/>
        <v>0</v>
      </c>
      <c r="AQ744" s="27">
        <f t="shared" si="211"/>
        <v>0</v>
      </c>
      <c r="AR744" s="27">
        <f t="shared" si="227"/>
        <v>6208366</v>
      </c>
      <c r="AS744" s="27"/>
      <c r="AT744" s="27"/>
      <c r="AU744" s="27"/>
      <c r="AV744" s="27"/>
      <c r="AW744" s="27">
        <f t="shared" si="226"/>
        <v>6208366</v>
      </c>
      <c r="AX744" s="27">
        <f t="shared" si="220"/>
        <v>440793987.24935067</v>
      </c>
      <c r="AY744" s="27">
        <f t="shared" si="222"/>
        <v>6208366</v>
      </c>
      <c r="AZ744" s="25">
        <f t="shared" si="228"/>
        <v>1</v>
      </c>
      <c r="BA744" s="62"/>
      <c r="BB744" s="66">
        <v>1</v>
      </c>
      <c r="BC744" s="19"/>
      <c r="BD744" s="19"/>
      <c r="BE744" s="67">
        <f t="shared" si="231"/>
        <v>6208366</v>
      </c>
      <c r="BF744" s="67">
        <f t="shared" si="232"/>
        <v>0</v>
      </c>
      <c r="BG744" s="67">
        <f t="shared" si="225"/>
        <v>0</v>
      </c>
      <c r="BH744" s="19"/>
      <c r="BI744" s="19" t="s">
        <v>1923</v>
      </c>
      <c r="BJ744" s="68" t="s">
        <v>98</v>
      </c>
      <c r="BK744" s="68" t="s">
        <v>98</v>
      </c>
    </row>
    <row r="745" spans="2:102" ht="15" customHeight="1">
      <c r="C745" s="1" t="str">
        <f t="shared" si="218"/>
        <v>3007</v>
      </c>
      <c r="D745" s="1" t="str">
        <f t="shared" si="217"/>
        <v>2408</v>
      </c>
      <c r="E745" s="19" t="s">
        <v>2237</v>
      </c>
      <c r="F745" s="19" t="s">
        <v>1923</v>
      </c>
      <c r="G745" s="62">
        <v>2112</v>
      </c>
      <c r="H745" s="19" t="s">
        <v>2250</v>
      </c>
      <c r="I745" s="105" t="s">
        <v>2239</v>
      </c>
      <c r="J745" s="86">
        <v>1</v>
      </c>
      <c r="K745" s="19" t="s">
        <v>2214</v>
      </c>
      <c r="L745" s="157" t="s">
        <v>1615</v>
      </c>
      <c r="M745" s="224">
        <v>106424466851</v>
      </c>
      <c r="N745" s="101">
        <v>45489</v>
      </c>
      <c r="O745" s="161">
        <v>16719.446363636365</v>
      </c>
      <c r="P745" s="250">
        <v>25460</v>
      </c>
      <c r="Q745" s="163">
        <f t="shared" si="233"/>
        <v>425677104.41818184</v>
      </c>
      <c r="R745" s="178">
        <v>20927561.545454547</v>
      </c>
      <c r="S745" s="19"/>
      <c r="T745" s="178">
        <v>397687.28571428574</v>
      </c>
      <c r="U745" s="19" t="s">
        <v>2255</v>
      </c>
      <c r="V745" s="74">
        <v>447002353.24935067</v>
      </c>
      <c r="W745" s="75"/>
      <c r="X745" s="64">
        <v>447002353.24935067</v>
      </c>
      <c r="Y745" s="19"/>
      <c r="Z745" s="19"/>
      <c r="AA745" s="19"/>
      <c r="AB745" s="19"/>
      <c r="AC745" s="64">
        <v>447002353.24935067</v>
      </c>
      <c r="AD745" s="65">
        <v>45505</v>
      </c>
      <c r="AE745" s="65">
        <v>47695</v>
      </c>
      <c r="AF745" s="19">
        <v>6</v>
      </c>
      <c r="AG745" s="19">
        <v>72</v>
      </c>
      <c r="AH745" s="25">
        <v>6208366</v>
      </c>
      <c r="AI745" s="92"/>
      <c r="AJ745" s="92"/>
      <c r="AK745" s="27"/>
      <c r="AL745" s="26"/>
      <c r="AM745" s="27"/>
      <c r="AN745" s="27"/>
      <c r="AO745" s="27">
        <f t="shared" si="210"/>
        <v>0</v>
      </c>
      <c r="AP745" s="27">
        <f t="shared" si="210"/>
        <v>0</v>
      </c>
      <c r="AQ745" s="27">
        <f t="shared" si="211"/>
        <v>0</v>
      </c>
      <c r="AR745" s="27">
        <f t="shared" si="227"/>
        <v>6208366</v>
      </c>
      <c r="AS745" s="27"/>
      <c r="AT745" s="27"/>
      <c r="AU745" s="27"/>
      <c r="AV745" s="27"/>
      <c r="AW745" s="27">
        <f t="shared" si="226"/>
        <v>6208366</v>
      </c>
      <c r="AX745" s="27">
        <f t="shared" si="220"/>
        <v>440793987.24935067</v>
      </c>
      <c r="AY745" s="27">
        <f t="shared" si="222"/>
        <v>6208366</v>
      </c>
      <c r="AZ745" s="25">
        <f t="shared" si="228"/>
        <v>1</v>
      </c>
      <c r="BA745" s="62"/>
      <c r="BB745" s="66">
        <v>1</v>
      </c>
      <c r="BC745" s="19"/>
      <c r="BD745" s="19"/>
      <c r="BE745" s="67">
        <f t="shared" si="231"/>
        <v>6208366</v>
      </c>
      <c r="BF745" s="67">
        <f t="shared" si="232"/>
        <v>0</v>
      </c>
      <c r="BG745" s="67">
        <f t="shared" si="225"/>
        <v>0</v>
      </c>
      <c r="BH745" s="19"/>
      <c r="BI745" s="19" t="s">
        <v>1923</v>
      </c>
      <c r="BJ745" s="68" t="s">
        <v>98</v>
      </c>
      <c r="BK745" s="68" t="s">
        <v>98</v>
      </c>
    </row>
    <row r="746" spans="2:102" ht="15" customHeight="1">
      <c r="C746" s="1" t="str">
        <f t="shared" si="218"/>
        <v>3007</v>
      </c>
      <c r="D746" s="1" t="str">
        <f t="shared" si="217"/>
        <v>2408</v>
      </c>
      <c r="E746" s="19" t="s">
        <v>2237</v>
      </c>
      <c r="F746" s="19" t="s">
        <v>1923</v>
      </c>
      <c r="G746" s="62">
        <v>2112</v>
      </c>
      <c r="H746" s="19" t="s">
        <v>2251</v>
      </c>
      <c r="I746" s="105" t="s">
        <v>2239</v>
      </c>
      <c r="J746" s="86">
        <v>1</v>
      </c>
      <c r="K746" s="19" t="s">
        <v>2214</v>
      </c>
      <c r="L746" s="157" t="s">
        <v>1615</v>
      </c>
      <c r="M746" s="224">
        <v>106424466851</v>
      </c>
      <c r="N746" s="101">
        <v>45489</v>
      </c>
      <c r="O746" s="161">
        <v>16719.446363636365</v>
      </c>
      <c r="P746" s="250">
        <v>25460</v>
      </c>
      <c r="Q746" s="163">
        <f t="shared" si="233"/>
        <v>425677104.41818184</v>
      </c>
      <c r="R746" s="178">
        <v>20927561.545454547</v>
      </c>
      <c r="S746" s="19"/>
      <c r="T746" s="178">
        <v>397687.28571428574</v>
      </c>
      <c r="U746" s="19" t="s">
        <v>2255</v>
      </c>
      <c r="V746" s="74">
        <v>447002353.24935067</v>
      </c>
      <c r="W746" s="75"/>
      <c r="X746" s="64">
        <v>447002353.24935067</v>
      </c>
      <c r="Y746" s="19"/>
      <c r="Z746" s="19"/>
      <c r="AA746" s="19"/>
      <c r="AB746" s="19"/>
      <c r="AC746" s="64">
        <v>447002353.24935067</v>
      </c>
      <c r="AD746" s="65">
        <v>45505</v>
      </c>
      <c r="AE746" s="65">
        <v>47695</v>
      </c>
      <c r="AF746" s="19">
        <v>6</v>
      </c>
      <c r="AG746" s="19">
        <v>72</v>
      </c>
      <c r="AH746" s="25">
        <v>6208366</v>
      </c>
      <c r="AI746" s="92"/>
      <c r="AJ746" s="92"/>
      <c r="AK746" s="27"/>
      <c r="AL746" s="26"/>
      <c r="AM746" s="27"/>
      <c r="AN746" s="27"/>
      <c r="AO746" s="27">
        <f t="shared" si="210"/>
        <v>0</v>
      </c>
      <c r="AP746" s="27">
        <f t="shared" si="210"/>
        <v>0</v>
      </c>
      <c r="AQ746" s="27">
        <f t="shared" si="211"/>
        <v>0</v>
      </c>
      <c r="AR746" s="27">
        <f t="shared" si="227"/>
        <v>6208366</v>
      </c>
      <c r="AS746" s="27"/>
      <c r="AT746" s="27"/>
      <c r="AU746" s="27"/>
      <c r="AV746" s="27"/>
      <c r="AW746" s="27">
        <f t="shared" si="226"/>
        <v>6208366</v>
      </c>
      <c r="AX746" s="27">
        <f t="shared" si="220"/>
        <v>440793987.24935067</v>
      </c>
      <c r="AY746" s="27">
        <f t="shared" si="222"/>
        <v>6208366</v>
      </c>
      <c r="AZ746" s="25">
        <f t="shared" si="228"/>
        <v>1</v>
      </c>
      <c r="BA746" s="62"/>
      <c r="BB746" s="66">
        <v>1</v>
      </c>
      <c r="BC746" s="19"/>
      <c r="BD746" s="19"/>
      <c r="BE746" s="67">
        <f t="shared" si="231"/>
        <v>6208366</v>
      </c>
      <c r="BF746" s="67">
        <f t="shared" si="232"/>
        <v>0</v>
      </c>
      <c r="BG746" s="67">
        <f t="shared" si="225"/>
        <v>0</v>
      </c>
      <c r="BH746" s="19"/>
      <c r="BI746" s="19" t="s">
        <v>1923</v>
      </c>
      <c r="BJ746" s="68" t="s">
        <v>98</v>
      </c>
      <c r="BK746" s="68" t="s">
        <v>98</v>
      </c>
    </row>
    <row r="747" spans="2:102" ht="15" customHeight="1">
      <c r="C747" s="1" t="str">
        <f t="shared" si="218"/>
        <v>3007</v>
      </c>
      <c r="D747" s="1" t="str">
        <f t="shared" si="217"/>
        <v>2408</v>
      </c>
      <c r="E747" s="235" t="s">
        <v>2237</v>
      </c>
      <c r="F747" s="235" t="s">
        <v>1923</v>
      </c>
      <c r="G747" s="236">
        <v>2112</v>
      </c>
      <c r="H747" s="235" t="s">
        <v>2252</v>
      </c>
      <c r="I747" s="237" t="s">
        <v>2239</v>
      </c>
      <c r="J747" s="234">
        <v>1</v>
      </c>
      <c r="K747" s="235" t="s">
        <v>2214</v>
      </c>
      <c r="L747" s="238" t="s">
        <v>1615</v>
      </c>
      <c r="M747" s="239">
        <v>106424466851</v>
      </c>
      <c r="N747" s="240">
        <v>45489</v>
      </c>
      <c r="O747" s="161">
        <v>16719.446363636365</v>
      </c>
      <c r="P747" s="250">
        <v>25460</v>
      </c>
      <c r="Q747" s="241">
        <f t="shared" si="233"/>
        <v>425677104.41818184</v>
      </c>
      <c r="R747" s="178">
        <v>20927561.545454547</v>
      </c>
      <c r="S747" s="235"/>
      <c r="T747" s="178">
        <v>397687.28571428574</v>
      </c>
      <c r="U747" s="19" t="s">
        <v>2255</v>
      </c>
      <c r="V747" s="242">
        <v>447002353.24935067</v>
      </c>
      <c r="W747" s="251"/>
      <c r="X747" s="243">
        <v>447002353.24935067</v>
      </c>
      <c r="Y747" s="235"/>
      <c r="Z747" s="235"/>
      <c r="AA747" s="235"/>
      <c r="AB747" s="235"/>
      <c r="AC747" s="243">
        <v>447002353.24935067</v>
      </c>
      <c r="AD747" s="65">
        <v>45505</v>
      </c>
      <c r="AE747" s="65">
        <v>47695</v>
      </c>
      <c r="AF747" s="19">
        <v>6</v>
      </c>
      <c r="AG747" s="19">
        <v>72</v>
      </c>
      <c r="AH747" s="244">
        <v>6208366</v>
      </c>
      <c r="AI747" s="252"/>
      <c r="AJ747" s="252"/>
      <c r="AK747" s="245"/>
      <c r="AL747" s="253"/>
      <c r="AM747" s="245"/>
      <c r="AN747" s="245"/>
      <c r="AO747" s="245">
        <f t="shared" ref="AO747:AO752" si="234">+IF(AND(AO$3&gt;=$D747,AO$3&lt;$C747),$AH747,$AJ747-SUM(AM747:AN747))</f>
        <v>0</v>
      </c>
      <c r="AP747" s="245">
        <f t="shared" ref="AP747:AP752" si="235">+IF(AND(AP$3&gt;=$D747,AP$3&lt;$C747),$AH747,$AJ747-SUM(AN747:AO747))</f>
        <v>0</v>
      </c>
      <c r="AQ747" s="245">
        <f t="shared" ref="AQ747:AQ752" si="236">+IF(AND(AQ$3&gt;=$D747,AQ$3&lt;$C747),$AH747,$AJ747-SUM(AK747:AP747))</f>
        <v>0</v>
      </c>
      <c r="AR747" s="27">
        <f t="shared" si="227"/>
        <v>6208366</v>
      </c>
      <c r="AS747" s="27"/>
      <c r="AT747" s="27"/>
      <c r="AU747" s="245"/>
      <c r="AV747" s="245"/>
      <c r="AW747" s="245">
        <f t="shared" si="226"/>
        <v>6208366</v>
      </c>
      <c r="AX747" s="245">
        <f t="shared" si="220"/>
        <v>440793987.24935067</v>
      </c>
      <c r="AY747" s="245">
        <f t="shared" si="222"/>
        <v>6208366</v>
      </c>
      <c r="AZ747" s="244">
        <f t="shared" si="228"/>
        <v>1</v>
      </c>
      <c r="BA747" s="236"/>
      <c r="BB747" s="66">
        <v>1</v>
      </c>
      <c r="BC747" s="236"/>
      <c r="BD747" s="246"/>
      <c r="BE747" s="67">
        <f t="shared" si="231"/>
        <v>6208366</v>
      </c>
      <c r="BF747" s="67">
        <f t="shared" si="232"/>
        <v>0</v>
      </c>
      <c r="BG747" s="247">
        <f t="shared" si="225"/>
        <v>0</v>
      </c>
      <c r="BH747" s="247"/>
      <c r="BI747" s="19" t="s">
        <v>1923</v>
      </c>
      <c r="BJ747" s="68" t="s">
        <v>98</v>
      </c>
      <c r="BK747" s="262" t="s">
        <v>98</v>
      </c>
    </row>
    <row r="748" spans="2:102" s="19" customFormat="1" ht="15" customHeight="1">
      <c r="B748" s="260"/>
      <c r="C748" s="1" t="str">
        <f t="shared" si="218"/>
        <v>3007</v>
      </c>
      <c r="D748" s="1" t="str">
        <f t="shared" si="217"/>
        <v>2408</v>
      </c>
      <c r="E748" s="19" t="s">
        <v>2237</v>
      </c>
      <c r="F748" s="19" t="s">
        <v>1923</v>
      </c>
      <c r="G748" s="62">
        <v>2112</v>
      </c>
      <c r="H748" s="19" t="s">
        <v>2253</v>
      </c>
      <c r="I748" s="105" t="s">
        <v>2239</v>
      </c>
      <c r="J748" s="86">
        <v>1</v>
      </c>
      <c r="K748" s="19" t="s">
        <v>2214</v>
      </c>
      <c r="L748" s="157" t="s">
        <v>1615</v>
      </c>
      <c r="M748" s="224">
        <v>106424466851</v>
      </c>
      <c r="N748" s="101">
        <v>45489</v>
      </c>
      <c r="O748" s="161">
        <v>16719.446363636365</v>
      </c>
      <c r="P748" s="250">
        <v>25460</v>
      </c>
      <c r="Q748" s="163">
        <f t="shared" si="233"/>
        <v>425677104.41818184</v>
      </c>
      <c r="R748" s="178">
        <v>20927561.545454547</v>
      </c>
      <c r="T748" s="178">
        <v>397687.28571428574</v>
      </c>
      <c r="U748" s="19" t="s">
        <v>2255</v>
      </c>
      <c r="V748" s="74">
        <v>447002353.24935067</v>
      </c>
      <c r="X748" s="64">
        <v>447002353.24935067</v>
      </c>
      <c r="AC748" s="64">
        <v>447002353.24935067</v>
      </c>
      <c r="AD748" s="65">
        <v>45505</v>
      </c>
      <c r="AE748" s="65">
        <v>47695</v>
      </c>
      <c r="AF748" s="19">
        <v>6</v>
      </c>
      <c r="AG748" s="19">
        <v>72</v>
      </c>
      <c r="AH748" s="25">
        <v>6208366</v>
      </c>
      <c r="AI748" s="172"/>
      <c r="AJ748" s="172"/>
      <c r="AK748" s="27"/>
      <c r="AL748" s="26"/>
      <c r="AO748" s="27">
        <f t="shared" si="234"/>
        <v>0</v>
      </c>
      <c r="AP748" s="27">
        <f t="shared" si="235"/>
        <v>0</v>
      </c>
      <c r="AQ748" s="27">
        <f t="shared" si="236"/>
        <v>0</v>
      </c>
      <c r="AR748" s="27">
        <f t="shared" si="227"/>
        <v>6208366</v>
      </c>
      <c r="AS748" s="27"/>
      <c r="AT748" s="27"/>
      <c r="AU748" s="75"/>
      <c r="AW748" s="27">
        <f t="shared" si="226"/>
        <v>6208366</v>
      </c>
      <c r="AX748" s="27">
        <f t="shared" si="220"/>
        <v>440793987.24935067</v>
      </c>
      <c r="AY748" s="27">
        <f t="shared" si="222"/>
        <v>6208366</v>
      </c>
      <c r="AZ748" s="25">
        <f t="shared" si="228"/>
        <v>1</v>
      </c>
      <c r="BB748" s="66">
        <v>1</v>
      </c>
      <c r="BE748" s="67">
        <f t="shared" si="231"/>
        <v>6208366</v>
      </c>
      <c r="BF748" s="67">
        <f t="shared" si="232"/>
        <v>0</v>
      </c>
      <c r="BG748" s="67">
        <f t="shared" si="225"/>
        <v>0</v>
      </c>
      <c r="BI748" s="19" t="s">
        <v>1923</v>
      </c>
      <c r="BJ748" s="68" t="s">
        <v>98</v>
      </c>
      <c r="BK748" s="262" t="s">
        <v>98</v>
      </c>
      <c r="BL748" s="1"/>
      <c r="BM748" s="1"/>
      <c r="BN748" s="1"/>
      <c r="BO748" s="35"/>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row>
    <row r="749" spans="2:102" s="19" customFormat="1" ht="15" customHeight="1">
      <c r="B749" s="260"/>
      <c r="C749" s="1" t="str">
        <f t="shared" si="218"/>
        <v>3007</v>
      </c>
      <c r="D749" s="1" t="str">
        <f t="shared" si="217"/>
        <v>2408</v>
      </c>
      <c r="E749" s="19" t="s">
        <v>2237</v>
      </c>
      <c r="F749" s="19" t="s">
        <v>1923</v>
      </c>
      <c r="G749" s="62">
        <v>2112</v>
      </c>
      <c r="H749" s="19" t="s">
        <v>2254</v>
      </c>
      <c r="I749" s="105" t="s">
        <v>2239</v>
      </c>
      <c r="J749" s="86">
        <v>1</v>
      </c>
      <c r="K749" s="19" t="s">
        <v>2214</v>
      </c>
      <c r="L749" s="157" t="s">
        <v>1615</v>
      </c>
      <c r="M749" s="224">
        <v>106424466851</v>
      </c>
      <c r="N749" s="101">
        <v>45489</v>
      </c>
      <c r="O749" s="161">
        <v>16719.446363636365</v>
      </c>
      <c r="P749" s="250">
        <v>25460</v>
      </c>
      <c r="Q749" s="163">
        <f t="shared" si="233"/>
        <v>425677104.41818184</v>
      </c>
      <c r="R749" s="178">
        <v>20927561.545454547</v>
      </c>
      <c r="T749" s="178">
        <v>397687.28571428574</v>
      </c>
      <c r="U749" s="19" t="s">
        <v>2255</v>
      </c>
      <c r="V749" s="74">
        <v>447002353.24935067</v>
      </c>
      <c r="X749" s="64">
        <v>447002353.24935067</v>
      </c>
      <c r="Y749" s="161"/>
      <c r="AA749" s="250"/>
      <c r="AC749" s="64">
        <v>447002353.24935067</v>
      </c>
      <c r="AD749" s="65">
        <v>45505</v>
      </c>
      <c r="AE749" s="65">
        <v>47695</v>
      </c>
      <c r="AF749" s="19">
        <v>6</v>
      </c>
      <c r="AG749" s="19">
        <v>72</v>
      </c>
      <c r="AH749" s="25">
        <v>6208366</v>
      </c>
      <c r="AI749" s="172"/>
      <c r="AJ749" s="172"/>
      <c r="AK749" s="27"/>
      <c r="AL749" s="26"/>
      <c r="AO749" s="27">
        <f t="shared" si="234"/>
        <v>0</v>
      </c>
      <c r="AP749" s="27">
        <f t="shared" si="235"/>
        <v>0</v>
      </c>
      <c r="AQ749" s="27">
        <f t="shared" si="236"/>
        <v>0</v>
      </c>
      <c r="AR749" s="27">
        <f t="shared" si="227"/>
        <v>6208366</v>
      </c>
      <c r="AS749" s="27"/>
      <c r="AT749" s="27"/>
      <c r="AU749" s="75"/>
      <c r="AW749" s="27">
        <f t="shared" si="226"/>
        <v>6208366</v>
      </c>
      <c r="AX749" s="27">
        <f t="shared" si="220"/>
        <v>440793987.24935067</v>
      </c>
      <c r="AY749" s="27">
        <f t="shared" si="222"/>
        <v>6208366</v>
      </c>
      <c r="AZ749" s="25">
        <f t="shared" si="228"/>
        <v>1</v>
      </c>
      <c r="BB749" s="66">
        <v>1</v>
      </c>
      <c r="BE749" s="67">
        <f t="shared" si="231"/>
        <v>6208366</v>
      </c>
      <c r="BF749" s="67">
        <f t="shared" si="232"/>
        <v>0</v>
      </c>
      <c r="BG749" s="67">
        <f t="shared" si="225"/>
        <v>0</v>
      </c>
      <c r="BI749" s="19" t="s">
        <v>1923</v>
      </c>
      <c r="BJ749" s="68" t="s">
        <v>98</v>
      </c>
      <c r="BK749" s="262" t="s">
        <v>98</v>
      </c>
      <c r="BL749" s="1"/>
      <c r="BM749" s="1"/>
      <c r="BN749" s="1"/>
      <c r="BO749" s="35"/>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row>
    <row r="750" spans="2:102" s="19" customFormat="1" ht="15" customHeight="1">
      <c r="B750" s="260"/>
      <c r="C750" s="1" t="str">
        <f t="shared" si="218"/>
        <v>3207</v>
      </c>
      <c r="D750" s="1" t="str">
        <f t="shared" si="217"/>
        <v>2408</v>
      </c>
      <c r="E750" s="19" t="s">
        <v>2237</v>
      </c>
      <c r="F750" s="19" t="s">
        <v>1923</v>
      </c>
      <c r="G750" s="19">
        <v>2114</v>
      </c>
      <c r="H750" s="19" t="s">
        <v>2240</v>
      </c>
      <c r="I750" s="19" t="s">
        <v>2236</v>
      </c>
      <c r="J750" s="86">
        <v>1</v>
      </c>
      <c r="K750" s="19" t="s">
        <v>2257</v>
      </c>
      <c r="L750" s="19" t="s">
        <v>1600</v>
      </c>
      <c r="M750" s="19">
        <v>924</v>
      </c>
      <c r="N750" s="141">
        <v>45498</v>
      </c>
      <c r="Q750" s="163">
        <v>1748675000</v>
      </c>
      <c r="V750" s="74">
        <v>1748675000</v>
      </c>
      <c r="X750" s="64">
        <v>1748675000</v>
      </c>
      <c r="AC750" s="64">
        <v>1748675000</v>
      </c>
      <c r="AD750" s="65">
        <v>45505</v>
      </c>
      <c r="AE750" s="141">
        <v>48426</v>
      </c>
      <c r="AF750" s="19">
        <v>8</v>
      </c>
      <c r="AG750" s="19">
        <v>96</v>
      </c>
      <c r="AH750" s="25">
        <v>18215365</v>
      </c>
      <c r="AI750" s="172"/>
      <c r="AJ750" s="172"/>
      <c r="AL750" s="26"/>
      <c r="AO750" s="27">
        <f t="shared" si="234"/>
        <v>0</v>
      </c>
      <c r="AP750" s="27">
        <f t="shared" si="235"/>
        <v>0</v>
      </c>
      <c r="AQ750" s="27">
        <f t="shared" si="236"/>
        <v>0</v>
      </c>
      <c r="AR750" s="27">
        <f t="shared" si="227"/>
        <v>18215365</v>
      </c>
      <c r="AS750" s="27"/>
      <c r="AT750" s="27"/>
      <c r="AU750" s="75"/>
      <c r="AW750" s="27">
        <f t="shared" si="226"/>
        <v>18215365</v>
      </c>
      <c r="AX750" s="27">
        <f t="shared" si="220"/>
        <v>1730459635</v>
      </c>
      <c r="AY750" s="27">
        <f t="shared" si="222"/>
        <v>18215365</v>
      </c>
      <c r="AZ750" s="25">
        <f t="shared" si="228"/>
        <v>1</v>
      </c>
      <c r="BB750" s="66">
        <v>1</v>
      </c>
      <c r="BE750" s="67">
        <f t="shared" si="231"/>
        <v>18215365</v>
      </c>
      <c r="BF750" s="67">
        <f t="shared" si="232"/>
        <v>0</v>
      </c>
      <c r="BG750" s="67">
        <f t="shared" si="225"/>
        <v>0</v>
      </c>
      <c r="BI750" s="19" t="s">
        <v>1923</v>
      </c>
      <c r="BJ750" s="19" t="s">
        <v>58</v>
      </c>
      <c r="BK750" s="260" t="s">
        <v>59</v>
      </c>
      <c r="BL750" s="1"/>
      <c r="BM750" s="1"/>
      <c r="BN750" s="1"/>
      <c r="BO750" s="35"/>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row>
    <row r="751" spans="2:102" ht="15" customHeight="1">
      <c r="O751" s="259"/>
      <c r="Q751" s="254">
        <f t="shared" si="233"/>
        <v>0</v>
      </c>
      <c r="V751" s="255">
        <v>0</v>
      </c>
      <c r="X751" s="45">
        <v>0</v>
      </c>
      <c r="AC751" s="45">
        <f t="shared" ref="AC751:AC752" si="237">+X751-Y751</f>
        <v>0</v>
      </c>
      <c r="AG751" s="248">
        <f t="shared" ref="AG751:AG752" si="238">+AF751*12</f>
        <v>0</v>
      </c>
      <c r="AH751" s="256" t="e">
        <f t="shared" ref="AH751:AH752" si="239">+ROUND(AC751/AG751,0)</f>
        <v>#DIV/0!</v>
      </c>
      <c r="AL751" s="15"/>
      <c r="AO751" s="8">
        <f t="shared" si="234"/>
        <v>0</v>
      </c>
      <c r="AP751" s="8">
        <f t="shared" si="235"/>
        <v>0</v>
      </c>
      <c r="AQ751" s="8">
        <f t="shared" si="236"/>
        <v>0</v>
      </c>
      <c r="AR751" s="249">
        <f t="shared" si="227"/>
        <v>0</v>
      </c>
      <c r="AS751" s="27"/>
      <c r="AT751" s="27"/>
      <c r="AW751" s="8">
        <f t="shared" si="226"/>
        <v>0</v>
      </c>
      <c r="AX751" s="8">
        <f t="shared" si="220"/>
        <v>0</v>
      </c>
      <c r="AY751" s="8">
        <f t="shared" si="222"/>
        <v>0</v>
      </c>
      <c r="AZ751" s="256">
        <f t="shared" ref="AZ751:AZ752" si="240">+J751-Z751</f>
        <v>0</v>
      </c>
      <c r="BB751" s="257"/>
      <c r="BE751" s="67">
        <f t="shared" si="231"/>
        <v>0</v>
      </c>
      <c r="BF751" s="67">
        <f t="shared" si="232"/>
        <v>0</v>
      </c>
      <c r="BG751" s="258">
        <f t="shared" si="225"/>
        <v>0</v>
      </c>
    </row>
    <row r="752" spans="2:102" ht="15" customHeight="1">
      <c r="O752" s="259"/>
      <c r="Q752" s="254">
        <f t="shared" si="233"/>
        <v>0</v>
      </c>
      <c r="V752" s="255">
        <v>0</v>
      </c>
      <c r="X752" s="45">
        <v>0</v>
      </c>
      <c r="AC752" s="45">
        <f t="shared" si="237"/>
        <v>0</v>
      </c>
      <c r="AG752" s="19">
        <f t="shared" si="238"/>
        <v>0</v>
      </c>
      <c r="AH752" s="256" t="e">
        <f t="shared" si="239"/>
        <v>#DIV/0!</v>
      </c>
      <c r="AL752" s="15"/>
      <c r="AO752" s="8">
        <f t="shared" si="234"/>
        <v>0</v>
      </c>
      <c r="AP752" s="8">
        <f t="shared" si="235"/>
        <v>0</v>
      </c>
      <c r="AQ752" s="8">
        <f t="shared" si="236"/>
        <v>0</v>
      </c>
      <c r="AR752" s="27">
        <f t="shared" si="227"/>
        <v>0</v>
      </c>
      <c r="AS752" s="27"/>
      <c r="AT752" s="27"/>
      <c r="AW752" s="8">
        <f t="shared" si="226"/>
        <v>0</v>
      </c>
      <c r="AX752" s="8">
        <f t="shared" si="220"/>
        <v>0</v>
      </c>
      <c r="AY752" s="8">
        <f t="shared" si="222"/>
        <v>0</v>
      </c>
      <c r="AZ752" s="256">
        <f t="shared" si="240"/>
        <v>0</v>
      </c>
      <c r="BB752" s="257"/>
      <c r="BE752" s="67">
        <f t="shared" si="231"/>
        <v>0</v>
      </c>
      <c r="BF752" s="67">
        <f t="shared" si="232"/>
        <v>0</v>
      </c>
      <c r="BG752" s="258">
        <f t="shared" si="225"/>
        <v>0</v>
      </c>
    </row>
    <row r="753" spans="15:20" ht="15" customHeight="1">
      <c r="O753" s="13"/>
      <c r="R753" s="40"/>
      <c r="T753" s="13"/>
    </row>
    <row r="754" spans="15:20" ht="15" customHeight="1">
      <c r="O754" s="5"/>
      <c r="P754" s="5"/>
      <c r="Q754" s="40"/>
      <c r="R754" s="13"/>
      <c r="T754" s="13"/>
    </row>
    <row r="755" spans="15:20" ht="15" customHeight="1">
      <c r="O755" s="40"/>
      <c r="Q755" s="13"/>
      <c r="S755" s="5"/>
      <c r="T755" s="13"/>
    </row>
    <row r="756" spans="15:20" ht="15" customHeight="1">
      <c r="P756" s="5"/>
      <c r="Q756" s="40"/>
      <c r="S756" s="40"/>
    </row>
    <row r="757" spans="15:20" ht="15" customHeight="1">
      <c r="P757" s="40"/>
      <c r="Q757" s="13"/>
    </row>
    <row r="758" spans="15:20" ht="15" customHeight="1">
      <c r="P758" s="13"/>
    </row>
    <row r="759" spans="15:20" ht="15" customHeight="1">
      <c r="S759" s="5"/>
    </row>
    <row r="761" spans="15:20" ht="15" customHeight="1">
      <c r="S761" s="40"/>
    </row>
  </sheetData>
  <autoFilter ref="A7:BP752" xr:uid="{60757B8B-2D96-4414-98E0-3F9379189807}">
    <filterColumn colId="53" showButton="0"/>
    <filterColumn colId="54" showButton="0"/>
    <filterColumn colId="56" showButton="0"/>
    <filterColumn colId="57" showButton="0"/>
  </autoFilter>
  <mergeCells count="7">
    <mergeCell ref="J596:J598"/>
    <mergeCell ref="BB7:BD7"/>
    <mergeCell ref="BE7:BG7"/>
    <mergeCell ref="J584:J586"/>
    <mergeCell ref="J587:J589"/>
    <mergeCell ref="J590:J592"/>
    <mergeCell ref="J593:J595"/>
  </mergeCells>
  <phoneticPr fontId="17" type="noConversion"/>
  <conditionalFormatting sqref="G230">
    <cfRule type="duplicateValues" dxfId="5" priority="9"/>
  </conditionalFormatting>
  <conditionalFormatting sqref="H230 AF230 BA230">
    <cfRule type="duplicateValues" dxfId="4" priority="10"/>
  </conditionalFormatting>
  <conditionalFormatting sqref="I230">
    <cfRule type="duplicateValues" dxfId="3" priority="8"/>
  </conditionalFormatting>
  <conditionalFormatting sqref="M230">
    <cfRule type="duplicateValues" dxfId="2" priority="7"/>
  </conditionalFormatting>
  <conditionalFormatting sqref="BE5">
    <cfRule type="duplicateValues" dxfId="1" priority="1"/>
    <cfRule type="duplicateValues" dxfId="0" priority="2"/>
  </conditionalFormatting>
  <pageMargins left="0.7" right="0.7" top="0.75" bottom="0.75" header="0.3" footer="0.3"/>
  <pageSetup paperSize="9" scale="46" fitToHeight="100" orientation="landscape"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33456-335C-4F0D-BD53-D72BDD3D2BC4}">
  <dimension ref="A1:B5"/>
  <sheetViews>
    <sheetView workbookViewId="0">
      <selection activeCell="D36" sqref="D36"/>
    </sheetView>
  </sheetViews>
  <sheetFormatPr defaultRowHeight="14.4"/>
  <cols>
    <col min="1" max="1" width="20.44140625" customWidth="1"/>
    <col min="2" max="2" width="30.6640625" customWidth="1"/>
  </cols>
  <sheetData>
    <row r="1" spans="1:2">
      <c r="A1" s="272" t="s">
        <v>2258</v>
      </c>
      <c r="B1" s="272" t="s">
        <v>2259</v>
      </c>
    </row>
    <row r="2" spans="1:2">
      <c r="A2" s="279" t="s">
        <v>2260</v>
      </c>
      <c r="B2" s="272" t="s">
        <v>2262</v>
      </c>
    </row>
    <row r="3" spans="1:2">
      <c r="A3" s="280"/>
      <c r="B3" s="272" t="s">
        <v>2263</v>
      </c>
    </row>
    <row r="4" spans="1:2">
      <c r="A4" s="281"/>
      <c r="B4" s="272" t="s">
        <v>2264</v>
      </c>
    </row>
    <row r="5" spans="1:2" ht="19.8" customHeight="1">
      <c r="A5" s="272" t="s">
        <v>2261</v>
      </c>
      <c r="B5" s="272" t="s">
        <v>2265</v>
      </c>
    </row>
  </sheetData>
  <mergeCells count="1">
    <mergeCell ref="A2:A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B5760-0AA3-4BB3-9103-2336576C9317}">
  <dimension ref="A1"/>
  <sheetViews>
    <sheetView workbookViewId="0">
      <selection activeCell="A8" sqref="A8"/>
    </sheetView>
  </sheetViews>
  <sheetFormatPr defaultRowHeight="14.4"/>
  <cols>
    <col min="1" max="1" width="33" customWidth="1"/>
  </cols>
  <sheetData>
    <row r="1" spans="1:1" ht="21" customHeight="1">
      <c r="A1" s="282" t="s">
        <v>2267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CBDD9-C1C7-4523-BCE2-1D4A2979C2EC}">
  <sheetPr>
    <outlinePr summaryBelow="0"/>
  </sheetPr>
  <dimension ref="A1:N16"/>
  <sheetViews>
    <sheetView workbookViewId="0">
      <pane xSplit="3" ySplit="1" topLeftCell="D2" activePane="bottomRight" state="frozen"/>
      <selection pane="topRight"/>
      <selection pane="bottomLeft"/>
      <selection pane="bottomRight" activeCell="F21" sqref="F21"/>
    </sheetView>
  </sheetViews>
  <sheetFormatPr defaultColWidth="9.109375" defaultRowHeight="13.2"/>
  <cols>
    <col min="1" max="1" width="5.33203125" style="205" customWidth="1"/>
    <col min="2" max="2" width="15.109375" style="205" customWidth="1"/>
    <col min="3" max="3" width="10" style="205" customWidth="1"/>
    <col min="4" max="4" width="11.6640625" style="205" customWidth="1"/>
    <col min="5" max="5" width="45.5546875" style="205" customWidth="1"/>
    <col min="6" max="6" width="29.33203125" style="205" customWidth="1"/>
    <col min="7" max="7" width="9.44140625" style="205" customWidth="1"/>
    <col min="8" max="9" width="15.33203125" style="205" customWidth="1"/>
    <col min="10" max="10" width="11.6640625" style="205" customWidth="1"/>
    <col min="11" max="11" width="29.33203125" style="205" customWidth="1"/>
    <col min="12" max="12" width="11.6640625" style="205" customWidth="1"/>
    <col min="13" max="13" width="9.44140625" style="205" customWidth="1"/>
    <col min="14" max="14" width="11.6640625" style="205" customWidth="1"/>
    <col min="15" max="16384" width="9.109375" style="205"/>
  </cols>
  <sheetData>
    <row r="1" spans="1:14" s="212" customFormat="1" ht="26.25" customHeight="1">
      <c r="A1" s="211" t="s">
        <v>1686</v>
      </c>
      <c r="B1" s="211" t="s">
        <v>1688</v>
      </c>
      <c r="C1" s="211" t="s">
        <v>1687</v>
      </c>
      <c r="D1" s="211" t="s">
        <v>1689</v>
      </c>
      <c r="E1" s="211" t="s">
        <v>1690</v>
      </c>
      <c r="F1" s="211" t="s">
        <v>1691</v>
      </c>
      <c r="G1" s="211" t="s">
        <v>1692</v>
      </c>
      <c r="H1" s="211" t="s">
        <v>1693</v>
      </c>
      <c r="I1" s="211" t="s">
        <v>1694</v>
      </c>
      <c r="J1" s="211" t="s">
        <v>1695</v>
      </c>
      <c r="K1" s="211" t="s">
        <v>2163</v>
      </c>
      <c r="L1" s="211" t="s">
        <v>1696</v>
      </c>
      <c r="M1" s="211" t="s">
        <v>1697</v>
      </c>
      <c r="N1" s="211" t="s">
        <v>1698</v>
      </c>
    </row>
    <row r="2" spans="1:14" ht="21" customHeight="1">
      <c r="A2" s="207">
        <v>1</v>
      </c>
      <c r="B2" s="210">
        <v>45168</v>
      </c>
      <c r="C2" s="209" t="s">
        <v>2121</v>
      </c>
      <c r="D2" s="205" t="s">
        <v>2122</v>
      </c>
      <c r="E2" s="205" t="s">
        <v>2123</v>
      </c>
      <c r="F2" s="205" t="s">
        <v>2124</v>
      </c>
      <c r="G2" s="205" t="s">
        <v>1699</v>
      </c>
      <c r="H2" s="207">
        <v>28212000000</v>
      </c>
      <c r="I2" s="207">
        <v>0</v>
      </c>
      <c r="J2" s="205" t="s">
        <v>146</v>
      </c>
      <c r="K2" s="205" t="s">
        <v>2139</v>
      </c>
      <c r="L2" s="205" t="s">
        <v>2125</v>
      </c>
      <c r="M2" s="205" t="s">
        <v>1720</v>
      </c>
      <c r="N2" s="205" t="s">
        <v>1080</v>
      </c>
    </row>
    <row r="3" spans="1:14" ht="21" customHeight="1">
      <c r="A3" s="207">
        <v>2</v>
      </c>
      <c r="B3" s="210">
        <v>45184</v>
      </c>
      <c r="C3" s="209" t="s">
        <v>2141</v>
      </c>
      <c r="D3" s="205" t="s">
        <v>2119</v>
      </c>
      <c r="E3" s="205" t="s">
        <v>1783</v>
      </c>
      <c r="F3" s="205" t="s">
        <v>2140</v>
      </c>
      <c r="G3" s="205" t="s">
        <v>1699</v>
      </c>
      <c r="H3" s="207">
        <v>30000000000</v>
      </c>
      <c r="I3" s="207">
        <v>0</v>
      </c>
      <c r="J3" s="205" t="s">
        <v>146</v>
      </c>
      <c r="K3" s="205" t="s">
        <v>2139</v>
      </c>
      <c r="L3" s="205" t="s">
        <v>2125</v>
      </c>
      <c r="M3" s="205" t="s">
        <v>1720</v>
      </c>
      <c r="N3" s="205" t="s">
        <v>1080</v>
      </c>
    </row>
    <row r="4" spans="1:14" ht="21" customHeight="1">
      <c r="A4" s="207">
        <v>3</v>
      </c>
      <c r="B4" s="210">
        <v>45227</v>
      </c>
      <c r="C4" s="209" t="s">
        <v>2162</v>
      </c>
      <c r="D4" s="205" t="s">
        <v>2119</v>
      </c>
      <c r="E4" s="205" t="s">
        <v>1783</v>
      </c>
      <c r="F4" s="205" t="s">
        <v>2138</v>
      </c>
      <c r="G4" s="205" t="s">
        <v>1699</v>
      </c>
      <c r="H4" s="207">
        <v>10000000000</v>
      </c>
      <c r="I4" s="207">
        <v>0</v>
      </c>
      <c r="J4" s="205" t="s">
        <v>146</v>
      </c>
      <c r="K4" s="205" t="s">
        <v>2139</v>
      </c>
      <c r="L4" s="205" t="s">
        <v>2125</v>
      </c>
      <c r="M4" s="205" t="s">
        <v>1720</v>
      </c>
      <c r="N4" s="205" t="s">
        <v>1080</v>
      </c>
    </row>
    <row r="5" spans="1:14" ht="21" customHeight="1">
      <c r="A5" s="207">
        <v>4</v>
      </c>
      <c r="B5" s="210">
        <v>45311</v>
      </c>
      <c r="C5" s="209" t="s">
        <v>2161</v>
      </c>
      <c r="D5" s="205" t="s">
        <v>2119</v>
      </c>
      <c r="E5" s="205" t="s">
        <v>1783</v>
      </c>
      <c r="F5" s="205" t="s">
        <v>2160</v>
      </c>
      <c r="G5" s="205" t="s">
        <v>1699</v>
      </c>
      <c r="H5" s="207">
        <v>10000000000</v>
      </c>
      <c r="I5" s="207">
        <v>0</v>
      </c>
      <c r="J5" s="205" t="s">
        <v>146</v>
      </c>
      <c r="K5" s="205" t="s">
        <v>2139</v>
      </c>
      <c r="L5" s="205" t="s">
        <v>2050</v>
      </c>
      <c r="M5" s="205" t="s">
        <v>1720</v>
      </c>
      <c r="N5" s="205" t="s">
        <v>1080</v>
      </c>
    </row>
    <row r="6" spans="1:14" ht="21" customHeight="1">
      <c r="A6" s="207">
        <v>5</v>
      </c>
      <c r="B6" s="210">
        <v>45311</v>
      </c>
      <c r="C6" s="209" t="s">
        <v>2159</v>
      </c>
      <c r="D6" s="205" t="s">
        <v>146</v>
      </c>
      <c r="E6" s="205" t="s">
        <v>146</v>
      </c>
      <c r="F6" s="205" t="s">
        <v>2158</v>
      </c>
      <c r="G6" s="205" t="s">
        <v>2147</v>
      </c>
      <c r="H6" s="207">
        <v>0</v>
      </c>
      <c r="I6" s="207">
        <v>50000000000</v>
      </c>
      <c r="J6" s="205" t="s">
        <v>146</v>
      </c>
      <c r="K6" s="205" t="s">
        <v>2146</v>
      </c>
      <c r="L6" s="205" t="s">
        <v>2050</v>
      </c>
      <c r="M6" s="205" t="s">
        <v>2145</v>
      </c>
      <c r="N6" s="205" t="s">
        <v>1080</v>
      </c>
    </row>
    <row r="7" spans="1:14" ht="21" customHeight="1">
      <c r="A7" s="207">
        <v>6</v>
      </c>
      <c r="B7" s="210">
        <v>45381</v>
      </c>
      <c r="C7" s="209" t="s">
        <v>2126</v>
      </c>
      <c r="D7" s="205" t="s">
        <v>2122</v>
      </c>
      <c r="E7" s="205" t="s">
        <v>2123</v>
      </c>
      <c r="F7" s="205" t="s">
        <v>2127</v>
      </c>
      <c r="G7" s="205" t="s">
        <v>1699</v>
      </c>
      <c r="H7" s="207">
        <v>18808000000</v>
      </c>
      <c r="I7" s="207">
        <v>0</v>
      </c>
      <c r="J7" s="205" t="s">
        <v>146</v>
      </c>
      <c r="K7" s="205" t="s">
        <v>2139</v>
      </c>
      <c r="L7" s="205" t="s">
        <v>2050</v>
      </c>
      <c r="M7" s="205" t="s">
        <v>1720</v>
      </c>
      <c r="N7" s="205" t="s">
        <v>1080</v>
      </c>
    </row>
    <row r="8" spans="1:14" ht="21" customHeight="1">
      <c r="A8" s="207">
        <v>7</v>
      </c>
      <c r="B8" s="210">
        <v>45408</v>
      </c>
      <c r="C8" s="209" t="s">
        <v>2128</v>
      </c>
      <c r="D8" s="205" t="s">
        <v>2119</v>
      </c>
      <c r="E8" s="205" t="s">
        <v>1783</v>
      </c>
      <c r="F8" s="205" t="s">
        <v>2129</v>
      </c>
      <c r="G8" s="205" t="s">
        <v>1699</v>
      </c>
      <c r="H8" s="207">
        <v>1320000000</v>
      </c>
      <c r="I8" s="207">
        <v>0</v>
      </c>
      <c r="J8" s="205" t="s">
        <v>146</v>
      </c>
      <c r="K8" s="205" t="s">
        <v>2139</v>
      </c>
      <c r="L8" s="205" t="s">
        <v>2050</v>
      </c>
      <c r="M8" s="205" t="s">
        <v>1720</v>
      </c>
      <c r="N8" s="205" t="s">
        <v>1080</v>
      </c>
    </row>
    <row r="9" spans="1:14" ht="21" customHeight="1">
      <c r="A9" s="207">
        <v>8</v>
      </c>
      <c r="B9" s="210">
        <v>45410</v>
      </c>
      <c r="C9" s="209" t="s">
        <v>2130</v>
      </c>
      <c r="D9" s="205" t="s">
        <v>2122</v>
      </c>
      <c r="E9" s="205" t="s">
        <v>2123</v>
      </c>
      <c r="F9" s="205" t="s">
        <v>2131</v>
      </c>
      <c r="G9" s="205" t="s">
        <v>1699</v>
      </c>
      <c r="H9" s="207">
        <v>47020000000</v>
      </c>
      <c r="I9" s="207">
        <v>0</v>
      </c>
      <c r="J9" s="205" t="s">
        <v>146</v>
      </c>
      <c r="K9" s="205" t="s">
        <v>2139</v>
      </c>
      <c r="L9" s="205" t="s">
        <v>2050</v>
      </c>
      <c r="M9" s="205" t="s">
        <v>1720</v>
      </c>
      <c r="N9" s="205" t="s">
        <v>1080</v>
      </c>
    </row>
    <row r="10" spans="1:14" ht="21" customHeight="1">
      <c r="A10" s="207">
        <v>9</v>
      </c>
      <c r="B10" s="210">
        <v>45413</v>
      </c>
      <c r="C10" s="209" t="s">
        <v>2157</v>
      </c>
      <c r="D10" s="205" t="s">
        <v>2156</v>
      </c>
      <c r="E10" s="205" t="s">
        <v>2155</v>
      </c>
      <c r="F10" s="205" t="s">
        <v>2154</v>
      </c>
      <c r="G10" s="205" t="s">
        <v>2153</v>
      </c>
      <c r="H10" s="207">
        <v>0</v>
      </c>
      <c r="I10" s="207">
        <v>94040000000</v>
      </c>
      <c r="J10" s="205" t="s">
        <v>146</v>
      </c>
      <c r="K10" s="205" t="s">
        <v>2152</v>
      </c>
      <c r="L10" s="205" t="s">
        <v>2050</v>
      </c>
      <c r="M10" s="205" t="s">
        <v>1720</v>
      </c>
      <c r="N10" s="205" t="s">
        <v>1080</v>
      </c>
    </row>
    <row r="11" spans="1:14" ht="21" customHeight="1">
      <c r="A11" s="207">
        <v>10</v>
      </c>
      <c r="B11" s="210">
        <v>45413</v>
      </c>
      <c r="C11" s="209" t="s">
        <v>2151</v>
      </c>
      <c r="D11" s="205" t="s">
        <v>146</v>
      </c>
      <c r="E11" s="205" t="s">
        <v>146</v>
      </c>
      <c r="F11" s="205" t="s">
        <v>2150</v>
      </c>
      <c r="G11" s="205" t="s">
        <v>2147</v>
      </c>
      <c r="H11" s="207">
        <v>0</v>
      </c>
      <c r="I11" s="207">
        <v>1320000000</v>
      </c>
      <c r="J11" s="205" t="s">
        <v>146</v>
      </c>
      <c r="K11" s="205" t="s">
        <v>2146</v>
      </c>
      <c r="L11" s="205" t="s">
        <v>2050</v>
      </c>
      <c r="M11" s="205" t="s">
        <v>2145</v>
      </c>
      <c r="N11" s="205" t="s">
        <v>1080</v>
      </c>
    </row>
    <row r="12" spans="1:14" ht="21" customHeight="1">
      <c r="A12" s="207">
        <v>11</v>
      </c>
      <c r="B12" s="210">
        <v>45413</v>
      </c>
      <c r="C12" s="209" t="s">
        <v>2149</v>
      </c>
      <c r="D12" s="205" t="s">
        <v>146</v>
      </c>
      <c r="E12" s="205" t="s">
        <v>146</v>
      </c>
      <c r="F12" s="205" t="s">
        <v>2148</v>
      </c>
      <c r="G12" s="205" t="s">
        <v>2147</v>
      </c>
      <c r="H12" s="207">
        <v>0</v>
      </c>
      <c r="I12" s="207">
        <v>1733000000</v>
      </c>
      <c r="J12" s="205" t="s">
        <v>146</v>
      </c>
      <c r="K12" s="205" t="s">
        <v>2146</v>
      </c>
      <c r="L12" s="205" t="s">
        <v>2050</v>
      </c>
      <c r="M12" s="205" t="s">
        <v>2145</v>
      </c>
      <c r="N12" s="205" t="s">
        <v>1080</v>
      </c>
    </row>
    <row r="13" spans="1:14" ht="21" customHeight="1">
      <c r="A13" s="207">
        <v>12</v>
      </c>
      <c r="B13" s="210">
        <v>45414</v>
      </c>
      <c r="C13" s="209" t="s">
        <v>2120</v>
      </c>
      <c r="D13" s="205" t="s">
        <v>2119</v>
      </c>
      <c r="E13" s="205" t="s">
        <v>1783</v>
      </c>
      <c r="F13" s="205" t="s">
        <v>2118</v>
      </c>
      <c r="G13" s="205" t="s">
        <v>1699</v>
      </c>
      <c r="H13" s="207">
        <v>1733000000</v>
      </c>
      <c r="I13" s="207">
        <v>0</v>
      </c>
      <c r="J13" s="205" t="s">
        <v>146</v>
      </c>
      <c r="K13" s="205" t="s">
        <v>2139</v>
      </c>
      <c r="L13" s="205" t="s">
        <v>2050</v>
      </c>
      <c r="M13" s="205" t="s">
        <v>1720</v>
      </c>
      <c r="N13" s="205" t="s">
        <v>1080</v>
      </c>
    </row>
    <row r="14" spans="1:14" ht="21" customHeight="1">
      <c r="F14" s="208" t="s">
        <v>2142</v>
      </c>
      <c r="H14" s="206">
        <v>0</v>
      </c>
      <c r="I14" s="206">
        <v>0</v>
      </c>
    </row>
    <row r="15" spans="1:14">
      <c r="F15" s="208" t="s">
        <v>2144</v>
      </c>
      <c r="H15" s="206">
        <v>147093000000</v>
      </c>
      <c r="I15" s="206">
        <v>147093000000</v>
      </c>
    </row>
    <row r="16" spans="1:14">
      <c r="F16" s="208" t="s">
        <v>2143</v>
      </c>
      <c r="H16" s="206">
        <v>0</v>
      </c>
      <c r="I16" s="206">
        <v>0</v>
      </c>
    </row>
  </sheetData>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Fixed Asset-211</vt:lpstr>
      <vt:lpstr>Fixed Asset-211.</vt:lpstr>
      <vt:lpstr>Payment schedule</vt:lpstr>
      <vt:lpstr>Asset depreciation</vt:lpstr>
      <vt:lpstr>2412</vt:lpstr>
      <vt:lpstr>'Fixed Asset-211'!Print_Area</vt:lpstr>
      <vt:lpstr>'Fixed Asset-211.'!Print_Area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Đỗ Đồng</dc:creator>
  <cp:lastModifiedBy>Vina Tech11</cp:lastModifiedBy>
  <cp:lastPrinted>2024-06-28T08:47:12Z</cp:lastPrinted>
  <dcterms:created xsi:type="dcterms:W3CDTF">2022-10-15T11:36:11Z</dcterms:created>
  <dcterms:modified xsi:type="dcterms:W3CDTF">2024-09-23T11:01:11Z</dcterms:modified>
</cp:coreProperties>
</file>