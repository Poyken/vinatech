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572DA57-3B9B-4953-9AD9-5337F3FB46DF}" xr6:coauthVersionLast="47" xr6:coauthVersionMax="47" xr10:uidLastSave="{00000000-0000-0000-0000-000000000000}"/>
  <bookViews>
    <workbookView xWindow="-60" yWindow="-60" windowWidth="28920" windowHeight="15600" xr2:uid="{10B2BF66-9F4B-477D-8A2C-6FE0DB228CDE}"/>
  </bookViews>
  <sheets>
    <sheet name="DETAIL  2023.04" sheetId="1" r:id="rId1"/>
  </sheets>
  <definedNames>
    <definedName name="_xlnm._FilterDatabase" localSheetId="0" hidden="1">'DETAIL  2023.04'!$A$4:$F$34</definedName>
    <definedName name="_xlnm.Print_Area" localSheetId="0">'DETAIL  2023.04'!$A$1:$I$36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<sst xmlns="http://schemas.openxmlformats.org/spreadsheetml/2006/main" count="90" uniqueCount="66">
  <si>
    <t>2023년04월 물류비용 내역</t>
  </si>
  <si>
    <t>번호/NO</t>
  </si>
  <si>
    <t>분할/DIVISION</t>
  </si>
  <si>
    <t>운송/TRANSPORT</t>
  </si>
  <si>
    <t>03월 2023</t>
  </si>
  <si>
    <t>운임비</t>
  </si>
  <si>
    <t>FRIEGHT COST</t>
  </si>
  <si>
    <t>항공/해상</t>
  </si>
  <si>
    <t>대신 지불</t>
  </si>
  <si>
    <t xml:space="preserve">Pay on behalf/ </t>
  </si>
  <si>
    <t>운송 트럭킹 비용</t>
  </si>
  <si>
    <t>Trucking fee</t>
  </si>
  <si>
    <t>국제 비용</t>
  </si>
  <si>
    <t>EXW/DAP Charge</t>
  </si>
  <si>
    <t>컨테이너 화물역 수수료</t>
  </si>
  <si>
    <t>CFS (Container Freight Station)</t>
  </si>
  <si>
    <t>해상</t>
  </si>
  <si>
    <t>유류할증료</t>
  </si>
  <si>
    <t>FSC (Fuel Surcharge)</t>
  </si>
  <si>
    <t>항공</t>
  </si>
  <si>
    <t>단말기 취급 수수료</t>
  </si>
  <si>
    <t>THC (Terminal Handling Charge)</t>
  </si>
  <si>
    <t>면장 신고 비용</t>
  </si>
  <si>
    <t>Custom Declarations fee</t>
  </si>
  <si>
    <t>컨테이너 불균형 요금</t>
  </si>
  <si>
    <t>CIC (Container Imbalance Charge)</t>
  </si>
  <si>
    <t>일반 요금 인상</t>
  </si>
  <si>
    <t>GRI (General Rate Increase)</t>
  </si>
  <si>
    <t>핸드링 비용</t>
  </si>
  <si>
    <t>HDL FEE ( Handling fee)</t>
  </si>
  <si>
    <t>낮은 유황 할증료</t>
  </si>
  <si>
    <t>LSS(Low Sulphur Surcharge)</t>
  </si>
  <si>
    <t>오래된 기계 검사</t>
  </si>
  <si>
    <t>Inspection of old machinery</t>
  </si>
  <si>
    <t>성수기 요금</t>
  </si>
  <si>
    <t>PSS (General Rate Increase)</t>
  </si>
  <si>
    <t>청소비용</t>
  </si>
  <si>
    <t>Cleaning fee</t>
  </si>
  <si>
    <t>자동 매니페스트 시스템 요금</t>
  </si>
  <si>
    <t>AMS (Automated Manifest System fee)</t>
  </si>
  <si>
    <t>배달 주문 수수료</t>
  </si>
  <si>
    <t>D/O FEE</t>
  </si>
  <si>
    <t>DOC</t>
  </si>
  <si>
    <t>보안 추가 요금</t>
  </si>
  <si>
    <t>SSC (Security Surcharge)</t>
  </si>
  <si>
    <t>코로나19 테스트</t>
  </si>
  <si>
    <t>TEST COVID-19 fee</t>
  </si>
  <si>
    <t>기타 요금</t>
  </si>
  <si>
    <t>Other charge</t>
  </si>
  <si>
    <t>검사비용</t>
  </si>
  <si>
    <t xml:space="preserve">Inspection fee
</t>
  </si>
  <si>
    <t>화학물질 선언</t>
  </si>
  <si>
    <t xml:space="preserve">Chemical Declaration
</t>
  </si>
  <si>
    <t xml:space="preserve">면장 신고 수정 </t>
  </si>
  <si>
    <t>CD Amendment</t>
  </si>
  <si>
    <t>로비 요금</t>
  </si>
  <si>
    <t>Lobby fee</t>
  </si>
  <si>
    <t>엑스레이 요금</t>
  </si>
  <si>
    <t>X-ray fee</t>
  </si>
  <si>
    <t>기타 요금 ( Seal)</t>
  </si>
  <si>
    <t>Other charge 
SEAL</t>
  </si>
  <si>
    <t>노이바이 초과근무 감독</t>
  </si>
  <si>
    <t>Overtime Supervision at NB</t>
  </si>
  <si>
    <t>토요일 픽업</t>
  </si>
  <si>
    <t>Pickup on Satuday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</si>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</sst>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_);_(* \(#,##0\);_(* &quot;-&quot;??_);_(@_)"/>
    <numFmt numFmtId="166" formatCode="_(* #,##0.00_);_(* \(#,##0.00\);_(* &quot;-&quot;??_);_(@_)"/>
  </numFmts>
  <fonts count="7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25"/>
      <color theme="1"/>
      <name val="Times New Roman"/>
      <family val="1"/>
    </font>
    <font>
      <sz val="2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2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5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165" fontId="0" fillId="0" borderId="1" xfId="1" applyNumberFormat="1" applyFont="1" applyFill="1" applyBorder="1"/>
    <xf numFmtId="165" fontId="0" fillId="0" borderId="1" xfId="1" applyNumberFormat="1" applyFont="1" applyBorder="1"/>
    <xf numFmtId="166" fontId="6" fillId="0" borderId="1" xfId="1" applyFont="1" applyFill="1" applyBorder="1" applyAlignment="1">
      <alignment horizontal="left" vertical="center" wrapText="1"/>
    </xf>
    <xf numFmtId="10" fontId="0" fillId="0" borderId="0" xfId="2" applyNumberFormat="1" applyFont="1"/>
    <xf numFmtId="165" fontId="6" fillId="0" borderId="1" xfId="1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165" fontId="0" fillId="3" borderId="1" xfId="1" applyNumberFormat="1" applyFont="1" applyFill="1" applyBorder="1"/>
    <xf numFmtId="165" fontId="0" fillId="0" borderId="0" xfId="0" applyNumberFormat="1" applyAlignment="1">
      <alignment horizontal="left" wrapText="1"/>
    </xf>
    <xf numFmtId="165" fontId="0" fillId="0" borderId="0" xfId="0" applyNumberForma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8A8-34D4-40DF-83A8-6312CA54A592}">
  <sheetPr>
    <tabColor theme="3" tint="0.59999389629810485"/>
    <pageSetUpPr fitToPage="1"/>
  </sheetPr>
  <dimension ref="A1:F38"/>
  <sheetViews>
    <sheetView tabSelected="1" zoomScaleNormal="100" workbookViewId="0">
      <pane ySplit="4" topLeftCell="A22" activePane="bottomLeft" state="frozen"/>
      <selection pane="bottomLeft" activeCell="D32" sqref="D32"/>
    </sheetView>
  </sheetViews>
  <sheetFormatPr defaultRowHeight="15" x14ac:dyDescent="0.25"/>
  <cols>
    <col min="1" max="1" width="15" customWidth="1"/>
    <col min="2" max="2" width="20.7109375" customWidth="1"/>
    <col min="3" max="3" width="21" style="4" customWidth="1"/>
    <col min="4" max="4" width="19.85546875" style="5" customWidth="1"/>
    <col min="5" max="5" width="24.85546875" style="6" customWidth="1"/>
    <col min="6" max="6" width="17.140625" style="2" customWidth="1"/>
    <col min="7" max="8" width="16" customWidth="1"/>
    <col min="9" max="9" width="16.85546875" customWidth="1"/>
    <col min="10" max="10" width="16.7109375" customWidth="1"/>
    <col min="11" max="11" width="17.140625" customWidth="1"/>
    <col min="12" max="12" width="20.140625" customWidth="1"/>
    <col min="13" max="13" width="19.28515625" customWidth="1"/>
    <col min="14" max="14" width="17" customWidth="1"/>
    <col min="15" max="16" width="12.85546875" customWidth="1"/>
    <col min="17" max="17" width="18.42578125" customWidth="1"/>
    <col min="18" max="18" width="16.85546875" customWidth="1"/>
    <col min="19" max="19" width="12.85546875" customWidth="1"/>
    <col min="20" max="20" width="13.7109375" customWidth="1"/>
    <col min="21" max="21" width="12.85546875" customWidth="1"/>
    <col min="22" max="22" width="14.85546875" customWidth="1"/>
    <col min="23" max="23" width="13" customWidth="1"/>
    <col min="24" max="24" width="14" customWidth="1"/>
    <col min="25" max="25" width="14.140625" customWidth="1"/>
    <col min="26" max="26" width="13.5703125" customWidth="1"/>
    <col min="27" max="27" width="13.7109375" customWidth="1"/>
    <col min="28" max="28" width="13.28515625" customWidth="1"/>
    <col min="29" max="29" width="11.5703125" bestFit="1" customWidth="1"/>
    <col min="30" max="30" width="11.85546875" customWidth="1"/>
    <col min="31" max="31" width="12.140625" customWidth="1"/>
    <col min="32" max="32" width="14.28515625" customWidth="1"/>
    <col min="33" max="33" width="13.85546875" customWidth="1"/>
    <col min="34" max="34" width="12.85546875" customWidth="1"/>
    <col min="35" max="35" width="12" customWidth="1"/>
    <col min="36" max="36" width="11.42578125" customWidth="1"/>
    <col min="37" max="37" width="12.42578125" customWidth="1"/>
    <col min="38" max="38" width="14.28515625" bestFit="1" customWidth="1"/>
    <col min="39" max="39" width="12.5703125" bestFit="1" customWidth="1"/>
    <col min="40" max="40" width="13.28515625" customWidth="1"/>
    <col min="42" max="42" width="10.7109375" customWidth="1"/>
    <col min="45" max="45" width="11" customWidth="1"/>
    <col min="46" max="46" width="12.7109375" customWidth="1"/>
    <col min="47" max="47" width="10.42578125" customWidth="1"/>
    <col min="48" max="48" width="10.5703125" customWidth="1"/>
    <col min="49" max="49" width="11.5703125" bestFit="1" customWidth="1"/>
    <col min="51" max="51" width="10.85546875" customWidth="1"/>
    <col min="52" max="52" width="14.140625" customWidth="1"/>
    <col min="53" max="53" width="11.5703125" bestFit="1" customWidth="1"/>
    <col min="55" max="55" width="12.85546875" customWidth="1"/>
    <col min="56" max="56" width="13.140625" customWidth="1"/>
  </cols>
  <sheetData>
    <row r="1" spans="1:6" x14ac:dyDescent="0.25">
      <c r="B1" s="1" t="s">
        <v>0</v>
      </c>
      <c r="C1" s="1"/>
      <c r="D1" s="1"/>
      <c r="E1" s="1"/>
    </row>
    <row r="2" spans="1:6" ht="23.25" customHeight="1" x14ac:dyDescent="0.45">
      <c r="A2" s="3"/>
      <c r="B2" s="1"/>
      <c r="C2" s="1"/>
      <c r="D2" s="1"/>
      <c r="E2" s="1"/>
    </row>
    <row r="3" spans="1:6" x14ac:dyDescent="0.25">
      <c r="F3"/>
    </row>
    <row r="4" spans="1:6" x14ac:dyDescent="0.25">
      <c r="A4" s="7" t="s">
        <v>1</v>
      </c>
      <c r="B4" s="8" t="s">
        <v>2</v>
      </c>
      <c r="C4" s="9"/>
      <c r="D4" s="10" t="s">
        <v>3</v>
      </c>
      <c r="E4" s="11" t="s">
        <v>4</v>
      </c>
      <c r="F4"/>
    </row>
    <row r="5" spans="1:6" ht="28.5" customHeight="1" x14ac:dyDescent="0.25">
      <c r="A5" s="12">
        <v>1</v>
      </c>
      <c r="B5" s="13" t="s">
        <v>5</v>
      </c>
      <c r="C5" s="14" t="s">
        <v>6</v>
      </c>
      <c r="D5" s="15" t="s">
        <v>7</v>
      </c>
      <c r="E5" s="16">
        <v>150690873</v>
      </c>
      <c r="F5"/>
    </row>
    <row r="6" spans="1:6" ht="28.5" customHeight="1" x14ac:dyDescent="0.25">
      <c r="A6" s="12">
        <v>2</v>
      </c>
      <c r="B6" s="13" t="s">
        <v>8</v>
      </c>
      <c r="C6" s="14" t="s">
        <v>9</v>
      </c>
      <c r="D6" s="15" t="s">
        <v>7</v>
      </c>
      <c r="E6" s="16">
        <v>312440150</v>
      </c>
      <c r="F6"/>
    </row>
    <row r="7" spans="1:6" ht="28.5" customHeight="1" x14ac:dyDescent="0.25">
      <c r="A7" s="12">
        <v>3</v>
      </c>
      <c r="B7" s="13" t="s">
        <v>10</v>
      </c>
      <c r="C7" s="18" t="s">
        <v>11</v>
      </c>
      <c r="D7" s="15" t="s">
        <v>7</v>
      </c>
      <c r="E7" s="16">
        <v>154871200</v>
      </c>
      <c r="F7"/>
    </row>
    <row r="8" spans="1:6" ht="28.5" customHeight="1" x14ac:dyDescent="0.25">
      <c r="A8" s="12">
        <v>4</v>
      </c>
      <c r="B8" s="13" t="s">
        <v>12</v>
      </c>
      <c r="C8" s="14" t="s">
        <v>13</v>
      </c>
      <c r="D8" s="15" t="s">
        <v>7</v>
      </c>
      <c r="E8" s="16">
        <v>110376438.90000002</v>
      </c>
      <c r="F8" s="19"/>
    </row>
    <row r="9" spans="1:6" ht="28.5" customHeight="1" x14ac:dyDescent="0.25">
      <c r="A9" s="12">
        <v>5</v>
      </c>
      <c r="B9" s="13" t="s">
        <v>14</v>
      </c>
      <c r="C9" s="18" t="s">
        <v>15</v>
      </c>
      <c r="D9" s="15" t="s">
        <v>16</v>
      </c>
      <c r="E9" s="16">
        <v>25440441</v>
      </c>
      <c r="F9"/>
    </row>
    <row r="10" spans="1:6" ht="28.5" customHeight="1" x14ac:dyDescent="0.25">
      <c r="A10" s="12">
        <v>6</v>
      </c>
      <c r="B10" s="13" t="s">
        <v>17</v>
      </c>
      <c r="C10" s="14" t="s">
        <v>18</v>
      </c>
      <c r="D10" s="15" t="s">
        <v>19</v>
      </c>
      <c r="E10" s="16">
        <v>2575670</v>
      </c>
      <c r="F10"/>
    </row>
    <row r="11" spans="1:6" ht="28.5" customHeight="1" x14ac:dyDescent="0.25">
      <c r="A11" s="12">
        <v>7</v>
      </c>
      <c r="B11" s="13" t="s">
        <v>20</v>
      </c>
      <c r="C11" s="18" t="s">
        <v>21</v>
      </c>
      <c r="D11" s="15" t="s">
        <v>16</v>
      </c>
      <c r="E11" s="16">
        <v>32047134</v>
      </c>
      <c r="F11"/>
    </row>
    <row r="12" spans="1:6" ht="28.5" customHeight="1" x14ac:dyDescent="0.25">
      <c r="A12" s="12">
        <v>8</v>
      </c>
      <c r="B12" s="13" t="s">
        <v>22</v>
      </c>
      <c r="C12" s="18" t="s">
        <v>23</v>
      </c>
      <c r="D12" s="15" t="s">
        <v>16</v>
      </c>
      <c r="E12" s="16">
        <v>41139999.999999948</v>
      </c>
      <c r="F12"/>
    </row>
    <row r="13" spans="1:6" ht="28.5" customHeight="1" x14ac:dyDescent="0.25">
      <c r="A13" s="12">
        <v>9</v>
      </c>
      <c r="B13" s="13" t="s">
        <v>24</v>
      </c>
      <c r="C13" s="18" t="s">
        <v>25</v>
      </c>
      <c r="D13" s="15" t="s">
        <v>16</v>
      </c>
      <c r="E13" s="16">
        <v>16711264</v>
      </c>
      <c r="F13"/>
    </row>
    <row r="14" spans="1:6" ht="28.5" customHeight="1" x14ac:dyDescent="0.25">
      <c r="A14" s="12">
        <v>10</v>
      </c>
      <c r="B14" s="13" t="s">
        <v>26</v>
      </c>
      <c r="C14" s="14" t="s">
        <v>27</v>
      </c>
      <c r="D14" s="15" t="s">
        <v>16</v>
      </c>
      <c r="E14" s="16">
        <v>3101437.5</v>
      </c>
      <c r="F14"/>
    </row>
    <row r="15" spans="1:6" ht="28.5" customHeight="1" x14ac:dyDescent="0.25">
      <c r="A15" s="12">
        <v>11</v>
      </c>
      <c r="B15" s="13" t="s">
        <v>28</v>
      </c>
      <c r="C15" s="14" t="s">
        <v>29</v>
      </c>
      <c r="D15" s="15" t="s">
        <v>16</v>
      </c>
      <c r="E15" s="16">
        <v>24797322.000000004</v>
      </c>
      <c r="F15"/>
    </row>
    <row r="16" spans="1:6" ht="28.5" customHeight="1" x14ac:dyDescent="0.25">
      <c r="A16" s="12">
        <v>12</v>
      </c>
      <c r="B16" s="13" t="s">
        <v>30</v>
      </c>
      <c r="C16" s="14" t="s">
        <v>31</v>
      </c>
      <c r="D16" s="15" t="s">
        <v>16</v>
      </c>
      <c r="E16" s="16">
        <v>28419092.100000001</v>
      </c>
      <c r="F16"/>
    </row>
    <row r="17" spans="1:6" ht="28.5" customHeight="1" x14ac:dyDescent="0.25">
      <c r="A17" s="12">
        <v>13</v>
      </c>
      <c r="B17" s="13" t="s">
        <v>32</v>
      </c>
      <c r="C17" s="14" t="s">
        <v>33</v>
      </c>
      <c r="D17" s="15" t="s">
        <v>16</v>
      </c>
      <c r="E17" s="16"/>
      <c r="F17"/>
    </row>
    <row r="18" spans="1:6" ht="28.5" customHeight="1" x14ac:dyDescent="0.25">
      <c r="A18" s="12">
        <v>14</v>
      </c>
      <c r="B18" s="13" t="s">
        <v>34</v>
      </c>
      <c r="C18" s="14" t="s">
        <v>35</v>
      </c>
      <c r="D18" s="15" t="s">
        <v>16</v>
      </c>
      <c r="E18" s="16">
        <v>4962300</v>
      </c>
      <c r="F18"/>
    </row>
    <row r="19" spans="1:6" ht="28.5" customHeight="1" x14ac:dyDescent="0.25">
      <c r="A19" s="12">
        <v>15</v>
      </c>
      <c r="B19" s="13" t="s">
        <v>36</v>
      </c>
      <c r="C19" s="18" t="s">
        <v>37</v>
      </c>
      <c r="D19" s="15" t="s">
        <v>16</v>
      </c>
      <c r="E19" s="16">
        <v>1559580.0000000002</v>
      </c>
      <c r="F19"/>
    </row>
    <row r="20" spans="1:6" ht="28.5" customHeight="1" x14ac:dyDescent="0.25">
      <c r="A20" s="12">
        <v>16</v>
      </c>
      <c r="B20" s="13" t="s">
        <v>38</v>
      </c>
      <c r="C20" s="14" t="s">
        <v>39</v>
      </c>
      <c r="D20" s="15" t="s">
        <v>19</v>
      </c>
      <c r="E20" s="16"/>
      <c r="F20"/>
    </row>
    <row r="21" spans="1:6" ht="28.5" customHeight="1" x14ac:dyDescent="0.25">
      <c r="A21" s="12">
        <v>17</v>
      </c>
      <c r="B21" s="13" t="s">
        <v>40</v>
      </c>
      <c r="C21" s="14" t="s">
        <v>41</v>
      </c>
      <c r="D21" s="15" t="s">
        <v>19</v>
      </c>
      <c r="E21" s="16">
        <v>21834120</v>
      </c>
      <c r="F21"/>
    </row>
    <row r="22" spans="1:6" ht="28.5" customHeight="1" x14ac:dyDescent="0.25">
      <c r="A22" s="12">
        <v>18</v>
      </c>
      <c r="B22" s="13" t="s">
        <v>40</v>
      </c>
      <c r="C22" s="14" t="s">
        <v>42</v>
      </c>
      <c r="D22" s="15" t="s">
        <v>7</v>
      </c>
      <c r="E22" s="16"/>
      <c r="F22"/>
    </row>
    <row r="23" spans="1:6" ht="28.5" customHeight="1" x14ac:dyDescent="0.25">
      <c r="A23" s="12">
        <v>19</v>
      </c>
      <c r="B23" s="13" t="s">
        <v>43</v>
      </c>
      <c r="C23" s="18" t="s">
        <v>44</v>
      </c>
      <c r="D23" s="15" t="s">
        <v>19</v>
      </c>
      <c r="E23" s="16"/>
      <c r="F23"/>
    </row>
    <row r="24" spans="1:6" ht="28.5" customHeight="1" x14ac:dyDescent="0.25">
      <c r="A24" s="12">
        <v>20</v>
      </c>
      <c r="B24" s="13" t="s">
        <v>45</v>
      </c>
      <c r="C24" s="20" t="s">
        <v>46</v>
      </c>
      <c r="D24" s="15" t="s">
        <v>7</v>
      </c>
      <c r="E24" s="16"/>
      <c r="F24"/>
    </row>
    <row r="25" spans="1:6" ht="28.5" customHeight="1" x14ac:dyDescent="0.25">
      <c r="A25" s="12">
        <v>21</v>
      </c>
      <c r="B25" s="13" t="s">
        <v>47</v>
      </c>
      <c r="C25" s="20" t="s">
        <v>48</v>
      </c>
      <c r="D25" s="15" t="s">
        <v>7</v>
      </c>
      <c r="E25" s="16">
        <v>1918400.0000000002</v>
      </c>
    </row>
    <row r="26" spans="1:6" ht="28.5" customHeight="1" x14ac:dyDescent="0.25">
      <c r="A26" s="12">
        <v>22</v>
      </c>
      <c r="B26" s="13" t="s">
        <v>49</v>
      </c>
      <c r="C26" s="20" t="s">
        <v>50</v>
      </c>
      <c r="D26" s="15" t="s">
        <v>7</v>
      </c>
      <c r="E26" s="16">
        <v>550000</v>
      </c>
      <c r="F26"/>
    </row>
    <row r="27" spans="1:6" ht="28.5" customHeight="1" x14ac:dyDescent="0.25">
      <c r="A27" s="12">
        <v>23</v>
      </c>
      <c r="B27" s="13" t="s">
        <v>51</v>
      </c>
      <c r="C27" s="20" t="s">
        <v>52</v>
      </c>
      <c r="D27" s="15" t="s">
        <v>16</v>
      </c>
      <c r="E27" s="16">
        <v>550000</v>
      </c>
      <c r="F27"/>
    </row>
    <row r="28" spans="1:6" ht="28.5" customHeight="1" x14ac:dyDescent="0.25">
      <c r="A28" s="12">
        <v>24</v>
      </c>
      <c r="B28" s="13" t="s">
        <v>53</v>
      </c>
      <c r="C28" s="20" t="s">
        <v>54</v>
      </c>
      <c r="D28" s="15" t="s">
        <v>7</v>
      </c>
      <c r="E28" s="17"/>
      <c r="F28"/>
    </row>
    <row r="29" spans="1:6" ht="28.5" customHeight="1" x14ac:dyDescent="0.25">
      <c r="A29" s="12">
        <v>25</v>
      </c>
      <c r="B29" s="13" t="s">
        <v>55</v>
      </c>
      <c r="C29" s="20" t="s">
        <v>56</v>
      </c>
      <c r="D29" s="15" t="s">
        <v>7</v>
      </c>
      <c r="E29" s="17"/>
      <c r="F29"/>
    </row>
    <row r="30" spans="1:6" ht="28.5" customHeight="1" x14ac:dyDescent="0.25">
      <c r="A30" s="12">
        <v>26</v>
      </c>
      <c r="B30" s="13" t="s">
        <v>57</v>
      </c>
      <c r="C30" s="18" t="s">
        <v>58</v>
      </c>
      <c r="D30" s="15" t="s">
        <v>19</v>
      </c>
      <c r="E30" s="17">
        <v>106495</v>
      </c>
      <c r="F30"/>
    </row>
    <row r="31" spans="1:6" ht="28.5" customHeight="1" x14ac:dyDescent="0.25">
      <c r="A31" s="12">
        <v>27</v>
      </c>
      <c r="B31" s="13" t="s">
        <v>59</v>
      </c>
      <c r="C31" s="18" t="s">
        <v>60</v>
      </c>
      <c r="D31" s="15"/>
      <c r="E31" s="17">
        <v>519860.00000000006</v>
      </c>
      <c r="F31"/>
    </row>
    <row r="32" spans="1:6" ht="28.5" customHeight="1" x14ac:dyDescent="0.25">
      <c r="A32" s="12">
        <v>28</v>
      </c>
      <c r="B32" s="13" t="s">
        <v>61</v>
      </c>
      <c r="C32" s="18" t="s">
        <v>62</v>
      </c>
      <c r="D32" s="15"/>
      <c r="E32" s="17"/>
      <c r="F32"/>
    </row>
    <row r="33" spans="1:6" ht="28.5" customHeight="1" x14ac:dyDescent="0.25">
      <c r="A33" s="12">
        <v>29</v>
      </c>
      <c r="B33" s="13" t="s">
        <v>63</v>
      </c>
      <c r="C33" s="18" t="s">
        <v>64</v>
      </c>
      <c r="D33" s="15"/>
      <c r="E33" s="17">
        <v>440000.00000000006</v>
      </c>
      <c r="F33"/>
    </row>
    <row r="34" spans="1:6" ht="24" customHeight="1" x14ac:dyDescent="0.25">
      <c r="A34" s="21" t="s">
        <v>65</v>
      </c>
      <c r="B34" s="21"/>
      <c r="C34" s="21"/>
      <c r="D34" s="21"/>
      <c r="E34" s="22">
        <f>SUBTOTAL(9,E5:E33)</f>
        <v>935051777.5</v>
      </c>
      <c r="F34"/>
    </row>
    <row r="38" spans="1:6" x14ac:dyDescent="0.25">
      <c r="C38" s="23"/>
      <c r="D38" s="24"/>
    </row>
  </sheetData>
  <autoFilter ref="A4:F34" xr:uid="{B69DF1D6-9613-4200-885D-F1BA5F7446FA}">
    <filterColumn colId="1" showButton="0"/>
  </autoFilter>
  <mergeCells count="3">
    <mergeCell ref="B1:E2"/>
    <mergeCell ref="B4:C4"/>
    <mergeCell ref="A34:D34"/>
  </mergeCells>
  <pageMargins left="0.7" right="0.7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  2023.04</vt:lpstr>
      <vt:lpstr>'DETAIL  2023.04'!Print_Area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Tech11 Vina</dc:creator>
  <cp:lastModifiedBy>Tech11 Vina</cp:lastModifiedBy>
  <dcterms:created xsi:type="dcterms:W3CDTF">2024-09-24T01:11:09Z</dcterms:created>
  <dcterms:modified xsi:type="dcterms:W3CDTF">2024-09-24T01:12:42Z</dcterms:modified>
</cp:coreProperties>
</file>